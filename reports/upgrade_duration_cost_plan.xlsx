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与建议" sheetId="1" state="visible" r:id="rId1"/>
    <sheet xmlns:r="http://schemas.openxmlformats.org/officeDocument/2006/relationships" name="参数与公式" sheetId="2" state="visible" r:id="rId2"/>
    <sheet xmlns:r="http://schemas.openxmlformats.org/officeDocument/2006/relationships" name="建筑总览" sheetId="3" state="visible" r:id="rId3"/>
    <sheet xmlns:r="http://schemas.openxmlformats.org/officeDocument/2006/relationships" name="建筑逐级" sheetId="4" state="visible" r:id="rId4"/>
    <sheet xmlns:r="http://schemas.openxmlformats.org/officeDocument/2006/relationships" name="建筑建议总览" sheetId="5" state="visible" r:id="rId5"/>
    <sheet xmlns:r="http://schemas.openxmlformats.org/officeDocument/2006/relationships" name="建筑建议逐级" sheetId="6" state="visible" r:id="rId6"/>
    <sheet xmlns:r="http://schemas.openxmlformats.org/officeDocument/2006/relationships" name="建筑当前逐级统计" sheetId="7" state="visible" r:id="rId7"/>
    <sheet xmlns:r="http://schemas.openxmlformats.org/officeDocument/2006/relationships" name="科技当前逐级统计" sheetId="8" state="visible" r:id="rId8"/>
    <sheet xmlns:r="http://schemas.openxmlformats.org/officeDocument/2006/relationships" name="个人技术总览" sheetId="9" state="visible" r:id="rId9"/>
    <sheet xmlns:r="http://schemas.openxmlformats.org/officeDocument/2006/relationships" name="个人技术逐级" sheetId="10" state="visible" r:id="rId10"/>
    <sheet xmlns:r="http://schemas.openxmlformats.org/officeDocument/2006/relationships" name="帮会科技" sheetId="11" state="visible" r:id="rId11"/>
    <sheet xmlns:r="http://schemas.openxmlformats.org/officeDocument/2006/relationships" name="帮会科技逐级" sheetId="12" state="visible" r:id="rId12"/>
    <sheet xmlns:r="http://schemas.openxmlformats.org/officeDocument/2006/relationships" name="来源清单" sheetId="13" state="visible" r:id="rId13"/>
    <sheet xmlns:r="http://schemas.openxmlformats.org/officeDocument/2006/relationships" name="优化测算" sheetId="14" state="visible" r:id="rId14"/>
  </sheets>
  <definedNames>
    <definedName name="_xlnm._FilterDatabase" localSheetId="1" hidden="1">'参数与公式'!$A$24:$E$32</definedName>
    <definedName name="_xlnm._FilterDatabase" localSheetId="2" hidden="1">'建筑总览'!$A$4:$U$25</definedName>
    <definedName name="_xlnm._FilterDatabase" localSheetId="3" hidden="1">'建筑逐级'!$A$4:$R$328</definedName>
    <definedName name="_xlnm._FilterDatabase" localSheetId="4" hidden="1">'建筑建议总览'!$A$4:$AA$25</definedName>
    <definedName name="_xlnm._FilterDatabase" localSheetId="5" hidden="1">'建筑建议逐级'!$A$4:$AD$328</definedName>
    <definedName name="_xlnm._FilterDatabase" localSheetId="6" hidden="1">'建筑当前逐级统计'!$A$4:$R$328</definedName>
    <definedName name="_xlnm._FilterDatabase" localSheetId="7" hidden="1">'科技当前逐级统计'!$A$4:$U$692</definedName>
    <definedName name="_xlnm._FilterDatabase" localSheetId="8" hidden="1">'个人技术总览'!$A$4:$R$46</definedName>
    <definedName name="_xlnm._FilterDatabase" localSheetId="9" hidden="1">'个人技术逐级'!$A$4:$Y$589</definedName>
    <definedName name="_xlnm._FilterDatabase" localSheetId="10" hidden="1">'帮会科技'!$A$4:$L$14</definedName>
    <definedName name="_xlnm._FilterDatabase" localSheetId="11" hidden="1">'帮会科技逐级'!$A$4:$V$107</definedName>
    <definedName name="_xlnm._FilterDatabase" localSheetId="12" hidden="1">'来源清单'!$A$4:$E$23</definedName>
    <definedName name="_xlnm._FilterDatabase" localSheetId="13" hidden="1">'优化测算'!$A$4:$N$25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0.0"/>
    <numFmt numFmtId="166" formatCode="0.00x"/>
    <numFmt numFmtId="167" formatCode="0.000"/>
    <numFmt numFmtId="168" formatCode="0.0%"/>
    <numFmt numFmtId="169" formatCode="0.0000"/>
  </numFmts>
  <fonts count="10">
    <font>
      <name val="Calibri"/>
      <family val="2"/>
      <color theme="1"/>
      <sz val="11"/>
      <scheme val="minor"/>
    </font>
    <font>
      <name val="Arial"/>
      <color rgb="001F1F1F"/>
      <sz val="10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1F4E78"/>
      <sz val="11"/>
    </font>
    <font>
      <name val="Arial"/>
      <b val="1"/>
      <color rgb="001F4E78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/>
    </xf>
    <xf numFmtId="0" fontId="1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vertical="center" wrapText="1"/>
    </xf>
    <xf numFmtId="166" fontId="7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2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4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top" wrapText="1"/>
    </xf>
    <xf numFmtId="167" fontId="7" fillId="0" borderId="1" applyAlignment="1" pivotButton="0" quotePrefix="0" xfId="0">
      <alignment vertical="top" wrapText="1"/>
    </xf>
    <xf numFmtId="167" fontId="5" fillId="4" borderId="1" applyAlignment="1" pivotButton="0" quotePrefix="0" xfId="0">
      <alignment vertical="top" wrapText="1"/>
    </xf>
    <xf numFmtId="2" fontId="5" fillId="4" borderId="1" applyAlignment="1" pivotButton="0" quotePrefix="0" xfId="0">
      <alignment vertical="top" wrapText="1"/>
    </xf>
    <xf numFmtId="168" fontId="7" fillId="0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1" fontId="5" fillId="0" borderId="1" applyAlignment="1" pivotButton="0" quotePrefix="0" xfId="0">
      <alignment vertical="top" wrapText="1"/>
    </xf>
    <xf numFmtId="1" fontId="7" fillId="0" borderId="1" applyAlignment="1" pivotButton="0" quotePrefix="0" xfId="0">
      <alignment vertical="top" wrapText="1"/>
    </xf>
    <xf numFmtId="1" fontId="5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vertical="top" wrapText="1"/>
    </xf>
    <xf numFmtId="3" fontId="0" fillId="0" borderId="0" pivotButton="0" quotePrefix="0" xfId="0"/>
    <xf numFmtId="3" fontId="5" fillId="0" borderId="1" applyAlignment="1" pivotButton="0" quotePrefix="0" xfId="0">
      <alignment vertical="center"/>
    </xf>
    <xf numFmtId="2" fontId="5" fillId="0" borderId="1" applyAlignment="1" pivotButton="0" quotePrefix="0" xfId="0">
      <alignment vertical="center"/>
    </xf>
    <xf numFmtId="3" fontId="7" fillId="0" borderId="1" applyAlignment="1" pivotButton="0" quotePrefix="0" xfId="0">
      <alignment vertical="center"/>
    </xf>
    <xf numFmtId="2" fontId="7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 wrapText="1"/>
    </xf>
    <xf numFmtId="2" fontId="5" fillId="0" borderId="1" applyAlignment="1" pivotButton="0" quotePrefix="0" xfId="0">
      <alignment vertical="center" wrapText="1"/>
    </xf>
    <xf numFmtId="1" fontId="5" fillId="0" borderId="1" applyAlignment="1" pivotButton="0" quotePrefix="0" xfId="0">
      <alignment vertical="center"/>
    </xf>
    <xf numFmtId="1" fontId="6" fillId="0" borderId="1" applyAlignment="1" pivotButton="0" quotePrefix="0" xfId="0">
      <alignment vertical="center"/>
    </xf>
    <xf numFmtId="3" fontId="6" fillId="0" borderId="1" applyAlignment="1" pivotButton="0" quotePrefix="0" xfId="0">
      <alignment vertical="center"/>
    </xf>
    <xf numFmtId="169" fontId="6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工程资料</author>
    <author>大蜜薯酱</author>
  </authors>
  <commentList>
    <comment ref="B5" authorId="0" shapeId="0">
      <text>
        <t>Source: .env, GAME_TIME_MULTIPLIER=1; fallback: config/settings/base.py.</t>
      </text>
    </comment>
    <comment ref="B6" authorId="0" shapeId="0">
      <text>
        <t>Source: gameplay/constants.py, MAX_CONCURRENT_BUILDING_UPGRADES=2.</t>
      </text>
    </comment>
    <comment ref="B7" authorId="0" shapeId="0">
      <text>
        <t>Source: gameplay/constants.py, MAX_CONCURRENT_TECH_UPGRADES=2.</t>
      </text>
    </comment>
    <comment ref="B8" authorId="0" shapeId="0">
      <text>
        <t>Source: gameplay/services/action_points.py, ACTION_POINT_BUILDING_UPGRADE_COST=20.</t>
      </text>
    </comment>
    <comment ref="B12" authorId="0" shapeId="0">
      <text>
        <t>Source: gameplay/constants.py, BUILDING_MAX_LEVELS[citang]=5.</t>
      </text>
    </comment>
    <comment ref="B13" authorId="0" shapeId="0">
      <text>
        <t>Source: gameplay/models/manor.py, CITANG_BUILDING_TIME_REDUCTION_PER_LEVEL=0.05.</t>
      </text>
    </comment>
    <comment ref="B15" authorId="0" shapeId="0">
      <text>
        <t>Source: data/technology_templates.yaml, architecture.max_level=10.</t>
      </text>
    </comment>
    <comment ref="B16" authorId="0" shapeId="0">
      <text>
        <t>Source: data/technology_templates.yaml, architecture.effect_per_level=0.05.</t>
      </text>
    </comment>
    <comment ref="B21" authorId="1" shapeId="0">
      <text>
        <t>公式口径：1天=86400秒，用于把配置秒数换算为累计天数。</t>
      </text>
    </comment>
  </commentList>
</comments>
</file>

<file path=xl/comments/comment2.xml><?xml version="1.0" encoding="utf-8"?>
<comments xmlns="http://schemas.openxmlformats.org/spreadsheetml/2006/main">
  <authors>
    <author>大蜜薯酱</author>
  </authors>
  <commentList>
    <comment ref="I4" authorId="0" shapeId="0">
      <text>
        <t>预算模式权重 = 增长系数 ^ 升级序号；1.00为均匀分配。</t>
      </text>
    </comment>
    <comment ref="R4" authorId="0" shapeId="0">
      <text>
        <t>预算模式权重 = 增长系数 ^ 升级序号；1.00为均匀分配。</t>
      </text>
    </comment>
    <comment ref="H5" authorId="0" shapeId="0">
      <text>
        <t>预算/曲线来源：用户目标 + 建筑功能定位；执行公式见 gameplay/models/manor.py::_allocate_upgrade_budget（2026-08-14）。</t>
      </text>
    </comment>
    <comment ref="I5" authorId="0" shapeId="0">
      <text>
        <t>预算/曲线来源：用户目标 + 建筑功能定位；执行公式见 gameplay/models/manor.py::_allocate_upgrade_budget（2026-08-14）。</t>
      </text>
    </comment>
    <comment ref="J5" authorId="0" shapeId="0">
      <text>
        <t>预算/曲线来源：用户目标 + 建筑功能定位；执行公式见 gameplay/models/manor.py::_allocate_upgrade_budget（2026-08-14）。</t>
      </text>
    </comment>
    <comment ref="K5" authorId="0" shapeId="0">
      <text>
        <t>用户目标：满级累计时长约为该天数；预算字段使用秒保存。</t>
      </text>
    </comment>
    <comment ref="P5" authorId="0" shapeId="0">
      <text>
        <t>预算/曲线来源：用户目标 + 建筑功能定位；执行公式见 gameplay/models/manor.py::_allocate_upgrade_budget（2026-08-14）。</t>
      </text>
    </comment>
    <comment ref="Q5" authorId="0" shapeId="0">
      <text>
        <t>预算/曲线来源：用户目标 + 建筑功能定位；执行公式见 gameplay/models/manor.py::_allocate_upgrade_budget（2026-08-14）。</t>
      </text>
    </comment>
    <comment ref="R5" authorId="0" shapeId="0">
      <text>
        <t>预算/曲线来源：用户目标 + 建筑功能定位；执行公式见 gameplay/models/manor.py::_allocate_upgrade_budget（2026-08-14）。</t>
      </text>
    </comment>
    <comment ref="S5" authorId="0" shapeId="0">
      <text>
        <t>预算/曲线来源：用户目标 + 建筑功能定位；执行公式见 gameplay/models/manor.py::_allocate_upgrade_budget（2026-08-14）。</t>
      </text>
    </comment>
    <comment ref="T5" authorId="0" shapeId="0">
      <text>
        <t>预算/曲线来源：用户目标 + 建筑功能定位；执行公式见 gameplay/models/manor.py::_allocate_upgrade_budget（2026-08-14）。</t>
      </text>
    </comment>
    <comment ref="U5" authorId="0" shapeId="0">
      <text>
        <t>用户目标：满级累计银两约为该金额；粮食预算按现有粮银比例同步。</t>
      </text>
    </comment>
    <comment ref="H6" authorId="0" shapeId="0">
      <text>
        <t>预算/曲线来源：用户目标 + 建筑功能定位；执行公式见 gameplay/models/manor.py::_allocate_upgrade_budget（2026-08-14）。</t>
      </text>
    </comment>
    <comment ref="I6" authorId="0" shapeId="0">
      <text>
        <t>预算/曲线来源：用户目标 + 建筑功能定位；执行公式见 gameplay/models/manor.py::_allocate_upgrade_budget（2026-08-14）。</t>
      </text>
    </comment>
    <comment ref="J6" authorId="0" shapeId="0">
      <text>
        <t>预算/曲线来源：用户目标 + 建筑功能定位；执行公式见 gameplay/models/manor.py::_allocate_upgrade_budget（2026-08-14）。</t>
      </text>
    </comment>
    <comment ref="K6" authorId="0" shapeId="0">
      <text>
        <t>用户目标：满级累计时长约为该天数；预算字段使用秒保存。</t>
      </text>
    </comment>
    <comment ref="P6" authorId="0" shapeId="0">
      <text>
        <t>预算/曲线来源：用户目标 + 建筑功能定位；执行公式见 gameplay/models/manor.py::_allocate_upgrade_budget（2026-08-14）。</t>
      </text>
    </comment>
    <comment ref="Q6" authorId="0" shapeId="0">
      <text>
        <t>预算/曲线来源：用户目标 + 建筑功能定位；执行公式见 gameplay/models/manor.py::_allocate_upgrade_budget（2026-08-14）。</t>
      </text>
    </comment>
    <comment ref="R6" authorId="0" shapeId="0">
      <text>
        <t>预算/曲线来源：用户目标 + 建筑功能定位；执行公式见 gameplay/models/manor.py::_allocate_upgrade_budget（2026-08-14）。</t>
      </text>
    </comment>
    <comment ref="S6" authorId="0" shapeId="0">
      <text>
        <t>预算/曲线来源：用户目标 + 建筑功能定位；执行公式见 gameplay/models/manor.py::_allocate_upgrade_budget（2026-08-14）。</t>
      </text>
    </comment>
    <comment ref="T6" authorId="0" shapeId="0">
      <text>
        <t>预算/曲线来源：用户目标 + 建筑功能定位；执行公式见 gameplay/models/manor.py::_allocate_upgrade_budget（2026-08-14）。</t>
      </text>
    </comment>
    <comment ref="U6" authorId="0" shapeId="0">
      <text>
        <t>用户目标：满级累计银两约为该金额；粮食预算按现有粮银比例同步。</t>
      </text>
    </comment>
    <comment ref="H7" authorId="0" shapeId="0">
      <text>
        <t>预算/曲线来源：用户目标 + 建筑功能定位；执行公式见 gameplay/models/manor.py::_allocate_upgrade_budget（2026-08-14）。</t>
      </text>
    </comment>
    <comment ref="I7" authorId="0" shapeId="0">
      <text>
        <t>预算/曲线来源：用户目标 + 建筑功能定位；执行公式见 gameplay/models/manor.py::_allocate_upgrade_budget（2026-08-14）。</t>
      </text>
    </comment>
    <comment ref="J7" authorId="0" shapeId="0">
      <text>
        <t>预算/曲线来源：用户目标 + 建筑功能定位；执行公式见 gameplay/models/manor.py::_allocate_upgrade_budget（2026-08-14）。</t>
      </text>
    </comment>
    <comment ref="K7" authorId="0" shapeId="0">
      <text>
        <t>用户目标：满级累计时长约为该天数；预算字段使用秒保存。</t>
      </text>
    </comment>
    <comment ref="P7" authorId="0" shapeId="0">
      <text>
        <t>预算/曲线来源：用户目标 + 建筑功能定位；执行公式见 gameplay/models/manor.py::_allocate_upgrade_budget（2026-08-14）。</t>
      </text>
    </comment>
    <comment ref="Q7" authorId="0" shapeId="0">
      <text>
        <t>预算/曲线来源：用户目标 + 建筑功能定位；执行公式见 gameplay/models/manor.py::_allocate_upgrade_budget（2026-08-14）。</t>
      </text>
    </comment>
    <comment ref="R7" authorId="0" shapeId="0">
      <text>
        <t>预算/曲线来源：用户目标 + 建筑功能定位；执行公式见 gameplay/models/manor.py::_allocate_upgrade_budget（2026-08-14）。</t>
      </text>
    </comment>
    <comment ref="S7" authorId="0" shapeId="0">
      <text>
        <t>预算/曲线来源：用户目标 + 建筑功能定位；执行公式见 gameplay/models/manor.py::_allocate_upgrade_budget（2026-08-14）。</t>
      </text>
    </comment>
    <comment ref="T7" authorId="0" shapeId="0">
      <text>
        <t>预算/曲线来源：用户目标 + 建筑功能定位；执行公式见 gameplay/models/manor.py::_allocate_upgrade_budget（2026-08-14）。</t>
      </text>
    </comment>
    <comment ref="U7" authorId="0" shapeId="0">
      <text>
        <t>用户目标：满级累计银两约为该金额；粮食预算按现有粮银比例同步。</t>
      </text>
    </comment>
    <comment ref="H8" authorId="0" shapeId="0">
      <text>
        <t>预算/曲线来源：用户目标 + 建筑功能定位；执行公式见 gameplay/models/manor.py::_allocate_upgrade_budget（2026-08-14）。</t>
      </text>
    </comment>
    <comment ref="I8" authorId="0" shapeId="0">
      <text>
        <t>预算/曲线来源：用户目标 + 建筑功能定位；执行公式见 gameplay/models/manor.py::_allocate_upgrade_budget（2026-08-14）。</t>
      </text>
    </comment>
    <comment ref="J8" authorId="0" shapeId="0">
      <text>
        <t>预算/曲线来源：用户目标 + 建筑功能定位；执行公式见 gameplay/models/manor.py::_allocate_upgrade_budget（2026-08-14）。</t>
      </text>
    </comment>
    <comment ref="K8" authorId="0" shapeId="0">
      <text>
        <t>用户目标：满级累计时长约为该天数；预算字段使用秒保存。</t>
      </text>
    </comment>
    <comment ref="P8" authorId="0" shapeId="0">
      <text>
        <t>预算/曲线来源：用户目标 + 建筑功能定位；执行公式见 gameplay/models/manor.py::_allocate_upgrade_budget（2026-08-14）。</t>
      </text>
    </comment>
    <comment ref="Q8" authorId="0" shapeId="0">
      <text>
        <t>预算/曲线来源：用户目标 + 建筑功能定位；执行公式见 gameplay/models/manor.py::_allocate_upgrade_budget（2026-08-14）。</t>
      </text>
    </comment>
    <comment ref="R8" authorId="0" shapeId="0">
      <text>
        <t>预算/曲线来源：用户目标 + 建筑功能定位；执行公式见 gameplay/models/manor.py::_allocate_upgrade_budget（2026-08-14）。</t>
      </text>
    </comment>
    <comment ref="S8" authorId="0" shapeId="0">
      <text>
        <t>预算/曲线来源：用户目标 + 建筑功能定位；执行公式见 gameplay/models/manor.py::_allocate_upgrade_budget（2026-08-14）。</t>
      </text>
    </comment>
    <comment ref="T8" authorId="0" shapeId="0">
      <text>
        <t>预算/曲线来源：用户目标 + 建筑功能定位；执行公式见 gameplay/models/manor.py::_allocate_upgrade_budget（2026-08-14）。</t>
      </text>
    </comment>
    <comment ref="U8" authorId="0" shapeId="0">
      <text>
        <t>用户目标：满级累计银两约为该金额；粮食预算按现有粮银比例同步。</t>
      </text>
    </comment>
    <comment ref="H9" authorId="0" shapeId="0">
      <text>
        <t>预算/曲线来源：用户目标 + 建筑功能定位；执行公式见 gameplay/models/manor.py::_allocate_upgrade_budget（2026-08-14）。</t>
      </text>
    </comment>
    <comment ref="I9" authorId="0" shapeId="0">
      <text>
        <t>预算/曲线来源：用户目标 + 建筑功能定位；执行公式见 gameplay/models/manor.py::_allocate_upgrade_budget（2026-08-14）。</t>
      </text>
    </comment>
    <comment ref="J9" authorId="0" shapeId="0">
      <text>
        <t>预算/曲线来源：用户目标 + 建筑功能定位；执行公式见 gameplay/models/manor.py::_allocate_upgrade_budget（2026-08-14）。</t>
      </text>
    </comment>
    <comment ref="P9" authorId="0" shapeId="0">
      <text>
        <t>预算/曲线来源：用户目标 + 建筑功能定位；执行公式见 gameplay/models/manor.py::_allocate_upgrade_budget（2026-08-14）。</t>
      </text>
    </comment>
    <comment ref="Q9" authorId="0" shapeId="0">
      <text>
        <t>预算/曲线来源：用户目标 + 建筑功能定位；执行公式见 gameplay/models/manor.py::_allocate_upgrade_budget（2026-08-14）。</t>
      </text>
    </comment>
    <comment ref="R9" authorId="0" shapeId="0">
      <text>
        <t>预算/曲线来源：用户目标 + 建筑功能定位；执行公式见 gameplay/models/manor.py::_allocate_upgrade_budget（2026-08-14）。</t>
      </text>
    </comment>
    <comment ref="S9" authorId="0" shapeId="0">
      <text>
        <t>预算/曲线来源：用户目标 + 建筑功能定位；执行公式见 gameplay/models/manor.py::_allocate_upgrade_budget（2026-08-14）。</t>
      </text>
    </comment>
    <comment ref="T9" authorId="0" shapeId="0">
      <text>
        <t>预算/曲线来源：用户目标 + 建筑功能定位；执行公式见 gameplay/models/manor.py::_allocate_upgrade_budget（2026-08-14）。</t>
      </text>
    </comment>
    <comment ref="U9" authorId="0" shapeId="0">
      <text>
        <t>用户目标：满级累计银两约为该金额；粮食预算按现有粮银比例同步。</t>
      </text>
    </comment>
    <comment ref="H10" authorId="0" shapeId="0">
      <text>
        <t>预算/曲线来源：用户目标 + 建筑功能定位；执行公式见 gameplay/models/manor.py::_allocate_upgrade_budget（2026-08-14）。</t>
      </text>
    </comment>
    <comment ref="I10" authorId="0" shapeId="0">
      <text>
        <t>预算/曲线来源：用户目标 + 建筑功能定位；执行公式见 gameplay/models/manor.py::_allocate_upgrade_budget（2026-08-14）。</t>
      </text>
    </comment>
    <comment ref="J10" authorId="0" shapeId="0">
      <text>
        <t>预算/曲线来源：用户目标 + 建筑功能定位；执行公式见 gameplay/models/manor.py::_allocate_upgrade_budget（2026-08-14）。</t>
      </text>
    </comment>
    <comment ref="K10" authorId="0" shapeId="0">
      <text>
        <t>用户目标：满级累计时长约为该天数；预算字段使用秒保存。</t>
      </text>
    </comment>
    <comment ref="P10" authorId="0" shapeId="0">
      <text>
        <t>预算/曲线来源：用户目标 + 建筑功能定位；执行公式见 gameplay/models/manor.py::_allocate_upgrade_budget（2026-08-14）。</t>
      </text>
    </comment>
    <comment ref="Q10" authorId="0" shapeId="0">
      <text>
        <t>预算/曲线来源：用户目标 + 建筑功能定位；执行公式见 gameplay/models/manor.py::_allocate_upgrade_budget（2026-08-14）。</t>
      </text>
    </comment>
    <comment ref="R10" authorId="0" shapeId="0">
      <text>
        <t>预算/曲线来源：用户目标 + 建筑功能定位；执行公式见 gameplay/models/manor.py::_allocate_upgrade_budget（2026-08-14）。</t>
      </text>
    </comment>
    <comment ref="S10" authorId="0" shapeId="0">
      <text>
        <t>预算/曲线来源：用户目标 + 建筑功能定位；执行公式见 gameplay/models/manor.py::_allocate_upgrade_budget（2026-08-14）。</t>
      </text>
    </comment>
    <comment ref="T10" authorId="0" shapeId="0">
      <text>
        <t>预算/曲线来源：用户目标 + 建筑功能定位；执行公式见 gameplay/models/manor.py::_allocate_upgrade_budget（2026-08-14）。</t>
      </text>
    </comment>
    <comment ref="H11" authorId="0" shapeId="0">
      <text>
        <t>预算/曲线来源：用户目标 + 建筑功能定位；执行公式见 gameplay/models/manor.py::_allocate_upgrade_budget（2026-08-14）。</t>
      </text>
    </comment>
    <comment ref="I11" authorId="0" shapeId="0">
      <text>
        <t>预算/曲线来源：用户目标 + 建筑功能定位；执行公式见 gameplay/models/manor.py::_allocate_upgrade_budget（2026-08-14）。</t>
      </text>
    </comment>
    <comment ref="J11" authorId="0" shapeId="0">
      <text>
        <t>预算/曲线来源：用户目标 + 建筑功能定位；执行公式见 gameplay/models/manor.py::_allocate_upgrade_budget（2026-08-14）。</t>
      </text>
    </comment>
    <comment ref="K11" authorId="0" shapeId="0">
      <text>
        <t>用户目标：满级累计时长约为该天数；预算字段使用秒保存。</t>
      </text>
    </comment>
    <comment ref="P11" authorId="0" shapeId="0">
      <text>
        <t>预算/曲线来源：用户目标 + 建筑功能定位；执行公式见 gameplay/models/manor.py::_allocate_upgrade_budget（2026-08-14）。</t>
      </text>
    </comment>
    <comment ref="Q11" authorId="0" shapeId="0">
      <text>
        <t>预算/曲线来源：用户目标 + 建筑功能定位；执行公式见 gameplay/models/manor.py::_allocate_upgrade_budget（2026-08-14）。</t>
      </text>
    </comment>
    <comment ref="R11" authorId="0" shapeId="0">
      <text>
        <t>预算/曲线来源：用户目标 + 建筑功能定位；执行公式见 gameplay/models/manor.py::_allocate_upgrade_budget（2026-08-14）。</t>
      </text>
    </comment>
    <comment ref="S11" authorId="0" shapeId="0">
      <text>
        <t>预算/曲线来源：用户目标 + 建筑功能定位；执行公式见 gameplay/models/manor.py::_allocate_upgrade_budget（2026-08-14）。</t>
      </text>
    </comment>
    <comment ref="T11" authorId="0" shapeId="0">
      <text>
        <t>预算/曲线来源：用户目标 + 建筑功能定位；执行公式见 gameplay/models/manor.py::_allocate_upgrade_budget（2026-08-14）。</t>
      </text>
    </comment>
    <comment ref="H12" authorId="0" shapeId="0">
      <text>
        <t>预算/曲线来源：用户目标 + 建筑功能定位；执行公式见 gameplay/models/manor.py::_allocate_upgrade_budget（2026-08-14）。</t>
      </text>
    </comment>
    <comment ref="I12" authorId="0" shapeId="0">
      <text>
        <t>预算/曲线来源：用户目标 + 建筑功能定位；执行公式见 gameplay/models/manor.py::_allocate_upgrade_budget（2026-08-14）。</t>
      </text>
    </comment>
    <comment ref="J12" authorId="0" shapeId="0">
      <text>
        <t>预算/曲线来源：用户目标 + 建筑功能定位；执行公式见 gameplay/models/manor.py::_allocate_upgrade_budget（2026-08-14）。</t>
      </text>
    </comment>
    <comment ref="K12" authorId="0" shapeId="0">
      <text>
        <t>用户目标：满级累计时长约为该天数；预算字段使用秒保存。</t>
      </text>
    </comment>
    <comment ref="P12" authorId="0" shapeId="0">
      <text>
        <t>预算/曲线来源：用户目标 + 建筑功能定位；执行公式见 gameplay/models/manor.py::_allocate_upgrade_budget（2026-08-14）。</t>
      </text>
    </comment>
    <comment ref="Q12" authorId="0" shapeId="0">
      <text>
        <t>预算/曲线来源：用户目标 + 建筑功能定位；执行公式见 gameplay/models/manor.py::_allocate_upgrade_budget（2026-08-14）。</t>
      </text>
    </comment>
    <comment ref="R12" authorId="0" shapeId="0">
      <text>
        <t>预算/曲线来源：用户目标 + 建筑功能定位；执行公式见 gameplay/models/manor.py::_allocate_upgrade_budget（2026-08-14）。</t>
      </text>
    </comment>
    <comment ref="S12" authorId="0" shapeId="0">
      <text>
        <t>预算/曲线来源：用户目标 + 建筑功能定位；执行公式见 gameplay/models/manor.py::_allocate_upgrade_budget（2026-08-14）。</t>
      </text>
    </comment>
    <comment ref="T12" authorId="0" shapeId="0">
      <text>
        <t>预算/曲线来源：用户目标 + 建筑功能定位；执行公式见 gameplay/models/manor.py::_allocate_upgrade_budget（2026-08-14）。</t>
      </text>
    </comment>
    <comment ref="U12" authorId="0" shapeId="0">
      <text>
        <t>用户目标：满级累计银两约为该金额；粮食预算按现有粮银比例同步。</t>
      </text>
    </comment>
    <comment ref="H13" authorId="0" shapeId="0">
      <text>
        <t>预算/曲线来源：用户目标 + 建筑功能定位；执行公式见 gameplay/models/manor.py::_allocate_upgrade_budget（2026-08-14）。</t>
      </text>
    </comment>
    <comment ref="I13" authorId="0" shapeId="0">
      <text>
        <t>预算/曲线来源：用户目标 + 建筑功能定位；执行公式见 gameplay/models/manor.py::_allocate_upgrade_budget（2026-08-14）。</t>
      </text>
    </comment>
    <comment ref="J13" authorId="0" shapeId="0">
      <text>
        <t>预算/曲线来源：用户目标 + 建筑功能定位；执行公式见 gameplay/models/manor.py::_allocate_upgrade_budget（2026-08-14）。</t>
      </text>
    </comment>
    <comment ref="K13" authorId="0" shapeId="0">
      <text>
        <t>用户目标：满级累计时长约为该天数；预算字段使用秒保存。</t>
      </text>
    </comment>
    <comment ref="P13" authorId="0" shapeId="0">
      <text>
        <t>预算/曲线来源：用户目标 + 建筑功能定位；执行公式见 gameplay/models/manor.py::_allocate_upgrade_budget（2026-08-14）。</t>
      </text>
    </comment>
    <comment ref="Q13" authorId="0" shapeId="0">
      <text>
        <t>预算/曲线来源：用户目标 + 建筑功能定位；执行公式见 gameplay/models/manor.py::_allocate_upgrade_budget（2026-08-14）。</t>
      </text>
    </comment>
    <comment ref="R13" authorId="0" shapeId="0">
      <text>
        <t>预算/曲线来源：用户目标 + 建筑功能定位；执行公式见 gameplay/models/manor.py::_allocate_upgrade_budget（2026-08-14）。</t>
      </text>
    </comment>
    <comment ref="S13" authorId="0" shapeId="0">
      <text>
        <t>预算/曲线来源：用户目标 + 建筑功能定位；执行公式见 gameplay/models/manor.py::_allocate_upgrade_budget（2026-08-14）。</t>
      </text>
    </comment>
    <comment ref="T13" authorId="0" shapeId="0">
      <text>
        <t>预算/曲线来源：用户目标 + 建筑功能定位；执行公式见 gameplay/models/manor.py::_allocate_upgrade_budget（2026-08-14）。</t>
      </text>
    </comment>
    <comment ref="U13" authorId="0" shapeId="0">
      <text>
        <t>用户目标：满级累计银两约为该金额；粮食预算按现有粮银比例同步。</t>
      </text>
    </comment>
    <comment ref="H14" authorId="0" shapeId="0">
      <text>
        <t>预算/曲线来源：用户目标 + 建筑功能定位；执行公式见 gameplay/models/manor.py::_allocate_upgrade_budget（2026-08-14）。</t>
      </text>
    </comment>
    <comment ref="I14" authorId="0" shapeId="0">
      <text>
        <t>预算/曲线来源：用户目标 + 建筑功能定位；执行公式见 gameplay/models/manor.py::_allocate_upgrade_budget（2026-08-14）。</t>
      </text>
    </comment>
    <comment ref="J14" authorId="0" shapeId="0">
      <text>
        <t>预算/曲线来源：用户目标 + 建筑功能定位；执行公式见 gameplay/models/manor.py::_allocate_upgrade_budget（2026-08-14）。</t>
      </text>
    </comment>
    <comment ref="K14" authorId="0" shapeId="0">
      <text>
        <t>用户目标：满级累计时长约为该天数；预算字段使用秒保存。</t>
      </text>
    </comment>
    <comment ref="P14" authorId="0" shapeId="0">
      <text>
        <t>预算/曲线来源：用户目标 + 建筑功能定位；执行公式见 gameplay/models/manor.py::_allocate_upgrade_budget（2026-08-14）。</t>
      </text>
    </comment>
    <comment ref="Q14" authorId="0" shapeId="0">
      <text>
        <t>预算/曲线来源：用户目标 + 建筑功能定位；执行公式见 gameplay/models/manor.py::_allocate_upgrade_budget（2026-08-14）。</t>
      </text>
    </comment>
    <comment ref="R14" authorId="0" shapeId="0">
      <text>
        <t>预算/曲线来源：用户目标 + 建筑功能定位；执行公式见 gameplay/models/manor.py::_allocate_upgrade_budget（2026-08-14）。</t>
      </text>
    </comment>
    <comment ref="S14" authorId="0" shapeId="0">
      <text>
        <t>预算/曲线来源：用户目标 + 建筑功能定位；执行公式见 gameplay/models/manor.py::_allocate_upgrade_budget（2026-08-14）。</t>
      </text>
    </comment>
    <comment ref="T14" authorId="0" shapeId="0">
      <text>
        <t>预算/曲线来源：用户目标 + 建筑功能定位；执行公式见 gameplay/models/manor.py::_allocate_upgrade_budget（2026-08-14）。</t>
      </text>
    </comment>
    <comment ref="U14" authorId="0" shapeId="0">
      <text>
        <t>用户目标：满级累计银两约为该金额；粮食预算按现有粮银比例同步。</t>
      </text>
    </comment>
    <comment ref="H15" authorId="0" shapeId="0">
      <text>
        <t>预算/曲线来源：用户目标 + 建筑功能定位；执行公式见 gameplay/models/manor.py::_allocate_upgrade_budget（2026-08-14）。</t>
      </text>
    </comment>
    <comment ref="I15" authorId="0" shapeId="0">
      <text>
        <t>预算/曲线来源：用户目标 + 建筑功能定位；执行公式见 gameplay/models/manor.py::_allocate_upgrade_budget（2026-08-14）。</t>
      </text>
    </comment>
    <comment ref="J15" authorId="0" shapeId="0">
      <text>
        <t>预算/曲线来源：用户目标 + 建筑功能定位；执行公式见 gameplay/models/manor.py::_allocate_upgrade_budget（2026-08-14）。</t>
      </text>
    </comment>
    <comment ref="K15" authorId="0" shapeId="0">
      <text>
        <t>用户目标：满级累计时长约为该天数；预算字段使用秒保存。</t>
      </text>
    </comment>
    <comment ref="P15" authorId="0" shapeId="0">
      <text>
        <t>预算/曲线来源：用户目标 + 建筑功能定位；执行公式见 gameplay/models/manor.py::_allocate_upgrade_budget（2026-08-14）。</t>
      </text>
    </comment>
    <comment ref="Q15" authorId="0" shapeId="0">
      <text>
        <t>预算/曲线来源：用户目标 + 建筑功能定位；执行公式见 gameplay/models/manor.py::_allocate_upgrade_budget（2026-08-14）。</t>
      </text>
    </comment>
    <comment ref="R15" authorId="0" shapeId="0">
      <text>
        <t>预算/曲线来源：用户目标 + 建筑功能定位；执行公式见 gameplay/models/manor.py::_allocate_upgrade_budget（2026-08-14）。</t>
      </text>
    </comment>
    <comment ref="S15" authorId="0" shapeId="0">
      <text>
        <t>预算/曲线来源：用户目标 + 建筑功能定位；执行公式见 gameplay/models/manor.py::_allocate_upgrade_budget（2026-08-14）。</t>
      </text>
    </comment>
    <comment ref="T15" authorId="0" shapeId="0">
      <text>
        <t>预算/曲线来源：用户目标 + 建筑功能定位；执行公式见 gameplay/models/manor.py::_allocate_upgrade_budget（2026-08-14）。</t>
      </text>
    </comment>
    <comment ref="U15" authorId="0" shapeId="0">
      <text>
        <t>用户目标：满级累计银两约为该金额；粮食预算按现有粮银比例同步。</t>
      </text>
    </comment>
    <comment ref="H16" authorId="0" shapeId="0">
      <text>
        <t>预算/曲线来源：用户目标 + 建筑功能定位；执行公式见 gameplay/models/manor.py::_allocate_upgrade_budget（2026-08-14）。</t>
      </text>
    </comment>
    <comment ref="I16" authorId="0" shapeId="0">
      <text>
        <t>预算/曲线来源：用户目标 + 建筑功能定位；执行公式见 gameplay/models/manor.py::_allocate_upgrade_budget（2026-08-14）。</t>
      </text>
    </comment>
    <comment ref="J16" authorId="0" shapeId="0">
      <text>
        <t>预算/曲线来源：用户目标 + 建筑功能定位；执行公式见 gameplay/models/manor.py::_allocate_upgrade_budget（2026-08-14）。</t>
      </text>
    </comment>
    <comment ref="K16" authorId="0" shapeId="0">
      <text>
        <t>用户目标：满级累计时长约为该天数；预算字段使用秒保存。</t>
      </text>
    </comment>
    <comment ref="P16" authorId="0" shapeId="0">
      <text>
        <t>预算/曲线来源：用户目标 + 建筑功能定位；执行公式见 gameplay/models/manor.py::_allocate_upgrade_budget（2026-08-14）。</t>
      </text>
    </comment>
    <comment ref="Q16" authorId="0" shapeId="0">
      <text>
        <t>预算/曲线来源：用户目标 + 建筑功能定位；执行公式见 gameplay/models/manor.py::_allocate_upgrade_budget（2026-08-14）。</t>
      </text>
    </comment>
    <comment ref="R16" authorId="0" shapeId="0">
      <text>
        <t>预算/曲线来源：用户目标 + 建筑功能定位；执行公式见 gameplay/models/manor.py::_allocate_upgrade_budget（2026-08-14）。</t>
      </text>
    </comment>
    <comment ref="S16" authorId="0" shapeId="0">
      <text>
        <t>预算/曲线来源：用户目标 + 建筑功能定位；执行公式见 gameplay/models/manor.py::_allocate_upgrade_budget（2026-08-14）。</t>
      </text>
    </comment>
    <comment ref="T16" authorId="0" shapeId="0">
      <text>
        <t>预算/曲线来源：用户目标 + 建筑功能定位；执行公式见 gameplay/models/manor.py::_allocate_upgrade_budget（2026-08-14）。</t>
      </text>
    </comment>
    <comment ref="H17" authorId="0" shapeId="0">
      <text>
        <t>预算/曲线来源：用户目标 + 建筑功能定位；执行公式见 gameplay/models/manor.py::_allocate_upgrade_budget（2026-08-14）。</t>
      </text>
    </comment>
    <comment ref="I17" authorId="0" shapeId="0">
      <text>
        <t>预算/曲线来源：用户目标 + 建筑功能定位；执行公式见 gameplay/models/manor.py::_allocate_upgrade_budget（2026-08-14）。</t>
      </text>
    </comment>
    <comment ref="J17" authorId="0" shapeId="0">
      <text>
        <t>预算/曲线来源：用户目标 + 建筑功能定位；执行公式见 gameplay/models/manor.py::_allocate_upgrade_budget（2026-08-14）。</t>
      </text>
    </comment>
    <comment ref="K17" authorId="0" shapeId="0">
      <text>
        <t>用户目标：满级累计时长约为该天数；预算字段使用秒保存。</t>
      </text>
    </comment>
    <comment ref="P17" authorId="0" shapeId="0">
      <text>
        <t>预算/曲线来源：用户目标 + 建筑功能定位；执行公式见 gameplay/models/manor.py::_allocate_upgrade_budget（2026-08-14）。</t>
      </text>
    </comment>
    <comment ref="Q17" authorId="0" shapeId="0">
      <text>
        <t>预算/曲线来源：用户目标 + 建筑功能定位；执行公式见 gameplay/models/manor.py::_allocate_upgrade_budget（2026-08-14）。</t>
      </text>
    </comment>
    <comment ref="R17" authorId="0" shapeId="0">
      <text>
        <t>预算/曲线来源：用户目标 + 建筑功能定位；执行公式见 gameplay/models/manor.py::_allocate_upgrade_budget（2026-08-14）。</t>
      </text>
    </comment>
    <comment ref="S17" authorId="0" shapeId="0">
      <text>
        <t>预算/曲线来源：用户目标 + 建筑功能定位；执行公式见 gameplay/models/manor.py::_allocate_upgrade_budget（2026-08-14）。</t>
      </text>
    </comment>
    <comment ref="T17" authorId="0" shapeId="0">
      <text>
        <t>预算/曲线来源：用户目标 + 建筑功能定位；执行公式见 gameplay/models/manor.py::_allocate_upgrade_budget（2026-08-14）。</t>
      </text>
    </comment>
    <comment ref="H18" authorId="0" shapeId="0">
      <text>
        <t>预算/曲线来源：用户目标 + 建筑功能定位；执行公式见 gameplay/models/manor.py::_allocate_upgrade_budget（2026-08-14）。</t>
      </text>
    </comment>
    <comment ref="I18" authorId="0" shapeId="0">
      <text>
        <t>预算/曲线来源：用户目标 + 建筑功能定位；执行公式见 gameplay/models/manor.py::_allocate_upgrade_budget（2026-08-14）。</t>
      </text>
    </comment>
    <comment ref="J18" authorId="0" shapeId="0">
      <text>
        <t>预算/曲线来源：用户目标 + 建筑功能定位；执行公式见 gameplay/models/manor.py::_allocate_upgrade_budget（2026-08-14）。</t>
      </text>
    </comment>
    <comment ref="K18" authorId="0" shapeId="0">
      <text>
        <t>用户目标：满级累计时长约为该天数；预算字段使用秒保存。</t>
      </text>
    </comment>
    <comment ref="P18" authorId="0" shapeId="0">
      <text>
        <t>预算/曲线来源：用户目标 + 建筑功能定位；执行公式见 gameplay/models/manor.py::_allocate_upgrade_budget（2026-08-14）。</t>
      </text>
    </comment>
    <comment ref="Q18" authorId="0" shapeId="0">
      <text>
        <t>预算/曲线来源：用户目标 + 建筑功能定位；执行公式见 gameplay/models/manor.py::_allocate_upgrade_budget（2026-08-14）。</t>
      </text>
    </comment>
    <comment ref="R18" authorId="0" shapeId="0">
      <text>
        <t>预算/曲线来源：用户目标 + 建筑功能定位；执行公式见 gameplay/models/manor.py::_allocate_upgrade_budget（2026-08-14）。</t>
      </text>
    </comment>
    <comment ref="S18" authorId="0" shapeId="0">
      <text>
        <t>预算/曲线来源：用户目标 + 建筑功能定位；执行公式见 gameplay/models/manor.py::_allocate_upgrade_budget（2026-08-14）。</t>
      </text>
    </comment>
    <comment ref="T18" authorId="0" shapeId="0">
      <text>
        <t>预算/曲线来源：用户目标 + 建筑功能定位；执行公式见 gameplay/models/manor.py::_allocate_upgrade_budget（2026-08-14）。</t>
      </text>
    </comment>
    <comment ref="H19" authorId="0" shapeId="0">
      <text>
        <t>预算/曲线来源：用户目标 + 建筑功能定位；执行公式见 gameplay/models/manor.py::_allocate_upgrade_budget（2026-08-14）。</t>
      </text>
    </comment>
    <comment ref="I19" authorId="0" shapeId="0">
      <text>
        <t>预算/曲线来源：用户目标 + 建筑功能定位；执行公式见 gameplay/models/manor.py::_allocate_upgrade_budget（2026-08-14）。</t>
      </text>
    </comment>
    <comment ref="J19" authorId="0" shapeId="0">
      <text>
        <t>预算/曲线来源：用户目标 + 建筑功能定位；执行公式见 gameplay/models/manor.py::_allocate_upgrade_budget（2026-08-14）。</t>
      </text>
    </comment>
    <comment ref="K19" authorId="0" shapeId="0">
      <text>
        <t>用户目标：满级累计时长约为该天数；预算字段使用秒保存。</t>
      </text>
    </comment>
    <comment ref="P19" authorId="0" shapeId="0">
      <text>
        <t>预算/曲线来源：用户目标 + 建筑功能定位；执行公式见 gameplay/models/manor.py::_allocate_upgrade_budget（2026-08-14）。</t>
      </text>
    </comment>
    <comment ref="Q19" authorId="0" shapeId="0">
      <text>
        <t>预算/曲线来源：用户目标 + 建筑功能定位；执行公式见 gameplay/models/manor.py::_allocate_upgrade_budget（2026-08-14）。</t>
      </text>
    </comment>
    <comment ref="R19" authorId="0" shapeId="0">
      <text>
        <t>预算/曲线来源：用户目标 + 建筑功能定位；执行公式见 gameplay/models/manor.py::_allocate_upgrade_budget（2026-08-14）。</t>
      </text>
    </comment>
    <comment ref="S19" authorId="0" shapeId="0">
      <text>
        <t>预算/曲线来源：用户目标 + 建筑功能定位；执行公式见 gameplay/models/manor.py::_allocate_upgrade_budget（2026-08-14）。</t>
      </text>
    </comment>
    <comment ref="T19" authorId="0" shapeId="0">
      <text>
        <t>预算/曲线来源：用户目标 + 建筑功能定位；执行公式见 gameplay/models/manor.py::_allocate_upgrade_budget（2026-08-14）。</t>
      </text>
    </comment>
    <comment ref="U19" authorId="0" shapeId="0">
      <text>
        <t>用户目标：满级累计银两约为该金额；粮食预算按现有粮银比例同步。</t>
      </text>
    </comment>
    <comment ref="H20" authorId="0" shapeId="0">
      <text>
        <t>预算/曲线来源：用户目标 + 建筑功能定位；执行公式见 gameplay/models/manor.py::_allocate_upgrade_budget（2026-08-14）。</t>
      </text>
    </comment>
    <comment ref="I20" authorId="0" shapeId="0">
      <text>
        <t>预算/曲线来源：用户目标 + 建筑功能定位；执行公式见 gameplay/models/manor.py::_allocate_upgrade_budget（2026-08-14）。</t>
      </text>
    </comment>
    <comment ref="J20" authorId="0" shapeId="0">
      <text>
        <t>预算/曲线来源：用户目标 + 建筑功能定位；执行公式见 gameplay/models/manor.py::_allocate_upgrade_budget（2026-08-14）。</t>
      </text>
    </comment>
    <comment ref="K20" authorId="0" shapeId="0">
      <text>
        <t>用户目标：满级累计时长约为该天数；预算字段使用秒保存。</t>
      </text>
    </comment>
    <comment ref="P20" authorId="0" shapeId="0">
      <text>
        <t>预算/曲线来源：用户目标 + 建筑功能定位；执行公式见 gameplay/models/manor.py::_allocate_upgrade_budget（2026-08-14）。</t>
      </text>
    </comment>
    <comment ref="Q20" authorId="0" shapeId="0">
      <text>
        <t>预算/曲线来源：用户目标 + 建筑功能定位；执行公式见 gameplay/models/manor.py::_allocate_upgrade_budget（2026-08-14）。</t>
      </text>
    </comment>
    <comment ref="R20" authorId="0" shapeId="0">
      <text>
        <t>预算/曲线来源：用户目标 + 建筑功能定位；执行公式见 gameplay/models/manor.py::_allocate_upgrade_budget（2026-08-14）。</t>
      </text>
    </comment>
    <comment ref="S20" authorId="0" shapeId="0">
      <text>
        <t>预算/曲线来源：用户目标 + 建筑功能定位；执行公式见 gameplay/models/manor.py::_allocate_upgrade_budget（2026-08-14）。</t>
      </text>
    </comment>
    <comment ref="T20" authorId="0" shapeId="0">
      <text>
        <t>预算/曲线来源：用户目标 + 建筑功能定位；执行公式见 gameplay/models/manor.py::_allocate_upgrade_budget（2026-08-14）。</t>
      </text>
    </comment>
    <comment ref="U20" authorId="0" shapeId="0">
      <text>
        <t>用户目标：满级累计银两约为该金额；粮食预算按现有粮银比例同步。</t>
      </text>
    </comment>
    <comment ref="H21" authorId="0" shapeId="0">
      <text>
        <t>预算/曲线来源：用户目标 + 建筑功能定位；执行公式见 gameplay/models/manor.py::_allocate_upgrade_budget（2026-08-14）。</t>
      </text>
    </comment>
    <comment ref="I21" authorId="0" shapeId="0">
      <text>
        <t>预算/曲线来源：用户目标 + 建筑功能定位；执行公式见 gameplay/models/manor.py::_allocate_upgrade_budget（2026-08-14）。</t>
      </text>
    </comment>
    <comment ref="J21" authorId="0" shapeId="0">
      <text>
        <t>预算/曲线来源：用户目标 + 建筑功能定位；执行公式见 gameplay/models/manor.py::_allocate_upgrade_budget（2026-08-14）。</t>
      </text>
    </comment>
    <comment ref="K21" authorId="0" shapeId="0">
      <text>
        <t>用户目标：满级累计时长约为该天数；预算字段使用秒保存。</t>
      </text>
    </comment>
    <comment ref="P21" authorId="0" shapeId="0">
      <text>
        <t>预算/曲线来源：用户目标 + 建筑功能定位；执行公式见 gameplay/models/manor.py::_allocate_upgrade_budget（2026-08-14）。</t>
      </text>
    </comment>
    <comment ref="Q21" authorId="0" shapeId="0">
      <text>
        <t>预算/曲线来源：用户目标 + 建筑功能定位；执行公式见 gameplay/models/manor.py::_allocate_upgrade_budget（2026-08-14）。</t>
      </text>
    </comment>
    <comment ref="R21" authorId="0" shapeId="0">
      <text>
        <t>预算/曲线来源：用户目标 + 建筑功能定位；执行公式见 gameplay/models/manor.py::_allocate_upgrade_budget（2026-08-14）。</t>
      </text>
    </comment>
    <comment ref="S21" authorId="0" shapeId="0">
      <text>
        <t>预算/曲线来源：用户目标 + 建筑功能定位；执行公式见 gameplay/models/manor.py::_allocate_upgrade_budget（2026-08-14）。</t>
      </text>
    </comment>
    <comment ref="T21" authorId="0" shapeId="0">
      <text>
        <t>预算/曲线来源：用户目标 + 建筑功能定位；执行公式见 gameplay/models/manor.py::_allocate_upgrade_budget（2026-08-14）。</t>
      </text>
    </comment>
    <comment ref="H22" authorId="0" shapeId="0">
      <text>
        <t>预算/曲线来源：用户目标 + 建筑功能定位；执行公式见 gameplay/models/manor.py::_allocate_upgrade_budget（2026-08-14）。</t>
      </text>
    </comment>
    <comment ref="I22" authorId="0" shapeId="0">
      <text>
        <t>预算/曲线来源：用户目标 + 建筑功能定位；执行公式见 gameplay/models/manor.py::_allocate_upgrade_budget（2026-08-14）。</t>
      </text>
    </comment>
    <comment ref="J22" authorId="0" shapeId="0">
      <text>
        <t>预算/曲线来源：用户目标 + 建筑功能定位；执行公式见 gameplay/models/manor.py::_allocate_upgrade_budget（2026-08-14）。</t>
      </text>
    </comment>
    <comment ref="K22" authorId="0" shapeId="0">
      <text>
        <t>用户目标：满级累计时长约为该天数；预算字段使用秒保存。</t>
      </text>
    </comment>
    <comment ref="P22" authorId="0" shapeId="0">
      <text>
        <t>预算/曲线来源：用户目标 + 建筑功能定位；执行公式见 gameplay/models/manor.py::_allocate_upgrade_budget（2026-08-14）。</t>
      </text>
    </comment>
    <comment ref="Q22" authorId="0" shapeId="0">
      <text>
        <t>预算/曲线来源：用户目标 + 建筑功能定位；执行公式见 gameplay/models/manor.py::_allocate_upgrade_budget（2026-08-14）。</t>
      </text>
    </comment>
    <comment ref="R22" authorId="0" shapeId="0">
      <text>
        <t>预算/曲线来源：用户目标 + 建筑功能定位；执行公式见 gameplay/models/manor.py::_allocate_upgrade_budget（2026-08-14）。</t>
      </text>
    </comment>
    <comment ref="S22" authorId="0" shapeId="0">
      <text>
        <t>预算/曲线来源：用户目标 + 建筑功能定位；执行公式见 gameplay/models/manor.py::_allocate_upgrade_budget（2026-08-14）。</t>
      </text>
    </comment>
    <comment ref="T22" authorId="0" shapeId="0">
      <text>
        <t>预算/曲线来源：用户目标 + 建筑功能定位；执行公式见 gameplay/models/manor.py::_allocate_upgrade_budget（2026-08-14）。</t>
      </text>
    </comment>
    <comment ref="U22" authorId="0" shapeId="0">
      <text>
        <t>用户目标：满级累计银两约为该金额；粮食预算按现有粮银比例同步。</t>
      </text>
    </comment>
    <comment ref="H23" authorId="0" shapeId="0">
      <text>
        <t>预算/曲线来源：用户目标 + 建筑功能定位；执行公式见 gameplay/models/manor.py::_allocate_upgrade_budget（2026-08-14）。</t>
      </text>
    </comment>
    <comment ref="I23" authorId="0" shapeId="0">
      <text>
        <t>预算/曲线来源：用户目标 + 建筑功能定位；执行公式见 gameplay/models/manor.py::_allocate_upgrade_budget（2026-08-14）。</t>
      </text>
    </comment>
    <comment ref="J23" authorId="0" shapeId="0">
      <text>
        <t>预算/曲线来源：用户目标 + 建筑功能定位；执行公式见 gameplay/models/manor.py::_allocate_upgrade_budget（2026-08-14）。</t>
      </text>
    </comment>
    <comment ref="K23" authorId="0" shapeId="0">
      <text>
        <t>用户目标：满级累计时长约为该天数；预算字段使用秒保存。</t>
      </text>
    </comment>
    <comment ref="P23" authorId="0" shapeId="0">
      <text>
        <t>预算/曲线来源：用户目标 + 建筑功能定位；执行公式见 gameplay/models/manor.py::_allocate_upgrade_budget（2026-08-14）。</t>
      </text>
    </comment>
    <comment ref="Q23" authorId="0" shapeId="0">
      <text>
        <t>预算/曲线来源：用户目标 + 建筑功能定位；执行公式见 gameplay/models/manor.py::_allocate_upgrade_budget（2026-08-14）。</t>
      </text>
    </comment>
    <comment ref="R23" authorId="0" shapeId="0">
      <text>
        <t>预算/曲线来源：用户目标 + 建筑功能定位；执行公式见 gameplay/models/manor.py::_allocate_upgrade_budget（2026-08-14）。</t>
      </text>
    </comment>
    <comment ref="S23" authorId="0" shapeId="0">
      <text>
        <t>预算/曲线来源：用户目标 + 建筑功能定位；执行公式见 gameplay/models/manor.py::_allocate_upgrade_budget（2026-08-14）。</t>
      </text>
    </comment>
    <comment ref="T23" authorId="0" shapeId="0">
      <text>
        <t>预算/曲线来源：用户目标 + 建筑功能定位；执行公式见 gameplay/models/manor.py::_allocate_upgrade_budget（2026-08-14）。</t>
      </text>
    </comment>
    <comment ref="U23" authorId="0" shapeId="0">
      <text>
        <t>用户目标：满级累计银两约为该金额；粮食预算按现有粮银比例同步。</t>
      </text>
    </comment>
    <comment ref="H24" authorId="0" shapeId="0">
      <text>
        <t>预算/曲线来源：用户目标 + 建筑功能定位；执行公式见 gameplay/models/manor.py::_allocate_upgrade_budget（2026-08-14）。</t>
      </text>
    </comment>
    <comment ref="I24" authorId="0" shapeId="0">
      <text>
        <t>预算/曲线来源：用户目标 + 建筑功能定位；执行公式见 gameplay/models/manor.py::_allocate_upgrade_budget（2026-08-14）。</t>
      </text>
    </comment>
    <comment ref="J24" authorId="0" shapeId="0">
      <text>
        <t>预算/曲线来源：用户目标 + 建筑功能定位；执行公式见 gameplay/models/manor.py::_allocate_upgrade_budget（2026-08-14）。</t>
      </text>
    </comment>
    <comment ref="K24" authorId="0" shapeId="0">
      <text>
        <t>用户目标：满级累计时长约为该天数；预算字段使用秒保存。</t>
      </text>
    </comment>
    <comment ref="P24" authorId="0" shapeId="0">
      <text>
        <t>预算/曲线来源：用户目标 + 建筑功能定位；执行公式见 gameplay/models/manor.py::_allocate_upgrade_budget（2026-08-14）。</t>
      </text>
    </comment>
    <comment ref="Q24" authorId="0" shapeId="0">
      <text>
        <t>预算/曲线来源：用户目标 + 建筑功能定位；执行公式见 gameplay/models/manor.py::_allocate_upgrade_budget（2026-08-14）。</t>
      </text>
    </comment>
    <comment ref="R24" authorId="0" shapeId="0">
      <text>
        <t>预算/曲线来源：用户目标 + 建筑功能定位；执行公式见 gameplay/models/manor.py::_allocate_upgrade_budget（2026-08-14）。</t>
      </text>
    </comment>
    <comment ref="S24" authorId="0" shapeId="0">
      <text>
        <t>预算/曲线来源：用户目标 + 建筑功能定位；执行公式见 gameplay/models/manor.py::_allocate_upgrade_budget（2026-08-14）。</t>
      </text>
    </comment>
    <comment ref="T24" authorId="0" shapeId="0">
      <text>
        <t>预算/曲线来源：用户目标 + 建筑功能定位；执行公式见 gameplay/models/manor.py::_allocate_upgrade_budget（2026-08-14）。</t>
      </text>
    </comment>
    <comment ref="U24" authorId="0" shapeId="0">
      <text>
        <t>用户目标：满级累计银两约为该金额；粮食预算按现有粮银比例同步。</t>
      </text>
    </comment>
    <comment ref="H25" authorId="0" shapeId="0">
      <text>
        <t>预算/曲线来源：用户目标 + 建筑功能定位；执行公式见 gameplay/models/manor.py::_allocate_upgrade_budget（2026-08-14）。</t>
      </text>
    </comment>
    <comment ref="I25" authorId="0" shapeId="0">
      <text>
        <t>预算/曲线来源：用户目标 + 建筑功能定位；执行公式见 gameplay/models/manor.py::_allocate_upgrade_budget（2026-08-14）。</t>
      </text>
    </comment>
    <comment ref="J25" authorId="0" shapeId="0">
      <text>
        <t>预算/曲线来源：用户目标 + 建筑功能定位；执行公式见 gameplay/models/manor.py::_allocate_upgrade_budget（2026-08-14）。</t>
      </text>
    </comment>
    <comment ref="K25" authorId="0" shapeId="0">
      <text>
        <t>用户目标：满级累计时长约为该天数；预算字段使用秒保存。</t>
      </text>
    </comment>
    <comment ref="P25" authorId="0" shapeId="0">
      <text>
        <t>预算/曲线来源：用户目标 + 建筑功能定位；执行公式见 gameplay/models/manor.py::_allocate_upgrade_budget（2026-08-14）。</t>
      </text>
    </comment>
    <comment ref="Q25" authorId="0" shapeId="0">
      <text>
        <t>预算/曲线来源：用户目标 + 建筑功能定位；执行公式见 gameplay/models/manor.py::_allocate_upgrade_budget（2026-08-14）。</t>
      </text>
    </comment>
    <comment ref="R25" authorId="0" shapeId="0">
      <text>
        <t>预算/曲线来源：用户目标 + 建筑功能定位；执行公式见 gameplay/models/manor.py::_allocate_upgrade_budget（2026-08-14）。</t>
      </text>
    </comment>
    <comment ref="S25" authorId="0" shapeId="0">
      <text>
        <t>预算/曲线来源：用户目标 + 建筑功能定位；执行公式见 gameplay/models/manor.py::_allocate_upgrade_budget（2026-08-14）。</t>
      </text>
    </comment>
    <comment ref="T25" authorId="0" shapeId="0">
      <text>
        <t>预算/曲线来源：用户目标 + 建筑功能定位；执行公式见 gameplay/models/manor.py::_allocate_upgrade_budget（2026-08-14）。</t>
      </text>
    </comment>
    <comment ref="U25" authorId="0" shapeId="0">
      <text>
        <t>用户目标：满级累计银两约为该金额；粮食预算按现有粮银比例同步。</t>
      </text>
    </comment>
  </commentList>
</comments>
</file>

<file path=xl/comments/comment3.xml><?xml version="1.0" encoding="utf-8"?>
<comments xmlns="http://schemas.openxmlformats.org/spreadsheetml/2006/main">
  <authors>
    <author>大蜜薯酱</author>
  </authors>
  <commentList>
    <comment ref="H4" authorId="0" shapeId="0">
      <text>
        <t>审计列：用于检查相邻升级是否平滑，不把末级/首级当作唯一平衡指标。</t>
      </text>
    </comment>
    <comment ref="Q4" authorId="0" shapeId="0">
      <text>
        <t>审计列：用于检查相邻升级是否平滑，不把末级/首级当作唯一平衡指标。</t>
      </text>
    </comment>
    <comment ref="AC4" authorId="0" shapeId="0">
      <text>
        <t>审计列：用于检查相邻升级是否平滑，不把末级/首级当作唯一平衡指标。</t>
      </text>
    </comment>
    <comment ref="AD4" authorId="0" shapeId="0">
      <text>
        <t>审计列：用于检查相邻升级是否平滑，不把末级/首级当作唯一平衡指标。</t>
      </text>
    </comment>
  </commentList>
</comments>
</file>

<file path=xl/comments/comment4.xml><?xml version="1.0" encoding="utf-8"?>
<comments xmlns="http://schemas.openxmlformats.org/spreadsheetml/2006/main">
  <authors>
    <author>大蜜薯酱</author>
  </authors>
  <commentList>
    <comment ref="A2" authorId="0" shapeId="0">
      <text>
        <t>数据源：建筑建议逐级；运行时代码：gameplay/models/manor.py::Building.next_level_cost / next_level_duration。</t>
      </text>
    </comment>
  </commentList>
</comments>
</file>

<file path=xl/comments/comment5.xml><?xml version="1.0" encoding="utf-8"?>
<comments xmlns="http://schemas.openxmlformats.org/spreadsheetml/2006/main">
  <authors>
    <author>大蜜薯酱</author>
  </authors>
  <commentList>
    <comment ref="O5" authorId="0" shapeId="0">
      <text>
        <t>来源：data/technology_templates.yaml。总时长目标按用户本轮设定；单位为游戏内秒。</t>
      </text>
    </comment>
    <comment ref="Q5" authorId="0" shapeId="0">
      <text>
        <t>来源：data/technology_templates.yaml。全程银两预算按用户本轮设定；公式会将整数舍入误差补到最后一级。</t>
      </text>
    </comment>
    <comment ref="O6" authorId="0" shapeId="0">
      <text>
        <t>来源：data/technology_templates.yaml。总时长目标按用户本轮设定；单位为游戏内秒。</t>
      </text>
    </comment>
    <comment ref="Q6" authorId="0" shapeId="0">
      <text>
        <t>来源：data/technology_templates.yaml。全程银两预算按用户本轮设定；公式会将整数舍入误差补到最后一级。</t>
      </text>
    </comment>
    <comment ref="O7" authorId="0" shapeId="0">
      <text>
        <t>来源：data/technology_templates.yaml。总时长目标按用户本轮设定；单位为游戏内秒。</t>
      </text>
    </comment>
    <comment ref="Q7" authorId="0" shapeId="0">
      <text>
        <t>来源：data/technology_templates.yaml。全程银两预算按用户本轮设定；公式会将整数舍入误差补到最后一级。</t>
      </text>
    </comment>
    <comment ref="O8" authorId="0" shapeId="0">
      <text>
        <t>来源：data/technology_templates.yaml。总时长目标按用户本轮设定；单位为游戏内秒。</t>
      </text>
    </comment>
    <comment ref="Q8" authorId="0" shapeId="0">
      <text>
        <t>来源：data/technology_templates.yaml。全程银两预算按用户本轮设定；公式会将整数舍入误差补到最后一级。</t>
      </text>
    </comment>
    <comment ref="O9" authorId="0" shapeId="0">
      <text>
        <t>来源：data/technology_templates.yaml。总时长目标按用户本轮设定；单位为游戏内秒。</t>
      </text>
    </comment>
    <comment ref="Q9" authorId="0" shapeId="0">
      <text>
        <t>来源：data/technology_templates.yaml。全程银两预算按用户本轮设定；公式会将整数舍入误差补到最后一级。</t>
      </text>
    </comment>
    <comment ref="O10" authorId="0" shapeId="0">
      <text>
        <t>来源：data/technology_templates.yaml。总时长目标按用户本轮设定；单位为游戏内秒。</t>
      </text>
    </comment>
    <comment ref="Q10" authorId="0" shapeId="0">
      <text>
        <t>来源：data/technology_templates.yaml。全程银两预算按用户本轮设定；公式会将整数舍入误差补到最后一级。</t>
      </text>
    </comment>
    <comment ref="O11" authorId="0" shapeId="0">
      <text>
        <t>来源：data/technology_templates.yaml。总时长目标按用户本轮设定；单位为游戏内秒。</t>
      </text>
    </comment>
    <comment ref="Q11" authorId="0" shapeId="0">
      <text>
        <t>来源：data/technology_templates.yaml。全程银两预算按用户本轮设定；公式会将整数舍入误差补到最后一级。</t>
      </text>
    </comment>
    <comment ref="O12" authorId="0" shapeId="0">
      <text>
        <t>来源：data/technology_templates.yaml。总时长目标按用户本轮设定；单位为游戏内秒。</t>
      </text>
    </comment>
    <comment ref="Q12" authorId="0" shapeId="0">
      <text>
        <t>来源：data/technology_templates.yaml。全程银两预算按用户本轮设定；公式会将整数舍入误差补到最后一级。</t>
      </text>
    </comment>
    <comment ref="O13" authorId="0" shapeId="0">
      <text>
        <t>来源：data/technology_templates.yaml。总时长目标按用户本轮设定；单位为游戏内秒。</t>
      </text>
    </comment>
    <comment ref="Q13" authorId="0" shapeId="0">
      <text>
        <t>来源：data/technology_templates.yaml。全程银两预算按用户本轮设定；公式会将整数舍入误差补到最后一级。</t>
      </text>
    </comment>
    <comment ref="O14" authorId="0" shapeId="0">
      <text>
        <t>来源：data/technology_templates.yaml。总时长目标按用户本轮设定；单位为游戏内秒。</t>
      </text>
    </comment>
    <comment ref="Q14" authorId="0" shapeId="0">
      <text>
        <t>来源：data/technology_templates.yaml。全程银两预算按用户本轮设定；公式会将整数舍入误差补到最后一级。</t>
      </text>
    </comment>
    <comment ref="O15" authorId="0" shapeId="0">
      <text>
        <t>来源：data/technology_templates.yaml。总时长目标按用户本轮设定；单位为游戏内秒。</t>
      </text>
    </comment>
    <comment ref="Q15" authorId="0" shapeId="0">
      <text>
        <t>来源：data/technology_templates.yaml。全程银两预算按用户本轮设定；公式会将整数舍入误差补到最后一级。</t>
      </text>
    </comment>
    <comment ref="O16" authorId="0" shapeId="0">
      <text>
        <t>来源：data/technology_templates.yaml。总时长目标按用户本轮设定；单位为游戏内秒。</t>
      </text>
    </comment>
    <comment ref="Q16" authorId="0" shapeId="0">
      <text>
        <t>来源：data/technology_templates.yaml。全程银两预算按用户本轮设定；公式会将整数舍入误差补到最后一级。</t>
      </text>
    </comment>
    <comment ref="O17" authorId="0" shapeId="0">
      <text>
        <t>来源：data/technology_templates.yaml。总时长目标按用户本轮设定；单位为游戏内秒。</t>
      </text>
    </comment>
    <comment ref="Q17" authorId="0" shapeId="0">
      <text>
        <t>来源：data/technology_templates.yaml。全程银两预算按用户本轮设定；公式会将整数舍入误差补到最后一级。</t>
      </text>
    </comment>
    <comment ref="O18" authorId="0" shapeId="0">
      <text>
        <t>来源：data/technology_templates.yaml。总时长目标按用户本轮设定；单位为游戏内秒。</t>
      </text>
    </comment>
    <comment ref="Q18" authorId="0" shapeId="0">
      <text>
        <t>来源：data/technology_templates.yaml。全程银两预算按用户本轮设定；公式会将整数舍入误差补到最后一级。</t>
      </text>
    </comment>
    <comment ref="O19" authorId="0" shapeId="0">
      <text>
        <t>来源：data/technology_templates.yaml。总时长目标按用户本轮设定；单位为游戏内秒。</t>
      </text>
    </comment>
    <comment ref="Q19" authorId="0" shapeId="0">
      <text>
        <t>来源：data/technology_templates.yaml。全程银两预算按用户本轮设定；公式会将整数舍入误差补到最后一级。</t>
      </text>
    </comment>
    <comment ref="O20" authorId="0" shapeId="0">
      <text>
        <t>来源：data/technology_templates.yaml。总时长目标按用户本轮设定；单位为游戏内秒。</t>
      </text>
    </comment>
    <comment ref="Q20" authorId="0" shapeId="0">
      <text>
        <t>来源：data/technology_templates.yaml。全程银两预算按用户本轮设定；公式会将整数舍入误差补到最后一级。</t>
      </text>
    </comment>
    <comment ref="O21" authorId="0" shapeId="0">
      <text>
        <t>来源：data/technology_templates.yaml。总时长目标按用户本轮设定；单位为游戏内秒。</t>
      </text>
    </comment>
    <comment ref="Q21" authorId="0" shapeId="0">
      <text>
        <t>来源：data/technology_templates.yaml。全程银两预算按用户本轮设定；公式会将整数舍入误差补到最后一级。</t>
      </text>
    </comment>
    <comment ref="O22" authorId="0" shapeId="0">
      <text>
        <t>来源：data/technology_templates.yaml。总时长目标按用户本轮设定；单位为游戏内秒。</t>
      </text>
    </comment>
    <comment ref="Q22" authorId="0" shapeId="0">
      <text>
        <t>来源：data/technology_templates.yaml。全程银两预算按用户本轮设定；公式会将整数舍入误差补到最后一级。</t>
      </text>
    </comment>
    <comment ref="O23" authorId="0" shapeId="0">
      <text>
        <t>来源：data/technology_templates.yaml。总时长目标按用户本轮设定；单位为游戏内秒。</t>
      </text>
    </comment>
    <comment ref="Q23" authorId="0" shapeId="0">
      <text>
        <t>来源：data/technology_templates.yaml。全程银两预算按用户本轮设定；公式会将整数舍入误差补到最后一级。</t>
      </text>
    </comment>
    <comment ref="O24" authorId="0" shapeId="0">
      <text>
        <t>来源：data/technology_templates.yaml。总时长目标按用户本轮设定；单位为游戏内秒。</t>
      </text>
    </comment>
    <comment ref="Q24" authorId="0" shapeId="0">
      <text>
        <t>来源：data/technology_templates.yaml。全程银两预算按用户本轮设定；公式会将整数舍入误差补到最后一级。</t>
      </text>
    </comment>
    <comment ref="O25" authorId="0" shapeId="0">
      <text>
        <t>来源：data/technology_templates.yaml。总时长目标按用户本轮设定；单位为游戏内秒。</t>
      </text>
    </comment>
    <comment ref="Q25" authorId="0" shapeId="0">
      <text>
        <t>来源：data/technology_templates.yaml。全程银两预算按用户本轮设定；公式会将整数舍入误差补到最后一级。</t>
      </text>
    </comment>
    <comment ref="O26" authorId="0" shapeId="0">
      <text>
        <t>来源：data/technology_templates.yaml。总时长目标按用户本轮设定；单位为游戏内秒。</t>
      </text>
    </comment>
    <comment ref="Q26" authorId="0" shapeId="0">
      <text>
        <t>来源：data/technology_templates.yaml。全程银两预算按用户本轮设定；公式会将整数舍入误差补到最后一级。</t>
      </text>
    </comment>
    <comment ref="O27" authorId="0" shapeId="0">
      <text>
        <t>来源：data/technology_templates.yaml。总时长目标按用户本轮设定；单位为游戏内秒。</t>
      </text>
    </comment>
    <comment ref="Q27" authorId="0" shapeId="0">
      <text>
        <t>来源：data/technology_templates.yaml。全程银两预算按用户本轮设定；公式会将整数舍入误差补到最后一级。</t>
      </text>
    </comment>
    <comment ref="O28" authorId="0" shapeId="0">
      <text>
        <t>来源：data/technology_templates.yaml。总时长目标按用户本轮设定；单位为游戏内秒。</t>
      </text>
    </comment>
    <comment ref="Q28" authorId="0" shapeId="0">
      <text>
        <t>来源：data/technology_templates.yaml。全程银两预算按用户本轮设定；公式会将整数舍入误差补到最后一级。</t>
      </text>
    </comment>
    <comment ref="O29" authorId="0" shapeId="0">
      <text>
        <t>来源：data/technology_templates.yaml。总时长目标按用户本轮设定；单位为游戏内秒。</t>
      </text>
    </comment>
    <comment ref="Q29" authorId="0" shapeId="0">
      <text>
        <t>来源：data/technology_templates.yaml。全程银两预算按用户本轮设定；公式会将整数舍入误差补到最后一级。</t>
      </text>
    </comment>
    <comment ref="O30" authorId="0" shapeId="0">
      <text>
        <t>来源：data/technology_templates.yaml。总时长目标按用户本轮设定；单位为游戏内秒。</t>
      </text>
    </comment>
    <comment ref="Q30" authorId="0" shapeId="0">
      <text>
        <t>来源：data/technology_templates.yaml。全程银两预算按用户本轮设定；公式会将整数舍入误差补到最后一级。</t>
      </text>
    </comment>
    <comment ref="O31" authorId="0" shapeId="0">
      <text>
        <t>来源：data/technology_templates.yaml。总时长目标按用户本轮设定；单位为游戏内秒。</t>
      </text>
    </comment>
    <comment ref="Q31" authorId="0" shapeId="0">
      <text>
        <t>来源：data/technology_templates.yaml。全程银两预算按用户本轮设定；公式会将整数舍入误差补到最后一级。</t>
      </text>
    </comment>
    <comment ref="O32" authorId="0" shapeId="0">
      <text>
        <t>来源：data/technology_templates.yaml。总时长目标按用户本轮设定；单位为游戏内秒。</t>
      </text>
    </comment>
    <comment ref="Q32" authorId="0" shapeId="0">
      <text>
        <t>来源：data/technology_templates.yaml。全程银两预算按用户本轮设定；公式会将整数舍入误差补到最后一级。</t>
      </text>
    </comment>
    <comment ref="O33" authorId="0" shapeId="0">
      <text>
        <t>来源：data/technology_templates.yaml。总时长目标按用户本轮设定；单位为游戏内秒。</t>
      </text>
    </comment>
    <comment ref="Q33" authorId="0" shapeId="0">
      <text>
        <t>来源：data/technology_templates.yaml。全程银两预算按用户本轮设定；公式会将整数舍入误差补到最后一级。</t>
      </text>
    </comment>
    <comment ref="O34" authorId="0" shapeId="0">
      <text>
        <t>来源：data/technology_templates.yaml。总时长目标按用户本轮设定；单位为游戏内秒。</t>
      </text>
    </comment>
    <comment ref="Q34" authorId="0" shapeId="0">
      <text>
        <t>来源：data/technology_templates.yaml。全程银两预算按用户本轮设定；公式会将整数舍入误差补到最后一级。</t>
      </text>
    </comment>
    <comment ref="O35" authorId="0" shapeId="0">
      <text>
        <t>来源：data/technology_templates.yaml。总时长目标按用户本轮设定；单位为游戏内秒。</t>
      </text>
    </comment>
    <comment ref="Q35" authorId="0" shapeId="0">
      <text>
        <t>来源：data/technology_templates.yaml。全程银两预算按用户本轮设定；公式会将整数舍入误差补到最后一级。</t>
      </text>
    </comment>
    <comment ref="O36" authorId="0" shapeId="0">
      <text>
        <t>来源：data/technology_templates.yaml。总时长目标按用户本轮设定；单位为游戏内秒。</t>
      </text>
    </comment>
    <comment ref="Q36" authorId="0" shapeId="0">
      <text>
        <t>来源：data/technology_templates.yaml。全程银两预算按用户本轮设定；公式会将整数舍入误差补到最后一级。</t>
      </text>
    </comment>
    <comment ref="O37" authorId="0" shapeId="0">
      <text>
        <t>来源：data/technology_templates.yaml。总时长目标按用户本轮设定；单位为游戏内秒。</t>
      </text>
    </comment>
    <comment ref="Q37" authorId="0" shapeId="0">
      <text>
        <t>来源：data/technology_templates.yaml。全程银两预算按用户本轮设定；公式会将整数舍入误差补到最后一级。</t>
      </text>
    </comment>
    <comment ref="O38" authorId="0" shapeId="0">
      <text>
        <t>来源：data/technology_templates.yaml。总时长目标按用户本轮设定；单位为游戏内秒。</t>
      </text>
    </comment>
    <comment ref="Q38" authorId="0" shapeId="0">
      <text>
        <t>来源：data/technology_templates.yaml。全程银两预算按用户本轮设定；公式会将整数舍入误差补到最后一级。</t>
      </text>
    </comment>
    <comment ref="O39" authorId="0" shapeId="0">
      <text>
        <t>来源：data/technology_templates.yaml。总时长目标按用户本轮设定；单位为游戏内秒。</t>
      </text>
    </comment>
    <comment ref="Q39" authorId="0" shapeId="0">
      <text>
        <t>来源：data/technology_templates.yaml。全程银两预算按用户本轮设定；公式会将整数舍入误差补到最后一级。</t>
      </text>
    </comment>
    <comment ref="O40" authorId="0" shapeId="0">
      <text>
        <t>来源：data/technology_templates.yaml。总时长目标按用户本轮设定；单位为游戏内秒。</t>
      </text>
    </comment>
    <comment ref="Q40" authorId="0" shapeId="0">
      <text>
        <t>来源：data/technology_templates.yaml。全程银两预算按用户本轮设定；公式会将整数舍入误差补到最后一级。</t>
      </text>
    </comment>
    <comment ref="O41" authorId="0" shapeId="0">
      <text>
        <t>来源：data/technology_templates.yaml。总时长目标按用户本轮设定；单位为游戏内秒。</t>
      </text>
    </comment>
    <comment ref="Q41" authorId="0" shapeId="0">
      <text>
        <t>来源：data/technology_templates.yaml。全程银两预算按用户本轮设定；公式会将整数舍入误差补到最后一级。</t>
      </text>
    </comment>
    <comment ref="O42" authorId="0" shapeId="0">
      <text>
        <t>来源：data/technology_templates.yaml。总时长目标按用户本轮设定；单位为游戏内秒。</t>
      </text>
    </comment>
    <comment ref="Q42" authorId="0" shapeId="0">
      <text>
        <t>来源：data/technology_templates.yaml。全程银两预算按用户本轮设定；公式会将整数舍入误差补到最后一级。</t>
      </text>
    </comment>
    <comment ref="O43" authorId="0" shapeId="0">
      <text>
        <t>来源：data/technology_templates.yaml。总时长目标按用户本轮设定；单位为游戏内秒。</t>
      </text>
    </comment>
    <comment ref="Q43" authorId="0" shapeId="0">
      <text>
        <t>来源：data/technology_templates.yaml。全程银两预算按用户本轮设定；公式会将整数舍入误差补到最后一级。</t>
      </text>
    </comment>
    <comment ref="O44" authorId="0" shapeId="0">
      <text>
        <t>来源：data/technology_templates.yaml。总时长目标按用户本轮设定；单位为游戏内秒。</t>
      </text>
    </comment>
    <comment ref="Q44" authorId="0" shapeId="0">
      <text>
        <t>来源：data/technology_templates.yaml。全程银两预算按用户本轮设定；公式会将整数舍入误差补到最后一级。</t>
      </text>
    </comment>
    <comment ref="O45" authorId="0" shapeId="0">
      <text>
        <t>来源：data/technology_templates.yaml。总时长目标按用户本轮设定；单位为游戏内秒。</t>
      </text>
    </comment>
    <comment ref="Q45" authorId="0" shapeId="0">
      <text>
        <t>来源：data/technology_templates.yaml。全程银两预算按用户本轮设定；公式会将整数舍入误差补到最后一级。</t>
      </text>
    </comment>
    <comment ref="O46" authorId="0" shapeId="0">
      <text>
        <t>来源：data/technology_templates.yaml。总时长目标按用户本轮设定；单位为游戏内秒。</t>
      </text>
    </comment>
    <comment ref="Q46" authorId="0" shapeId="0">
      <text>
        <t>来源：data/technology_templates.yaml。全程银两预算按用户本轮设定；公式会将整数舍入误差补到最后一级。</t>
      </text>
    </comment>
  </commentList>
</comments>
</file>

<file path=xl/comments/comment6.xml><?xml version="1.0" encoding="utf-8"?>
<comments xmlns="http://schemas.openxmlformats.org/spreadsheetml/2006/main">
  <authors>
    <author>大蜜薯酱</author>
  </authors>
  <commentList>
    <comment ref="L4" authorId="0" shapeId="0">
      <text>
        <t>代码口径：预算优先，按 technology_rules.allocate_upgrade_budget 分配；最后一级补齐舍入差额。</t>
      </text>
    </comment>
    <comment ref="N4" authorId="0" shapeId="0">
      <text>
        <t>代码口径：预算优先，按 technology_rules.allocate_upgrade_budget 分配；最后一级补齐舍入差额。</t>
      </text>
    </comment>
    <comment ref="P4" authorId="0" shapeId="0">
      <text>
        <t>目标输入：全等级游戏内总时长预算。</t>
      </text>
    </comment>
    <comment ref="R4" authorId="0" shapeId="0">
      <text>
        <t>目标输入：全等级银两总预算。</t>
      </text>
    </comment>
  </commentList>
</comments>
</file>

<file path=xl/comments/comment7.xml><?xml version="1.0" encoding="utf-8"?>
<comments xmlns="http://schemas.openxmlformats.org/spreadsheetml/2006/main">
  <authors>
    <author>大蜜薯酱</author>
  </authors>
  <commentList>
    <comment ref="K4" authorId="0" shapeId="0">
      <text>
        <t>相邻增长审计指标；设计目标是前期可启动与逐级平滑。</t>
      </text>
    </comment>
    <comment ref="L4" authorId="0" shapeId="0">
      <text>
        <t>相邻增长审计指标；设计目标是前期可启动与逐级平滑。</t>
      </text>
    </comment>
    <comment ref="M4" authorId="0" shapeId="0">
      <text>
        <t>相邻增长审计指标；设计目标是前期可启动与逐级平滑。</t>
      </text>
    </comment>
    <comment ref="N4" authorId="0" shapeId="0">
      <text>
        <t>相邻增长审计指标；设计目标是前期可启动与逐级平滑。</t>
      </text>
    </comment>
  </commentList>
</comments>
</file>

<file path=xl/tables/table1.xml><?xml version="1.0" encoding="utf-8"?>
<table xmlns="http://schemas.openxmlformats.org/spreadsheetml/2006/main" id="1" name="tblAssumptions" displayName="tblAssumptions" ref="A4:E20" headerRowCount="1">
  <autoFilter ref="A4:E20"/>
  <tableColumns count="5">
    <tableColumn id="1" name="参数"/>
    <tableColumn id="2" name="当前值"/>
    <tableColumn id="3" name="单位"/>
    <tableColumn id="4" name="来源/规则"/>
    <tableColumn id="5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uildingSummary" displayName="tblBuildingSummary" ref="A4:U25" headerRowCount="1">
  <autoFilter ref="A4:U25"/>
  <tableColumns count="21">
    <tableColumn id="1" name="建筑Key"/>
    <tableColumn id="2" name="建筑"/>
    <tableColumn id="3" name="分类"/>
    <tableColumn id="4" name="最高等级"/>
    <tableColumn id="5" name="升级次数"/>
    <tableColumn id="6" name="基础时间(s)"/>
    <tableColumn id="7" name="时间成长"/>
    <tableColumn id="8" name="基础银两"/>
    <tableColumn id="9" name="基础粮食"/>
    <tableColumn id="10" name="成本成长"/>
    <tableColumn id="11" name="1→2基准实耗时(s)"/>
    <tableColumn id="12" name="末级升级基准实耗时(s)"/>
    <tableColumn id="13" name="全程基准天数"/>
    <tableColumn id="14" name="全程祠堂5级天数"/>
    <tableColumn id="15" name="1→2配置时长(s)"/>
    <tableColumn id="16" name="末级配置时长(s)"/>
    <tableColumn id="17" name="配置总银两"/>
    <tableColumn id="18" name="配置总粮食"/>
    <tableColumn id="19" name="建筑学10级总银两"/>
    <tableColumn id="20" name="建筑学10级总粮食"/>
    <tableColumn id="21" name="观察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uildingDetail" displayName="tblBuildingDetail" ref="A4:R328" headerRowCount="1">
  <autoFilter ref="A4:R328"/>
  <tableColumns count="18">
    <tableColumn id="1" name="建筑Key"/>
    <tableColumn id="2" name="建筑"/>
    <tableColumn id="3" name="分类"/>
    <tableColumn id="4" name="当前等级"/>
    <tableColumn id="5" name="目标等级"/>
    <tableColumn id="6" name="基础时间(s)"/>
    <tableColumn id="7" name="时间成长"/>
    <tableColumn id="8" name="基础银两"/>
    <tableColumn id="9" name="基础粮食"/>
    <tableColumn id="10" name="成本成长"/>
    <tableColumn id="11" name="配置时长(s)"/>
    <tableColumn id="12" name="基准实耗时(s)"/>
    <tableColumn id="13" name="祠堂5级实耗时(s)"/>
    <tableColumn id="14" name="配置银两"/>
    <tableColumn id="15" name="配置粮食"/>
    <tableColumn id="16" name="建筑学10级银两"/>
    <tableColumn id="17" name="建筑学10级粮食"/>
    <tableColumn id="18" name="数据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GuildTechSummary" displayName="tblGuildTechSummary" ref="A4:L14" headerRowCount="1">
  <autoFilter ref="A4:L14"/>
  <tableColumns count="12">
    <tableColumn id="1" name="科技Key"/>
    <tableColumn id="2" name="科技"/>
    <tableColumn id="3" name="分类"/>
    <tableColumn id="4" name="最高等级"/>
    <tableColumn id="5" name="升级模式"/>
    <tableColumn id="6" name="全程时长(s)"/>
    <tableColumn id="7" name="配置总银两"/>
    <tableColumn id="8" name="配置总粮食"/>
    <tableColumn id="9" name="配置总金条"/>
    <tableColumn id="10" name="配置总红宝石"/>
    <tableColumn id="11" name="成本曲线"/>
    <tableColumn id="12" name="数据来源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GuildTechDetail" displayName="tblGuildTechDetail" ref="A4:V107" headerRowCount="1">
  <autoFilter ref="A4:V107"/>
  <tableColumns count="22">
    <tableColumn id="1" name="科技Key"/>
    <tableColumn id="2" name="科技"/>
    <tableColumn id="3" name="分类"/>
    <tableColumn id="4" name="当前等级"/>
    <tableColumn id="5" name="目标等级"/>
    <tableColumn id="6" name="最高等级"/>
    <tableColumn id="7" name="升级时长(s)"/>
    <tableColumn id="8" name="曲线Key"/>
    <tableColumn id="9" name="基础银两"/>
    <tableColumn id="10" name="基础粮食"/>
    <tableColumn id="11" name="基础金条"/>
    <tableColumn id="12" name="基础红宝石"/>
    <tableColumn id="13" name="倍率"/>
    <tableColumn id="14" name="覆盖银两"/>
    <tableColumn id="15" name="覆盖粮食"/>
    <tableColumn id="16" name="覆盖金条"/>
    <tableColumn id="17" name="覆盖红宝石"/>
    <tableColumn id="18" name="实际银两"/>
    <tableColumn id="19" name="实际粮食"/>
    <tableColumn id="20" name="实际金条"/>
    <tableColumn id="21" name="实际红宝石"/>
    <tableColumn id="22" name="数据来源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ources" displayName="tblSources" ref="A4:E15" headerRowCount="1">
  <autoFilter ref="A4:E15"/>
  <tableColumns count="5">
    <tableColumn id="1" name="来源文件"/>
    <tableColumn id="2" name="关键字段/函数"/>
    <tableColumn id="3" name="本表使用内容"/>
    <tableColumn id="4" name="当前含义"/>
    <tableColumn id="5" name="核对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zoomScale="9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建筑与科技升级时长/消耗分析与落地方案</t>
        </is>
      </c>
      <c r="B1" s="29" t="n"/>
      <c r="C1" s="29" t="n"/>
      <c r="D1" s="29" t="n"/>
      <c r="E1" s="29" t="n"/>
      <c r="F1" s="29" t="n"/>
      <c r="G1" s="29" t="n"/>
      <c r="H1" s="30" t="n"/>
    </row>
    <row r="2" ht="44" customHeight="1">
      <c r="A2" s="31" t="inlineStr">
        <is>
          <t>本版建筑与个人技术统一采用总预算归一化 + 逐级增长系数；首级可支付性看基础底线与曲线，不设置末级/首级固定倍数。建筑当前逐级统计与科技当前逐级统计分别提供逐级时间、银两及资源累计值；本轮个人技术全部按新预算公式落地。</t>
        </is>
      </c>
      <c r="B2" s="29" t="n"/>
      <c r="C2" s="29" t="n"/>
      <c r="D2" s="29" t="n"/>
      <c r="E2" s="29" t="n"/>
      <c r="F2" s="29" t="n"/>
      <c r="G2" s="29" t="n"/>
      <c r="H2" s="30" t="n"/>
    </row>
    <row r="4" ht="22" customHeight="1">
      <c r="A4" s="32" t="inlineStr">
        <is>
          <t>一、公式结论</t>
        </is>
      </c>
      <c r="B4" s="29" t="n"/>
      <c r="C4" s="29" t="n"/>
      <c r="D4" s="29" t="n"/>
      <c r="E4" s="29" t="n"/>
      <c r="F4" s="29" t="n"/>
      <c r="G4" s="29" t="n"/>
      <c r="H4" s="30" t="n"/>
    </row>
    <row r="5" ht="34" customHeight="1">
      <c r="A5" s="33" t="inlineStr">
        <is>
          <t>为什么不用单一指数</t>
        </is>
      </c>
      <c r="B5" s="33" t="inlineStr">
        <is>
          <t>单一 base × growth^level 会让末级占比随等级数快速放大；为了追总目标反复硬调 base/growth，且初始银两少时首级可能不可支付。</t>
        </is>
      </c>
      <c r="C5" s="29" t="n"/>
      <c r="D5" s="29" t="n"/>
      <c r="E5" s="29" t="n"/>
      <c r="F5" s="29" t="n"/>
      <c r="G5" s="29" t="n"/>
      <c r="H5" s="30" t="n"/>
    </row>
    <row r="6" ht="34" customHeight="1">
      <c r="A6" s="33" t="inlineStr">
        <is>
          <t>新公式</t>
        </is>
      </c>
      <c r="B6" s="33" t="inlineStr">
        <is>
          <t>每级=基础底线 +（总预算-基础底线×升级次数）×POWER(逐级增长系数,升级序号)/权重总和。</t>
        </is>
      </c>
      <c r="C6" s="29" t="n"/>
      <c r="D6" s="29" t="n"/>
      <c r="E6" s="29" t="n"/>
      <c r="F6" s="29" t="n"/>
      <c r="G6" s="29" t="n"/>
      <c r="H6" s="30" t="n"/>
    </row>
    <row r="7" ht="34" customHeight="1">
      <c r="A7" s="33" t="inlineStr">
        <is>
          <t>可控性</t>
        </is>
      </c>
      <c r="B7" s="33" t="inlineStr">
        <is>
          <t>总时长/总银两由预算直接控制；逐级增长系数控制相邻级增幅。农田等基础建筑用较缓系数保护新手期，长线建筑按解锁阶段审查。</t>
        </is>
      </c>
      <c r="C7" s="29" t="n"/>
      <c r="D7" s="29" t="n"/>
      <c r="E7" s="29" t="n"/>
      <c r="F7" s="29" t="n"/>
      <c r="G7" s="29" t="n"/>
      <c r="H7" s="30" t="n"/>
    </row>
    <row r="8" ht="34" customHeight="1">
      <c r="A8" s="33" t="inlineStr">
        <is>
          <t>兼容性</t>
        </is>
      </c>
      <c r="B8" s="33" t="inlineStr">
        <is>
          <t>所有当前个人技术均使用新预算曲线；帮会科技仍按原离散成本并即时完成。</t>
        </is>
      </c>
      <c r="C8" s="29" t="n"/>
      <c r="D8" s="29" t="n"/>
      <c r="E8" s="29" t="n"/>
      <c r="F8" s="29" t="n"/>
      <c r="G8" s="29" t="n"/>
      <c r="H8" s="30" t="n"/>
    </row>
    <row r="9" ht="34" customHeight="1">
      <c r="A9" s="33" t="inlineStr">
        <is>
          <t>横向依据</t>
        </is>
      </c>
      <c r="B9" s="33" t="inlineStr">
        <is>
          <t>成熟建设类游戏普遍提供逐级升级明细与区间合计，速度加成独立于基础时间；本方案把可审计性落到配置公式中。</t>
        </is>
      </c>
      <c r="C9" s="29" t="n"/>
      <c r="D9" s="29" t="n"/>
      <c r="E9" s="29" t="n"/>
      <c r="F9" s="29" t="n"/>
      <c r="G9" s="29" t="n"/>
      <c r="H9" s="30" t="n"/>
    </row>
    <row r="11" ht="22" customHeight="1">
      <c r="A11" s="32" t="inlineStr">
        <is>
          <t>二、目标建筑验收（新公式）</t>
        </is>
      </c>
      <c r="B11" s="29" t="n"/>
      <c r="C11" s="29" t="n"/>
      <c r="D11" s="29" t="n"/>
      <c r="E11" s="29" t="n"/>
      <c r="F11" s="29" t="n"/>
      <c r="G11" s="29" t="n"/>
      <c r="H11" s="30" t="n"/>
    </row>
    <row r="12">
      <c r="A12" s="5" t="inlineStr">
        <is>
          <t>对象</t>
        </is>
      </c>
      <c r="B12" s="5" t="inlineStr">
        <is>
          <t>目标时间(天)</t>
        </is>
      </c>
      <c r="C12" s="5" t="inlineStr">
        <is>
          <t>建议时间(天)</t>
        </is>
      </c>
      <c r="D12" s="5" t="inlineStr">
        <is>
          <t>目标银两</t>
        </is>
      </c>
      <c r="E12" s="5" t="inlineStr">
        <is>
          <t>建议银两</t>
        </is>
      </c>
      <c r="F12" s="5" t="inlineStr">
        <is>
          <t>结论</t>
        </is>
      </c>
      <c r="G12" s="29" t="n"/>
      <c r="H12" s="30" t="n"/>
    </row>
    <row r="13" ht="22" customHeight="1">
      <c r="A13" s="34">
        <f>'优化测算'!$C$5</f>
        <v/>
      </c>
      <c r="B13" s="35">
        <f>'优化测算'!$D$5</f>
        <v/>
      </c>
      <c r="C13" s="35">
        <f>'优化测算'!$E$5</f>
        <v/>
      </c>
      <c r="D13" s="36">
        <f>'优化测算'!$G$5</f>
        <v/>
      </c>
      <c r="E13" s="36">
        <f>'优化测算'!$H$5</f>
        <v/>
      </c>
      <c r="F13" s="34">
        <f>'优化测算'!$J$5</f>
        <v/>
      </c>
      <c r="G13" s="29" t="n"/>
      <c r="H13" s="30" t="n"/>
    </row>
    <row r="14" ht="22" customHeight="1">
      <c r="A14" s="34">
        <f>'优化测算'!$C$6</f>
        <v/>
      </c>
      <c r="B14" s="35">
        <f>'优化测算'!$D$6</f>
        <v/>
      </c>
      <c r="C14" s="35">
        <f>'优化测算'!$E$6</f>
        <v/>
      </c>
      <c r="D14" s="36">
        <f>'优化测算'!$G$6</f>
        <v/>
      </c>
      <c r="E14" s="36">
        <f>'优化测算'!$H$6</f>
        <v/>
      </c>
      <c r="F14" s="34">
        <f>'优化测算'!$J$6</f>
        <v/>
      </c>
      <c r="G14" s="29" t="n"/>
      <c r="H14" s="30" t="n"/>
    </row>
    <row r="15" ht="22" customHeight="1">
      <c r="A15" s="34">
        <f>'优化测算'!$C$7</f>
        <v/>
      </c>
      <c r="B15" s="35">
        <f>'优化测算'!$D$7</f>
        <v/>
      </c>
      <c r="C15" s="35">
        <f>'优化测算'!$E$7</f>
        <v/>
      </c>
      <c r="D15" s="36">
        <f>'优化测算'!$G$7</f>
        <v/>
      </c>
      <c r="E15" s="36">
        <f>'优化测算'!$H$7</f>
        <v/>
      </c>
      <c r="F15" s="34">
        <f>'优化测算'!$J$7</f>
        <v/>
      </c>
      <c r="G15" s="29" t="n"/>
      <c r="H15" s="30" t="n"/>
    </row>
    <row r="16" ht="22" customHeight="1">
      <c r="A16" s="34">
        <f>'优化测算'!$C$8</f>
        <v/>
      </c>
      <c r="B16" s="35">
        <f>'优化测算'!$D$8</f>
        <v/>
      </c>
      <c r="C16" s="35">
        <f>'优化测算'!$E$8</f>
        <v/>
      </c>
      <c r="D16" s="36">
        <f>'优化测算'!$G$8</f>
        <v/>
      </c>
      <c r="E16" s="36">
        <f>'优化测算'!$H$8</f>
        <v/>
      </c>
      <c r="F16" s="34">
        <f>'优化测算'!$J$8</f>
        <v/>
      </c>
      <c r="G16" s="29" t="n"/>
      <c r="H16" s="30" t="n"/>
    </row>
    <row r="17" ht="22" customHeight="1">
      <c r="A17" s="34">
        <f>'优化测算'!$C$9</f>
        <v/>
      </c>
      <c r="B17" s="35">
        <f>'优化测算'!$D$9</f>
        <v/>
      </c>
      <c r="C17" s="35">
        <f>'优化测算'!$E$9</f>
        <v/>
      </c>
      <c r="D17" s="36">
        <f>'优化测算'!$G$9</f>
        <v/>
      </c>
      <c r="E17" s="36">
        <f>'优化测算'!$H$9</f>
        <v/>
      </c>
      <c r="F17" s="34">
        <f>'优化测算'!$J$9</f>
        <v/>
      </c>
      <c r="G17" s="29" t="n"/>
      <c r="H17" s="30" t="n"/>
    </row>
    <row r="18" ht="22" customHeight="1">
      <c r="A18" s="34">
        <f>'优化测算'!$C$10</f>
        <v/>
      </c>
      <c r="B18" s="35">
        <f>'优化测算'!$D$10</f>
        <v/>
      </c>
      <c r="C18" s="35">
        <f>'优化测算'!$E$10</f>
        <v/>
      </c>
      <c r="D18" s="36">
        <f>'优化测算'!$G$10</f>
        <v/>
      </c>
      <c r="E18" s="36">
        <f>'优化测算'!$H$10</f>
        <v/>
      </c>
      <c r="F18" s="34">
        <f>'优化测算'!$J$10</f>
        <v/>
      </c>
      <c r="G18" s="29" t="n"/>
      <c r="H18" s="30" t="n"/>
    </row>
    <row r="19" ht="22" customHeight="1">
      <c r="A19" s="34">
        <f>'优化测算'!$C$11</f>
        <v/>
      </c>
      <c r="B19" s="35">
        <f>'优化测算'!$D$11</f>
        <v/>
      </c>
      <c r="C19" s="35">
        <f>'优化测算'!$E$11</f>
        <v/>
      </c>
      <c r="D19" s="36">
        <f>'优化测算'!$G$11</f>
        <v/>
      </c>
      <c r="E19" s="36">
        <f>'优化测算'!$H$11</f>
        <v/>
      </c>
      <c r="F19" s="34">
        <f>'优化测算'!$J$11</f>
        <v/>
      </c>
      <c r="G19" s="29" t="n"/>
      <c r="H19" s="30" t="n"/>
    </row>
    <row r="20" ht="22" customHeight="1">
      <c r="A20" s="34">
        <f>'优化测算'!$C$12</f>
        <v/>
      </c>
      <c r="B20" s="35">
        <f>'优化测算'!$D$12</f>
        <v/>
      </c>
      <c r="C20" s="35">
        <f>'优化测算'!$E$12</f>
        <v/>
      </c>
      <c r="D20" s="36">
        <f>'优化测算'!$G$12</f>
        <v/>
      </c>
      <c r="E20" s="36">
        <f>'优化测算'!$H$12</f>
        <v/>
      </c>
      <c r="F20" s="34">
        <f>'优化测算'!$J$12</f>
        <v/>
      </c>
      <c r="G20" s="29" t="n"/>
      <c r="H20" s="30" t="n"/>
    </row>
    <row r="21" ht="22" customHeight="1">
      <c r="A21" s="34">
        <f>'优化测算'!$C$13</f>
        <v/>
      </c>
      <c r="B21" s="35">
        <f>'优化测算'!$D$13</f>
        <v/>
      </c>
      <c r="C21" s="35">
        <f>'优化测算'!$E$13</f>
        <v/>
      </c>
      <c r="D21" s="36">
        <f>'优化测算'!$G$13</f>
        <v/>
      </c>
      <c r="E21" s="36">
        <f>'优化测算'!$H$13</f>
        <v/>
      </c>
      <c r="F21" s="34">
        <f>'优化测算'!$J$13</f>
        <v/>
      </c>
      <c r="G21" s="29" t="n"/>
      <c r="H21" s="30" t="n"/>
    </row>
    <row r="22" ht="22" customHeight="1">
      <c r="A22" s="34">
        <f>'优化测算'!$C$14</f>
        <v/>
      </c>
      <c r="B22" s="35">
        <f>'优化测算'!$D$14</f>
        <v/>
      </c>
      <c r="C22" s="35">
        <f>'优化测算'!$E$14</f>
        <v/>
      </c>
      <c r="D22" s="36">
        <f>'优化测算'!$G$14</f>
        <v/>
      </c>
      <c r="E22" s="36">
        <f>'优化测算'!$H$14</f>
        <v/>
      </c>
      <c r="F22" s="34">
        <f>'优化测算'!$J$14</f>
        <v/>
      </c>
      <c r="G22" s="29" t="n"/>
      <c r="H22" s="30" t="n"/>
    </row>
    <row r="23" ht="22" customHeight="1">
      <c r="A23" s="34">
        <f>'优化测算'!$C$15</f>
        <v/>
      </c>
      <c r="B23" s="35">
        <f>'优化测算'!$D$15</f>
        <v/>
      </c>
      <c r="C23" s="35">
        <f>'优化测算'!$E$15</f>
        <v/>
      </c>
      <c r="D23" s="36">
        <f>'优化测算'!$G$15</f>
        <v/>
      </c>
      <c r="E23" s="36">
        <f>'优化测算'!$H$15</f>
        <v/>
      </c>
      <c r="F23" s="34">
        <f>'优化测算'!$J$15</f>
        <v/>
      </c>
      <c r="G23" s="29" t="n"/>
      <c r="H23" s="30" t="n"/>
    </row>
    <row r="24" ht="22" customHeight="1">
      <c r="A24" s="34">
        <f>'优化测算'!$C$16</f>
        <v/>
      </c>
      <c r="B24" s="35">
        <f>'优化测算'!$D$16</f>
        <v/>
      </c>
      <c r="C24" s="35">
        <f>'优化测算'!$E$16</f>
        <v/>
      </c>
      <c r="D24" s="36">
        <f>'优化测算'!$G$16</f>
        <v/>
      </c>
      <c r="E24" s="36">
        <f>'优化测算'!$H$16</f>
        <v/>
      </c>
      <c r="F24" s="34">
        <f>'优化测算'!$J$16</f>
        <v/>
      </c>
      <c r="G24" s="29" t="n"/>
      <c r="H24" s="30" t="n"/>
    </row>
    <row r="25" ht="22" customHeight="1">
      <c r="A25" s="34">
        <f>'优化测算'!$C$17</f>
        <v/>
      </c>
      <c r="B25" s="35">
        <f>'优化测算'!$D$17</f>
        <v/>
      </c>
      <c r="C25" s="35">
        <f>'优化测算'!$E$17</f>
        <v/>
      </c>
      <c r="D25" s="36">
        <f>'优化测算'!$G$17</f>
        <v/>
      </c>
      <c r="E25" s="36">
        <f>'优化测算'!$H$17</f>
        <v/>
      </c>
      <c r="F25" s="34">
        <f>'优化测算'!$J$17</f>
        <v/>
      </c>
      <c r="G25" s="29" t="n"/>
      <c r="H25" s="30" t="n"/>
    </row>
    <row r="26" ht="22" customHeight="1">
      <c r="A26" s="34">
        <f>'优化测算'!$C$18</f>
        <v/>
      </c>
      <c r="B26" s="35">
        <f>'优化测算'!$D$18</f>
        <v/>
      </c>
      <c r="C26" s="35">
        <f>'优化测算'!$E$18</f>
        <v/>
      </c>
      <c r="D26" s="36">
        <f>'优化测算'!$G$18</f>
        <v/>
      </c>
      <c r="E26" s="36">
        <f>'优化测算'!$H$18</f>
        <v/>
      </c>
      <c r="F26" s="34">
        <f>'优化测算'!$J$18</f>
        <v/>
      </c>
      <c r="G26" s="29" t="n"/>
      <c r="H26" s="30" t="n"/>
    </row>
    <row r="27" ht="22" customHeight="1">
      <c r="A27" s="34">
        <f>'优化测算'!$C$19</f>
        <v/>
      </c>
      <c r="B27" s="35">
        <f>'优化测算'!$D$19</f>
        <v/>
      </c>
      <c r="C27" s="35">
        <f>'优化测算'!$E$19</f>
        <v/>
      </c>
      <c r="D27" s="36">
        <f>'优化测算'!$G$19</f>
        <v/>
      </c>
      <c r="E27" s="36">
        <f>'优化测算'!$H$19</f>
        <v/>
      </c>
      <c r="F27" s="34">
        <f>'优化测算'!$J$19</f>
        <v/>
      </c>
      <c r="G27" s="29" t="n"/>
      <c r="H27" s="30" t="n"/>
    </row>
    <row r="28" ht="22" customHeight="1">
      <c r="A28" s="34">
        <f>'优化测算'!$C$20</f>
        <v/>
      </c>
      <c r="B28" s="35">
        <f>'优化测算'!$D$20</f>
        <v/>
      </c>
      <c r="C28" s="35">
        <f>'优化测算'!$E$20</f>
        <v/>
      </c>
      <c r="D28" s="36">
        <f>'优化测算'!$G$20</f>
        <v/>
      </c>
      <c r="E28" s="36">
        <f>'优化测算'!$H$20</f>
        <v/>
      </c>
      <c r="F28" s="34">
        <f>'优化测算'!$J$20</f>
        <v/>
      </c>
      <c r="G28" s="29" t="n"/>
      <c r="H28" s="30" t="n"/>
    </row>
    <row r="29" ht="22" customHeight="1">
      <c r="A29" s="34">
        <f>'优化测算'!$C$21</f>
        <v/>
      </c>
      <c r="B29" s="35">
        <f>'优化测算'!$D$21</f>
        <v/>
      </c>
      <c r="C29" s="35">
        <f>'优化测算'!$E$21</f>
        <v/>
      </c>
      <c r="D29" s="36">
        <f>'优化测算'!$G$21</f>
        <v/>
      </c>
      <c r="E29" s="36">
        <f>'优化测算'!$H$21</f>
        <v/>
      </c>
      <c r="F29" s="34">
        <f>'优化测算'!$J$21</f>
        <v/>
      </c>
      <c r="G29" s="29" t="n"/>
      <c r="H29" s="30" t="n"/>
    </row>
    <row r="30" ht="22" customHeight="1">
      <c r="A30" s="34">
        <f>'优化测算'!$C$22</f>
        <v/>
      </c>
      <c r="B30" s="35">
        <f>'优化测算'!$D$22</f>
        <v/>
      </c>
      <c r="C30" s="35">
        <f>'优化测算'!$E$22</f>
        <v/>
      </c>
      <c r="D30" s="36">
        <f>'优化测算'!$G$22</f>
        <v/>
      </c>
      <c r="E30" s="36">
        <f>'优化测算'!$H$22</f>
        <v/>
      </c>
      <c r="F30" s="34">
        <f>'优化测算'!$J$22</f>
        <v/>
      </c>
      <c r="G30" s="29" t="n"/>
      <c r="H30" s="30" t="n"/>
    </row>
    <row r="31" ht="22" customHeight="1">
      <c r="A31" s="34">
        <f>'优化测算'!$C$23</f>
        <v/>
      </c>
      <c r="B31" s="35">
        <f>'优化测算'!$D$23</f>
        <v/>
      </c>
      <c r="C31" s="35">
        <f>'优化测算'!$E$23</f>
        <v/>
      </c>
      <c r="D31" s="36">
        <f>'优化测算'!$G$23</f>
        <v/>
      </c>
      <c r="E31" s="36">
        <f>'优化测算'!$H$23</f>
        <v/>
      </c>
      <c r="F31" s="34">
        <f>'优化测算'!$J$23</f>
        <v/>
      </c>
      <c r="G31" s="29" t="n"/>
      <c r="H31" s="30" t="n"/>
    </row>
    <row r="32" ht="22" customHeight="1">
      <c r="A32" s="34">
        <f>'优化测算'!$C$24</f>
        <v/>
      </c>
      <c r="B32" s="35">
        <f>'优化测算'!$D$24</f>
        <v/>
      </c>
      <c r="C32" s="35">
        <f>'优化测算'!$E$24</f>
        <v/>
      </c>
      <c r="D32" s="36">
        <f>'优化测算'!$G$24</f>
        <v/>
      </c>
      <c r="E32" s="36">
        <f>'优化测算'!$H$24</f>
        <v/>
      </c>
      <c r="F32" s="34">
        <f>'优化测算'!$J$24</f>
        <v/>
      </c>
      <c r="G32" s="29" t="n"/>
      <c r="H32" s="30" t="n"/>
    </row>
    <row r="33" ht="22" customHeight="1">
      <c r="A33" s="34">
        <f>'优化测算'!$C$25</f>
        <v/>
      </c>
      <c r="B33" s="35">
        <f>'优化测算'!$D$25</f>
        <v/>
      </c>
      <c r="C33" s="35">
        <f>'优化测算'!$E$25</f>
        <v/>
      </c>
      <c r="D33" s="36">
        <f>'优化测算'!$G$25</f>
        <v/>
      </c>
      <c r="E33" s="36">
        <f>'优化测算'!$H$25</f>
        <v/>
      </c>
      <c r="F33" s="34">
        <f>'优化测算'!$J$25</f>
        <v/>
      </c>
      <c r="G33" s="29" t="n"/>
      <c r="H33" s="30" t="n"/>
    </row>
    <row r="34" ht="82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 ht="82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</row>
    <row r="36" ht="82" customHeight="1">
      <c r="A36" s="32" t="inlineStr">
        <is>
          <t>三、落地注意事项</t>
        </is>
      </c>
      <c r="B36" s="29" t="n"/>
      <c r="C36" s="29" t="n"/>
      <c r="D36" s="29" t="n"/>
      <c r="E36" s="29" t="n"/>
      <c r="F36" s="29" t="n"/>
      <c r="G36" s="29" t="n"/>
      <c r="H36" s="30" t="n"/>
    </row>
    <row r="37" ht="34" customHeight="1">
      <c r="A37" s="33" t="inlineStr">
        <is>
          <t>1. 新字段需要先执行迁移0181，再在确认数据窗口后执行 python manage.py load_building_templates，同步已有 BuildingType 数据。</t>
        </is>
      </c>
      <c r="B37" s="29" t="n"/>
      <c r="C37" s="29" t="n"/>
      <c r="D37" s="29" t="n"/>
      <c r="E37" s="29" t="n"/>
      <c r="F37" s="29" t="n"/>
      <c r="G37" s="29" t="n"/>
      <c r="H37" s="30" t="n"/>
    </row>
    <row r="38" ht="34" customHeight="1">
      <c r="A38" s="33" t="inlineStr">
        <is>
          <t>2. 实际入口仍会叠加建筑学成本减免、祠堂缩时和 GAME_TIME_MULTIPLIER；Excel展示原始配置预算，便于审数。</t>
        </is>
      </c>
      <c r="B38" s="29" t="n"/>
      <c r="C38" s="29" t="n"/>
      <c r="D38" s="29" t="n"/>
      <c r="E38" s="29" t="n"/>
      <c r="F38" s="29" t="n"/>
      <c r="G38" s="29" t="n"/>
      <c r="H38" s="30" t="n"/>
    </row>
    <row r="39" ht="34" customHeight="1">
      <c r="A39" s="33" t="inlineStr">
        <is>
          <t>3. 两条建筑队列影响玩家实际完成周期，但不改变单级成本/时长预算公式。</t>
        </is>
      </c>
      <c r="B39" s="29" t="n"/>
      <c r="C39" s="29" t="n"/>
      <c r="D39" s="29" t="n"/>
      <c r="E39" s="29" t="n"/>
      <c r="F39" s="29" t="n"/>
      <c r="G39" s="29" t="n"/>
      <c r="H39" s="30" t="n"/>
    </row>
    <row r="42" ht="22" customHeight="1">
      <c r="A42" s="3" t="n"/>
    </row>
    <row r="43" ht="34" customHeight="1">
      <c r="A43" s="10" t="n"/>
      <c r="B43" s="4" t="n"/>
    </row>
    <row r="44" ht="34" customHeight="1">
      <c r="A44" s="10" t="n"/>
      <c r="B44" s="4" t="n"/>
    </row>
    <row r="45" ht="34" customHeight="1">
      <c r="A45" s="10" t="n"/>
      <c r="B45" s="4" t="n"/>
    </row>
    <row r="46" ht="34" customHeight="1">
      <c r="A46" s="10" t="n"/>
      <c r="B46" s="4" t="n"/>
    </row>
    <row r="47" ht="34" customHeight="1">
      <c r="A47" s="10" t="n"/>
      <c r="B47" s="4" t="n"/>
    </row>
  </sheetData>
  <mergeCells count="35">
    <mergeCell ref="F20:H20"/>
    <mergeCell ref="A39:H39"/>
    <mergeCell ref="B9:H9"/>
    <mergeCell ref="F18:H18"/>
    <mergeCell ref="F33:H33"/>
    <mergeCell ref="F32:H32"/>
    <mergeCell ref="B6:H6"/>
    <mergeCell ref="F26:H26"/>
    <mergeCell ref="A36:H36"/>
    <mergeCell ref="A11:H11"/>
    <mergeCell ref="F17:H17"/>
    <mergeCell ref="A1:H1"/>
    <mergeCell ref="B5:H5"/>
    <mergeCell ref="F23:H23"/>
    <mergeCell ref="F28:H28"/>
    <mergeCell ref="F22:H22"/>
    <mergeCell ref="F13:H13"/>
    <mergeCell ref="F31:H31"/>
    <mergeCell ref="F27:H27"/>
    <mergeCell ref="B7:H7"/>
    <mergeCell ref="A37:H37"/>
    <mergeCell ref="F15:H15"/>
    <mergeCell ref="F14:H14"/>
    <mergeCell ref="A2:H2"/>
    <mergeCell ref="F29:H29"/>
    <mergeCell ref="F25:H25"/>
    <mergeCell ref="A4:H4"/>
    <mergeCell ref="B8:H8"/>
    <mergeCell ref="F16:H16"/>
    <mergeCell ref="F19:H19"/>
    <mergeCell ref="A38:H38"/>
    <mergeCell ref="F12:H12"/>
    <mergeCell ref="F30:H30"/>
    <mergeCell ref="F21:H21"/>
    <mergeCell ref="F24:H24"/>
  </mergeCells>
  <pageMargins left="0.25" right="0.25" top="0.45" bottom="0.4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52" customWidth="1" min="3" max="3"/>
    <col width="54" customWidth="1" min="4" max="4"/>
    <col width="58" customWidth="1" min="5" max="5"/>
  </cols>
  <sheetData>
    <row r="1" ht="26" customHeight="1">
      <c r="A1" s="1" t="inlineStr">
        <is>
          <t>参数与公式｜当前升级系统口径</t>
        </is>
      </c>
      <c r="B1" s="29" t="n"/>
      <c r="C1" s="29" t="n"/>
      <c r="D1" s="29" t="n"/>
      <c r="E1" s="30" t="n"/>
    </row>
    <row r="2" ht="34" customHeight="1">
      <c r="A2" s="2" t="inlineStr">
        <is>
          <t>建筑和个人技术统一采用总预算归一化曲线；当前技术配置全部走新预算公式。帮会科技仍为扣除资源后即时完成。</t>
        </is>
      </c>
      <c r="B2" s="29" t="n"/>
      <c r="C2" s="29" t="n"/>
      <c r="D2" s="29" t="n"/>
      <c r="E2" s="30" t="n"/>
    </row>
    <row r="4" ht="34" customHeight="1">
      <c r="A4" s="5" t="inlineStr">
        <is>
          <t>参数</t>
        </is>
      </c>
      <c r="B4" s="5" t="inlineStr">
        <is>
          <t>当前值</t>
        </is>
      </c>
      <c r="C4" s="5" t="inlineStr">
        <is>
          <t>单位</t>
        </is>
      </c>
      <c r="D4" s="5" t="inlineStr">
        <is>
          <t>来源/规则</t>
        </is>
      </c>
      <c r="E4" s="5" t="inlineStr">
        <is>
          <t>说明</t>
        </is>
      </c>
    </row>
    <row r="5" ht="28" customHeight="1">
      <c r="A5" s="13" t="inlineStr">
        <is>
          <t>全局时间倍率</t>
        </is>
      </c>
      <c r="B5" s="14" t="n">
        <v>1</v>
      </c>
      <c r="C5" s="13" t="inlineStr">
        <is>
          <t>倍</t>
        </is>
      </c>
      <c r="D5" s="6" t="inlineStr">
        <is>
          <t>.env / config/settings/base.py</t>
        </is>
      </c>
      <c r="E5" s="6" t="inlineStr">
        <is>
          <t>实际倒计时 = 游戏内耗时 ÷ 倍率</t>
        </is>
      </c>
    </row>
    <row r="6" ht="28" customHeight="1">
      <c r="A6" s="13" t="inlineStr">
        <is>
          <t>建筑并行升级上限</t>
        </is>
      </c>
      <c r="B6" s="14" t="n">
        <v>2</v>
      </c>
      <c r="C6" s="13" t="inlineStr">
        <is>
          <t>个</t>
        </is>
      </c>
      <c r="D6" s="6" t="inlineStr">
        <is>
          <t>gameplay/constants.py</t>
        </is>
      </c>
      <c r="E6" s="6" t="inlineStr">
        <is>
          <t>同一庄园同时最多2个建筑升级</t>
        </is>
      </c>
    </row>
    <row r="7" ht="28" customHeight="1">
      <c r="A7" s="13" t="inlineStr">
        <is>
          <t>个人技术并行升级上限</t>
        </is>
      </c>
      <c r="B7" s="14" t="n">
        <v>2</v>
      </c>
      <c r="C7" s="13" t="inlineStr">
        <is>
          <t>个</t>
        </is>
      </c>
      <c r="D7" s="6" t="inlineStr">
        <is>
          <t>gameplay/constants.py</t>
        </is>
      </c>
      <c r="E7" s="6" t="inlineStr">
        <is>
          <t>同一庄园同时最多2个个人技术升级</t>
        </is>
      </c>
    </row>
    <row r="8" ht="28" customHeight="1">
      <c r="A8" s="13" t="inlineStr">
        <is>
          <t>建筑升级行动力消耗</t>
        </is>
      </c>
      <c r="B8" s="14" t="n">
        <v>20</v>
      </c>
      <c r="C8" s="13" t="inlineStr">
        <is>
          <t>点/次</t>
        </is>
      </c>
      <c r="D8" s="6" t="inlineStr">
        <is>
          <t>gameplay/services/action_points.py</t>
        </is>
      </c>
      <c r="E8" s="6" t="inlineStr">
        <is>
          <t>普通玩家建筑升级入口消耗</t>
        </is>
      </c>
    </row>
    <row r="9" ht="28" customHeight="1">
      <c r="A9" s="13" t="inlineStr">
        <is>
          <t>建筑基准起始等级</t>
        </is>
      </c>
      <c r="B9" s="14" t="n">
        <v>1</v>
      </c>
      <c r="C9" s="13" t="inlineStr">
        <is>
          <t>级</t>
        </is>
      </c>
      <c r="D9" s="6" t="inlineStr">
        <is>
          <t>gameplay/models/manor.py</t>
        </is>
      </c>
      <c r="E9" s="6" t="inlineStr">
        <is>
          <t>Building 默认等级为1</t>
        </is>
      </c>
    </row>
    <row r="10" ht="28" customHeight="1">
      <c r="A10" s="13" t="inlineStr">
        <is>
          <t>个人技术基准起始等级</t>
        </is>
      </c>
      <c r="B10" s="14" t="n">
        <v>0</v>
      </c>
      <c r="C10" s="13" t="inlineStr">
        <is>
          <t>级</t>
        </is>
      </c>
      <c r="D10" s="6" t="inlineStr">
        <is>
          <t>gameplay/models/progression.py</t>
        </is>
      </c>
      <c r="E10" s="6" t="inlineStr">
        <is>
          <t>PlayerTechnology 默认等级为0</t>
        </is>
      </c>
    </row>
    <row r="11" ht="28" customHeight="1">
      <c r="A11" s="13" t="inlineStr">
        <is>
          <t>帮会科技升级时长</t>
        </is>
      </c>
      <c r="B11" s="14" t="n">
        <v>0</v>
      </c>
      <c r="C11" s="13" t="inlineStr">
        <is>
          <t>秒/次</t>
        </is>
      </c>
      <c r="D11" s="6" t="inlineStr">
        <is>
          <t>guilds/services/technology.py</t>
        </is>
      </c>
      <c r="E11" s="6" t="inlineStr">
        <is>
          <t>资源扣除后即时升1级</t>
        </is>
      </c>
    </row>
    <row r="12" ht="28" customHeight="1">
      <c r="A12" s="13" t="inlineStr">
        <is>
          <t>祠堂最高等级</t>
        </is>
      </c>
      <c r="B12" s="14" t="n">
        <v>5</v>
      </c>
      <c r="C12" s="13" t="inlineStr">
        <is>
          <t>级</t>
        </is>
      </c>
      <c r="D12" s="6" t="inlineStr">
        <is>
          <t>gameplay/constants.py</t>
        </is>
      </c>
      <c r="E12" s="6" t="inlineStr">
        <is>
          <t>祠堂等级5时达到最大建筑缩时</t>
        </is>
      </c>
    </row>
    <row r="13" ht="28" customHeight="1">
      <c r="A13" s="13" t="inlineStr">
        <is>
          <t>祠堂每级缩短建筑时间</t>
        </is>
      </c>
      <c r="B13" s="14" t="n">
        <v>0.05</v>
      </c>
      <c r="C13" s="13" t="inlineStr">
        <is>
          <t>%/级</t>
        </is>
      </c>
      <c r="D13" s="6" t="inlineStr">
        <is>
          <t>gameplay/models/manor.py</t>
        </is>
      </c>
      <c r="E13" s="6" t="inlineStr">
        <is>
          <t>实际为 max(0, 祠堂等级-1) × 5%</t>
        </is>
      </c>
    </row>
    <row r="14" ht="28" customHeight="1">
      <c r="A14" s="13" t="inlineStr">
        <is>
          <t>祠堂5级总缩短</t>
        </is>
      </c>
      <c r="B14" s="24">
        <f>(B12-1)*B13</f>
        <v/>
      </c>
      <c r="C14" s="13" t="inlineStr">
        <is>
          <t>%</t>
        </is>
      </c>
      <c r="D14" s="6" t="inlineStr">
        <is>
          <t>gameplay/models/manor.py</t>
        </is>
      </c>
      <c r="E14" s="6" t="inlineStr">
        <is>
          <t>公式单元格；5级为20%</t>
        </is>
      </c>
    </row>
    <row r="15" ht="28" customHeight="1">
      <c r="A15" s="13" t="inlineStr">
        <is>
          <t>建筑学最高等级</t>
        </is>
      </c>
      <c r="B15" s="14" t="n">
        <v>10</v>
      </c>
      <c r="C15" s="13" t="inlineStr">
        <is>
          <t>级</t>
        </is>
      </c>
      <c r="D15" s="6" t="inlineStr">
        <is>
          <t>data/technology_templates.yaml</t>
        </is>
      </c>
      <c r="E15" s="6" t="inlineStr">
        <is>
          <t>建筑学 effect_per_level=5%，最高10级</t>
        </is>
      </c>
    </row>
    <row r="16" ht="28" customHeight="1">
      <c r="A16" s="13" t="inlineStr">
        <is>
          <t>建筑学每级成本减免</t>
        </is>
      </c>
      <c r="B16" s="14" t="n">
        <v>0.05</v>
      </c>
      <c r="C16" s="13" t="inlineStr">
        <is>
          <t>%/级</t>
        </is>
      </c>
      <c r="D16" s="6" t="inlineStr">
        <is>
          <t>data/technology_templates.yaml</t>
        </is>
      </c>
      <c r="E16" s="6" t="inlineStr">
        <is>
          <t>建筑成本实际按 ceil(base_cost×(1-减免))</t>
        </is>
      </c>
    </row>
    <row r="17" ht="28" customHeight="1">
      <c r="A17" s="13" t="inlineStr">
        <is>
          <t>建筑学10级总成本减免</t>
        </is>
      </c>
      <c r="B17" s="24">
        <f>B15*B16</f>
        <v/>
      </c>
      <c r="C17" s="13" t="inlineStr">
        <is>
          <t>%</t>
        </is>
      </c>
      <c r="D17" s="6" t="inlineStr">
        <is>
          <t>gameplay/services/manor/core.py</t>
        </is>
      </c>
      <c r="E17" s="6" t="inlineStr">
        <is>
          <t>公式单元格；10级为50%</t>
        </is>
      </c>
    </row>
    <row r="18" ht="28" customHeight="1">
      <c r="A18" s="13" t="inlineStr">
        <is>
          <t>个人技术默认基础时长</t>
        </is>
      </c>
      <c r="B18" s="14" t="n">
        <v>60</v>
      </c>
      <c r="C18" s="13" t="inlineStr">
        <is>
          <t>秒</t>
        </is>
      </c>
      <c r="D18" s="6" t="inlineStr">
        <is>
          <t>gameplay/models/progression.py</t>
        </is>
      </c>
      <c r="E18" s="6" t="inlineStr">
        <is>
          <t>模板缺少 base_time 时的默认值</t>
        </is>
      </c>
    </row>
    <row r="19" ht="28" customHeight="1">
      <c r="A19" s="13" t="inlineStr">
        <is>
          <t>个人技术默认时长曲线</t>
        </is>
      </c>
      <c r="B19" s="14" t="n">
        <v>1.08</v>
      </c>
      <c r="C19" s="13" t="inlineStr">
        <is>
          <t>倍</t>
        </is>
      </c>
      <c r="D19" s="6" t="inlineStr">
        <is>
          <t>gameplay/services/technology_rules.py</t>
        </is>
      </c>
      <c r="E19" s="6" t="inlineStr">
        <is>
          <t>仅作为缺失配置时的新公式安全默认值；当前技术均有明确曲线</t>
        </is>
      </c>
    </row>
    <row r="20" ht="28" customHeight="1">
      <c r="A20" s="13" t="inlineStr">
        <is>
          <t>个人技术默认成本曲线</t>
        </is>
      </c>
      <c r="B20" s="14" t="n">
        <v>1.15</v>
      </c>
      <c r="C20" s="13" t="inlineStr">
        <is>
          <t>倍</t>
        </is>
      </c>
      <c r="D20" s="6" t="inlineStr">
        <is>
          <t>gameplay/services/technology_rules.py</t>
        </is>
      </c>
      <c r="E20" s="6" t="inlineStr">
        <is>
          <t>仅作为缺失配置时的新公式安全默认值；当前技术均有明确曲线</t>
        </is>
      </c>
    </row>
    <row r="21">
      <c r="A21" t="inlineStr">
        <is>
          <t>每日秒数</t>
        </is>
      </c>
      <c r="B21" s="37" t="n">
        <v>86400</v>
      </c>
      <c r="C21" t="inlineStr">
        <is>
          <t>秒/天</t>
        </is>
      </c>
      <c r="D21" t="inlineStr">
        <is>
          <t>本表换算常量</t>
        </is>
      </c>
      <c r="E21" t="inlineStr">
        <is>
          <t>建筑累计时长按配置游戏秒数统计</t>
        </is>
      </c>
    </row>
    <row r="24">
      <c r="A24" s="5" t="inlineStr">
        <is>
          <t>系统</t>
        </is>
      </c>
      <c r="B24" s="5" t="inlineStr">
        <is>
          <t>当前代码公式</t>
        </is>
      </c>
      <c r="C24" s="5" t="inlineStr">
        <is>
          <t>Excel等价表达</t>
        </is>
      </c>
      <c r="D24" s="5" t="inlineStr">
        <is>
          <t>代码位置</t>
        </is>
      </c>
      <c r="E24" s="5" t="inlineStr">
        <is>
          <t>平衡含义</t>
        </is>
      </c>
    </row>
    <row r="25" ht="48" customHeight="1">
      <c r="A25" s="4" t="inlineStr">
        <is>
          <t>建筑时长（预算模式优先）</t>
        </is>
      </c>
      <c r="B25" s="4" t="inlineStr">
        <is>
          <t>预算&gt;0：按总时长预算分配；否则 ceil(base_time × time_growth ^ 当前等级)</t>
        </is>
      </c>
      <c r="C25" s="16" t="inlineStr">
        <is>
          <t>Excel表达式：基础底线 + 剩余预算×POWER(逐级增长系数,升级序号)/权重总和</t>
        </is>
      </c>
      <c r="D25" s="4" t="inlineStr">
        <is>
          <t>gameplay/models/manor.py::Building.next_level_duration</t>
        </is>
      </c>
      <c r="E25" s="4" t="inlineStr">
        <is>
          <t>总时长可控；首级与相邻级增幅可审计</t>
        </is>
      </c>
    </row>
    <row r="26" ht="48" customHeight="1">
      <c r="A26" s="4" t="inlineStr">
        <is>
          <t>建筑成本（预算模式优先）</t>
        </is>
      </c>
      <c r="B26" s="4" t="inlineStr">
        <is>
          <t>每种资源预算&gt;0：按资源总成本预算分配；否则 ceil(base_cost × cost_growth ^ 当前等级)</t>
        </is>
      </c>
      <c r="C26" s="16" t="inlineStr">
        <is>
          <t>Excel表达式：基础底线 + 剩余预算×POWER(逐级增长系数,升级序号)/权重总和</t>
        </is>
      </c>
      <c r="D26" s="4" t="inlineStr">
        <is>
          <t>gameplay/models/manor.py::Building.next_level_cost</t>
        </is>
      </c>
      <c r="E26" s="4" t="inlineStr">
        <is>
          <t>银两/粮食分别控制总预算</t>
        </is>
      </c>
    </row>
    <row r="27" ht="48" customHeight="1">
      <c r="A27" s="4" t="inlineStr">
        <is>
          <t>建筑实际时长</t>
        </is>
      </c>
      <c r="B27" s="4" t="inlineStr">
        <is>
          <t>max(1, int(base_duration × (1-citang_reduction) / multiplier))</t>
        </is>
      </c>
      <c r="C27" s="16">
        <f>MAX(1,ROUNDDOWN(配置时长×(1-祠堂减免)/全局倍率,0))</f>
        <v/>
      </c>
      <c r="D27" s="4" t="inlineStr">
        <is>
          <t>gameplay/services/manor/core.py::quote_building_upgrade</t>
        </is>
      </c>
      <c r="E27" s="4" t="inlineStr">
        <is>
          <t>祠堂与环境倍率叠加，最低1秒</t>
        </is>
      </c>
    </row>
    <row r="28" ht="48" customHeight="1">
      <c r="A28" s="4" t="inlineStr">
        <is>
          <t>建筑实际成本</t>
        </is>
      </c>
      <c r="B28" s="4" t="inlineStr">
        <is>
          <t>max(1, ceil(base_cost × (1-architecture_reduction)))</t>
        </is>
      </c>
      <c r="C28" s="16">
        <f>MAX(1,ROUNDUP(配置成本×(1-建筑学减免),0))</f>
        <v/>
      </c>
      <c r="D28" s="4" t="inlineStr">
        <is>
          <t>gameplay/services/manor/core.py::quote_building_upgrade</t>
        </is>
      </c>
      <c r="E28" s="4" t="inlineStr">
        <is>
          <t>只对实际存在的资源键扣除；成本至少1</t>
        </is>
      </c>
    </row>
    <row r="29" ht="48" customHeight="1">
      <c r="A29" s="4" t="inlineStr">
        <is>
          <t>个人技术时长</t>
        </is>
      </c>
      <c r="B29" s="4" t="inlineStr">
        <is>
          <t>统一按 upgrade_time_budget + time_curve 分配；缺失预算时按新公式安全默认预算分配</t>
        </is>
      </c>
      <c r="C29" s="16" t="inlineStr">
        <is>
          <t>基础底线 + 剩余预算×POWER(曲线,等级序号)/权重总和；实际再除以全局倍率</t>
        </is>
      </c>
      <c r="D29" s="4" t="inlineStr">
        <is>
          <t>gameplay/services/technology_rules.py::calculate_upgrade_duration</t>
        </is>
      </c>
      <c r="E29" s="4" t="inlineStr">
        <is>
          <t>所有当前个人技术统一走预算公式，曲线控制前期可支付性与相邻级增幅</t>
        </is>
      </c>
    </row>
    <row r="30" ht="48" customHeight="1">
      <c r="A30" s="4" t="inlineStr">
        <is>
          <t>个人技术成本</t>
        </is>
      </c>
      <c r="B30" s="4" t="inlineStr">
        <is>
          <t>统一按 upgrade_cost_budget + cost_curve 分配；缺失预算时按新公式安全默认预算分配</t>
        </is>
      </c>
      <c r="C30" s="16" t="inlineStr">
        <is>
          <t>基础底线 + 剩余银两预算×POWER(曲线,等级序号)/权重总和；最后一级补差</t>
        </is>
      </c>
      <c r="D30" s="4" t="inlineStr">
        <is>
          <t>gameplay/services/technology_rules.py::calculate_upgrade_cost</t>
        </is>
      </c>
      <c r="E30" s="4" t="inlineStr">
        <is>
          <t>所有当前个人技术统一走预算公式，总银两预算精确落地</t>
        </is>
      </c>
    </row>
    <row r="31" ht="48" customHeight="1">
      <c r="A31" s="4" t="inlineStr">
        <is>
          <t>帮会科技成本</t>
        </is>
      </c>
      <c r="B31" s="4" t="inlineStr">
        <is>
          <t>base cost × 离散曲线倍率；覆盖项优先</t>
        </is>
      </c>
      <c r="C31" s="4" t="inlineStr">
        <is>
          <t>逐级明细中按倍率/override公式计算</t>
        </is>
      </c>
      <c r="D31" s="4" t="inlineStr">
        <is>
          <t>guilds/services/technology.py::calculate_tech_upgrade_cost</t>
        </is>
      </c>
      <c r="E31" s="4" t="inlineStr">
        <is>
          <t>非指数曲线；神秘学2/3级使用覆盖成本</t>
        </is>
      </c>
    </row>
    <row r="32" ht="48" customHeight="1">
      <c r="A32" s="4" t="inlineStr">
        <is>
          <t>帮会科技时长</t>
        </is>
      </c>
      <c r="B32" s="4" t="inlineStr">
        <is>
          <t>无计时字段，事务完成后等级立即+1</t>
        </is>
      </c>
      <c r="C32" s="4" t="inlineStr">
        <is>
          <t>0秒</t>
        </is>
      </c>
      <c r="D32" s="4" t="inlineStr">
        <is>
          <t>guilds/services/technology.py::upgrade_technology</t>
        </is>
      </c>
      <c r="E32" s="4" t="inlineStr">
        <is>
          <t>与个人技术/建筑的计时升级体验不同</t>
        </is>
      </c>
    </row>
    <row r="33" ht="32" customHeight="1">
      <c r="A33" s="4" t="inlineStr">
        <is>
          <t>逐级增长权重</t>
        </is>
      </c>
      <c r="B33" s="4" t="inlineStr">
        <is>
          <t>weight = curve_growth ^ step_index；全等级预算按全部升级次数归一化</t>
        </is>
      </c>
      <c r="C33" s="4" t="inlineStr">
        <is>
          <t>step_index=当前等级-1；总预算按全部升级次数归一化</t>
        </is>
      </c>
      <c r="D33" s="4" t="inlineStr">
        <is>
          <t>gameplay/services/technology_rules.py::allocate_upgrade_budget</t>
        </is>
      </c>
      <c r="E33" s="4" t="inlineStr">
        <is>
          <t>不设末级/首级固定倍数；用相邻级增长率检查曲线平滑度</t>
        </is>
      </c>
    </row>
    <row r="34" ht="32" customHeight="1">
      <c r="A34" s="4" t="inlineStr">
        <is>
          <t>预算下限</t>
        </is>
      </c>
      <c r="B34" s="4" t="inlineStr">
        <is>
          <t>每级基础底线 × 升级次数；总预算不足时保留底线，不产生负数或0秒升级</t>
        </is>
      </c>
      <c r="C34" s="4" t="inlineStr">
        <is>
          <t>总预算不足时保留底线，不产生负数或0秒升级</t>
        </is>
      </c>
      <c r="D34" s="4" t="inlineStr">
        <is>
          <t>gameplay/services/technology_rules.py::allocate_upgrade_budget</t>
        </is>
      </c>
      <c r="E34" s="4" t="inlineStr">
        <is>
          <t>base_upgrade_time/base_cost 只承担基础底线</t>
        </is>
      </c>
    </row>
    <row r="35" ht="32" customHeight="1">
      <c r="A35" s="4" t="inlineStr">
        <is>
          <t>兼容策略</t>
        </is>
      </c>
      <c r="B35" s="4" t="inlineStr">
        <is>
          <t>所有个人技术统一走预算曲线；缺失字段只使用新公式安全默认预算，不调用旧指数公式</t>
        </is>
      </c>
      <c r="C35" s="4" t="inlineStr">
        <is>
          <t>便于旧建筑类型/测试数据平滑迁移</t>
        </is>
      </c>
      <c r="D35" s="4" t="inlineStr">
        <is>
          <t>technology_catalog._apply_upgrade_profiles / technology_rules</t>
        </is>
      </c>
      <c r="E35" s="4" t="inlineStr">
        <is>
          <t>不要求一次性改完所有历史数据</t>
        </is>
      </c>
    </row>
    <row r="36" ht="34" customHeight="1">
      <c r="A36" s="4" t="inlineStr">
        <is>
          <t>个人技术预算目标</t>
        </is>
      </c>
      <c r="B36" s="4" t="inlineStr">
        <is>
          <t>见个人技术总览 O:R</t>
        </is>
      </c>
      <c r="C36" s="4" t="inlineStr">
        <is>
          <t>全程时长/银两预算 + 曲线</t>
        </is>
      </c>
      <c r="D36" s="4" t="inlineStr">
        <is>
          <t>data/technology_templates.yaml</t>
        </is>
      </c>
      <c r="E36" s="4" t="inlineStr">
        <is>
          <t>武艺技术使用 martial profile；侦查术200级单独配置</t>
        </is>
      </c>
    </row>
    <row r="37" ht="34" customHeight="1">
      <c r="A37" s="4" t="inlineStr">
        <is>
          <t>侦查术长线目标</t>
        </is>
      </c>
      <c r="B37" s="4" t="n">
        <v>200</v>
      </c>
      <c r="C37" s="4" t="inlineStr">
        <is>
          <t>级</t>
        </is>
      </c>
      <c r="D37" s="4" t="inlineStr">
        <is>
          <t>data/technology_templates.yaml</t>
        </is>
      </c>
      <c r="E37" s="4" t="inlineStr">
        <is>
          <t>上限200级；全程180天、2亿银两，曲线1.01保护前期支付</t>
        </is>
      </c>
    </row>
  </sheetData>
  <autoFilter ref="A24:E32"/>
  <mergeCells count="2">
    <mergeCell ref="A2:E2"/>
    <mergeCell ref="A1:E1"/>
  </mergeCells>
  <pageMargins left="0.25" right="0.25" top="0.45" bottom="0.45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2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7" customWidth="1" min="11" max="11"/>
    <col width="19" customWidth="1" min="12" max="12"/>
    <col width="14" customWidth="1" min="13" max="13"/>
    <col width="16" customWidth="1" min="14" max="14"/>
    <col width="16" customWidth="1" min="15" max="15"/>
    <col width="16" customWidth="1" min="16" max="16"/>
    <col width="15" customWidth="1" min="17" max="17"/>
    <col width="15" customWidth="1" min="18" max="18"/>
    <col width="18" customWidth="1" min="19" max="19"/>
    <col width="18" customWidth="1" min="20" max="20"/>
    <col width="42" customWidth="1" min="21" max="21"/>
  </cols>
  <sheetData>
    <row r="1" ht="26" customHeight="1">
      <c r="A1" s="1" t="inlineStr">
        <is>
          <t>建筑升级总览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30" t="n"/>
    </row>
    <row r="2" ht="34" customHeight="1">
      <c r="A2" s="2" t="inlineStr">
        <is>
          <t>改动前配置基线：用于与预算型公式方案对照；科技页仍按当前配置统计。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30" t="n"/>
    </row>
    <row r="4" ht="34" customHeight="1">
      <c r="A4" s="5" t="inlineStr">
        <is>
          <t>建筑Key</t>
        </is>
      </c>
      <c r="B4" s="5" t="inlineStr">
        <is>
          <t>建筑</t>
        </is>
      </c>
      <c r="C4" s="5" t="inlineStr">
        <is>
          <t>分类</t>
        </is>
      </c>
      <c r="D4" s="5" t="inlineStr">
        <is>
          <t>最高等级</t>
        </is>
      </c>
      <c r="E4" s="5" t="inlineStr">
        <is>
          <t>升级次数</t>
        </is>
      </c>
      <c r="F4" s="5" t="inlineStr">
        <is>
          <t>基础时间(s)</t>
        </is>
      </c>
      <c r="G4" s="5" t="inlineStr">
        <is>
          <t>时间成长</t>
        </is>
      </c>
      <c r="H4" s="5" t="inlineStr">
        <is>
          <t>基础银两</t>
        </is>
      </c>
      <c r="I4" s="5" t="inlineStr">
        <is>
          <t>基础粮食</t>
        </is>
      </c>
      <c r="J4" s="5" t="inlineStr">
        <is>
          <t>成本成长</t>
        </is>
      </c>
      <c r="K4" s="5" t="inlineStr">
        <is>
          <t>1→2基准实耗时(s)</t>
        </is>
      </c>
      <c r="L4" s="5" t="inlineStr">
        <is>
          <t>末级升级基准实耗时(s)</t>
        </is>
      </c>
      <c r="M4" s="5" t="inlineStr">
        <is>
          <t>全程基准天数</t>
        </is>
      </c>
      <c r="N4" s="5" t="inlineStr">
        <is>
          <t>全程祠堂5级天数</t>
        </is>
      </c>
      <c r="O4" s="5" t="inlineStr">
        <is>
          <t>1→2配置时长(s)</t>
        </is>
      </c>
      <c r="P4" s="5" t="inlineStr">
        <is>
          <t>末级配置时长(s)</t>
        </is>
      </c>
      <c r="Q4" s="5" t="inlineStr">
        <is>
          <t>配置总银两</t>
        </is>
      </c>
      <c r="R4" s="5" t="inlineStr">
        <is>
          <t>配置总粮食</t>
        </is>
      </c>
      <c r="S4" s="5" t="inlineStr">
        <is>
          <t>建筑学10级总银两</t>
        </is>
      </c>
      <c r="T4" s="5" t="inlineStr">
        <is>
          <t>建筑学10级总粮食</t>
        </is>
      </c>
      <c r="U4" s="5" t="inlineStr">
        <is>
          <t>观察</t>
        </is>
      </c>
    </row>
    <row r="5" ht="30" customHeight="1">
      <c r="A5" s="17" t="inlineStr">
        <is>
          <t>farm</t>
        </is>
      </c>
      <c r="B5" s="18" t="inlineStr">
        <is>
          <t>农田</t>
        </is>
      </c>
      <c r="C5" s="18" t="inlineStr">
        <is>
          <t>资源生产</t>
        </is>
      </c>
      <c r="D5" s="17" t="n">
        <v>50</v>
      </c>
      <c r="E5" s="19">
        <f>D5-'参数与公式'!$B$9</f>
        <v/>
      </c>
      <c r="F5" s="38" t="n">
        <v>180</v>
      </c>
      <c r="G5" s="39" t="n">
        <v>1.22</v>
      </c>
      <c r="H5" s="38" t="n">
        <v>170</v>
      </c>
      <c r="I5" s="38" t="n">
        <v>0</v>
      </c>
      <c r="J5" s="39" t="n">
        <v>1.33</v>
      </c>
      <c r="K5" s="40">
        <f>SUMIFS('建筑逐级'!$L$5:$L$328,'建筑逐级'!$A$5:$A$328,$A5,'建筑逐级'!$D$5:$D$328,'参数与公式'!$B$9)</f>
        <v/>
      </c>
      <c r="L5" s="40">
        <f>SUMIFS('建筑逐级'!$L$5:$L$328,'建筑逐级'!$A$5:$A$328,$A5,'建筑逐级'!$D$5:$D$328,$D5-1)</f>
        <v/>
      </c>
      <c r="M5" s="41">
        <f>SUMIF('建筑逐级'!$A$5:$A$328,$A5,'建筑逐级'!$L$5:$L$328)/86400</f>
        <v/>
      </c>
      <c r="N5" s="41">
        <f>SUMIF('建筑逐级'!$A$5:$A$328,$A5,'建筑逐级'!$M$5:$M$328)/86400</f>
        <v/>
      </c>
      <c r="O5" s="40">
        <f>SUMIFS('建筑逐级'!$K$5:$K$328,'建筑逐级'!$A$5:$A$328,$A5,'建筑逐级'!$D$5:$D$328,'参数与公式'!$B$9)</f>
        <v/>
      </c>
      <c r="P5" s="40">
        <f>SUMIFS('建筑逐级'!$K$5:$K$328,'建筑逐级'!$A$5:$A$328,$A5,'建筑逐级'!$D$5:$D$328,$D5-1)</f>
        <v/>
      </c>
      <c r="Q5" s="40">
        <f>SUMIF('建筑逐级'!$A$5:$A$328,$A5,'建筑逐级'!$N$5:$N$328)</f>
        <v/>
      </c>
      <c r="R5" s="40">
        <f>SUMIF('建筑逐级'!$A$5:$A$328,$A5,'建筑逐级'!$O$5:$O$328)</f>
        <v/>
      </c>
      <c r="S5" s="40">
        <f>SUMIF('建筑逐级'!$A$5:$A$328,$A5,'建筑逐级'!$P$5:$P$328)</f>
        <v/>
      </c>
      <c r="T5" s="40">
        <f>SUMIF('建筑逐级'!$A$5:$A$328,$A5,'建筑逐级'!$Q$5:$Q$328)</f>
        <v/>
      </c>
      <c r="U5" s="6" t="inlineStr">
        <is>
          <t>重点观察：等级上限/成长系数/后期单级耗时</t>
        </is>
      </c>
    </row>
    <row r="6" ht="30" customHeight="1">
      <c r="A6" s="17" t="inlineStr">
        <is>
          <t>tax_office</t>
        </is>
      </c>
      <c r="B6" s="18" t="inlineStr">
        <is>
          <t>税务司</t>
        </is>
      </c>
      <c r="C6" s="18" t="inlineStr">
        <is>
          <t>资源生产</t>
        </is>
      </c>
      <c r="D6" s="17" t="n">
        <v>30</v>
      </c>
      <c r="E6" s="19">
        <f>D6-'参数与公式'!$B$9</f>
        <v/>
      </c>
      <c r="F6" s="38" t="n">
        <v>210</v>
      </c>
      <c r="G6" s="39" t="n">
        <v>1.25</v>
      </c>
      <c r="H6" s="38" t="n">
        <v>450</v>
      </c>
      <c r="I6" s="38" t="n">
        <v>0</v>
      </c>
      <c r="J6" s="39" t="n">
        <v>1.36</v>
      </c>
      <c r="K6" s="40">
        <f>SUMIFS('建筑逐级'!$L$5:$L$328,'建筑逐级'!$A$5:$A$328,$A6,'建筑逐级'!$D$5:$D$328,'参数与公式'!$B$9)</f>
        <v/>
      </c>
      <c r="L6" s="40">
        <f>SUMIFS('建筑逐级'!$L$5:$L$328,'建筑逐级'!$A$5:$A$328,$A6,'建筑逐级'!$D$5:$D$328,$D6-1)</f>
        <v/>
      </c>
      <c r="M6" s="41">
        <f>SUMIF('建筑逐级'!$A$5:$A$328,$A6,'建筑逐级'!$L$5:$L$328)/86400</f>
        <v/>
      </c>
      <c r="N6" s="41">
        <f>SUMIF('建筑逐级'!$A$5:$A$328,$A6,'建筑逐级'!$M$5:$M$328)/86400</f>
        <v/>
      </c>
      <c r="O6" s="40">
        <f>SUMIFS('建筑逐级'!$K$5:$K$328,'建筑逐级'!$A$5:$A$328,$A6,'建筑逐级'!$D$5:$D$328,'参数与公式'!$B$9)</f>
        <v/>
      </c>
      <c r="P6" s="40">
        <f>SUMIFS('建筑逐级'!$K$5:$K$328,'建筑逐级'!$A$5:$A$328,$A6,'建筑逐级'!$D$5:$D$328,$D6-1)</f>
        <v/>
      </c>
      <c r="Q6" s="40">
        <f>SUMIF('建筑逐级'!$A$5:$A$328,$A6,'建筑逐级'!$N$5:$N$328)</f>
        <v/>
      </c>
      <c r="R6" s="40">
        <f>SUMIF('建筑逐级'!$A$5:$A$328,$A6,'建筑逐级'!$O$5:$O$328)</f>
        <v/>
      </c>
      <c r="S6" s="40">
        <f>SUMIF('建筑逐级'!$A$5:$A$328,$A6,'建筑逐级'!$P$5:$P$328)</f>
        <v/>
      </c>
      <c r="T6" s="40">
        <f>SUMIF('建筑逐级'!$A$5:$A$328,$A6,'建筑逐级'!$Q$5:$Q$328)</f>
        <v/>
      </c>
      <c r="U6" s="6" t="inlineStr">
        <is>
          <t>重点观察：等级上限/成长系数/后期单级耗时</t>
        </is>
      </c>
    </row>
    <row r="7" ht="30" customHeight="1">
      <c r="A7" s="17" t="inlineStr">
        <is>
          <t>bathhouse</t>
        </is>
      </c>
      <c r="B7" s="18" t="inlineStr">
        <is>
          <t>澡堂</t>
        </is>
      </c>
      <c r="C7" s="18" t="inlineStr">
        <is>
          <t>资源生产</t>
        </is>
      </c>
      <c r="D7" s="17" t="n">
        <v>20</v>
      </c>
      <c r="E7" s="19">
        <f>D7-'参数与公式'!$B$9</f>
        <v/>
      </c>
      <c r="F7" s="38" t="n">
        <v>300</v>
      </c>
      <c r="G7" s="39" t="n">
        <v>1.25</v>
      </c>
      <c r="H7" s="38" t="n">
        <v>850</v>
      </c>
      <c r="I7" s="38" t="n">
        <v>0</v>
      </c>
      <c r="J7" s="39" t="n">
        <v>1.35</v>
      </c>
      <c r="K7" s="40">
        <f>SUMIFS('建筑逐级'!$L$5:$L$328,'建筑逐级'!$A$5:$A$328,$A7,'建筑逐级'!$D$5:$D$328,'参数与公式'!$B$9)</f>
        <v/>
      </c>
      <c r="L7" s="40">
        <f>SUMIFS('建筑逐级'!$L$5:$L$328,'建筑逐级'!$A$5:$A$328,$A7,'建筑逐级'!$D$5:$D$328,$D7-1)</f>
        <v/>
      </c>
      <c r="M7" s="41">
        <f>SUMIF('建筑逐级'!$A$5:$A$328,$A7,'建筑逐级'!$L$5:$L$328)/86400</f>
        <v/>
      </c>
      <c r="N7" s="41">
        <f>SUMIF('建筑逐级'!$A$5:$A$328,$A7,'建筑逐级'!$M$5:$M$328)/86400</f>
        <v/>
      </c>
      <c r="O7" s="40">
        <f>SUMIFS('建筑逐级'!$K$5:$K$328,'建筑逐级'!$A$5:$A$328,$A7,'建筑逐级'!$D$5:$D$328,'参数与公式'!$B$9)</f>
        <v/>
      </c>
      <c r="P7" s="40">
        <f>SUMIFS('建筑逐级'!$K$5:$K$328,'建筑逐级'!$A$5:$A$328,$A7,'建筑逐级'!$D$5:$D$328,$D7-1)</f>
        <v/>
      </c>
      <c r="Q7" s="40">
        <f>SUMIF('建筑逐级'!$A$5:$A$328,$A7,'建筑逐级'!$N$5:$N$328)</f>
        <v/>
      </c>
      <c r="R7" s="40">
        <f>SUMIF('建筑逐级'!$A$5:$A$328,$A7,'建筑逐级'!$O$5:$O$328)</f>
        <v/>
      </c>
      <c r="S7" s="40">
        <f>SUMIF('建筑逐级'!$A$5:$A$328,$A7,'建筑逐级'!$P$5:$P$328)</f>
        <v/>
      </c>
      <c r="T7" s="40">
        <f>SUMIF('建筑逐级'!$A$5:$A$328,$A7,'建筑逐级'!$Q$5:$Q$328)</f>
        <v/>
      </c>
      <c r="U7" s="6" t="inlineStr">
        <is>
          <t>重点观察：等级上限/成长系数/后期单级耗时</t>
        </is>
      </c>
    </row>
    <row r="8" ht="30" customHeight="1">
      <c r="A8" s="17" t="inlineStr">
        <is>
          <t>latrine</t>
        </is>
      </c>
      <c r="B8" s="18" t="inlineStr">
        <is>
          <t>茅厕</t>
        </is>
      </c>
      <c r="C8" s="18" t="inlineStr">
        <is>
          <t>资源生产</t>
        </is>
      </c>
      <c r="D8" s="17" t="n">
        <v>20</v>
      </c>
      <c r="E8" s="19">
        <f>D8-'参数与公式'!$B$9</f>
        <v/>
      </c>
      <c r="F8" s="38" t="n">
        <v>300</v>
      </c>
      <c r="G8" s="39" t="n">
        <v>1.25</v>
      </c>
      <c r="H8" s="38" t="n">
        <v>550</v>
      </c>
      <c r="I8" s="38" t="n">
        <v>0</v>
      </c>
      <c r="J8" s="39" t="n">
        <v>1.35</v>
      </c>
      <c r="K8" s="40">
        <f>SUMIFS('建筑逐级'!$L$5:$L$328,'建筑逐级'!$A$5:$A$328,$A8,'建筑逐级'!$D$5:$D$328,'参数与公式'!$B$9)</f>
        <v/>
      </c>
      <c r="L8" s="40">
        <f>SUMIFS('建筑逐级'!$L$5:$L$328,'建筑逐级'!$A$5:$A$328,$A8,'建筑逐级'!$D$5:$D$328,$D8-1)</f>
        <v/>
      </c>
      <c r="M8" s="41">
        <f>SUMIF('建筑逐级'!$A$5:$A$328,$A8,'建筑逐级'!$L$5:$L$328)/86400</f>
        <v/>
      </c>
      <c r="N8" s="41">
        <f>SUMIF('建筑逐级'!$A$5:$A$328,$A8,'建筑逐级'!$M$5:$M$328)/86400</f>
        <v/>
      </c>
      <c r="O8" s="40">
        <f>SUMIFS('建筑逐级'!$K$5:$K$328,'建筑逐级'!$A$5:$A$328,$A8,'建筑逐级'!$D$5:$D$328,'参数与公式'!$B$9)</f>
        <v/>
      </c>
      <c r="P8" s="40">
        <f>SUMIFS('建筑逐级'!$K$5:$K$328,'建筑逐级'!$A$5:$A$328,$A8,'建筑逐级'!$D$5:$D$328,$D8-1)</f>
        <v/>
      </c>
      <c r="Q8" s="40">
        <f>SUMIF('建筑逐级'!$A$5:$A$328,$A8,'建筑逐级'!$N$5:$N$328)</f>
        <v/>
      </c>
      <c r="R8" s="40">
        <f>SUMIF('建筑逐级'!$A$5:$A$328,$A8,'建筑逐级'!$O$5:$O$328)</f>
        <v/>
      </c>
      <c r="S8" s="40">
        <f>SUMIF('建筑逐级'!$A$5:$A$328,$A8,'建筑逐级'!$P$5:$P$328)</f>
        <v/>
      </c>
      <c r="T8" s="40">
        <f>SUMIF('建筑逐级'!$A$5:$A$328,$A8,'建筑逐级'!$Q$5:$Q$328)</f>
        <v/>
      </c>
      <c r="U8" s="6" t="inlineStr">
        <is>
          <t>重点观察：等级上限/成长系数/后期单级耗时</t>
        </is>
      </c>
    </row>
    <row r="9" ht="30" customHeight="1">
      <c r="A9" s="17" t="inlineStr">
        <is>
          <t>granary</t>
        </is>
      </c>
      <c r="B9" s="18" t="inlineStr">
        <is>
          <t>粮仓</t>
        </is>
      </c>
      <c r="C9" s="18" t="inlineStr">
        <is>
          <t>仓储设施</t>
        </is>
      </c>
      <c r="D9" s="17" t="n">
        <v>20</v>
      </c>
      <c r="E9" s="19">
        <f>D9-'参数与公式'!$B$9</f>
        <v/>
      </c>
      <c r="F9" s="38" t="n">
        <v>300</v>
      </c>
      <c r="G9" s="39" t="n">
        <v>1.2</v>
      </c>
      <c r="H9" s="38" t="n">
        <v>950</v>
      </c>
      <c r="I9" s="38" t="n">
        <v>0</v>
      </c>
      <c r="J9" s="39" t="n">
        <v>1.35</v>
      </c>
      <c r="K9" s="40">
        <f>SUMIFS('建筑逐级'!$L$5:$L$328,'建筑逐级'!$A$5:$A$328,$A9,'建筑逐级'!$D$5:$D$328,'参数与公式'!$B$9)</f>
        <v/>
      </c>
      <c r="L9" s="40">
        <f>SUMIFS('建筑逐级'!$L$5:$L$328,'建筑逐级'!$A$5:$A$328,$A9,'建筑逐级'!$D$5:$D$328,$D9-1)</f>
        <v/>
      </c>
      <c r="M9" s="41">
        <f>SUMIF('建筑逐级'!$A$5:$A$328,$A9,'建筑逐级'!$L$5:$L$328)/86400</f>
        <v/>
      </c>
      <c r="N9" s="41">
        <f>SUMIF('建筑逐级'!$A$5:$A$328,$A9,'建筑逐级'!$M$5:$M$328)/86400</f>
        <v/>
      </c>
      <c r="O9" s="40">
        <f>SUMIFS('建筑逐级'!$K$5:$K$328,'建筑逐级'!$A$5:$A$328,$A9,'建筑逐级'!$D$5:$D$328,'参数与公式'!$B$9)</f>
        <v/>
      </c>
      <c r="P9" s="40">
        <f>SUMIFS('建筑逐级'!$K$5:$K$328,'建筑逐级'!$A$5:$A$328,$A9,'建筑逐级'!$D$5:$D$328,$D9-1)</f>
        <v/>
      </c>
      <c r="Q9" s="40">
        <f>SUMIF('建筑逐级'!$A$5:$A$328,$A9,'建筑逐级'!$N$5:$N$328)</f>
        <v/>
      </c>
      <c r="R9" s="40">
        <f>SUMIF('建筑逐级'!$A$5:$A$328,$A9,'建筑逐级'!$O$5:$O$328)</f>
        <v/>
      </c>
      <c r="S9" s="40">
        <f>SUMIF('建筑逐级'!$A$5:$A$328,$A9,'建筑逐级'!$P$5:$P$328)</f>
        <v/>
      </c>
      <c r="T9" s="40">
        <f>SUMIF('建筑逐级'!$A$5:$A$328,$A9,'建筑逐级'!$Q$5:$Q$328)</f>
        <v/>
      </c>
      <c r="U9" s="6" t="inlineStr">
        <is>
          <t>重点观察：等级上限/成长系数/后期单级耗时</t>
        </is>
      </c>
    </row>
    <row r="10" ht="30" customHeight="1">
      <c r="A10" s="17" t="inlineStr">
        <is>
          <t>silver_vault</t>
        </is>
      </c>
      <c r="B10" s="18" t="inlineStr">
        <is>
          <t>银库</t>
        </is>
      </c>
      <c r="C10" s="18" t="inlineStr">
        <is>
          <t>仓储设施</t>
        </is>
      </c>
      <c r="D10" s="17" t="n">
        <v>30</v>
      </c>
      <c r="E10" s="19">
        <f>D10-'参数与公式'!$B$9</f>
        <v/>
      </c>
      <c r="F10" s="38" t="n">
        <v>300</v>
      </c>
      <c r="G10" s="39" t="n">
        <v>1.2</v>
      </c>
      <c r="H10" s="38" t="n">
        <v>1100</v>
      </c>
      <c r="I10" s="38" t="n">
        <v>0</v>
      </c>
      <c r="J10" s="39" t="n">
        <v>1.35</v>
      </c>
      <c r="K10" s="40">
        <f>SUMIFS('建筑逐级'!$L$5:$L$328,'建筑逐级'!$A$5:$A$328,$A10,'建筑逐级'!$D$5:$D$328,'参数与公式'!$B$9)</f>
        <v/>
      </c>
      <c r="L10" s="40">
        <f>SUMIFS('建筑逐级'!$L$5:$L$328,'建筑逐级'!$A$5:$A$328,$A10,'建筑逐级'!$D$5:$D$328,$D10-1)</f>
        <v/>
      </c>
      <c r="M10" s="41">
        <f>SUMIF('建筑逐级'!$A$5:$A$328,$A10,'建筑逐级'!$L$5:$L$328)/86400</f>
        <v/>
      </c>
      <c r="N10" s="41">
        <f>SUMIF('建筑逐级'!$A$5:$A$328,$A10,'建筑逐级'!$M$5:$M$328)/86400</f>
        <v/>
      </c>
      <c r="O10" s="40">
        <f>SUMIFS('建筑逐级'!$K$5:$K$328,'建筑逐级'!$A$5:$A$328,$A10,'建筑逐级'!$D$5:$D$328,'参数与公式'!$B$9)</f>
        <v/>
      </c>
      <c r="P10" s="40">
        <f>SUMIFS('建筑逐级'!$K$5:$K$328,'建筑逐级'!$A$5:$A$328,$A10,'建筑逐级'!$D$5:$D$328,$D10-1)</f>
        <v/>
      </c>
      <c r="Q10" s="40">
        <f>SUMIF('建筑逐级'!$A$5:$A$328,$A10,'建筑逐级'!$N$5:$N$328)</f>
        <v/>
      </c>
      <c r="R10" s="40">
        <f>SUMIF('建筑逐级'!$A$5:$A$328,$A10,'建筑逐级'!$O$5:$O$328)</f>
        <v/>
      </c>
      <c r="S10" s="40">
        <f>SUMIF('建筑逐级'!$A$5:$A$328,$A10,'建筑逐级'!$P$5:$P$328)</f>
        <v/>
      </c>
      <c r="T10" s="40">
        <f>SUMIF('建筑逐级'!$A$5:$A$328,$A10,'建筑逐级'!$Q$5:$Q$328)</f>
        <v/>
      </c>
      <c r="U10" s="6" t="inlineStr">
        <is>
          <t>重点观察：等级上限/成长系数/后期单级耗时</t>
        </is>
      </c>
    </row>
    <row r="11" ht="30" customHeight="1">
      <c r="A11" s="17" t="inlineStr">
        <is>
          <t>treasury</t>
        </is>
      </c>
      <c r="B11" s="18" t="inlineStr">
        <is>
          <t>藏宝阁</t>
        </is>
      </c>
      <c r="C11" s="18" t="inlineStr">
        <is>
          <t>仓储设施</t>
        </is>
      </c>
      <c r="D11" s="17" t="n">
        <v>20</v>
      </c>
      <c r="E11" s="19">
        <f>D11-'参数与公式'!$B$9</f>
        <v/>
      </c>
      <c r="F11" s="38" t="n">
        <v>600</v>
      </c>
      <c r="G11" s="39" t="n">
        <v>1.3</v>
      </c>
      <c r="H11" s="38" t="n">
        <v>7500</v>
      </c>
      <c r="I11" s="38" t="n">
        <v>0</v>
      </c>
      <c r="J11" s="39" t="n">
        <v>1.4</v>
      </c>
      <c r="K11" s="40">
        <f>SUMIFS('建筑逐级'!$L$5:$L$328,'建筑逐级'!$A$5:$A$328,$A11,'建筑逐级'!$D$5:$D$328,'参数与公式'!$B$9)</f>
        <v/>
      </c>
      <c r="L11" s="40">
        <f>SUMIFS('建筑逐级'!$L$5:$L$328,'建筑逐级'!$A$5:$A$328,$A11,'建筑逐级'!$D$5:$D$328,$D11-1)</f>
        <v/>
      </c>
      <c r="M11" s="41">
        <f>SUMIF('建筑逐级'!$A$5:$A$328,$A11,'建筑逐级'!$L$5:$L$328)/86400</f>
        <v/>
      </c>
      <c r="N11" s="41">
        <f>SUMIF('建筑逐级'!$A$5:$A$328,$A11,'建筑逐级'!$M$5:$M$328)/86400</f>
        <v/>
      </c>
      <c r="O11" s="40">
        <f>SUMIFS('建筑逐级'!$K$5:$K$328,'建筑逐级'!$A$5:$A$328,$A11,'建筑逐级'!$D$5:$D$328,'参数与公式'!$B$9)</f>
        <v/>
      </c>
      <c r="P11" s="40">
        <f>SUMIFS('建筑逐级'!$K$5:$K$328,'建筑逐级'!$A$5:$A$328,$A11,'建筑逐级'!$D$5:$D$328,$D11-1)</f>
        <v/>
      </c>
      <c r="Q11" s="40">
        <f>SUMIF('建筑逐级'!$A$5:$A$328,$A11,'建筑逐级'!$N$5:$N$328)</f>
        <v/>
      </c>
      <c r="R11" s="40">
        <f>SUMIF('建筑逐级'!$A$5:$A$328,$A11,'建筑逐级'!$O$5:$O$328)</f>
        <v/>
      </c>
      <c r="S11" s="40">
        <f>SUMIF('建筑逐级'!$A$5:$A$328,$A11,'建筑逐级'!$P$5:$P$328)</f>
        <v/>
      </c>
      <c r="T11" s="40">
        <f>SUMIF('建筑逐级'!$A$5:$A$328,$A11,'建筑逐级'!$Q$5:$Q$328)</f>
        <v/>
      </c>
      <c r="U11" s="6" t="inlineStr">
        <is>
          <t>重点观察：等级上限/成长系数/后期单级耗时</t>
        </is>
      </c>
    </row>
    <row r="12" ht="30" customHeight="1">
      <c r="A12" s="17" t="inlineStr">
        <is>
          <t>ranch</t>
        </is>
      </c>
      <c r="B12" s="18" t="inlineStr">
        <is>
          <t>畜牧场</t>
        </is>
      </c>
      <c r="C12" s="18" t="inlineStr">
        <is>
          <t>生产加工</t>
        </is>
      </c>
      <c r="D12" s="17" t="n">
        <v>10</v>
      </c>
      <c r="E12" s="19">
        <f>D12-'参数与公式'!$B$9</f>
        <v/>
      </c>
      <c r="F12" s="38" t="n">
        <v>300</v>
      </c>
      <c r="G12" s="39" t="n">
        <v>1.25</v>
      </c>
      <c r="H12" s="38" t="n">
        <v>800</v>
      </c>
      <c r="I12" s="38" t="n">
        <v>0</v>
      </c>
      <c r="J12" s="39" t="n">
        <v>1.35</v>
      </c>
      <c r="K12" s="40">
        <f>SUMIFS('建筑逐级'!$L$5:$L$328,'建筑逐级'!$A$5:$A$328,$A12,'建筑逐级'!$D$5:$D$328,'参数与公式'!$B$9)</f>
        <v/>
      </c>
      <c r="L12" s="40">
        <f>SUMIFS('建筑逐级'!$L$5:$L$328,'建筑逐级'!$A$5:$A$328,$A12,'建筑逐级'!$D$5:$D$328,$D12-1)</f>
        <v/>
      </c>
      <c r="M12" s="41">
        <f>SUMIF('建筑逐级'!$A$5:$A$328,$A12,'建筑逐级'!$L$5:$L$328)/86400</f>
        <v/>
      </c>
      <c r="N12" s="41">
        <f>SUMIF('建筑逐级'!$A$5:$A$328,$A12,'建筑逐级'!$M$5:$M$328)/86400</f>
        <v/>
      </c>
      <c r="O12" s="40">
        <f>SUMIFS('建筑逐级'!$K$5:$K$328,'建筑逐级'!$A$5:$A$328,$A12,'建筑逐级'!$D$5:$D$328,'参数与公式'!$B$9)</f>
        <v/>
      </c>
      <c r="P12" s="40">
        <f>SUMIFS('建筑逐级'!$K$5:$K$328,'建筑逐级'!$A$5:$A$328,$A12,'建筑逐级'!$D$5:$D$328,$D12-1)</f>
        <v/>
      </c>
      <c r="Q12" s="40">
        <f>SUMIF('建筑逐级'!$A$5:$A$328,$A12,'建筑逐级'!$N$5:$N$328)</f>
        <v/>
      </c>
      <c r="R12" s="40">
        <f>SUMIF('建筑逐级'!$A$5:$A$328,$A12,'建筑逐级'!$O$5:$O$328)</f>
        <v/>
      </c>
      <c r="S12" s="40">
        <f>SUMIF('建筑逐级'!$A$5:$A$328,$A12,'建筑逐级'!$P$5:$P$328)</f>
        <v/>
      </c>
      <c r="T12" s="40">
        <f>SUMIF('建筑逐级'!$A$5:$A$328,$A12,'建筑逐级'!$Q$5:$Q$328)</f>
        <v/>
      </c>
      <c r="U12" s="6" t="inlineStr">
        <is>
          <t>重点观察：等级上限/成长系数/后期单级耗时</t>
        </is>
      </c>
    </row>
    <row r="13" ht="30" customHeight="1">
      <c r="A13" s="17" t="inlineStr">
        <is>
          <t>smithy</t>
        </is>
      </c>
      <c r="B13" s="18" t="inlineStr">
        <is>
          <t>冶炼坊</t>
        </is>
      </c>
      <c r="C13" s="18" t="inlineStr">
        <is>
          <t>生产加工</t>
        </is>
      </c>
      <c r="D13" s="17" t="n">
        <v>10</v>
      </c>
      <c r="E13" s="19">
        <f>D13-'参数与公式'!$B$9</f>
        <v/>
      </c>
      <c r="F13" s="38" t="n">
        <v>300</v>
      </c>
      <c r="G13" s="39" t="n">
        <v>1.25</v>
      </c>
      <c r="H13" s="38" t="n">
        <v>1000</v>
      </c>
      <c r="I13" s="38" t="n">
        <v>0</v>
      </c>
      <c r="J13" s="39" t="n">
        <v>1.35</v>
      </c>
      <c r="K13" s="40">
        <f>SUMIFS('建筑逐级'!$L$5:$L$328,'建筑逐级'!$A$5:$A$328,$A13,'建筑逐级'!$D$5:$D$328,'参数与公式'!$B$9)</f>
        <v/>
      </c>
      <c r="L13" s="40">
        <f>SUMIFS('建筑逐级'!$L$5:$L$328,'建筑逐级'!$A$5:$A$328,$A13,'建筑逐级'!$D$5:$D$328,$D13-1)</f>
        <v/>
      </c>
      <c r="M13" s="41">
        <f>SUMIF('建筑逐级'!$A$5:$A$328,$A13,'建筑逐级'!$L$5:$L$328)/86400</f>
        <v/>
      </c>
      <c r="N13" s="41">
        <f>SUMIF('建筑逐级'!$A$5:$A$328,$A13,'建筑逐级'!$M$5:$M$328)/86400</f>
        <v/>
      </c>
      <c r="O13" s="40">
        <f>SUMIFS('建筑逐级'!$K$5:$K$328,'建筑逐级'!$A$5:$A$328,$A13,'建筑逐级'!$D$5:$D$328,'参数与公式'!$B$9)</f>
        <v/>
      </c>
      <c r="P13" s="40">
        <f>SUMIFS('建筑逐级'!$K$5:$K$328,'建筑逐级'!$A$5:$A$328,$A13,'建筑逐级'!$D$5:$D$328,$D13-1)</f>
        <v/>
      </c>
      <c r="Q13" s="40">
        <f>SUMIF('建筑逐级'!$A$5:$A$328,$A13,'建筑逐级'!$N$5:$N$328)</f>
        <v/>
      </c>
      <c r="R13" s="40">
        <f>SUMIF('建筑逐级'!$A$5:$A$328,$A13,'建筑逐级'!$O$5:$O$328)</f>
        <v/>
      </c>
      <c r="S13" s="40">
        <f>SUMIF('建筑逐级'!$A$5:$A$328,$A13,'建筑逐级'!$P$5:$P$328)</f>
        <v/>
      </c>
      <c r="T13" s="40">
        <f>SUMIF('建筑逐级'!$A$5:$A$328,$A13,'建筑逐级'!$Q$5:$Q$328)</f>
        <v/>
      </c>
      <c r="U13" s="6" t="inlineStr">
        <is>
          <t>重点观察：等级上限/成长系数/后期单级耗时</t>
        </is>
      </c>
    </row>
    <row r="14" ht="30" customHeight="1">
      <c r="A14" s="17" t="inlineStr">
        <is>
          <t>stable</t>
        </is>
      </c>
      <c r="B14" s="18" t="inlineStr">
        <is>
          <t>马房</t>
        </is>
      </c>
      <c r="C14" s="18" t="inlineStr">
        <is>
          <t>生产加工</t>
        </is>
      </c>
      <c r="D14" s="17" t="n">
        <v>10</v>
      </c>
      <c r="E14" s="19">
        <f>D14-'参数与公式'!$B$9</f>
        <v/>
      </c>
      <c r="F14" s="38" t="n">
        <v>300</v>
      </c>
      <c r="G14" s="39" t="n">
        <v>1.25</v>
      </c>
      <c r="H14" s="38" t="n">
        <v>980</v>
      </c>
      <c r="I14" s="38" t="n">
        <v>0</v>
      </c>
      <c r="J14" s="39" t="n">
        <v>1.35</v>
      </c>
      <c r="K14" s="40">
        <f>SUMIFS('建筑逐级'!$L$5:$L$328,'建筑逐级'!$A$5:$A$328,$A14,'建筑逐级'!$D$5:$D$328,'参数与公式'!$B$9)</f>
        <v/>
      </c>
      <c r="L14" s="40">
        <f>SUMIFS('建筑逐级'!$L$5:$L$328,'建筑逐级'!$A$5:$A$328,$A14,'建筑逐级'!$D$5:$D$328,$D14-1)</f>
        <v/>
      </c>
      <c r="M14" s="41">
        <f>SUMIF('建筑逐级'!$A$5:$A$328,$A14,'建筑逐级'!$L$5:$L$328)/86400</f>
        <v/>
      </c>
      <c r="N14" s="41">
        <f>SUMIF('建筑逐级'!$A$5:$A$328,$A14,'建筑逐级'!$M$5:$M$328)/86400</f>
        <v/>
      </c>
      <c r="O14" s="40">
        <f>SUMIFS('建筑逐级'!$K$5:$K$328,'建筑逐级'!$A$5:$A$328,$A14,'建筑逐级'!$D$5:$D$328,'参数与公式'!$B$9)</f>
        <v/>
      </c>
      <c r="P14" s="40">
        <f>SUMIFS('建筑逐级'!$K$5:$K$328,'建筑逐级'!$A$5:$A$328,$A14,'建筑逐级'!$D$5:$D$328,$D14-1)</f>
        <v/>
      </c>
      <c r="Q14" s="40">
        <f>SUMIF('建筑逐级'!$A$5:$A$328,$A14,'建筑逐级'!$N$5:$N$328)</f>
        <v/>
      </c>
      <c r="R14" s="40">
        <f>SUMIF('建筑逐级'!$A$5:$A$328,$A14,'建筑逐级'!$O$5:$O$328)</f>
        <v/>
      </c>
      <c r="S14" s="40">
        <f>SUMIF('建筑逐级'!$A$5:$A$328,$A14,'建筑逐级'!$P$5:$P$328)</f>
        <v/>
      </c>
      <c r="T14" s="40">
        <f>SUMIF('建筑逐级'!$A$5:$A$328,$A14,'建筑逐级'!$Q$5:$Q$328)</f>
        <v/>
      </c>
      <c r="U14" s="6" t="inlineStr">
        <is>
          <t>重点观察：等级上限/成长系数/后期单级耗时</t>
        </is>
      </c>
    </row>
    <row r="15" ht="30" customHeight="1">
      <c r="A15" s="17" t="inlineStr">
        <is>
          <t>forge</t>
        </is>
      </c>
      <c r="B15" s="18" t="inlineStr">
        <is>
          <t>铁匠铺</t>
        </is>
      </c>
      <c r="C15" s="18" t="inlineStr">
        <is>
          <t>生产加工</t>
        </is>
      </c>
      <c r="D15" s="17" t="n">
        <v>10</v>
      </c>
      <c r="E15" s="19">
        <f>D15-'参数与公式'!$B$9</f>
        <v/>
      </c>
      <c r="F15" s="38" t="n">
        <v>300</v>
      </c>
      <c r="G15" s="39" t="n">
        <v>1.25</v>
      </c>
      <c r="H15" s="38" t="n">
        <v>500</v>
      </c>
      <c r="I15" s="38" t="n">
        <v>500</v>
      </c>
      <c r="J15" s="39" t="n">
        <v>1.35</v>
      </c>
      <c r="K15" s="40">
        <f>SUMIFS('建筑逐级'!$L$5:$L$328,'建筑逐级'!$A$5:$A$328,$A15,'建筑逐级'!$D$5:$D$328,'参数与公式'!$B$9)</f>
        <v/>
      </c>
      <c r="L15" s="40">
        <f>SUMIFS('建筑逐级'!$L$5:$L$328,'建筑逐级'!$A$5:$A$328,$A15,'建筑逐级'!$D$5:$D$328,$D15-1)</f>
        <v/>
      </c>
      <c r="M15" s="41">
        <f>SUMIF('建筑逐级'!$A$5:$A$328,$A15,'建筑逐级'!$L$5:$L$328)/86400</f>
        <v/>
      </c>
      <c r="N15" s="41">
        <f>SUMIF('建筑逐级'!$A$5:$A$328,$A15,'建筑逐级'!$M$5:$M$328)/86400</f>
        <v/>
      </c>
      <c r="O15" s="40">
        <f>SUMIFS('建筑逐级'!$K$5:$K$328,'建筑逐级'!$A$5:$A$328,$A15,'建筑逐级'!$D$5:$D$328,'参数与公式'!$B$9)</f>
        <v/>
      </c>
      <c r="P15" s="40">
        <f>SUMIFS('建筑逐级'!$K$5:$K$328,'建筑逐级'!$A$5:$A$328,$A15,'建筑逐级'!$D$5:$D$328,$D15-1)</f>
        <v/>
      </c>
      <c r="Q15" s="40">
        <f>SUMIF('建筑逐级'!$A$5:$A$328,$A15,'建筑逐级'!$N$5:$N$328)</f>
        <v/>
      </c>
      <c r="R15" s="40">
        <f>SUMIF('建筑逐级'!$A$5:$A$328,$A15,'建筑逐级'!$O$5:$O$328)</f>
        <v/>
      </c>
      <c r="S15" s="40">
        <f>SUMIF('建筑逐级'!$A$5:$A$328,$A15,'建筑逐级'!$P$5:$P$328)</f>
        <v/>
      </c>
      <c r="T15" s="40">
        <f>SUMIF('建筑逐级'!$A$5:$A$328,$A15,'建筑逐级'!$Q$5:$Q$328)</f>
        <v/>
      </c>
      <c r="U15" s="6" t="inlineStr">
        <is>
          <t>重点观察：等级上限/成长系数/后期单级耗时</t>
        </is>
      </c>
    </row>
    <row r="16" ht="30" customHeight="1">
      <c r="A16" s="17" t="inlineStr">
        <is>
          <t>juxianzhuang</t>
        </is>
      </c>
      <c r="B16" s="18" t="inlineStr">
        <is>
          <t>聚贤庄</t>
        </is>
      </c>
      <c r="C16" s="18" t="inlineStr">
        <is>
          <t>人员管理</t>
        </is>
      </c>
      <c r="D16" s="17" t="n">
        <v>15</v>
      </c>
      <c r="E16" s="19">
        <f>D16-'参数与公式'!$B$9</f>
        <v/>
      </c>
      <c r="F16" s="38" t="n">
        <v>3107</v>
      </c>
      <c r="G16" s="39" t="n">
        <v>1.5</v>
      </c>
      <c r="H16" s="38" t="n">
        <v>17164</v>
      </c>
      <c r="I16" s="38" t="n">
        <v>3432</v>
      </c>
      <c r="J16" s="39" t="n">
        <v>1.7</v>
      </c>
      <c r="K16" s="40">
        <f>SUMIFS('建筑逐级'!$L$5:$L$328,'建筑逐级'!$A$5:$A$328,$A16,'建筑逐级'!$D$5:$D$328,'参数与公式'!$B$9)</f>
        <v/>
      </c>
      <c r="L16" s="40">
        <f>SUMIFS('建筑逐级'!$L$5:$L$328,'建筑逐级'!$A$5:$A$328,$A16,'建筑逐级'!$D$5:$D$328,$D16-1)</f>
        <v/>
      </c>
      <c r="M16" s="41">
        <f>SUMIF('建筑逐级'!$A$5:$A$328,$A16,'建筑逐级'!$L$5:$L$328)/86400</f>
        <v/>
      </c>
      <c r="N16" s="41">
        <f>SUMIF('建筑逐级'!$A$5:$A$328,$A16,'建筑逐级'!$M$5:$M$328)/86400</f>
        <v/>
      </c>
      <c r="O16" s="40">
        <f>SUMIFS('建筑逐级'!$K$5:$K$328,'建筑逐级'!$A$5:$A$328,$A16,'建筑逐级'!$D$5:$D$328,'参数与公式'!$B$9)</f>
        <v/>
      </c>
      <c r="P16" s="40">
        <f>SUMIFS('建筑逐级'!$K$5:$K$328,'建筑逐级'!$A$5:$A$328,$A16,'建筑逐级'!$D$5:$D$328,$D16-1)</f>
        <v/>
      </c>
      <c r="Q16" s="40">
        <f>SUMIF('建筑逐级'!$A$5:$A$328,$A16,'建筑逐级'!$N$5:$N$328)</f>
        <v/>
      </c>
      <c r="R16" s="40">
        <f>SUMIF('建筑逐级'!$A$5:$A$328,$A16,'建筑逐级'!$O$5:$O$328)</f>
        <v/>
      </c>
      <c r="S16" s="40">
        <f>SUMIF('建筑逐级'!$A$5:$A$328,$A16,'建筑逐级'!$P$5:$P$328)</f>
        <v/>
      </c>
      <c r="T16" s="40">
        <f>SUMIF('建筑逐级'!$A$5:$A$328,$A16,'建筑逐级'!$Q$5:$Q$328)</f>
        <v/>
      </c>
      <c r="U16" s="6" t="inlineStr">
        <is>
          <t>重点观察：等级上限/成长系数/后期单级耗时</t>
        </is>
      </c>
    </row>
    <row r="17" ht="30" customHeight="1">
      <c r="A17" s="17" t="inlineStr">
        <is>
          <t>jiadingfang</t>
        </is>
      </c>
      <c r="B17" s="18" t="inlineStr">
        <is>
          <t>家丁房</t>
        </is>
      </c>
      <c r="C17" s="18" t="inlineStr">
        <is>
          <t>人员管理</t>
        </is>
      </c>
      <c r="D17" s="17" t="n">
        <v>30</v>
      </c>
      <c r="E17" s="19">
        <f>D17-'参数与公式'!$B$9</f>
        <v/>
      </c>
      <c r="F17" s="38" t="n">
        <v>300</v>
      </c>
      <c r="G17" s="39" t="n">
        <v>1.2</v>
      </c>
      <c r="H17" s="38" t="n">
        <v>420</v>
      </c>
      <c r="I17" s="38" t="n">
        <v>0</v>
      </c>
      <c r="J17" s="39" t="n">
        <v>1.3</v>
      </c>
      <c r="K17" s="40">
        <f>SUMIFS('建筑逐级'!$L$5:$L$328,'建筑逐级'!$A$5:$A$328,$A17,'建筑逐级'!$D$5:$D$328,'参数与公式'!$B$9)</f>
        <v/>
      </c>
      <c r="L17" s="40">
        <f>SUMIFS('建筑逐级'!$L$5:$L$328,'建筑逐级'!$A$5:$A$328,$A17,'建筑逐级'!$D$5:$D$328,$D17-1)</f>
        <v/>
      </c>
      <c r="M17" s="41">
        <f>SUMIF('建筑逐级'!$A$5:$A$328,$A17,'建筑逐级'!$L$5:$L$328)/86400</f>
        <v/>
      </c>
      <c r="N17" s="41">
        <f>SUMIF('建筑逐级'!$A$5:$A$328,$A17,'建筑逐级'!$M$5:$M$328)/86400</f>
        <v/>
      </c>
      <c r="O17" s="40">
        <f>SUMIFS('建筑逐级'!$K$5:$K$328,'建筑逐级'!$A$5:$A$328,$A17,'建筑逐级'!$D$5:$D$328,'参数与公式'!$B$9)</f>
        <v/>
      </c>
      <c r="P17" s="40">
        <f>SUMIFS('建筑逐级'!$K$5:$K$328,'建筑逐级'!$A$5:$A$328,$A17,'建筑逐级'!$D$5:$D$328,$D17-1)</f>
        <v/>
      </c>
      <c r="Q17" s="40">
        <f>SUMIF('建筑逐级'!$A$5:$A$328,$A17,'建筑逐级'!$N$5:$N$328)</f>
        <v/>
      </c>
      <c r="R17" s="40">
        <f>SUMIF('建筑逐级'!$A$5:$A$328,$A17,'建筑逐级'!$O$5:$O$328)</f>
        <v/>
      </c>
      <c r="S17" s="40">
        <f>SUMIF('建筑逐级'!$A$5:$A$328,$A17,'建筑逐级'!$P$5:$P$328)</f>
        <v/>
      </c>
      <c r="T17" s="40">
        <f>SUMIF('建筑逐级'!$A$5:$A$328,$A17,'建筑逐级'!$Q$5:$Q$328)</f>
        <v/>
      </c>
      <c r="U17" s="6" t="inlineStr">
        <is>
          <t>重点观察：等级上限/成长系数/后期单级耗时</t>
        </is>
      </c>
    </row>
    <row r="18" ht="30" customHeight="1">
      <c r="A18" s="17" t="inlineStr">
        <is>
          <t>lianggongchang</t>
        </is>
      </c>
      <c r="B18" s="18" t="inlineStr">
        <is>
          <t>练功场</t>
        </is>
      </c>
      <c r="C18" s="18" t="inlineStr">
        <is>
          <t>人员管理</t>
        </is>
      </c>
      <c r="D18" s="17" t="n">
        <v>10</v>
      </c>
      <c r="E18" s="19">
        <f>D18-'参数与公式'!$B$9</f>
        <v/>
      </c>
      <c r="F18" s="38" t="n">
        <v>300</v>
      </c>
      <c r="G18" s="39" t="n">
        <v>1.2</v>
      </c>
      <c r="H18" s="38" t="n">
        <v>550</v>
      </c>
      <c r="I18" s="38" t="n">
        <v>0</v>
      </c>
      <c r="J18" s="39" t="n">
        <v>1.3</v>
      </c>
      <c r="K18" s="40">
        <f>SUMIFS('建筑逐级'!$L$5:$L$328,'建筑逐级'!$A$5:$A$328,$A18,'建筑逐级'!$D$5:$D$328,'参数与公式'!$B$9)</f>
        <v/>
      </c>
      <c r="L18" s="40">
        <f>SUMIFS('建筑逐级'!$L$5:$L$328,'建筑逐级'!$A$5:$A$328,$A18,'建筑逐级'!$D$5:$D$328,$D18-1)</f>
        <v/>
      </c>
      <c r="M18" s="41">
        <f>SUMIF('建筑逐级'!$A$5:$A$328,$A18,'建筑逐级'!$L$5:$L$328)/86400</f>
        <v/>
      </c>
      <c r="N18" s="41">
        <f>SUMIF('建筑逐级'!$A$5:$A$328,$A18,'建筑逐级'!$M$5:$M$328)/86400</f>
        <v/>
      </c>
      <c r="O18" s="40">
        <f>SUMIFS('建筑逐级'!$K$5:$K$328,'建筑逐级'!$A$5:$A$328,$A18,'建筑逐级'!$D$5:$D$328,'参数与公式'!$B$9)</f>
        <v/>
      </c>
      <c r="P18" s="40">
        <f>SUMIFS('建筑逐级'!$K$5:$K$328,'建筑逐级'!$A$5:$A$328,$A18,'建筑逐级'!$D$5:$D$328,$D18-1)</f>
        <v/>
      </c>
      <c r="Q18" s="40">
        <f>SUMIF('建筑逐级'!$A$5:$A$328,$A18,'建筑逐级'!$N$5:$N$328)</f>
        <v/>
      </c>
      <c r="R18" s="40">
        <f>SUMIF('建筑逐级'!$A$5:$A$328,$A18,'建筑逐级'!$O$5:$O$328)</f>
        <v/>
      </c>
      <c r="S18" s="40">
        <f>SUMIF('建筑逐级'!$A$5:$A$328,$A18,'建筑逐级'!$P$5:$P$328)</f>
        <v/>
      </c>
      <c r="T18" s="40">
        <f>SUMIF('建筑逐级'!$A$5:$A$328,$A18,'建筑逐级'!$Q$5:$Q$328)</f>
        <v/>
      </c>
      <c r="U18" s="6" t="inlineStr">
        <is>
          <t>重点观察：等级上限/成长系数/后期单级耗时</t>
        </is>
      </c>
    </row>
    <row r="19" ht="30" customHeight="1">
      <c r="A19" s="17" t="inlineStr">
        <is>
          <t>tavern</t>
        </is>
      </c>
      <c r="B19" s="18" t="inlineStr">
        <is>
          <t>酒馆</t>
        </is>
      </c>
      <c r="C19" s="18" t="inlineStr">
        <is>
          <t>人员管理</t>
        </is>
      </c>
      <c r="D19" s="17" t="n">
        <v>10</v>
      </c>
      <c r="E19" s="19">
        <f>D19-'参数与公式'!$B$9</f>
        <v/>
      </c>
      <c r="F19" s="38" t="n">
        <v>300</v>
      </c>
      <c r="G19" s="39" t="n">
        <v>1.25</v>
      </c>
      <c r="H19" s="38" t="n">
        <v>1150</v>
      </c>
      <c r="I19" s="38" t="n">
        <v>0</v>
      </c>
      <c r="J19" s="39" t="n">
        <v>1.35</v>
      </c>
      <c r="K19" s="40">
        <f>SUMIFS('建筑逐级'!$L$5:$L$328,'建筑逐级'!$A$5:$A$328,$A19,'建筑逐级'!$D$5:$D$328,'参数与公式'!$B$9)</f>
        <v/>
      </c>
      <c r="L19" s="40">
        <f>SUMIFS('建筑逐级'!$L$5:$L$328,'建筑逐级'!$A$5:$A$328,$A19,'建筑逐级'!$D$5:$D$328,$D19-1)</f>
        <v/>
      </c>
      <c r="M19" s="41">
        <f>SUMIF('建筑逐级'!$A$5:$A$328,$A19,'建筑逐级'!$L$5:$L$328)/86400</f>
        <v/>
      </c>
      <c r="N19" s="41">
        <f>SUMIF('建筑逐级'!$A$5:$A$328,$A19,'建筑逐级'!$M$5:$M$328)/86400</f>
        <v/>
      </c>
      <c r="O19" s="40">
        <f>SUMIFS('建筑逐级'!$K$5:$K$328,'建筑逐级'!$A$5:$A$328,$A19,'建筑逐级'!$D$5:$D$328,'参数与公式'!$B$9)</f>
        <v/>
      </c>
      <c r="P19" s="40">
        <f>SUMIFS('建筑逐级'!$K$5:$K$328,'建筑逐级'!$A$5:$A$328,$A19,'建筑逐级'!$D$5:$D$328,$D19-1)</f>
        <v/>
      </c>
      <c r="Q19" s="40">
        <f>SUMIF('建筑逐级'!$A$5:$A$328,$A19,'建筑逐级'!$N$5:$N$328)</f>
        <v/>
      </c>
      <c r="R19" s="40">
        <f>SUMIF('建筑逐级'!$A$5:$A$328,$A19,'建筑逐级'!$O$5:$O$328)</f>
        <v/>
      </c>
      <c r="S19" s="40">
        <f>SUMIF('建筑逐级'!$A$5:$A$328,$A19,'建筑逐级'!$P$5:$P$328)</f>
        <v/>
      </c>
      <c r="T19" s="40">
        <f>SUMIF('建筑逐级'!$A$5:$A$328,$A19,'建筑逐级'!$Q$5:$Q$328)</f>
        <v/>
      </c>
      <c r="U19" s="6" t="inlineStr">
        <is>
          <t>重点观察：等级上限/成长系数/后期单级耗时</t>
        </is>
      </c>
    </row>
    <row r="20" ht="30" customHeight="1">
      <c r="A20" s="17" t="inlineStr">
        <is>
          <t>citang</t>
        </is>
      </c>
      <c r="B20" s="18" t="inlineStr">
        <is>
          <t>祠堂</t>
        </is>
      </c>
      <c r="C20" s="18" t="inlineStr">
        <is>
          <t>特殊建筑</t>
        </is>
      </c>
      <c r="D20" s="17" t="n">
        <v>5</v>
      </c>
      <c r="E20" s="19">
        <f>D20-'参数与公式'!$B$9</f>
        <v/>
      </c>
      <c r="F20" s="38" t="n">
        <v>3600</v>
      </c>
      <c r="G20" s="39" t="n">
        <v>2</v>
      </c>
      <c r="H20" s="38" t="n">
        <v>10000</v>
      </c>
      <c r="I20" s="38" t="n">
        <v>5000</v>
      </c>
      <c r="J20" s="39" t="n">
        <v>2</v>
      </c>
      <c r="K20" s="40">
        <f>SUMIFS('建筑逐级'!$L$5:$L$328,'建筑逐级'!$A$5:$A$328,$A20,'建筑逐级'!$D$5:$D$328,'参数与公式'!$B$9)</f>
        <v/>
      </c>
      <c r="L20" s="40">
        <f>SUMIFS('建筑逐级'!$L$5:$L$328,'建筑逐级'!$A$5:$A$328,$A20,'建筑逐级'!$D$5:$D$328,$D20-1)</f>
        <v/>
      </c>
      <c r="M20" s="41">
        <f>SUMIF('建筑逐级'!$A$5:$A$328,$A20,'建筑逐级'!$L$5:$L$328)/86400</f>
        <v/>
      </c>
      <c r="N20" s="41">
        <f>SUMIF('建筑逐级'!$A$5:$A$328,$A20,'建筑逐级'!$M$5:$M$328)/86400</f>
        <v/>
      </c>
      <c r="O20" s="40">
        <f>SUMIFS('建筑逐级'!$K$5:$K$328,'建筑逐级'!$A$5:$A$328,$A20,'建筑逐级'!$D$5:$D$328,'参数与公式'!$B$9)</f>
        <v/>
      </c>
      <c r="P20" s="40">
        <f>SUMIFS('建筑逐级'!$K$5:$K$328,'建筑逐级'!$A$5:$A$328,$A20,'建筑逐级'!$D$5:$D$328,$D20-1)</f>
        <v/>
      </c>
      <c r="Q20" s="40">
        <f>SUMIF('建筑逐级'!$A$5:$A$328,$A20,'建筑逐级'!$N$5:$N$328)</f>
        <v/>
      </c>
      <c r="R20" s="40">
        <f>SUMIF('建筑逐级'!$A$5:$A$328,$A20,'建筑逐级'!$O$5:$O$328)</f>
        <v/>
      </c>
      <c r="S20" s="40">
        <f>SUMIF('建筑逐级'!$A$5:$A$328,$A20,'建筑逐级'!$P$5:$P$328)</f>
        <v/>
      </c>
      <c r="T20" s="40">
        <f>SUMIF('建筑逐级'!$A$5:$A$328,$A20,'建筑逐级'!$Q$5:$Q$328)</f>
        <v/>
      </c>
      <c r="U20" s="6" t="inlineStr">
        <is>
          <t>重点观察：等级上限/成长系数/后期单级耗时</t>
        </is>
      </c>
    </row>
    <row r="21" ht="30" customHeight="1">
      <c r="A21" s="17" t="inlineStr">
        <is>
          <t>youxibaota</t>
        </is>
      </c>
      <c r="B21" s="18" t="inlineStr">
        <is>
          <t>悠嘻宝塔</t>
        </is>
      </c>
      <c r="C21" s="18" t="inlineStr">
        <is>
          <t>特殊建筑</t>
        </is>
      </c>
      <c r="D21" s="17" t="n">
        <v>15</v>
      </c>
      <c r="E21" s="19">
        <f>D21-'参数与公式'!$B$9</f>
        <v/>
      </c>
      <c r="F21" s="38" t="n">
        <v>3107</v>
      </c>
      <c r="G21" s="39" t="n">
        <v>1.5</v>
      </c>
      <c r="H21" s="38" t="n">
        <v>20193</v>
      </c>
      <c r="I21" s="38" t="n">
        <v>4038</v>
      </c>
      <c r="J21" s="39" t="n">
        <v>1.7</v>
      </c>
      <c r="K21" s="40">
        <f>SUMIFS('建筑逐级'!$L$5:$L$328,'建筑逐级'!$A$5:$A$328,$A21,'建筑逐级'!$D$5:$D$328,'参数与公式'!$B$9)</f>
        <v/>
      </c>
      <c r="L21" s="40">
        <f>SUMIFS('建筑逐级'!$L$5:$L$328,'建筑逐级'!$A$5:$A$328,$A21,'建筑逐级'!$D$5:$D$328,$D21-1)</f>
        <v/>
      </c>
      <c r="M21" s="41">
        <f>SUMIF('建筑逐级'!$A$5:$A$328,$A21,'建筑逐级'!$L$5:$L$328)/86400</f>
        <v/>
      </c>
      <c r="N21" s="41">
        <f>SUMIF('建筑逐级'!$A$5:$A$328,$A21,'建筑逐级'!$M$5:$M$328)/86400</f>
        <v/>
      </c>
      <c r="O21" s="40">
        <f>SUMIFS('建筑逐级'!$K$5:$K$328,'建筑逐级'!$A$5:$A$328,$A21,'建筑逐级'!$D$5:$D$328,'参数与公式'!$B$9)</f>
        <v/>
      </c>
      <c r="P21" s="40">
        <f>SUMIFS('建筑逐级'!$K$5:$K$328,'建筑逐级'!$A$5:$A$328,$A21,'建筑逐级'!$D$5:$D$328,$D21-1)</f>
        <v/>
      </c>
      <c r="Q21" s="40">
        <f>SUMIF('建筑逐级'!$A$5:$A$328,$A21,'建筑逐级'!$N$5:$N$328)</f>
        <v/>
      </c>
      <c r="R21" s="40">
        <f>SUMIF('建筑逐级'!$A$5:$A$328,$A21,'建筑逐级'!$O$5:$O$328)</f>
        <v/>
      </c>
      <c r="S21" s="40">
        <f>SUMIF('建筑逐级'!$A$5:$A$328,$A21,'建筑逐级'!$P$5:$P$328)</f>
        <v/>
      </c>
      <c r="T21" s="40">
        <f>SUMIF('建筑逐级'!$A$5:$A$328,$A21,'建筑逐级'!$Q$5:$Q$328)</f>
        <v/>
      </c>
      <c r="U21" s="6" t="inlineStr">
        <is>
          <t>重点观察：等级上限/成长系数/后期单级耗时</t>
        </is>
      </c>
    </row>
    <row r="22" ht="30" customHeight="1">
      <c r="A22" s="17" t="inlineStr">
        <is>
          <t>jail</t>
        </is>
      </c>
      <c r="B22" s="18" t="inlineStr">
        <is>
          <t>监牢</t>
        </is>
      </c>
      <c r="C22" s="18" t="inlineStr">
        <is>
          <t>特殊建筑</t>
        </is>
      </c>
      <c r="D22" s="17" t="n">
        <v>5</v>
      </c>
      <c r="E22" s="19">
        <f>D22-'参数与公式'!$B$9</f>
        <v/>
      </c>
      <c r="F22" s="38" t="n">
        <v>600</v>
      </c>
      <c r="G22" s="39" t="n">
        <v>1.35</v>
      </c>
      <c r="H22" s="38" t="n">
        <v>1200</v>
      </c>
      <c r="I22" s="38" t="n">
        <v>800</v>
      </c>
      <c r="J22" s="39" t="n">
        <v>1.4</v>
      </c>
      <c r="K22" s="40">
        <f>SUMIFS('建筑逐级'!$L$5:$L$328,'建筑逐级'!$A$5:$A$328,$A22,'建筑逐级'!$D$5:$D$328,'参数与公式'!$B$9)</f>
        <v/>
      </c>
      <c r="L22" s="40">
        <f>SUMIFS('建筑逐级'!$L$5:$L$328,'建筑逐级'!$A$5:$A$328,$A22,'建筑逐级'!$D$5:$D$328,$D22-1)</f>
        <v/>
      </c>
      <c r="M22" s="41">
        <f>SUMIF('建筑逐级'!$A$5:$A$328,$A22,'建筑逐级'!$L$5:$L$328)/86400</f>
        <v/>
      </c>
      <c r="N22" s="41">
        <f>SUMIF('建筑逐级'!$A$5:$A$328,$A22,'建筑逐级'!$M$5:$M$328)/86400</f>
        <v/>
      </c>
      <c r="O22" s="40">
        <f>SUMIFS('建筑逐级'!$K$5:$K$328,'建筑逐级'!$A$5:$A$328,$A22,'建筑逐级'!$D$5:$D$328,'参数与公式'!$B$9)</f>
        <v/>
      </c>
      <c r="P22" s="40">
        <f>SUMIFS('建筑逐级'!$K$5:$K$328,'建筑逐级'!$A$5:$A$328,$A22,'建筑逐级'!$D$5:$D$328,$D22-1)</f>
        <v/>
      </c>
      <c r="Q22" s="40">
        <f>SUMIF('建筑逐级'!$A$5:$A$328,$A22,'建筑逐级'!$N$5:$N$328)</f>
        <v/>
      </c>
      <c r="R22" s="40">
        <f>SUMIF('建筑逐级'!$A$5:$A$328,$A22,'建筑逐级'!$O$5:$O$328)</f>
        <v/>
      </c>
      <c r="S22" s="40">
        <f>SUMIF('建筑逐级'!$A$5:$A$328,$A22,'建筑逐级'!$P$5:$P$328)</f>
        <v/>
      </c>
      <c r="T22" s="40">
        <f>SUMIF('建筑逐级'!$A$5:$A$328,$A22,'建筑逐级'!$Q$5:$Q$328)</f>
        <v/>
      </c>
      <c r="U22" s="6" t="inlineStr">
        <is>
          <t>重点观察：等级上限/成长系数/后期单级耗时</t>
        </is>
      </c>
    </row>
    <row r="23" ht="30" customHeight="1">
      <c r="A23" s="17" t="inlineStr">
        <is>
          <t>oath_grove</t>
        </is>
      </c>
      <c r="B23" s="18" t="inlineStr">
        <is>
          <t>结义林</t>
        </is>
      </c>
      <c r="C23" s="18" t="inlineStr">
        <is>
          <t>特殊建筑</t>
        </is>
      </c>
      <c r="D23" s="17" t="n">
        <v>5</v>
      </c>
      <c r="E23" s="19">
        <f>D23-'参数与公式'!$B$9</f>
        <v/>
      </c>
      <c r="F23" s="38" t="n">
        <v>600</v>
      </c>
      <c r="G23" s="39" t="n">
        <v>1.35</v>
      </c>
      <c r="H23" s="38" t="n">
        <v>1200</v>
      </c>
      <c r="I23" s="38" t="n">
        <v>800</v>
      </c>
      <c r="J23" s="39" t="n">
        <v>1.4</v>
      </c>
      <c r="K23" s="40">
        <f>SUMIFS('建筑逐级'!$L$5:$L$328,'建筑逐级'!$A$5:$A$328,$A23,'建筑逐级'!$D$5:$D$328,'参数与公式'!$B$9)</f>
        <v/>
      </c>
      <c r="L23" s="40">
        <f>SUMIFS('建筑逐级'!$L$5:$L$328,'建筑逐级'!$A$5:$A$328,$A23,'建筑逐级'!$D$5:$D$328,$D23-1)</f>
        <v/>
      </c>
      <c r="M23" s="41">
        <f>SUMIF('建筑逐级'!$A$5:$A$328,$A23,'建筑逐级'!$L$5:$L$328)/86400</f>
        <v/>
      </c>
      <c r="N23" s="41">
        <f>SUMIF('建筑逐级'!$A$5:$A$328,$A23,'建筑逐级'!$M$5:$M$328)/86400</f>
        <v/>
      </c>
      <c r="O23" s="40">
        <f>SUMIFS('建筑逐级'!$K$5:$K$328,'建筑逐级'!$A$5:$A$328,$A23,'建筑逐级'!$D$5:$D$328,'参数与公式'!$B$9)</f>
        <v/>
      </c>
      <c r="P23" s="40">
        <f>SUMIFS('建筑逐级'!$K$5:$K$328,'建筑逐级'!$A$5:$A$328,$A23,'建筑逐级'!$D$5:$D$328,$D23-1)</f>
        <v/>
      </c>
      <c r="Q23" s="40">
        <f>SUMIF('建筑逐级'!$A$5:$A$328,$A23,'建筑逐级'!$N$5:$N$328)</f>
        <v/>
      </c>
      <c r="R23" s="40">
        <f>SUMIF('建筑逐级'!$A$5:$A$328,$A23,'建筑逐级'!$O$5:$O$328)</f>
        <v/>
      </c>
      <c r="S23" s="40">
        <f>SUMIF('建筑逐级'!$A$5:$A$328,$A23,'建筑逐级'!$P$5:$P$328)</f>
        <v/>
      </c>
      <c r="T23" s="40">
        <f>SUMIF('建筑逐级'!$A$5:$A$328,$A23,'建筑逐级'!$Q$5:$Q$328)</f>
        <v/>
      </c>
      <c r="U23" s="6" t="inlineStr">
        <is>
          <t>重点观察：等级上限/成长系数/后期单级耗时</t>
        </is>
      </c>
    </row>
    <row r="24" ht="30" customHeight="1">
      <c r="A24" s="17" t="inlineStr">
        <is>
          <t>wall</t>
        </is>
      </c>
      <c r="B24" s="18" t="inlineStr">
        <is>
          <t>城墙</t>
        </is>
      </c>
      <c r="C24" s="18" t="inlineStr">
        <is>
          <t>城防建筑</t>
        </is>
      </c>
      <c r="D24" s="17" t="n">
        <v>10</v>
      </c>
      <c r="E24" s="19">
        <f>D24-'参数与公式'!$B$9</f>
        <v/>
      </c>
      <c r="F24" s="38" t="n">
        <v>900</v>
      </c>
      <c r="G24" s="39" t="n">
        <v>1.85</v>
      </c>
      <c r="H24" s="38" t="n">
        <v>18000</v>
      </c>
      <c r="I24" s="38" t="n">
        <v>0</v>
      </c>
      <c r="J24" s="39" t="n">
        <v>1.85</v>
      </c>
      <c r="K24" s="40">
        <f>SUMIFS('建筑逐级'!$L$5:$L$328,'建筑逐级'!$A$5:$A$328,$A24,'建筑逐级'!$D$5:$D$328,'参数与公式'!$B$9)</f>
        <v/>
      </c>
      <c r="L24" s="40">
        <f>SUMIFS('建筑逐级'!$L$5:$L$328,'建筑逐级'!$A$5:$A$328,$A24,'建筑逐级'!$D$5:$D$328,$D24-1)</f>
        <v/>
      </c>
      <c r="M24" s="41">
        <f>SUMIF('建筑逐级'!$A$5:$A$328,$A24,'建筑逐级'!$L$5:$L$328)/86400</f>
        <v/>
      </c>
      <c r="N24" s="41">
        <f>SUMIF('建筑逐级'!$A$5:$A$328,$A24,'建筑逐级'!$M$5:$M$328)/86400</f>
        <v/>
      </c>
      <c r="O24" s="40">
        <f>SUMIFS('建筑逐级'!$K$5:$K$328,'建筑逐级'!$A$5:$A$328,$A24,'建筑逐级'!$D$5:$D$328,'参数与公式'!$B$9)</f>
        <v/>
      </c>
      <c r="P24" s="40">
        <f>SUMIFS('建筑逐级'!$K$5:$K$328,'建筑逐级'!$A$5:$A$328,$A24,'建筑逐级'!$D$5:$D$328,$D24-1)</f>
        <v/>
      </c>
      <c r="Q24" s="40">
        <f>SUMIF('建筑逐级'!$A$5:$A$328,$A24,'建筑逐级'!$N$5:$N$328)</f>
        <v/>
      </c>
      <c r="R24" s="40">
        <f>SUMIF('建筑逐级'!$A$5:$A$328,$A24,'建筑逐级'!$O$5:$O$328)</f>
        <v/>
      </c>
      <c r="S24" s="40">
        <f>SUMIF('建筑逐级'!$A$5:$A$328,$A24,'建筑逐级'!$P$5:$P$328)</f>
        <v/>
      </c>
      <c r="T24" s="40">
        <f>SUMIF('建筑逐级'!$A$5:$A$328,$A24,'建筑逐级'!$Q$5:$Q$328)</f>
        <v/>
      </c>
      <c r="U24" s="6" t="inlineStr">
        <is>
          <t>重点观察：等级上限/成长系数/后期单级耗时</t>
        </is>
      </c>
    </row>
    <row r="25" ht="30" customHeight="1">
      <c r="A25" s="17" t="inlineStr">
        <is>
          <t>arrow_tower</t>
        </is>
      </c>
      <c r="B25" s="18" t="inlineStr">
        <is>
          <t>箭塔</t>
        </is>
      </c>
      <c r="C25" s="18" t="inlineStr">
        <is>
          <t>城防建筑</t>
        </is>
      </c>
      <c r="D25" s="17" t="n">
        <v>10</v>
      </c>
      <c r="E25" s="19">
        <f>D25-'参数与公式'!$B$9</f>
        <v/>
      </c>
      <c r="F25" s="38" t="n">
        <v>1200</v>
      </c>
      <c r="G25" s="39" t="n">
        <v>1.85</v>
      </c>
      <c r="H25" s="38" t="n">
        <v>18000</v>
      </c>
      <c r="I25" s="38" t="n">
        <v>0</v>
      </c>
      <c r="J25" s="39" t="n">
        <v>1.85</v>
      </c>
      <c r="K25" s="40">
        <f>SUMIFS('建筑逐级'!$L$5:$L$328,'建筑逐级'!$A$5:$A$328,$A25,'建筑逐级'!$D$5:$D$328,'参数与公式'!$B$9)</f>
        <v/>
      </c>
      <c r="L25" s="40">
        <f>SUMIFS('建筑逐级'!$L$5:$L$328,'建筑逐级'!$A$5:$A$328,$A25,'建筑逐级'!$D$5:$D$328,$D25-1)</f>
        <v/>
      </c>
      <c r="M25" s="41">
        <f>SUMIF('建筑逐级'!$A$5:$A$328,$A25,'建筑逐级'!$L$5:$L$328)/86400</f>
        <v/>
      </c>
      <c r="N25" s="41">
        <f>SUMIF('建筑逐级'!$A$5:$A$328,$A25,'建筑逐级'!$M$5:$M$328)/86400</f>
        <v/>
      </c>
      <c r="O25" s="40">
        <f>SUMIFS('建筑逐级'!$K$5:$K$328,'建筑逐级'!$A$5:$A$328,$A25,'建筑逐级'!$D$5:$D$328,'参数与公式'!$B$9)</f>
        <v/>
      </c>
      <c r="P25" s="40">
        <f>SUMIFS('建筑逐级'!$K$5:$K$328,'建筑逐级'!$A$5:$A$328,$A25,'建筑逐级'!$D$5:$D$328,$D25-1)</f>
        <v/>
      </c>
      <c r="Q25" s="40">
        <f>SUMIF('建筑逐级'!$A$5:$A$328,$A25,'建筑逐级'!$N$5:$N$328)</f>
        <v/>
      </c>
      <c r="R25" s="40">
        <f>SUMIF('建筑逐级'!$A$5:$A$328,$A25,'建筑逐级'!$O$5:$O$328)</f>
        <v/>
      </c>
      <c r="S25" s="40">
        <f>SUMIF('建筑逐级'!$A$5:$A$328,$A25,'建筑逐级'!$P$5:$P$328)</f>
        <v/>
      </c>
      <c r="T25" s="40">
        <f>SUMIF('建筑逐级'!$A$5:$A$328,$A25,'建筑逐级'!$Q$5:$Q$328)</f>
        <v/>
      </c>
      <c r="U25" s="6" t="inlineStr">
        <is>
          <t>重点观察：等级上限/成长系数/后期单级耗时</t>
        </is>
      </c>
    </row>
  </sheetData>
  <autoFilter ref="A4:U25"/>
  <mergeCells count="2">
    <mergeCell ref="A1:U1"/>
    <mergeCell ref="A2:U2"/>
  </mergeCells>
  <conditionalFormatting sqref="M5:N25">
    <cfRule type="colorScale" priority="1">
      <colorScale>
        <cfvo type="min"/>
        <cfvo type="percentile" val="50"/>
        <cfvo type="max"/>
        <color rgb="00E2F0D9"/>
        <color rgb="00FFF2CC"/>
        <color rgb="00F4B084"/>
      </colorScale>
    </cfRule>
  </conditionalFormatting>
  <conditionalFormatting sqref="Q5:Q25">
    <cfRule type="colorScale" priority="2">
      <colorScale>
        <cfvo type="min"/>
        <cfvo type="percentile" val="50"/>
        <cfvo type="max"/>
        <color rgb="00E2F0D9"/>
        <color rgb="00FFF2CC"/>
        <color rgb="00F4B084"/>
      </colorScale>
    </cfRule>
  </conditionalFormatting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32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6" customWidth="1" min="16" max="16"/>
    <col width="16" customWidth="1" min="17" max="17"/>
    <col width="65" customWidth="1" min="18" max="18"/>
  </cols>
  <sheetData>
    <row r="1" ht="26" customHeight="1">
      <c r="A1" s="1" t="inlineStr">
        <is>
          <t>建筑逐级升级明细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30" t="n"/>
    </row>
    <row r="2" ht="34" customHeight="1">
      <c r="A2" s="2" t="inlineStr">
        <is>
          <t>改动前配置基线的逐级明细；预算型公式方案请查看“建筑建议总览/建筑建议逐级”。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30" t="n"/>
    </row>
    <row r="4" ht="34" customHeight="1">
      <c r="A4" s="5" t="inlineStr">
        <is>
          <t>建筑Key</t>
        </is>
      </c>
      <c r="B4" s="5" t="inlineStr">
        <is>
          <t>建筑</t>
        </is>
      </c>
      <c r="C4" s="5" t="inlineStr">
        <is>
          <t>分类</t>
        </is>
      </c>
      <c r="D4" s="5" t="inlineStr">
        <is>
          <t>当前等级</t>
        </is>
      </c>
      <c r="E4" s="5" t="inlineStr">
        <is>
          <t>目标等级</t>
        </is>
      </c>
      <c r="F4" s="5" t="inlineStr">
        <is>
          <t>基础时间(s)</t>
        </is>
      </c>
      <c r="G4" s="5" t="inlineStr">
        <is>
          <t>时间成长</t>
        </is>
      </c>
      <c r="H4" s="5" t="inlineStr">
        <is>
          <t>基础银两</t>
        </is>
      </c>
      <c r="I4" s="5" t="inlineStr">
        <is>
          <t>基础粮食</t>
        </is>
      </c>
      <c r="J4" s="5" t="inlineStr">
        <is>
          <t>成本成长</t>
        </is>
      </c>
      <c r="K4" s="5" t="inlineStr">
        <is>
          <t>配置时长(s)</t>
        </is>
      </c>
      <c r="L4" s="5" t="inlineStr">
        <is>
          <t>基准实耗时(s)</t>
        </is>
      </c>
      <c r="M4" s="5" t="inlineStr">
        <is>
          <t>祠堂5级实耗时(s)</t>
        </is>
      </c>
      <c r="N4" s="5" t="inlineStr">
        <is>
          <t>配置银两</t>
        </is>
      </c>
      <c r="O4" s="5" t="inlineStr">
        <is>
          <t>配置粮食</t>
        </is>
      </c>
      <c r="P4" s="5" t="inlineStr">
        <is>
          <t>建筑学10级银两</t>
        </is>
      </c>
      <c r="Q4" s="5" t="inlineStr">
        <is>
          <t>建筑学10级粮食</t>
        </is>
      </c>
      <c r="R4" s="5" t="inlineStr">
        <is>
          <t>数据来源</t>
        </is>
      </c>
    </row>
    <row r="5" ht="25" customHeight="1">
      <c r="A5" s="17" t="inlineStr">
        <is>
          <t>farm</t>
        </is>
      </c>
      <c r="B5" s="18" t="inlineStr">
        <is>
          <t>农田</t>
        </is>
      </c>
      <c r="C5" s="18" t="inlineStr">
        <is>
          <t>资源生产</t>
        </is>
      </c>
      <c r="D5" s="17" t="n">
        <v>1</v>
      </c>
      <c r="E5" s="24">
        <f>D5+1</f>
        <v/>
      </c>
      <c r="F5" s="38" t="n">
        <v>180</v>
      </c>
      <c r="G5" s="39" t="n">
        <v>1.22</v>
      </c>
      <c r="H5" s="38" t="n">
        <v>170</v>
      </c>
      <c r="I5" s="38" t="n">
        <v>0</v>
      </c>
      <c r="J5" s="39" t="n">
        <v>1.33</v>
      </c>
      <c r="K5" s="42">
        <f>ROUNDUP(F5*POWER(G5,D5),0)</f>
        <v/>
      </c>
      <c r="L5" s="40">
        <f>MAX(1,ROUNDDOWN(K5/'参数与公式'!$B$5,0))</f>
        <v/>
      </c>
      <c r="M5" s="40">
        <f>MAX(1,ROUNDDOWN(K5*(1-'参数与公式'!$B$14)/'参数与公式'!$B$5,0))</f>
        <v/>
      </c>
      <c r="N5" s="42">
        <f>IF(H5=0,0,ROUNDUP(H5*POWER(J5,D5),0))</f>
        <v/>
      </c>
      <c r="O5" s="42">
        <f>IF(I5=0,0,ROUNDUP(I5*POWER(J5,D5),0))</f>
        <v/>
      </c>
      <c r="P5" s="40">
        <f>IF(N5=0,0,MAX(1,ROUNDUP(N5*(1-'参数与公式'!$B$17),0)))</f>
        <v/>
      </c>
      <c r="Q5" s="40">
        <f>IF(O5=0,0,MAX(1,ROUNDUP(O5*(1-'参数与公式'!$B$17),0)))</f>
        <v/>
      </c>
      <c r="R5" s="18" t="inlineStr">
        <is>
          <t>data/building_templates.yaml; max_level: gameplay/constants.py; formula: gameplay/models/manor.py</t>
        </is>
      </c>
    </row>
    <row r="6" ht="25" customHeight="1">
      <c r="A6" s="17" t="inlineStr">
        <is>
          <t>farm</t>
        </is>
      </c>
      <c r="B6" s="18" t="inlineStr">
        <is>
          <t>农田</t>
        </is>
      </c>
      <c r="C6" s="18" t="inlineStr">
        <is>
          <t>资源生产</t>
        </is>
      </c>
      <c r="D6" s="17" t="n">
        <v>2</v>
      </c>
      <c r="E6" s="24">
        <f>D6+1</f>
        <v/>
      </c>
      <c r="F6" s="38" t="n">
        <v>180</v>
      </c>
      <c r="G6" s="39" t="n">
        <v>1.22</v>
      </c>
      <c r="H6" s="38" t="n">
        <v>170</v>
      </c>
      <c r="I6" s="38" t="n">
        <v>0</v>
      </c>
      <c r="J6" s="39" t="n">
        <v>1.33</v>
      </c>
      <c r="K6" s="42">
        <f>ROUNDUP(F6*POWER(G6,D6),0)</f>
        <v/>
      </c>
      <c r="L6" s="40">
        <f>MAX(1,ROUNDDOWN(K6/'参数与公式'!$B$5,0))</f>
        <v/>
      </c>
      <c r="M6" s="40">
        <f>MAX(1,ROUNDDOWN(K6*(1-'参数与公式'!$B$14)/'参数与公式'!$B$5,0))</f>
        <v/>
      </c>
      <c r="N6" s="42">
        <f>IF(H6=0,0,ROUNDUP(H6*POWER(J6,D6),0))</f>
        <v/>
      </c>
      <c r="O6" s="42">
        <f>IF(I6=0,0,ROUNDUP(I6*POWER(J6,D6),0))</f>
        <v/>
      </c>
      <c r="P6" s="40">
        <f>IF(N6=0,0,MAX(1,ROUNDUP(N6*(1-'参数与公式'!$B$17),0)))</f>
        <v/>
      </c>
      <c r="Q6" s="40">
        <f>IF(O6=0,0,MAX(1,ROUNDUP(O6*(1-'参数与公式'!$B$17),0)))</f>
        <v/>
      </c>
      <c r="R6" s="18" t="inlineStr">
        <is>
          <t>data/building_templates.yaml; max_level: gameplay/constants.py; formula: gameplay/models/manor.py</t>
        </is>
      </c>
    </row>
    <row r="7" ht="25" customHeight="1">
      <c r="A7" s="17" t="inlineStr">
        <is>
          <t>farm</t>
        </is>
      </c>
      <c r="B7" s="18" t="inlineStr">
        <is>
          <t>农田</t>
        </is>
      </c>
      <c r="C7" s="18" t="inlineStr">
        <is>
          <t>资源生产</t>
        </is>
      </c>
      <c r="D7" s="17" t="n">
        <v>3</v>
      </c>
      <c r="E7" s="24">
        <f>D7+1</f>
        <v/>
      </c>
      <c r="F7" s="38" t="n">
        <v>180</v>
      </c>
      <c r="G7" s="39" t="n">
        <v>1.22</v>
      </c>
      <c r="H7" s="38" t="n">
        <v>170</v>
      </c>
      <c r="I7" s="38" t="n">
        <v>0</v>
      </c>
      <c r="J7" s="39" t="n">
        <v>1.33</v>
      </c>
      <c r="K7" s="42">
        <f>ROUNDUP(F7*POWER(G7,D7),0)</f>
        <v/>
      </c>
      <c r="L7" s="40">
        <f>MAX(1,ROUNDDOWN(K7/'参数与公式'!$B$5,0))</f>
        <v/>
      </c>
      <c r="M7" s="40">
        <f>MAX(1,ROUNDDOWN(K7*(1-'参数与公式'!$B$14)/'参数与公式'!$B$5,0))</f>
        <v/>
      </c>
      <c r="N7" s="42">
        <f>IF(H7=0,0,ROUNDUP(H7*POWER(J7,D7),0))</f>
        <v/>
      </c>
      <c r="O7" s="42">
        <f>IF(I7=0,0,ROUNDUP(I7*POWER(J7,D7),0))</f>
        <v/>
      </c>
      <c r="P7" s="40">
        <f>IF(N7=0,0,MAX(1,ROUNDUP(N7*(1-'参数与公式'!$B$17),0)))</f>
        <v/>
      </c>
      <c r="Q7" s="40">
        <f>IF(O7=0,0,MAX(1,ROUNDUP(O7*(1-'参数与公式'!$B$17),0)))</f>
        <v/>
      </c>
      <c r="R7" s="18" t="inlineStr">
        <is>
          <t>data/building_templates.yaml; max_level: gameplay/constants.py; formula: gameplay/models/manor.py</t>
        </is>
      </c>
    </row>
    <row r="8" ht="25" customHeight="1">
      <c r="A8" s="17" t="inlineStr">
        <is>
          <t>farm</t>
        </is>
      </c>
      <c r="B8" s="18" t="inlineStr">
        <is>
          <t>农田</t>
        </is>
      </c>
      <c r="C8" s="18" t="inlineStr">
        <is>
          <t>资源生产</t>
        </is>
      </c>
      <c r="D8" s="17" t="n">
        <v>4</v>
      </c>
      <c r="E8" s="24">
        <f>D8+1</f>
        <v/>
      </c>
      <c r="F8" s="38" t="n">
        <v>180</v>
      </c>
      <c r="G8" s="39" t="n">
        <v>1.22</v>
      </c>
      <c r="H8" s="38" t="n">
        <v>170</v>
      </c>
      <c r="I8" s="38" t="n">
        <v>0</v>
      </c>
      <c r="J8" s="39" t="n">
        <v>1.33</v>
      </c>
      <c r="K8" s="42">
        <f>ROUNDUP(F8*POWER(G8,D8),0)</f>
        <v/>
      </c>
      <c r="L8" s="40">
        <f>MAX(1,ROUNDDOWN(K8/'参数与公式'!$B$5,0))</f>
        <v/>
      </c>
      <c r="M8" s="40">
        <f>MAX(1,ROUNDDOWN(K8*(1-'参数与公式'!$B$14)/'参数与公式'!$B$5,0))</f>
        <v/>
      </c>
      <c r="N8" s="42">
        <f>IF(H8=0,0,ROUNDUP(H8*POWER(J8,D8),0))</f>
        <v/>
      </c>
      <c r="O8" s="42">
        <f>IF(I8=0,0,ROUNDUP(I8*POWER(J8,D8),0))</f>
        <v/>
      </c>
      <c r="P8" s="40">
        <f>IF(N8=0,0,MAX(1,ROUNDUP(N8*(1-'参数与公式'!$B$17),0)))</f>
        <v/>
      </c>
      <c r="Q8" s="40">
        <f>IF(O8=0,0,MAX(1,ROUNDUP(O8*(1-'参数与公式'!$B$17),0)))</f>
        <v/>
      </c>
      <c r="R8" s="18" t="inlineStr">
        <is>
          <t>data/building_templates.yaml; max_level: gameplay/constants.py; formula: gameplay/models/manor.py</t>
        </is>
      </c>
    </row>
    <row r="9" ht="25" customHeight="1">
      <c r="A9" s="17" t="inlineStr">
        <is>
          <t>farm</t>
        </is>
      </c>
      <c r="B9" s="18" t="inlineStr">
        <is>
          <t>农田</t>
        </is>
      </c>
      <c r="C9" s="18" t="inlineStr">
        <is>
          <t>资源生产</t>
        </is>
      </c>
      <c r="D9" s="17" t="n">
        <v>5</v>
      </c>
      <c r="E9" s="24">
        <f>D9+1</f>
        <v/>
      </c>
      <c r="F9" s="38" t="n">
        <v>180</v>
      </c>
      <c r="G9" s="39" t="n">
        <v>1.22</v>
      </c>
      <c r="H9" s="38" t="n">
        <v>170</v>
      </c>
      <c r="I9" s="38" t="n">
        <v>0</v>
      </c>
      <c r="J9" s="39" t="n">
        <v>1.33</v>
      </c>
      <c r="K9" s="42">
        <f>ROUNDUP(F9*POWER(G9,D9),0)</f>
        <v/>
      </c>
      <c r="L9" s="40">
        <f>MAX(1,ROUNDDOWN(K9/'参数与公式'!$B$5,0))</f>
        <v/>
      </c>
      <c r="M9" s="40">
        <f>MAX(1,ROUNDDOWN(K9*(1-'参数与公式'!$B$14)/'参数与公式'!$B$5,0))</f>
        <v/>
      </c>
      <c r="N9" s="42">
        <f>IF(H9=0,0,ROUNDUP(H9*POWER(J9,D9),0))</f>
        <v/>
      </c>
      <c r="O9" s="42">
        <f>IF(I9=0,0,ROUNDUP(I9*POWER(J9,D9),0))</f>
        <v/>
      </c>
      <c r="P9" s="40">
        <f>IF(N9=0,0,MAX(1,ROUNDUP(N9*(1-'参数与公式'!$B$17),0)))</f>
        <v/>
      </c>
      <c r="Q9" s="40">
        <f>IF(O9=0,0,MAX(1,ROUNDUP(O9*(1-'参数与公式'!$B$17),0)))</f>
        <v/>
      </c>
      <c r="R9" s="18" t="inlineStr">
        <is>
          <t>data/building_templates.yaml; max_level: gameplay/constants.py; formula: gameplay/models/manor.py</t>
        </is>
      </c>
    </row>
    <row r="10" ht="25" customHeight="1">
      <c r="A10" s="17" t="inlineStr">
        <is>
          <t>farm</t>
        </is>
      </c>
      <c r="B10" s="18" t="inlineStr">
        <is>
          <t>农田</t>
        </is>
      </c>
      <c r="C10" s="18" t="inlineStr">
        <is>
          <t>资源生产</t>
        </is>
      </c>
      <c r="D10" s="17" t="n">
        <v>6</v>
      </c>
      <c r="E10" s="24">
        <f>D10+1</f>
        <v/>
      </c>
      <c r="F10" s="38" t="n">
        <v>180</v>
      </c>
      <c r="G10" s="39" t="n">
        <v>1.22</v>
      </c>
      <c r="H10" s="38" t="n">
        <v>170</v>
      </c>
      <c r="I10" s="38" t="n">
        <v>0</v>
      </c>
      <c r="J10" s="39" t="n">
        <v>1.33</v>
      </c>
      <c r="K10" s="42">
        <f>ROUNDUP(F10*POWER(G10,D10),0)</f>
        <v/>
      </c>
      <c r="L10" s="40">
        <f>MAX(1,ROUNDDOWN(K10/'参数与公式'!$B$5,0))</f>
        <v/>
      </c>
      <c r="M10" s="40">
        <f>MAX(1,ROUNDDOWN(K10*(1-'参数与公式'!$B$14)/'参数与公式'!$B$5,0))</f>
        <v/>
      </c>
      <c r="N10" s="42">
        <f>IF(H10=0,0,ROUNDUP(H10*POWER(J10,D10),0))</f>
        <v/>
      </c>
      <c r="O10" s="42">
        <f>IF(I10=0,0,ROUNDUP(I10*POWER(J10,D10),0))</f>
        <v/>
      </c>
      <c r="P10" s="40">
        <f>IF(N10=0,0,MAX(1,ROUNDUP(N10*(1-'参数与公式'!$B$17),0)))</f>
        <v/>
      </c>
      <c r="Q10" s="40">
        <f>IF(O10=0,0,MAX(1,ROUNDUP(O10*(1-'参数与公式'!$B$17),0)))</f>
        <v/>
      </c>
      <c r="R10" s="18" t="inlineStr">
        <is>
          <t>data/building_templates.yaml; max_level: gameplay/constants.py; formula: gameplay/models/manor.py</t>
        </is>
      </c>
    </row>
    <row r="11" ht="25" customHeight="1">
      <c r="A11" s="17" t="inlineStr">
        <is>
          <t>farm</t>
        </is>
      </c>
      <c r="B11" s="18" t="inlineStr">
        <is>
          <t>农田</t>
        </is>
      </c>
      <c r="C11" s="18" t="inlineStr">
        <is>
          <t>资源生产</t>
        </is>
      </c>
      <c r="D11" s="17" t="n">
        <v>7</v>
      </c>
      <c r="E11" s="24">
        <f>D11+1</f>
        <v/>
      </c>
      <c r="F11" s="38" t="n">
        <v>180</v>
      </c>
      <c r="G11" s="39" t="n">
        <v>1.22</v>
      </c>
      <c r="H11" s="38" t="n">
        <v>170</v>
      </c>
      <c r="I11" s="38" t="n">
        <v>0</v>
      </c>
      <c r="J11" s="39" t="n">
        <v>1.33</v>
      </c>
      <c r="K11" s="42">
        <f>ROUNDUP(F11*POWER(G11,D11),0)</f>
        <v/>
      </c>
      <c r="L11" s="40">
        <f>MAX(1,ROUNDDOWN(K11/'参数与公式'!$B$5,0))</f>
        <v/>
      </c>
      <c r="M11" s="40">
        <f>MAX(1,ROUNDDOWN(K11*(1-'参数与公式'!$B$14)/'参数与公式'!$B$5,0))</f>
        <v/>
      </c>
      <c r="N11" s="42">
        <f>IF(H11=0,0,ROUNDUP(H11*POWER(J11,D11),0))</f>
        <v/>
      </c>
      <c r="O11" s="42">
        <f>IF(I11=0,0,ROUNDUP(I11*POWER(J11,D11),0))</f>
        <v/>
      </c>
      <c r="P11" s="40">
        <f>IF(N11=0,0,MAX(1,ROUNDUP(N11*(1-'参数与公式'!$B$17),0)))</f>
        <v/>
      </c>
      <c r="Q11" s="40">
        <f>IF(O11=0,0,MAX(1,ROUNDUP(O11*(1-'参数与公式'!$B$17),0)))</f>
        <v/>
      </c>
      <c r="R11" s="18" t="inlineStr">
        <is>
          <t>data/building_templates.yaml; max_level: gameplay/constants.py; formula: gameplay/models/manor.py</t>
        </is>
      </c>
    </row>
    <row r="12" ht="25" customHeight="1">
      <c r="A12" s="17" t="inlineStr">
        <is>
          <t>farm</t>
        </is>
      </c>
      <c r="B12" s="18" t="inlineStr">
        <is>
          <t>农田</t>
        </is>
      </c>
      <c r="C12" s="18" t="inlineStr">
        <is>
          <t>资源生产</t>
        </is>
      </c>
      <c r="D12" s="17" t="n">
        <v>8</v>
      </c>
      <c r="E12" s="24">
        <f>D12+1</f>
        <v/>
      </c>
      <c r="F12" s="38" t="n">
        <v>180</v>
      </c>
      <c r="G12" s="39" t="n">
        <v>1.22</v>
      </c>
      <c r="H12" s="38" t="n">
        <v>170</v>
      </c>
      <c r="I12" s="38" t="n">
        <v>0</v>
      </c>
      <c r="J12" s="39" t="n">
        <v>1.33</v>
      </c>
      <c r="K12" s="42">
        <f>ROUNDUP(F12*POWER(G12,D12),0)</f>
        <v/>
      </c>
      <c r="L12" s="40">
        <f>MAX(1,ROUNDDOWN(K12/'参数与公式'!$B$5,0))</f>
        <v/>
      </c>
      <c r="M12" s="40">
        <f>MAX(1,ROUNDDOWN(K12*(1-'参数与公式'!$B$14)/'参数与公式'!$B$5,0))</f>
        <v/>
      </c>
      <c r="N12" s="42">
        <f>IF(H12=0,0,ROUNDUP(H12*POWER(J12,D12),0))</f>
        <v/>
      </c>
      <c r="O12" s="42">
        <f>IF(I12=0,0,ROUNDUP(I12*POWER(J12,D12),0))</f>
        <v/>
      </c>
      <c r="P12" s="40">
        <f>IF(N12=0,0,MAX(1,ROUNDUP(N12*(1-'参数与公式'!$B$17),0)))</f>
        <v/>
      </c>
      <c r="Q12" s="40">
        <f>IF(O12=0,0,MAX(1,ROUNDUP(O12*(1-'参数与公式'!$B$17),0)))</f>
        <v/>
      </c>
      <c r="R12" s="18" t="inlineStr">
        <is>
          <t>data/building_templates.yaml; max_level: gameplay/constants.py; formula: gameplay/models/manor.py</t>
        </is>
      </c>
    </row>
    <row r="13" ht="25" customHeight="1">
      <c r="A13" s="17" t="inlineStr">
        <is>
          <t>farm</t>
        </is>
      </c>
      <c r="B13" s="18" t="inlineStr">
        <is>
          <t>农田</t>
        </is>
      </c>
      <c r="C13" s="18" t="inlineStr">
        <is>
          <t>资源生产</t>
        </is>
      </c>
      <c r="D13" s="17" t="n">
        <v>9</v>
      </c>
      <c r="E13" s="24">
        <f>D13+1</f>
        <v/>
      </c>
      <c r="F13" s="38" t="n">
        <v>180</v>
      </c>
      <c r="G13" s="39" t="n">
        <v>1.22</v>
      </c>
      <c r="H13" s="38" t="n">
        <v>170</v>
      </c>
      <c r="I13" s="38" t="n">
        <v>0</v>
      </c>
      <c r="J13" s="39" t="n">
        <v>1.33</v>
      </c>
      <c r="K13" s="42">
        <f>ROUNDUP(F13*POWER(G13,D13),0)</f>
        <v/>
      </c>
      <c r="L13" s="40">
        <f>MAX(1,ROUNDDOWN(K13/'参数与公式'!$B$5,0))</f>
        <v/>
      </c>
      <c r="M13" s="40">
        <f>MAX(1,ROUNDDOWN(K13*(1-'参数与公式'!$B$14)/'参数与公式'!$B$5,0))</f>
        <v/>
      </c>
      <c r="N13" s="42">
        <f>IF(H13=0,0,ROUNDUP(H13*POWER(J13,D13),0))</f>
        <v/>
      </c>
      <c r="O13" s="42">
        <f>IF(I13=0,0,ROUNDUP(I13*POWER(J13,D13),0))</f>
        <v/>
      </c>
      <c r="P13" s="40">
        <f>IF(N13=0,0,MAX(1,ROUNDUP(N13*(1-'参数与公式'!$B$17),0)))</f>
        <v/>
      </c>
      <c r="Q13" s="40">
        <f>IF(O13=0,0,MAX(1,ROUNDUP(O13*(1-'参数与公式'!$B$17),0)))</f>
        <v/>
      </c>
      <c r="R13" s="18" t="inlineStr">
        <is>
          <t>data/building_templates.yaml; max_level: gameplay/constants.py; formula: gameplay/models/manor.py</t>
        </is>
      </c>
    </row>
    <row r="14" ht="25" customHeight="1">
      <c r="A14" s="17" t="inlineStr">
        <is>
          <t>farm</t>
        </is>
      </c>
      <c r="B14" s="18" t="inlineStr">
        <is>
          <t>农田</t>
        </is>
      </c>
      <c r="C14" s="18" t="inlineStr">
        <is>
          <t>资源生产</t>
        </is>
      </c>
      <c r="D14" s="17" t="n">
        <v>10</v>
      </c>
      <c r="E14" s="24">
        <f>D14+1</f>
        <v/>
      </c>
      <c r="F14" s="38" t="n">
        <v>180</v>
      </c>
      <c r="G14" s="39" t="n">
        <v>1.22</v>
      </c>
      <c r="H14" s="38" t="n">
        <v>170</v>
      </c>
      <c r="I14" s="38" t="n">
        <v>0</v>
      </c>
      <c r="J14" s="39" t="n">
        <v>1.33</v>
      </c>
      <c r="K14" s="42">
        <f>ROUNDUP(F14*POWER(G14,D14),0)</f>
        <v/>
      </c>
      <c r="L14" s="40">
        <f>MAX(1,ROUNDDOWN(K14/'参数与公式'!$B$5,0))</f>
        <v/>
      </c>
      <c r="M14" s="40">
        <f>MAX(1,ROUNDDOWN(K14*(1-'参数与公式'!$B$14)/'参数与公式'!$B$5,0))</f>
        <v/>
      </c>
      <c r="N14" s="42">
        <f>IF(H14=0,0,ROUNDUP(H14*POWER(J14,D14),0))</f>
        <v/>
      </c>
      <c r="O14" s="42">
        <f>IF(I14=0,0,ROUNDUP(I14*POWER(J14,D14),0))</f>
        <v/>
      </c>
      <c r="P14" s="40">
        <f>IF(N14=0,0,MAX(1,ROUNDUP(N14*(1-'参数与公式'!$B$17),0)))</f>
        <v/>
      </c>
      <c r="Q14" s="40">
        <f>IF(O14=0,0,MAX(1,ROUNDUP(O14*(1-'参数与公式'!$B$17),0)))</f>
        <v/>
      </c>
      <c r="R14" s="18" t="inlineStr">
        <is>
          <t>data/building_templates.yaml; max_level: gameplay/constants.py; formula: gameplay/models/manor.py</t>
        </is>
      </c>
    </row>
    <row r="15" ht="25" customHeight="1">
      <c r="A15" s="17" t="inlineStr">
        <is>
          <t>farm</t>
        </is>
      </c>
      <c r="B15" s="18" t="inlineStr">
        <is>
          <t>农田</t>
        </is>
      </c>
      <c r="C15" s="18" t="inlineStr">
        <is>
          <t>资源生产</t>
        </is>
      </c>
      <c r="D15" s="17" t="n">
        <v>11</v>
      </c>
      <c r="E15" s="24">
        <f>D15+1</f>
        <v/>
      </c>
      <c r="F15" s="38" t="n">
        <v>180</v>
      </c>
      <c r="G15" s="39" t="n">
        <v>1.22</v>
      </c>
      <c r="H15" s="38" t="n">
        <v>170</v>
      </c>
      <c r="I15" s="38" t="n">
        <v>0</v>
      </c>
      <c r="J15" s="39" t="n">
        <v>1.33</v>
      </c>
      <c r="K15" s="42">
        <f>ROUNDUP(F15*POWER(G15,D15),0)</f>
        <v/>
      </c>
      <c r="L15" s="40">
        <f>MAX(1,ROUNDDOWN(K15/'参数与公式'!$B$5,0))</f>
        <v/>
      </c>
      <c r="M15" s="40">
        <f>MAX(1,ROUNDDOWN(K15*(1-'参数与公式'!$B$14)/'参数与公式'!$B$5,0))</f>
        <v/>
      </c>
      <c r="N15" s="42">
        <f>IF(H15=0,0,ROUNDUP(H15*POWER(J15,D15),0))</f>
        <v/>
      </c>
      <c r="O15" s="42">
        <f>IF(I15=0,0,ROUNDUP(I15*POWER(J15,D15),0))</f>
        <v/>
      </c>
      <c r="P15" s="40">
        <f>IF(N15=0,0,MAX(1,ROUNDUP(N15*(1-'参数与公式'!$B$17),0)))</f>
        <v/>
      </c>
      <c r="Q15" s="40">
        <f>IF(O15=0,0,MAX(1,ROUNDUP(O15*(1-'参数与公式'!$B$17),0)))</f>
        <v/>
      </c>
      <c r="R15" s="18" t="inlineStr">
        <is>
          <t>data/building_templates.yaml; max_level: gameplay/constants.py; formula: gameplay/models/manor.py</t>
        </is>
      </c>
    </row>
    <row r="16" ht="25" customHeight="1">
      <c r="A16" s="17" t="inlineStr">
        <is>
          <t>farm</t>
        </is>
      </c>
      <c r="B16" s="18" t="inlineStr">
        <is>
          <t>农田</t>
        </is>
      </c>
      <c r="C16" s="18" t="inlineStr">
        <is>
          <t>资源生产</t>
        </is>
      </c>
      <c r="D16" s="17" t="n">
        <v>12</v>
      </c>
      <c r="E16" s="24">
        <f>D16+1</f>
        <v/>
      </c>
      <c r="F16" s="38" t="n">
        <v>180</v>
      </c>
      <c r="G16" s="39" t="n">
        <v>1.22</v>
      </c>
      <c r="H16" s="38" t="n">
        <v>170</v>
      </c>
      <c r="I16" s="38" t="n">
        <v>0</v>
      </c>
      <c r="J16" s="39" t="n">
        <v>1.33</v>
      </c>
      <c r="K16" s="42">
        <f>ROUNDUP(F16*POWER(G16,D16),0)</f>
        <v/>
      </c>
      <c r="L16" s="40">
        <f>MAX(1,ROUNDDOWN(K16/'参数与公式'!$B$5,0))</f>
        <v/>
      </c>
      <c r="M16" s="40">
        <f>MAX(1,ROUNDDOWN(K16*(1-'参数与公式'!$B$14)/'参数与公式'!$B$5,0))</f>
        <v/>
      </c>
      <c r="N16" s="42">
        <f>IF(H16=0,0,ROUNDUP(H16*POWER(J16,D16),0))</f>
        <v/>
      </c>
      <c r="O16" s="42">
        <f>IF(I16=0,0,ROUNDUP(I16*POWER(J16,D16),0))</f>
        <v/>
      </c>
      <c r="P16" s="40">
        <f>IF(N16=0,0,MAX(1,ROUNDUP(N16*(1-'参数与公式'!$B$17),0)))</f>
        <v/>
      </c>
      <c r="Q16" s="40">
        <f>IF(O16=0,0,MAX(1,ROUNDUP(O16*(1-'参数与公式'!$B$17),0)))</f>
        <v/>
      </c>
      <c r="R16" s="18" t="inlineStr">
        <is>
          <t>data/building_templates.yaml; max_level: gameplay/constants.py; formula: gameplay/models/manor.py</t>
        </is>
      </c>
    </row>
    <row r="17" ht="25" customHeight="1">
      <c r="A17" s="17" t="inlineStr">
        <is>
          <t>farm</t>
        </is>
      </c>
      <c r="B17" s="18" t="inlineStr">
        <is>
          <t>农田</t>
        </is>
      </c>
      <c r="C17" s="18" t="inlineStr">
        <is>
          <t>资源生产</t>
        </is>
      </c>
      <c r="D17" s="17" t="n">
        <v>13</v>
      </c>
      <c r="E17" s="24">
        <f>D17+1</f>
        <v/>
      </c>
      <c r="F17" s="38" t="n">
        <v>180</v>
      </c>
      <c r="G17" s="39" t="n">
        <v>1.22</v>
      </c>
      <c r="H17" s="38" t="n">
        <v>170</v>
      </c>
      <c r="I17" s="38" t="n">
        <v>0</v>
      </c>
      <c r="J17" s="39" t="n">
        <v>1.33</v>
      </c>
      <c r="K17" s="42">
        <f>ROUNDUP(F17*POWER(G17,D17),0)</f>
        <v/>
      </c>
      <c r="L17" s="40">
        <f>MAX(1,ROUNDDOWN(K17/'参数与公式'!$B$5,0))</f>
        <v/>
      </c>
      <c r="M17" s="40">
        <f>MAX(1,ROUNDDOWN(K17*(1-'参数与公式'!$B$14)/'参数与公式'!$B$5,0))</f>
        <v/>
      </c>
      <c r="N17" s="42">
        <f>IF(H17=0,0,ROUNDUP(H17*POWER(J17,D17),0))</f>
        <v/>
      </c>
      <c r="O17" s="42">
        <f>IF(I17=0,0,ROUNDUP(I17*POWER(J17,D17),0))</f>
        <v/>
      </c>
      <c r="P17" s="40">
        <f>IF(N17=0,0,MAX(1,ROUNDUP(N17*(1-'参数与公式'!$B$17),0)))</f>
        <v/>
      </c>
      <c r="Q17" s="40">
        <f>IF(O17=0,0,MAX(1,ROUNDUP(O17*(1-'参数与公式'!$B$17),0)))</f>
        <v/>
      </c>
      <c r="R17" s="18" t="inlineStr">
        <is>
          <t>data/building_templates.yaml; max_level: gameplay/constants.py; formula: gameplay/models/manor.py</t>
        </is>
      </c>
    </row>
    <row r="18" ht="25" customHeight="1">
      <c r="A18" s="17" t="inlineStr">
        <is>
          <t>farm</t>
        </is>
      </c>
      <c r="B18" s="18" t="inlineStr">
        <is>
          <t>农田</t>
        </is>
      </c>
      <c r="C18" s="18" t="inlineStr">
        <is>
          <t>资源生产</t>
        </is>
      </c>
      <c r="D18" s="17" t="n">
        <v>14</v>
      </c>
      <c r="E18" s="24">
        <f>D18+1</f>
        <v/>
      </c>
      <c r="F18" s="38" t="n">
        <v>180</v>
      </c>
      <c r="G18" s="39" t="n">
        <v>1.22</v>
      </c>
      <c r="H18" s="38" t="n">
        <v>170</v>
      </c>
      <c r="I18" s="38" t="n">
        <v>0</v>
      </c>
      <c r="J18" s="39" t="n">
        <v>1.33</v>
      </c>
      <c r="K18" s="42">
        <f>ROUNDUP(F18*POWER(G18,D18),0)</f>
        <v/>
      </c>
      <c r="L18" s="40">
        <f>MAX(1,ROUNDDOWN(K18/'参数与公式'!$B$5,0))</f>
        <v/>
      </c>
      <c r="M18" s="40">
        <f>MAX(1,ROUNDDOWN(K18*(1-'参数与公式'!$B$14)/'参数与公式'!$B$5,0))</f>
        <v/>
      </c>
      <c r="N18" s="42">
        <f>IF(H18=0,0,ROUNDUP(H18*POWER(J18,D18),0))</f>
        <v/>
      </c>
      <c r="O18" s="42">
        <f>IF(I18=0,0,ROUNDUP(I18*POWER(J18,D18),0))</f>
        <v/>
      </c>
      <c r="P18" s="40">
        <f>IF(N18=0,0,MAX(1,ROUNDUP(N18*(1-'参数与公式'!$B$17),0)))</f>
        <v/>
      </c>
      <c r="Q18" s="40">
        <f>IF(O18=0,0,MAX(1,ROUNDUP(O18*(1-'参数与公式'!$B$17),0)))</f>
        <v/>
      </c>
      <c r="R18" s="18" t="inlineStr">
        <is>
          <t>data/building_templates.yaml; max_level: gameplay/constants.py; formula: gameplay/models/manor.py</t>
        </is>
      </c>
    </row>
    <row r="19" ht="25" customHeight="1">
      <c r="A19" s="17" t="inlineStr">
        <is>
          <t>farm</t>
        </is>
      </c>
      <c r="B19" s="18" t="inlineStr">
        <is>
          <t>农田</t>
        </is>
      </c>
      <c r="C19" s="18" t="inlineStr">
        <is>
          <t>资源生产</t>
        </is>
      </c>
      <c r="D19" s="17" t="n">
        <v>15</v>
      </c>
      <c r="E19" s="24">
        <f>D19+1</f>
        <v/>
      </c>
      <c r="F19" s="38" t="n">
        <v>180</v>
      </c>
      <c r="G19" s="39" t="n">
        <v>1.22</v>
      </c>
      <c r="H19" s="38" t="n">
        <v>170</v>
      </c>
      <c r="I19" s="38" t="n">
        <v>0</v>
      </c>
      <c r="J19" s="39" t="n">
        <v>1.33</v>
      </c>
      <c r="K19" s="42">
        <f>ROUNDUP(F19*POWER(G19,D19),0)</f>
        <v/>
      </c>
      <c r="L19" s="40">
        <f>MAX(1,ROUNDDOWN(K19/'参数与公式'!$B$5,0))</f>
        <v/>
      </c>
      <c r="M19" s="40">
        <f>MAX(1,ROUNDDOWN(K19*(1-'参数与公式'!$B$14)/'参数与公式'!$B$5,0))</f>
        <v/>
      </c>
      <c r="N19" s="42">
        <f>IF(H19=0,0,ROUNDUP(H19*POWER(J19,D19),0))</f>
        <v/>
      </c>
      <c r="O19" s="42">
        <f>IF(I19=0,0,ROUNDUP(I19*POWER(J19,D19),0))</f>
        <v/>
      </c>
      <c r="P19" s="40">
        <f>IF(N19=0,0,MAX(1,ROUNDUP(N19*(1-'参数与公式'!$B$17),0)))</f>
        <v/>
      </c>
      <c r="Q19" s="40">
        <f>IF(O19=0,0,MAX(1,ROUNDUP(O19*(1-'参数与公式'!$B$17),0)))</f>
        <v/>
      </c>
      <c r="R19" s="18" t="inlineStr">
        <is>
          <t>data/building_templates.yaml; max_level: gameplay/constants.py; formula: gameplay/models/manor.py</t>
        </is>
      </c>
    </row>
    <row r="20" ht="25" customHeight="1">
      <c r="A20" s="17" t="inlineStr">
        <is>
          <t>farm</t>
        </is>
      </c>
      <c r="B20" s="18" t="inlineStr">
        <is>
          <t>农田</t>
        </is>
      </c>
      <c r="C20" s="18" t="inlineStr">
        <is>
          <t>资源生产</t>
        </is>
      </c>
      <c r="D20" s="17" t="n">
        <v>16</v>
      </c>
      <c r="E20" s="24">
        <f>D20+1</f>
        <v/>
      </c>
      <c r="F20" s="38" t="n">
        <v>180</v>
      </c>
      <c r="G20" s="39" t="n">
        <v>1.22</v>
      </c>
      <c r="H20" s="38" t="n">
        <v>170</v>
      </c>
      <c r="I20" s="38" t="n">
        <v>0</v>
      </c>
      <c r="J20" s="39" t="n">
        <v>1.33</v>
      </c>
      <c r="K20" s="42">
        <f>ROUNDUP(F20*POWER(G20,D20),0)</f>
        <v/>
      </c>
      <c r="L20" s="40">
        <f>MAX(1,ROUNDDOWN(K20/'参数与公式'!$B$5,0))</f>
        <v/>
      </c>
      <c r="M20" s="40">
        <f>MAX(1,ROUNDDOWN(K20*(1-'参数与公式'!$B$14)/'参数与公式'!$B$5,0))</f>
        <v/>
      </c>
      <c r="N20" s="42">
        <f>IF(H20=0,0,ROUNDUP(H20*POWER(J20,D20),0))</f>
        <v/>
      </c>
      <c r="O20" s="42">
        <f>IF(I20=0,0,ROUNDUP(I20*POWER(J20,D20),0))</f>
        <v/>
      </c>
      <c r="P20" s="40">
        <f>IF(N20=0,0,MAX(1,ROUNDUP(N20*(1-'参数与公式'!$B$17),0)))</f>
        <v/>
      </c>
      <c r="Q20" s="40">
        <f>IF(O20=0,0,MAX(1,ROUNDUP(O20*(1-'参数与公式'!$B$17),0)))</f>
        <v/>
      </c>
      <c r="R20" s="18" t="inlineStr">
        <is>
          <t>data/building_templates.yaml; max_level: gameplay/constants.py; formula: gameplay/models/manor.py</t>
        </is>
      </c>
    </row>
    <row r="21" ht="25" customHeight="1">
      <c r="A21" s="17" t="inlineStr">
        <is>
          <t>farm</t>
        </is>
      </c>
      <c r="B21" s="18" t="inlineStr">
        <is>
          <t>农田</t>
        </is>
      </c>
      <c r="C21" s="18" t="inlineStr">
        <is>
          <t>资源生产</t>
        </is>
      </c>
      <c r="D21" s="17" t="n">
        <v>17</v>
      </c>
      <c r="E21" s="24">
        <f>D21+1</f>
        <v/>
      </c>
      <c r="F21" s="38" t="n">
        <v>180</v>
      </c>
      <c r="G21" s="39" t="n">
        <v>1.22</v>
      </c>
      <c r="H21" s="38" t="n">
        <v>170</v>
      </c>
      <c r="I21" s="38" t="n">
        <v>0</v>
      </c>
      <c r="J21" s="39" t="n">
        <v>1.33</v>
      </c>
      <c r="K21" s="42">
        <f>ROUNDUP(F21*POWER(G21,D21),0)</f>
        <v/>
      </c>
      <c r="L21" s="40">
        <f>MAX(1,ROUNDDOWN(K21/'参数与公式'!$B$5,0))</f>
        <v/>
      </c>
      <c r="M21" s="40">
        <f>MAX(1,ROUNDDOWN(K21*(1-'参数与公式'!$B$14)/'参数与公式'!$B$5,0))</f>
        <v/>
      </c>
      <c r="N21" s="42">
        <f>IF(H21=0,0,ROUNDUP(H21*POWER(J21,D21),0))</f>
        <v/>
      </c>
      <c r="O21" s="42">
        <f>IF(I21=0,0,ROUNDUP(I21*POWER(J21,D21),0))</f>
        <v/>
      </c>
      <c r="P21" s="40">
        <f>IF(N21=0,0,MAX(1,ROUNDUP(N21*(1-'参数与公式'!$B$17),0)))</f>
        <v/>
      </c>
      <c r="Q21" s="40">
        <f>IF(O21=0,0,MAX(1,ROUNDUP(O21*(1-'参数与公式'!$B$17),0)))</f>
        <v/>
      </c>
      <c r="R21" s="18" t="inlineStr">
        <is>
          <t>data/building_templates.yaml; max_level: gameplay/constants.py; formula: gameplay/models/manor.py</t>
        </is>
      </c>
    </row>
    <row r="22" ht="25" customHeight="1">
      <c r="A22" s="17" t="inlineStr">
        <is>
          <t>farm</t>
        </is>
      </c>
      <c r="B22" s="18" t="inlineStr">
        <is>
          <t>农田</t>
        </is>
      </c>
      <c r="C22" s="18" t="inlineStr">
        <is>
          <t>资源生产</t>
        </is>
      </c>
      <c r="D22" s="17" t="n">
        <v>18</v>
      </c>
      <c r="E22" s="24">
        <f>D22+1</f>
        <v/>
      </c>
      <c r="F22" s="38" t="n">
        <v>180</v>
      </c>
      <c r="G22" s="39" t="n">
        <v>1.22</v>
      </c>
      <c r="H22" s="38" t="n">
        <v>170</v>
      </c>
      <c r="I22" s="38" t="n">
        <v>0</v>
      </c>
      <c r="J22" s="39" t="n">
        <v>1.33</v>
      </c>
      <c r="K22" s="42">
        <f>ROUNDUP(F22*POWER(G22,D22),0)</f>
        <v/>
      </c>
      <c r="L22" s="40">
        <f>MAX(1,ROUNDDOWN(K22/'参数与公式'!$B$5,0))</f>
        <v/>
      </c>
      <c r="M22" s="40">
        <f>MAX(1,ROUNDDOWN(K22*(1-'参数与公式'!$B$14)/'参数与公式'!$B$5,0))</f>
        <v/>
      </c>
      <c r="N22" s="42">
        <f>IF(H22=0,0,ROUNDUP(H22*POWER(J22,D22),0))</f>
        <v/>
      </c>
      <c r="O22" s="42">
        <f>IF(I22=0,0,ROUNDUP(I22*POWER(J22,D22),0))</f>
        <v/>
      </c>
      <c r="P22" s="40">
        <f>IF(N22=0,0,MAX(1,ROUNDUP(N22*(1-'参数与公式'!$B$17),0)))</f>
        <v/>
      </c>
      <c r="Q22" s="40">
        <f>IF(O22=0,0,MAX(1,ROUNDUP(O22*(1-'参数与公式'!$B$17),0)))</f>
        <v/>
      </c>
      <c r="R22" s="18" t="inlineStr">
        <is>
          <t>data/building_templates.yaml; max_level: gameplay/constants.py; formula: gameplay/models/manor.py</t>
        </is>
      </c>
    </row>
    <row r="23" ht="25" customHeight="1">
      <c r="A23" s="17" t="inlineStr">
        <is>
          <t>farm</t>
        </is>
      </c>
      <c r="B23" s="18" t="inlineStr">
        <is>
          <t>农田</t>
        </is>
      </c>
      <c r="C23" s="18" t="inlineStr">
        <is>
          <t>资源生产</t>
        </is>
      </c>
      <c r="D23" s="17" t="n">
        <v>19</v>
      </c>
      <c r="E23" s="24">
        <f>D23+1</f>
        <v/>
      </c>
      <c r="F23" s="38" t="n">
        <v>180</v>
      </c>
      <c r="G23" s="39" t="n">
        <v>1.22</v>
      </c>
      <c r="H23" s="38" t="n">
        <v>170</v>
      </c>
      <c r="I23" s="38" t="n">
        <v>0</v>
      </c>
      <c r="J23" s="39" t="n">
        <v>1.33</v>
      </c>
      <c r="K23" s="42">
        <f>ROUNDUP(F23*POWER(G23,D23),0)</f>
        <v/>
      </c>
      <c r="L23" s="40">
        <f>MAX(1,ROUNDDOWN(K23/'参数与公式'!$B$5,0))</f>
        <v/>
      </c>
      <c r="M23" s="40">
        <f>MAX(1,ROUNDDOWN(K23*(1-'参数与公式'!$B$14)/'参数与公式'!$B$5,0))</f>
        <v/>
      </c>
      <c r="N23" s="42">
        <f>IF(H23=0,0,ROUNDUP(H23*POWER(J23,D23),0))</f>
        <v/>
      </c>
      <c r="O23" s="42">
        <f>IF(I23=0,0,ROUNDUP(I23*POWER(J23,D23),0))</f>
        <v/>
      </c>
      <c r="P23" s="40">
        <f>IF(N23=0,0,MAX(1,ROUNDUP(N23*(1-'参数与公式'!$B$17),0)))</f>
        <v/>
      </c>
      <c r="Q23" s="40">
        <f>IF(O23=0,0,MAX(1,ROUNDUP(O23*(1-'参数与公式'!$B$17),0)))</f>
        <v/>
      </c>
      <c r="R23" s="18" t="inlineStr">
        <is>
          <t>data/building_templates.yaml; max_level: gameplay/constants.py; formula: gameplay/models/manor.py</t>
        </is>
      </c>
    </row>
    <row r="24" ht="25" customHeight="1">
      <c r="A24" s="17" t="inlineStr">
        <is>
          <t>farm</t>
        </is>
      </c>
      <c r="B24" s="18" t="inlineStr">
        <is>
          <t>农田</t>
        </is>
      </c>
      <c r="C24" s="18" t="inlineStr">
        <is>
          <t>资源生产</t>
        </is>
      </c>
      <c r="D24" s="17" t="n">
        <v>20</v>
      </c>
      <c r="E24" s="24">
        <f>D24+1</f>
        <v/>
      </c>
      <c r="F24" s="38" t="n">
        <v>180</v>
      </c>
      <c r="G24" s="39" t="n">
        <v>1.22</v>
      </c>
      <c r="H24" s="38" t="n">
        <v>170</v>
      </c>
      <c r="I24" s="38" t="n">
        <v>0</v>
      </c>
      <c r="J24" s="39" t="n">
        <v>1.33</v>
      </c>
      <c r="K24" s="42">
        <f>ROUNDUP(F24*POWER(G24,D24),0)</f>
        <v/>
      </c>
      <c r="L24" s="40">
        <f>MAX(1,ROUNDDOWN(K24/'参数与公式'!$B$5,0))</f>
        <v/>
      </c>
      <c r="M24" s="40">
        <f>MAX(1,ROUNDDOWN(K24*(1-'参数与公式'!$B$14)/'参数与公式'!$B$5,0))</f>
        <v/>
      </c>
      <c r="N24" s="42">
        <f>IF(H24=0,0,ROUNDUP(H24*POWER(J24,D24),0))</f>
        <v/>
      </c>
      <c r="O24" s="42">
        <f>IF(I24=0,0,ROUNDUP(I24*POWER(J24,D24),0))</f>
        <v/>
      </c>
      <c r="P24" s="40">
        <f>IF(N24=0,0,MAX(1,ROUNDUP(N24*(1-'参数与公式'!$B$17),0)))</f>
        <v/>
      </c>
      <c r="Q24" s="40">
        <f>IF(O24=0,0,MAX(1,ROUNDUP(O24*(1-'参数与公式'!$B$17),0)))</f>
        <v/>
      </c>
      <c r="R24" s="18" t="inlineStr">
        <is>
          <t>data/building_templates.yaml; max_level: gameplay/constants.py; formula: gameplay/models/manor.py</t>
        </is>
      </c>
    </row>
    <row r="25" ht="25" customHeight="1">
      <c r="A25" s="17" t="inlineStr">
        <is>
          <t>farm</t>
        </is>
      </c>
      <c r="B25" s="18" t="inlineStr">
        <is>
          <t>农田</t>
        </is>
      </c>
      <c r="C25" s="18" t="inlineStr">
        <is>
          <t>资源生产</t>
        </is>
      </c>
      <c r="D25" s="17" t="n">
        <v>21</v>
      </c>
      <c r="E25" s="24">
        <f>D25+1</f>
        <v/>
      </c>
      <c r="F25" s="38" t="n">
        <v>180</v>
      </c>
      <c r="G25" s="39" t="n">
        <v>1.22</v>
      </c>
      <c r="H25" s="38" t="n">
        <v>170</v>
      </c>
      <c r="I25" s="38" t="n">
        <v>0</v>
      </c>
      <c r="J25" s="39" t="n">
        <v>1.33</v>
      </c>
      <c r="K25" s="42">
        <f>ROUNDUP(F25*POWER(G25,D25),0)</f>
        <v/>
      </c>
      <c r="L25" s="40">
        <f>MAX(1,ROUNDDOWN(K25/'参数与公式'!$B$5,0))</f>
        <v/>
      </c>
      <c r="M25" s="40">
        <f>MAX(1,ROUNDDOWN(K25*(1-'参数与公式'!$B$14)/'参数与公式'!$B$5,0))</f>
        <v/>
      </c>
      <c r="N25" s="42">
        <f>IF(H25=0,0,ROUNDUP(H25*POWER(J25,D25),0))</f>
        <v/>
      </c>
      <c r="O25" s="42">
        <f>IF(I25=0,0,ROUNDUP(I25*POWER(J25,D25),0))</f>
        <v/>
      </c>
      <c r="P25" s="40">
        <f>IF(N25=0,0,MAX(1,ROUNDUP(N25*(1-'参数与公式'!$B$17),0)))</f>
        <v/>
      </c>
      <c r="Q25" s="40">
        <f>IF(O25=0,0,MAX(1,ROUNDUP(O25*(1-'参数与公式'!$B$17),0)))</f>
        <v/>
      </c>
      <c r="R25" s="18" t="inlineStr">
        <is>
          <t>data/building_templates.yaml; max_level: gameplay/constants.py; formula: gameplay/models/manor.py</t>
        </is>
      </c>
    </row>
    <row r="26" ht="25" customHeight="1">
      <c r="A26" s="17" t="inlineStr">
        <is>
          <t>farm</t>
        </is>
      </c>
      <c r="B26" s="18" t="inlineStr">
        <is>
          <t>农田</t>
        </is>
      </c>
      <c r="C26" s="18" t="inlineStr">
        <is>
          <t>资源生产</t>
        </is>
      </c>
      <c r="D26" s="17" t="n">
        <v>22</v>
      </c>
      <c r="E26" s="24">
        <f>D26+1</f>
        <v/>
      </c>
      <c r="F26" s="38" t="n">
        <v>180</v>
      </c>
      <c r="G26" s="39" t="n">
        <v>1.22</v>
      </c>
      <c r="H26" s="38" t="n">
        <v>170</v>
      </c>
      <c r="I26" s="38" t="n">
        <v>0</v>
      </c>
      <c r="J26" s="39" t="n">
        <v>1.33</v>
      </c>
      <c r="K26" s="42">
        <f>ROUNDUP(F26*POWER(G26,D26),0)</f>
        <v/>
      </c>
      <c r="L26" s="40">
        <f>MAX(1,ROUNDDOWN(K26/'参数与公式'!$B$5,0))</f>
        <v/>
      </c>
      <c r="M26" s="40">
        <f>MAX(1,ROUNDDOWN(K26*(1-'参数与公式'!$B$14)/'参数与公式'!$B$5,0))</f>
        <v/>
      </c>
      <c r="N26" s="42">
        <f>IF(H26=0,0,ROUNDUP(H26*POWER(J26,D26),0))</f>
        <v/>
      </c>
      <c r="O26" s="42">
        <f>IF(I26=0,0,ROUNDUP(I26*POWER(J26,D26),0))</f>
        <v/>
      </c>
      <c r="P26" s="40">
        <f>IF(N26=0,0,MAX(1,ROUNDUP(N26*(1-'参数与公式'!$B$17),0)))</f>
        <v/>
      </c>
      <c r="Q26" s="40">
        <f>IF(O26=0,0,MAX(1,ROUNDUP(O26*(1-'参数与公式'!$B$17),0)))</f>
        <v/>
      </c>
      <c r="R26" s="18" t="inlineStr">
        <is>
          <t>data/building_templates.yaml; max_level: gameplay/constants.py; formula: gameplay/models/manor.py</t>
        </is>
      </c>
    </row>
    <row r="27" ht="25" customHeight="1">
      <c r="A27" s="17" t="inlineStr">
        <is>
          <t>farm</t>
        </is>
      </c>
      <c r="B27" s="18" t="inlineStr">
        <is>
          <t>农田</t>
        </is>
      </c>
      <c r="C27" s="18" t="inlineStr">
        <is>
          <t>资源生产</t>
        </is>
      </c>
      <c r="D27" s="17" t="n">
        <v>23</v>
      </c>
      <c r="E27" s="24">
        <f>D27+1</f>
        <v/>
      </c>
      <c r="F27" s="38" t="n">
        <v>180</v>
      </c>
      <c r="G27" s="39" t="n">
        <v>1.22</v>
      </c>
      <c r="H27" s="38" t="n">
        <v>170</v>
      </c>
      <c r="I27" s="38" t="n">
        <v>0</v>
      </c>
      <c r="J27" s="39" t="n">
        <v>1.33</v>
      </c>
      <c r="K27" s="42">
        <f>ROUNDUP(F27*POWER(G27,D27),0)</f>
        <v/>
      </c>
      <c r="L27" s="40">
        <f>MAX(1,ROUNDDOWN(K27/'参数与公式'!$B$5,0))</f>
        <v/>
      </c>
      <c r="M27" s="40">
        <f>MAX(1,ROUNDDOWN(K27*(1-'参数与公式'!$B$14)/'参数与公式'!$B$5,0))</f>
        <v/>
      </c>
      <c r="N27" s="42">
        <f>IF(H27=0,0,ROUNDUP(H27*POWER(J27,D27),0))</f>
        <v/>
      </c>
      <c r="O27" s="42">
        <f>IF(I27=0,0,ROUNDUP(I27*POWER(J27,D27),0))</f>
        <v/>
      </c>
      <c r="P27" s="40">
        <f>IF(N27=0,0,MAX(1,ROUNDUP(N27*(1-'参数与公式'!$B$17),0)))</f>
        <v/>
      </c>
      <c r="Q27" s="40">
        <f>IF(O27=0,0,MAX(1,ROUNDUP(O27*(1-'参数与公式'!$B$17),0)))</f>
        <v/>
      </c>
      <c r="R27" s="18" t="inlineStr">
        <is>
          <t>data/building_templates.yaml; max_level: gameplay/constants.py; formula: gameplay/models/manor.py</t>
        </is>
      </c>
    </row>
    <row r="28" ht="25" customHeight="1">
      <c r="A28" s="17" t="inlineStr">
        <is>
          <t>farm</t>
        </is>
      </c>
      <c r="B28" s="18" t="inlineStr">
        <is>
          <t>农田</t>
        </is>
      </c>
      <c r="C28" s="18" t="inlineStr">
        <is>
          <t>资源生产</t>
        </is>
      </c>
      <c r="D28" s="17" t="n">
        <v>24</v>
      </c>
      <c r="E28" s="24">
        <f>D28+1</f>
        <v/>
      </c>
      <c r="F28" s="38" t="n">
        <v>180</v>
      </c>
      <c r="G28" s="39" t="n">
        <v>1.22</v>
      </c>
      <c r="H28" s="38" t="n">
        <v>170</v>
      </c>
      <c r="I28" s="38" t="n">
        <v>0</v>
      </c>
      <c r="J28" s="39" t="n">
        <v>1.33</v>
      </c>
      <c r="K28" s="42">
        <f>ROUNDUP(F28*POWER(G28,D28),0)</f>
        <v/>
      </c>
      <c r="L28" s="40">
        <f>MAX(1,ROUNDDOWN(K28/'参数与公式'!$B$5,0))</f>
        <v/>
      </c>
      <c r="M28" s="40">
        <f>MAX(1,ROUNDDOWN(K28*(1-'参数与公式'!$B$14)/'参数与公式'!$B$5,0))</f>
        <v/>
      </c>
      <c r="N28" s="42">
        <f>IF(H28=0,0,ROUNDUP(H28*POWER(J28,D28),0))</f>
        <v/>
      </c>
      <c r="O28" s="42">
        <f>IF(I28=0,0,ROUNDUP(I28*POWER(J28,D28),0))</f>
        <v/>
      </c>
      <c r="P28" s="40">
        <f>IF(N28=0,0,MAX(1,ROUNDUP(N28*(1-'参数与公式'!$B$17),0)))</f>
        <v/>
      </c>
      <c r="Q28" s="40">
        <f>IF(O28=0,0,MAX(1,ROUNDUP(O28*(1-'参数与公式'!$B$17),0)))</f>
        <v/>
      </c>
      <c r="R28" s="18" t="inlineStr">
        <is>
          <t>data/building_templates.yaml; max_level: gameplay/constants.py; formula: gameplay/models/manor.py</t>
        </is>
      </c>
    </row>
    <row r="29" ht="25" customHeight="1">
      <c r="A29" s="17" t="inlineStr">
        <is>
          <t>farm</t>
        </is>
      </c>
      <c r="B29" s="18" t="inlineStr">
        <is>
          <t>农田</t>
        </is>
      </c>
      <c r="C29" s="18" t="inlineStr">
        <is>
          <t>资源生产</t>
        </is>
      </c>
      <c r="D29" s="17" t="n">
        <v>25</v>
      </c>
      <c r="E29" s="24">
        <f>D29+1</f>
        <v/>
      </c>
      <c r="F29" s="38" t="n">
        <v>180</v>
      </c>
      <c r="G29" s="39" t="n">
        <v>1.22</v>
      </c>
      <c r="H29" s="38" t="n">
        <v>170</v>
      </c>
      <c r="I29" s="38" t="n">
        <v>0</v>
      </c>
      <c r="J29" s="39" t="n">
        <v>1.33</v>
      </c>
      <c r="K29" s="42">
        <f>ROUNDUP(F29*POWER(G29,D29),0)</f>
        <v/>
      </c>
      <c r="L29" s="40">
        <f>MAX(1,ROUNDDOWN(K29/'参数与公式'!$B$5,0))</f>
        <v/>
      </c>
      <c r="M29" s="40">
        <f>MAX(1,ROUNDDOWN(K29*(1-'参数与公式'!$B$14)/'参数与公式'!$B$5,0))</f>
        <v/>
      </c>
      <c r="N29" s="42">
        <f>IF(H29=0,0,ROUNDUP(H29*POWER(J29,D29),0))</f>
        <v/>
      </c>
      <c r="O29" s="42">
        <f>IF(I29=0,0,ROUNDUP(I29*POWER(J29,D29),0))</f>
        <v/>
      </c>
      <c r="P29" s="40">
        <f>IF(N29=0,0,MAX(1,ROUNDUP(N29*(1-'参数与公式'!$B$17),0)))</f>
        <v/>
      </c>
      <c r="Q29" s="40">
        <f>IF(O29=0,0,MAX(1,ROUNDUP(O29*(1-'参数与公式'!$B$17),0)))</f>
        <v/>
      </c>
      <c r="R29" s="18" t="inlineStr">
        <is>
          <t>data/building_templates.yaml; max_level: gameplay/constants.py; formula: gameplay/models/manor.py</t>
        </is>
      </c>
    </row>
    <row r="30" ht="25" customHeight="1">
      <c r="A30" s="17" t="inlineStr">
        <is>
          <t>farm</t>
        </is>
      </c>
      <c r="B30" s="18" t="inlineStr">
        <is>
          <t>农田</t>
        </is>
      </c>
      <c r="C30" s="18" t="inlineStr">
        <is>
          <t>资源生产</t>
        </is>
      </c>
      <c r="D30" s="17" t="n">
        <v>26</v>
      </c>
      <c r="E30" s="24">
        <f>D30+1</f>
        <v/>
      </c>
      <c r="F30" s="38" t="n">
        <v>180</v>
      </c>
      <c r="G30" s="39" t="n">
        <v>1.22</v>
      </c>
      <c r="H30" s="38" t="n">
        <v>170</v>
      </c>
      <c r="I30" s="38" t="n">
        <v>0</v>
      </c>
      <c r="J30" s="39" t="n">
        <v>1.33</v>
      </c>
      <c r="K30" s="42">
        <f>ROUNDUP(F30*POWER(G30,D30),0)</f>
        <v/>
      </c>
      <c r="L30" s="40">
        <f>MAX(1,ROUNDDOWN(K30/'参数与公式'!$B$5,0))</f>
        <v/>
      </c>
      <c r="M30" s="40">
        <f>MAX(1,ROUNDDOWN(K30*(1-'参数与公式'!$B$14)/'参数与公式'!$B$5,0))</f>
        <v/>
      </c>
      <c r="N30" s="42">
        <f>IF(H30=0,0,ROUNDUP(H30*POWER(J30,D30),0))</f>
        <v/>
      </c>
      <c r="O30" s="42">
        <f>IF(I30=0,0,ROUNDUP(I30*POWER(J30,D30),0))</f>
        <v/>
      </c>
      <c r="P30" s="40">
        <f>IF(N30=0,0,MAX(1,ROUNDUP(N30*(1-'参数与公式'!$B$17),0)))</f>
        <v/>
      </c>
      <c r="Q30" s="40">
        <f>IF(O30=0,0,MAX(1,ROUNDUP(O30*(1-'参数与公式'!$B$17),0)))</f>
        <v/>
      </c>
      <c r="R30" s="18" t="inlineStr">
        <is>
          <t>data/building_templates.yaml; max_level: gameplay/constants.py; formula: gameplay/models/manor.py</t>
        </is>
      </c>
    </row>
    <row r="31" ht="25" customHeight="1">
      <c r="A31" s="17" t="inlineStr">
        <is>
          <t>farm</t>
        </is>
      </c>
      <c r="B31" s="18" t="inlineStr">
        <is>
          <t>农田</t>
        </is>
      </c>
      <c r="C31" s="18" t="inlineStr">
        <is>
          <t>资源生产</t>
        </is>
      </c>
      <c r="D31" s="17" t="n">
        <v>27</v>
      </c>
      <c r="E31" s="24">
        <f>D31+1</f>
        <v/>
      </c>
      <c r="F31" s="38" t="n">
        <v>180</v>
      </c>
      <c r="G31" s="39" t="n">
        <v>1.22</v>
      </c>
      <c r="H31" s="38" t="n">
        <v>170</v>
      </c>
      <c r="I31" s="38" t="n">
        <v>0</v>
      </c>
      <c r="J31" s="39" t="n">
        <v>1.33</v>
      </c>
      <c r="K31" s="42">
        <f>ROUNDUP(F31*POWER(G31,D31),0)</f>
        <v/>
      </c>
      <c r="L31" s="40">
        <f>MAX(1,ROUNDDOWN(K31/'参数与公式'!$B$5,0))</f>
        <v/>
      </c>
      <c r="M31" s="40">
        <f>MAX(1,ROUNDDOWN(K31*(1-'参数与公式'!$B$14)/'参数与公式'!$B$5,0))</f>
        <v/>
      </c>
      <c r="N31" s="42">
        <f>IF(H31=0,0,ROUNDUP(H31*POWER(J31,D31),0))</f>
        <v/>
      </c>
      <c r="O31" s="42">
        <f>IF(I31=0,0,ROUNDUP(I31*POWER(J31,D31),0))</f>
        <v/>
      </c>
      <c r="P31" s="40">
        <f>IF(N31=0,0,MAX(1,ROUNDUP(N31*(1-'参数与公式'!$B$17),0)))</f>
        <v/>
      </c>
      <c r="Q31" s="40">
        <f>IF(O31=0,0,MAX(1,ROUNDUP(O31*(1-'参数与公式'!$B$17),0)))</f>
        <v/>
      </c>
      <c r="R31" s="18" t="inlineStr">
        <is>
          <t>data/building_templates.yaml; max_level: gameplay/constants.py; formula: gameplay/models/manor.py</t>
        </is>
      </c>
    </row>
    <row r="32" ht="25" customHeight="1">
      <c r="A32" s="17" t="inlineStr">
        <is>
          <t>farm</t>
        </is>
      </c>
      <c r="B32" s="18" t="inlineStr">
        <is>
          <t>农田</t>
        </is>
      </c>
      <c r="C32" s="18" t="inlineStr">
        <is>
          <t>资源生产</t>
        </is>
      </c>
      <c r="D32" s="17" t="n">
        <v>28</v>
      </c>
      <c r="E32" s="24">
        <f>D32+1</f>
        <v/>
      </c>
      <c r="F32" s="38" t="n">
        <v>180</v>
      </c>
      <c r="G32" s="39" t="n">
        <v>1.22</v>
      </c>
      <c r="H32" s="38" t="n">
        <v>170</v>
      </c>
      <c r="I32" s="38" t="n">
        <v>0</v>
      </c>
      <c r="J32" s="39" t="n">
        <v>1.33</v>
      </c>
      <c r="K32" s="42">
        <f>ROUNDUP(F32*POWER(G32,D32),0)</f>
        <v/>
      </c>
      <c r="L32" s="40">
        <f>MAX(1,ROUNDDOWN(K32/'参数与公式'!$B$5,0))</f>
        <v/>
      </c>
      <c r="M32" s="40">
        <f>MAX(1,ROUNDDOWN(K32*(1-'参数与公式'!$B$14)/'参数与公式'!$B$5,0))</f>
        <v/>
      </c>
      <c r="N32" s="42">
        <f>IF(H32=0,0,ROUNDUP(H32*POWER(J32,D32),0))</f>
        <v/>
      </c>
      <c r="O32" s="42">
        <f>IF(I32=0,0,ROUNDUP(I32*POWER(J32,D32),0))</f>
        <v/>
      </c>
      <c r="P32" s="40">
        <f>IF(N32=0,0,MAX(1,ROUNDUP(N32*(1-'参数与公式'!$B$17),0)))</f>
        <v/>
      </c>
      <c r="Q32" s="40">
        <f>IF(O32=0,0,MAX(1,ROUNDUP(O32*(1-'参数与公式'!$B$17),0)))</f>
        <v/>
      </c>
      <c r="R32" s="18" t="inlineStr">
        <is>
          <t>data/building_templates.yaml; max_level: gameplay/constants.py; formula: gameplay/models/manor.py</t>
        </is>
      </c>
    </row>
    <row r="33" ht="25" customHeight="1">
      <c r="A33" s="17" t="inlineStr">
        <is>
          <t>farm</t>
        </is>
      </c>
      <c r="B33" s="18" t="inlineStr">
        <is>
          <t>农田</t>
        </is>
      </c>
      <c r="C33" s="18" t="inlineStr">
        <is>
          <t>资源生产</t>
        </is>
      </c>
      <c r="D33" s="17" t="n">
        <v>29</v>
      </c>
      <c r="E33" s="24">
        <f>D33+1</f>
        <v/>
      </c>
      <c r="F33" s="38" t="n">
        <v>180</v>
      </c>
      <c r="G33" s="39" t="n">
        <v>1.22</v>
      </c>
      <c r="H33" s="38" t="n">
        <v>170</v>
      </c>
      <c r="I33" s="38" t="n">
        <v>0</v>
      </c>
      <c r="J33" s="39" t="n">
        <v>1.33</v>
      </c>
      <c r="K33" s="42">
        <f>ROUNDUP(F33*POWER(G33,D33),0)</f>
        <v/>
      </c>
      <c r="L33" s="40">
        <f>MAX(1,ROUNDDOWN(K33/'参数与公式'!$B$5,0))</f>
        <v/>
      </c>
      <c r="M33" s="40">
        <f>MAX(1,ROUNDDOWN(K33*(1-'参数与公式'!$B$14)/'参数与公式'!$B$5,0))</f>
        <v/>
      </c>
      <c r="N33" s="42">
        <f>IF(H33=0,0,ROUNDUP(H33*POWER(J33,D33),0))</f>
        <v/>
      </c>
      <c r="O33" s="42">
        <f>IF(I33=0,0,ROUNDUP(I33*POWER(J33,D33),0))</f>
        <v/>
      </c>
      <c r="P33" s="40">
        <f>IF(N33=0,0,MAX(1,ROUNDUP(N33*(1-'参数与公式'!$B$17),0)))</f>
        <v/>
      </c>
      <c r="Q33" s="40">
        <f>IF(O33=0,0,MAX(1,ROUNDUP(O33*(1-'参数与公式'!$B$17),0)))</f>
        <v/>
      </c>
      <c r="R33" s="18" t="inlineStr">
        <is>
          <t>data/building_templates.yaml; max_level: gameplay/constants.py; formula: gameplay/models/manor.py</t>
        </is>
      </c>
    </row>
    <row r="34" ht="25" customHeight="1">
      <c r="A34" s="17" t="inlineStr">
        <is>
          <t>farm</t>
        </is>
      </c>
      <c r="B34" s="18" t="inlineStr">
        <is>
          <t>农田</t>
        </is>
      </c>
      <c r="C34" s="18" t="inlineStr">
        <is>
          <t>资源生产</t>
        </is>
      </c>
      <c r="D34" s="17" t="n">
        <v>30</v>
      </c>
      <c r="E34" s="24">
        <f>D34+1</f>
        <v/>
      </c>
      <c r="F34" s="38" t="n">
        <v>180</v>
      </c>
      <c r="G34" s="39" t="n">
        <v>1.22</v>
      </c>
      <c r="H34" s="38" t="n">
        <v>170</v>
      </c>
      <c r="I34" s="38" t="n">
        <v>0</v>
      </c>
      <c r="J34" s="39" t="n">
        <v>1.33</v>
      </c>
      <c r="K34" s="42">
        <f>ROUNDUP(F34*POWER(G34,D34),0)</f>
        <v/>
      </c>
      <c r="L34" s="40">
        <f>MAX(1,ROUNDDOWN(K34/'参数与公式'!$B$5,0))</f>
        <v/>
      </c>
      <c r="M34" s="40">
        <f>MAX(1,ROUNDDOWN(K34*(1-'参数与公式'!$B$14)/'参数与公式'!$B$5,0))</f>
        <v/>
      </c>
      <c r="N34" s="42">
        <f>IF(H34=0,0,ROUNDUP(H34*POWER(J34,D34),0))</f>
        <v/>
      </c>
      <c r="O34" s="42">
        <f>IF(I34=0,0,ROUNDUP(I34*POWER(J34,D34),0))</f>
        <v/>
      </c>
      <c r="P34" s="40">
        <f>IF(N34=0,0,MAX(1,ROUNDUP(N34*(1-'参数与公式'!$B$17),0)))</f>
        <v/>
      </c>
      <c r="Q34" s="40">
        <f>IF(O34=0,0,MAX(1,ROUNDUP(O34*(1-'参数与公式'!$B$17),0)))</f>
        <v/>
      </c>
      <c r="R34" s="18" t="inlineStr">
        <is>
          <t>data/building_templates.yaml; max_level: gameplay/constants.py; formula: gameplay/models/manor.py</t>
        </is>
      </c>
    </row>
    <row r="35" ht="25" customHeight="1">
      <c r="A35" s="17" t="inlineStr">
        <is>
          <t>farm</t>
        </is>
      </c>
      <c r="B35" s="18" t="inlineStr">
        <is>
          <t>农田</t>
        </is>
      </c>
      <c r="C35" s="18" t="inlineStr">
        <is>
          <t>资源生产</t>
        </is>
      </c>
      <c r="D35" s="17" t="n">
        <v>31</v>
      </c>
      <c r="E35" s="24">
        <f>D35+1</f>
        <v/>
      </c>
      <c r="F35" s="38" t="n">
        <v>180</v>
      </c>
      <c r="G35" s="39" t="n">
        <v>1.22</v>
      </c>
      <c r="H35" s="38" t="n">
        <v>170</v>
      </c>
      <c r="I35" s="38" t="n">
        <v>0</v>
      </c>
      <c r="J35" s="39" t="n">
        <v>1.33</v>
      </c>
      <c r="K35" s="42">
        <f>ROUNDUP(F35*POWER(G35,D35),0)</f>
        <v/>
      </c>
      <c r="L35" s="40">
        <f>MAX(1,ROUNDDOWN(K35/'参数与公式'!$B$5,0))</f>
        <v/>
      </c>
      <c r="M35" s="40">
        <f>MAX(1,ROUNDDOWN(K35*(1-'参数与公式'!$B$14)/'参数与公式'!$B$5,0))</f>
        <v/>
      </c>
      <c r="N35" s="42">
        <f>IF(H35=0,0,ROUNDUP(H35*POWER(J35,D35),0))</f>
        <v/>
      </c>
      <c r="O35" s="42">
        <f>IF(I35=0,0,ROUNDUP(I35*POWER(J35,D35),0))</f>
        <v/>
      </c>
      <c r="P35" s="40">
        <f>IF(N35=0,0,MAX(1,ROUNDUP(N35*(1-'参数与公式'!$B$17),0)))</f>
        <v/>
      </c>
      <c r="Q35" s="40">
        <f>IF(O35=0,0,MAX(1,ROUNDUP(O35*(1-'参数与公式'!$B$17),0)))</f>
        <v/>
      </c>
      <c r="R35" s="18" t="inlineStr">
        <is>
          <t>data/building_templates.yaml; max_level: gameplay/constants.py; formula: gameplay/models/manor.py</t>
        </is>
      </c>
    </row>
    <row r="36" ht="25" customHeight="1">
      <c r="A36" s="17" t="inlineStr">
        <is>
          <t>farm</t>
        </is>
      </c>
      <c r="B36" s="18" t="inlineStr">
        <is>
          <t>农田</t>
        </is>
      </c>
      <c r="C36" s="18" t="inlineStr">
        <is>
          <t>资源生产</t>
        </is>
      </c>
      <c r="D36" s="17" t="n">
        <v>32</v>
      </c>
      <c r="E36" s="24">
        <f>D36+1</f>
        <v/>
      </c>
      <c r="F36" s="38" t="n">
        <v>180</v>
      </c>
      <c r="G36" s="39" t="n">
        <v>1.22</v>
      </c>
      <c r="H36" s="38" t="n">
        <v>170</v>
      </c>
      <c r="I36" s="38" t="n">
        <v>0</v>
      </c>
      <c r="J36" s="39" t="n">
        <v>1.33</v>
      </c>
      <c r="K36" s="42">
        <f>ROUNDUP(F36*POWER(G36,D36),0)</f>
        <v/>
      </c>
      <c r="L36" s="40">
        <f>MAX(1,ROUNDDOWN(K36/'参数与公式'!$B$5,0))</f>
        <v/>
      </c>
      <c r="M36" s="40">
        <f>MAX(1,ROUNDDOWN(K36*(1-'参数与公式'!$B$14)/'参数与公式'!$B$5,0))</f>
        <v/>
      </c>
      <c r="N36" s="42">
        <f>IF(H36=0,0,ROUNDUP(H36*POWER(J36,D36),0))</f>
        <v/>
      </c>
      <c r="O36" s="42">
        <f>IF(I36=0,0,ROUNDUP(I36*POWER(J36,D36),0))</f>
        <v/>
      </c>
      <c r="P36" s="40">
        <f>IF(N36=0,0,MAX(1,ROUNDUP(N36*(1-'参数与公式'!$B$17),0)))</f>
        <v/>
      </c>
      <c r="Q36" s="40">
        <f>IF(O36=0,0,MAX(1,ROUNDUP(O36*(1-'参数与公式'!$B$17),0)))</f>
        <v/>
      </c>
      <c r="R36" s="18" t="inlineStr">
        <is>
          <t>data/building_templates.yaml; max_level: gameplay/constants.py; formula: gameplay/models/manor.py</t>
        </is>
      </c>
    </row>
    <row r="37" ht="25" customHeight="1">
      <c r="A37" s="17" t="inlineStr">
        <is>
          <t>farm</t>
        </is>
      </c>
      <c r="B37" s="18" t="inlineStr">
        <is>
          <t>农田</t>
        </is>
      </c>
      <c r="C37" s="18" t="inlineStr">
        <is>
          <t>资源生产</t>
        </is>
      </c>
      <c r="D37" s="17" t="n">
        <v>33</v>
      </c>
      <c r="E37" s="24">
        <f>D37+1</f>
        <v/>
      </c>
      <c r="F37" s="38" t="n">
        <v>180</v>
      </c>
      <c r="G37" s="39" t="n">
        <v>1.22</v>
      </c>
      <c r="H37" s="38" t="n">
        <v>170</v>
      </c>
      <c r="I37" s="38" t="n">
        <v>0</v>
      </c>
      <c r="J37" s="39" t="n">
        <v>1.33</v>
      </c>
      <c r="K37" s="42">
        <f>ROUNDUP(F37*POWER(G37,D37),0)</f>
        <v/>
      </c>
      <c r="L37" s="40">
        <f>MAX(1,ROUNDDOWN(K37/'参数与公式'!$B$5,0))</f>
        <v/>
      </c>
      <c r="M37" s="40">
        <f>MAX(1,ROUNDDOWN(K37*(1-'参数与公式'!$B$14)/'参数与公式'!$B$5,0))</f>
        <v/>
      </c>
      <c r="N37" s="42">
        <f>IF(H37=0,0,ROUNDUP(H37*POWER(J37,D37),0))</f>
        <v/>
      </c>
      <c r="O37" s="42">
        <f>IF(I37=0,0,ROUNDUP(I37*POWER(J37,D37),0))</f>
        <v/>
      </c>
      <c r="P37" s="40">
        <f>IF(N37=0,0,MAX(1,ROUNDUP(N37*(1-'参数与公式'!$B$17),0)))</f>
        <v/>
      </c>
      <c r="Q37" s="40">
        <f>IF(O37=0,0,MAX(1,ROUNDUP(O37*(1-'参数与公式'!$B$17),0)))</f>
        <v/>
      </c>
      <c r="R37" s="18" t="inlineStr">
        <is>
          <t>data/building_templates.yaml; max_level: gameplay/constants.py; formula: gameplay/models/manor.py</t>
        </is>
      </c>
    </row>
    <row r="38" ht="25" customHeight="1">
      <c r="A38" s="17" t="inlineStr">
        <is>
          <t>farm</t>
        </is>
      </c>
      <c r="B38" s="18" t="inlineStr">
        <is>
          <t>农田</t>
        </is>
      </c>
      <c r="C38" s="18" t="inlineStr">
        <is>
          <t>资源生产</t>
        </is>
      </c>
      <c r="D38" s="17" t="n">
        <v>34</v>
      </c>
      <c r="E38" s="24">
        <f>D38+1</f>
        <v/>
      </c>
      <c r="F38" s="38" t="n">
        <v>180</v>
      </c>
      <c r="G38" s="39" t="n">
        <v>1.22</v>
      </c>
      <c r="H38" s="38" t="n">
        <v>170</v>
      </c>
      <c r="I38" s="38" t="n">
        <v>0</v>
      </c>
      <c r="J38" s="39" t="n">
        <v>1.33</v>
      </c>
      <c r="K38" s="42">
        <f>ROUNDUP(F38*POWER(G38,D38),0)</f>
        <v/>
      </c>
      <c r="L38" s="40">
        <f>MAX(1,ROUNDDOWN(K38/'参数与公式'!$B$5,0))</f>
        <v/>
      </c>
      <c r="M38" s="40">
        <f>MAX(1,ROUNDDOWN(K38*(1-'参数与公式'!$B$14)/'参数与公式'!$B$5,0))</f>
        <v/>
      </c>
      <c r="N38" s="42">
        <f>IF(H38=0,0,ROUNDUP(H38*POWER(J38,D38),0))</f>
        <v/>
      </c>
      <c r="O38" s="42">
        <f>IF(I38=0,0,ROUNDUP(I38*POWER(J38,D38),0))</f>
        <v/>
      </c>
      <c r="P38" s="40">
        <f>IF(N38=0,0,MAX(1,ROUNDUP(N38*(1-'参数与公式'!$B$17),0)))</f>
        <v/>
      </c>
      <c r="Q38" s="40">
        <f>IF(O38=0,0,MAX(1,ROUNDUP(O38*(1-'参数与公式'!$B$17),0)))</f>
        <v/>
      </c>
      <c r="R38" s="18" t="inlineStr">
        <is>
          <t>data/building_templates.yaml; max_level: gameplay/constants.py; formula: gameplay/models/manor.py</t>
        </is>
      </c>
    </row>
    <row r="39" ht="25" customHeight="1">
      <c r="A39" s="17" t="inlineStr">
        <is>
          <t>farm</t>
        </is>
      </c>
      <c r="B39" s="18" t="inlineStr">
        <is>
          <t>农田</t>
        </is>
      </c>
      <c r="C39" s="18" t="inlineStr">
        <is>
          <t>资源生产</t>
        </is>
      </c>
      <c r="D39" s="17" t="n">
        <v>35</v>
      </c>
      <c r="E39" s="24">
        <f>D39+1</f>
        <v/>
      </c>
      <c r="F39" s="38" t="n">
        <v>180</v>
      </c>
      <c r="G39" s="39" t="n">
        <v>1.22</v>
      </c>
      <c r="H39" s="38" t="n">
        <v>170</v>
      </c>
      <c r="I39" s="38" t="n">
        <v>0</v>
      </c>
      <c r="J39" s="39" t="n">
        <v>1.33</v>
      </c>
      <c r="K39" s="42">
        <f>ROUNDUP(F39*POWER(G39,D39),0)</f>
        <v/>
      </c>
      <c r="L39" s="40">
        <f>MAX(1,ROUNDDOWN(K39/'参数与公式'!$B$5,0))</f>
        <v/>
      </c>
      <c r="M39" s="40">
        <f>MAX(1,ROUNDDOWN(K39*(1-'参数与公式'!$B$14)/'参数与公式'!$B$5,0))</f>
        <v/>
      </c>
      <c r="N39" s="42">
        <f>IF(H39=0,0,ROUNDUP(H39*POWER(J39,D39),0))</f>
        <v/>
      </c>
      <c r="O39" s="42">
        <f>IF(I39=0,0,ROUNDUP(I39*POWER(J39,D39),0))</f>
        <v/>
      </c>
      <c r="P39" s="40">
        <f>IF(N39=0,0,MAX(1,ROUNDUP(N39*(1-'参数与公式'!$B$17),0)))</f>
        <v/>
      </c>
      <c r="Q39" s="40">
        <f>IF(O39=0,0,MAX(1,ROUNDUP(O39*(1-'参数与公式'!$B$17),0)))</f>
        <v/>
      </c>
      <c r="R39" s="18" t="inlineStr">
        <is>
          <t>data/building_templates.yaml; max_level: gameplay/constants.py; formula: gameplay/models/manor.py</t>
        </is>
      </c>
    </row>
    <row r="40" ht="25" customHeight="1">
      <c r="A40" s="17" t="inlineStr">
        <is>
          <t>farm</t>
        </is>
      </c>
      <c r="B40" s="18" t="inlineStr">
        <is>
          <t>农田</t>
        </is>
      </c>
      <c r="C40" s="18" t="inlineStr">
        <is>
          <t>资源生产</t>
        </is>
      </c>
      <c r="D40" s="17" t="n">
        <v>36</v>
      </c>
      <c r="E40" s="24">
        <f>D40+1</f>
        <v/>
      </c>
      <c r="F40" s="38" t="n">
        <v>180</v>
      </c>
      <c r="G40" s="39" t="n">
        <v>1.22</v>
      </c>
      <c r="H40" s="38" t="n">
        <v>170</v>
      </c>
      <c r="I40" s="38" t="n">
        <v>0</v>
      </c>
      <c r="J40" s="39" t="n">
        <v>1.33</v>
      </c>
      <c r="K40" s="42">
        <f>ROUNDUP(F40*POWER(G40,D40),0)</f>
        <v/>
      </c>
      <c r="L40" s="40">
        <f>MAX(1,ROUNDDOWN(K40/'参数与公式'!$B$5,0))</f>
        <v/>
      </c>
      <c r="M40" s="40">
        <f>MAX(1,ROUNDDOWN(K40*(1-'参数与公式'!$B$14)/'参数与公式'!$B$5,0))</f>
        <v/>
      </c>
      <c r="N40" s="42">
        <f>IF(H40=0,0,ROUNDUP(H40*POWER(J40,D40),0))</f>
        <v/>
      </c>
      <c r="O40" s="42">
        <f>IF(I40=0,0,ROUNDUP(I40*POWER(J40,D40),0))</f>
        <v/>
      </c>
      <c r="P40" s="40">
        <f>IF(N40=0,0,MAX(1,ROUNDUP(N40*(1-'参数与公式'!$B$17),0)))</f>
        <v/>
      </c>
      <c r="Q40" s="40">
        <f>IF(O40=0,0,MAX(1,ROUNDUP(O40*(1-'参数与公式'!$B$17),0)))</f>
        <v/>
      </c>
      <c r="R40" s="18" t="inlineStr">
        <is>
          <t>data/building_templates.yaml; max_level: gameplay/constants.py; formula: gameplay/models/manor.py</t>
        </is>
      </c>
    </row>
    <row r="41" ht="25" customHeight="1">
      <c r="A41" s="17" t="inlineStr">
        <is>
          <t>farm</t>
        </is>
      </c>
      <c r="B41" s="18" t="inlineStr">
        <is>
          <t>农田</t>
        </is>
      </c>
      <c r="C41" s="18" t="inlineStr">
        <is>
          <t>资源生产</t>
        </is>
      </c>
      <c r="D41" s="17" t="n">
        <v>37</v>
      </c>
      <c r="E41" s="24">
        <f>D41+1</f>
        <v/>
      </c>
      <c r="F41" s="38" t="n">
        <v>180</v>
      </c>
      <c r="G41" s="39" t="n">
        <v>1.22</v>
      </c>
      <c r="H41" s="38" t="n">
        <v>170</v>
      </c>
      <c r="I41" s="38" t="n">
        <v>0</v>
      </c>
      <c r="J41" s="39" t="n">
        <v>1.33</v>
      </c>
      <c r="K41" s="42">
        <f>ROUNDUP(F41*POWER(G41,D41),0)</f>
        <v/>
      </c>
      <c r="L41" s="40">
        <f>MAX(1,ROUNDDOWN(K41/'参数与公式'!$B$5,0))</f>
        <v/>
      </c>
      <c r="M41" s="40">
        <f>MAX(1,ROUNDDOWN(K41*(1-'参数与公式'!$B$14)/'参数与公式'!$B$5,0))</f>
        <v/>
      </c>
      <c r="N41" s="42">
        <f>IF(H41=0,0,ROUNDUP(H41*POWER(J41,D41),0))</f>
        <v/>
      </c>
      <c r="O41" s="42">
        <f>IF(I41=0,0,ROUNDUP(I41*POWER(J41,D41),0))</f>
        <v/>
      </c>
      <c r="P41" s="40">
        <f>IF(N41=0,0,MAX(1,ROUNDUP(N41*(1-'参数与公式'!$B$17),0)))</f>
        <v/>
      </c>
      <c r="Q41" s="40">
        <f>IF(O41=0,0,MAX(1,ROUNDUP(O41*(1-'参数与公式'!$B$17),0)))</f>
        <v/>
      </c>
      <c r="R41" s="18" t="inlineStr">
        <is>
          <t>data/building_templates.yaml; max_level: gameplay/constants.py; formula: gameplay/models/manor.py</t>
        </is>
      </c>
    </row>
    <row r="42" ht="25" customHeight="1">
      <c r="A42" s="17" t="inlineStr">
        <is>
          <t>farm</t>
        </is>
      </c>
      <c r="B42" s="18" t="inlineStr">
        <is>
          <t>农田</t>
        </is>
      </c>
      <c r="C42" s="18" t="inlineStr">
        <is>
          <t>资源生产</t>
        </is>
      </c>
      <c r="D42" s="17" t="n">
        <v>38</v>
      </c>
      <c r="E42" s="24">
        <f>D42+1</f>
        <v/>
      </c>
      <c r="F42" s="38" t="n">
        <v>180</v>
      </c>
      <c r="G42" s="39" t="n">
        <v>1.22</v>
      </c>
      <c r="H42" s="38" t="n">
        <v>170</v>
      </c>
      <c r="I42" s="38" t="n">
        <v>0</v>
      </c>
      <c r="J42" s="39" t="n">
        <v>1.33</v>
      </c>
      <c r="K42" s="42">
        <f>ROUNDUP(F42*POWER(G42,D42),0)</f>
        <v/>
      </c>
      <c r="L42" s="40">
        <f>MAX(1,ROUNDDOWN(K42/'参数与公式'!$B$5,0))</f>
        <v/>
      </c>
      <c r="M42" s="40">
        <f>MAX(1,ROUNDDOWN(K42*(1-'参数与公式'!$B$14)/'参数与公式'!$B$5,0))</f>
        <v/>
      </c>
      <c r="N42" s="42">
        <f>IF(H42=0,0,ROUNDUP(H42*POWER(J42,D42),0))</f>
        <v/>
      </c>
      <c r="O42" s="42">
        <f>IF(I42=0,0,ROUNDUP(I42*POWER(J42,D42),0))</f>
        <v/>
      </c>
      <c r="P42" s="40">
        <f>IF(N42=0,0,MAX(1,ROUNDUP(N42*(1-'参数与公式'!$B$17),0)))</f>
        <v/>
      </c>
      <c r="Q42" s="40">
        <f>IF(O42=0,0,MAX(1,ROUNDUP(O42*(1-'参数与公式'!$B$17),0)))</f>
        <v/>
      </c>
      <c r="R42" s="18" t="inlineStr">
        <is>
          <t>data/building_templates.yaml; max_level: gameplay/constants.py; formula: gameplay/models/manor.py</t>
        </is>
      </c>
    </row>
    <row r="43" ht="25" customHeight="1">
      <c r="A43" s="17" t="inlineStr">
        <is>
          <t>farm</t>
        </is>
      </c>
      <c r="B43" s="18" t="inlineStr">
        <is>
          <t>农田</t>
        </is>
      </c>
      <c r="C43" s="18" t="inlineStr">
        <is>
          <t>资源生产</t>
        </is>
      </c>
      <c r="D43" s="17" t="n">
        <v>39</v>
      </c>
      <c r="E43" s="24">
        <f>D43+1</f>
        <v/>
      </c>
      <c r="F43" s="38" t="n">
        <v>180</v>
      </c>
      <c r="G43" s="39" t="n">
        <v>1.22</v>
      </c>
      <c r="H43" s="38" t="n">
        <v>170</v>
      </c>
      <c r="I43" s="38" t="n">
        <v>0</v>
      </c>
      <c r="J43" s="39" t="n">
        <v>1.33</v>
      </c>
      <c r="K43" s="42">
        <f>ROUNDUP(F43*POWER(G43,D43),0)</f>
        <v/>
      </c>
      <c r="L43" s="40">
        <f>MAX(1,ROUNDDOWN(K43/'参数与公式'!$B$5,0))</f>
        <v/>
      </c>
      <c r="M43" s="40">
        <f>MAX(1,ROUNDDOWN(K43*(1-'参数与公式'!$B$14)/'参数与公式'!$B$5,0))</f>
        <v/>
      </c>
      <c r="N43" s="42">
        <f>IF(H43=0,0,ROUNDUP(H43*POWER(J43,D43),0))</f>
        <v/>
      </c>
      <c r="O43" s="42">
        <f>IF(I43=0,0,ROUNDUP(I43*POWER(J43,D43),0))</f>
        <v/>
      </c>
      <c r="P43" s="40">
        <f>IF(N43=0,0,MAX(1,ROUNDUP(N43*(1-'参数与公式'!$B$17),0)))</f>
        <v/>
      </c>
      <c r="Q43" s="40">
        <f>IF(O43=0,0,MAX(1,ROUNDUP(O43*(1-'参数与公式'!$B$17),0)))</f>
        <v/>
      </c>
      <c r="R43" s="18" t="inlineStr">
        <is>
          <t>data/building_templates.yaml; max_level: gameplay/constants.py; formula: gameplay/models/manor.py</t>
        </is>
      </c>
    </row>
    <row r="44" ht="25" customHeight="1">
      <c r="A44" s="17" t="inlineStr">
        <is>
          <t>farm</t>
        </is>
      </c>
      <c r="B44" s="18" t="inlineStr">
        <is>
          <t>农田</t>
        </is>
      </c>
      <c r="C44" s="18" t="inlineStr">
        <is>
          <t>资源生产</t>
        </is>
      </c>
      <c r="D44" s="17" t="n">
        <v>40</v>
      </c>
      <c r="E44" s="24">
        <f>D44+1</f>
        <v/>
      </c>
      <c r="F44" s="38" t="n">
        <v>180</v>
      </c>
      <c r="G44" s="39" t="n">
        <v>1.22</v>
      </c>
      <c r="H44" s="38" t="n">
        <v>170</v>
      </c>
      <c r="I44" s="38" t="n">
        <v>0</v>
      </c>
      <c r="J44" s="39" t="n">
        <v>1.33</v>
      </c>
      <c r="K44" s="42">
        <f>ROUNDUP(F44*POWER(G44,D44),0)</f>
        <v/>
      </c>
      <c r="L44" s="40">
        <f>MAX(1,ROUNDDOWN(K44/'参数与公式'!$B$5,0))</f>
        <v/>
      </c>
      <c r="M44" s="40">
        <f>MAX(1,ROUNDDOWN(K44*(1-'参数与公式'!$B$14)/'参数与公式'!$B$5,0))</f>
        <v/>
      </c>
      <c r="N44" s="42">
        <f>IF(H44=0,0,ROUNDUP(H44*POWER(J44,D44),0))</f>
        <v/>
      </c>
      <c r="O44" s="42">
        <f>IF(I44=0,0,ROUNDUP(I44*POWER(J44,D44),0))</f>
        <v/>
      </c>
      <c r="P44" s="40">
        <f>IF(N44=0,0,MAX(1,ROUNDUP(N44*(1-'参数与公式'!$B$17),0)))</f>
        <v/>
      </c>
      <c r="Q44" s="40">
        <f>IF(O44=0,0,MAX(1,ROUNDUP(O44*(1-'参数与公式'!$B$17),0)))</f>
        <v/>
      </c>
      <c r="R44" s="18" t="inlineStr">
        <is>
          <t>data/building_templates.yaml; max_level: gameplay/constants.py; formula: gameplay/models/manor.py</t>
        </is>
      </c>
    </row>
    <row r="45" ht="25" customHeight="1">
      <c r="A45" s="17" t="inlineStr">
        <is>
          <t>farm</t>
        </is>
      </c>
      <c r="B45" s="18" t="inlineStr">
        <is>
          <t>农田</t>
        </is>
      </c>
      <c r="C45" s="18" t="inlineStr">
        <is>
          <t>资源生产</t>
        </is>
      </c>
      <c r="D45" s="17" t="n">
        <v>41</v>
      </c>
      <c r="E45" s="24">
        <f>D45+1</f>
        <v/>
      </c>
      <c r="F45" s="38" t="n">
        <v>180</v>
      </c>
      <c r="G45" s="39" t="n">
        <v>1.22</v>
      </c>
      <c r="H45" s="38" t="n">
        <v>170</v>
      </c>
      <c r="I45" s="38" t="n">
        <v>0</v>
      </c>
      <c r="J45" s="39" t="n">
        <v>1.33</v>
      </c>
      <c r="K45" s="42">
        <f>ROUNDUP(F45*POWER(G45,D45),0)</f>
        <v/>
      </c>
      <c r="L45" s="40">
        <f>MAX(1,ROUNDDOWN(K45/'参数与公式'!$B$5,0))</f>
        <v/>
      </c>
      <c r="M45" s="40">
        <f>MAX(1,ROUNDDOWN(K45*(1-'参数与公式'!$B$14)/'参数与公式'!$B$5,0))</f>
        <v/>
      </c>
      <c r="N45" s="42">
        <f>IF(H45=0,0,ROUNDUP(H45*POWER(J45,D45),0))</f>
        <v/>
      </c>
      <c r="O45" s="42">
        <f>IF(I45=0,0,ROUNDUP(I45*POWER(J45,D45),0))</f>
        <v/>
      </c>
      <c r="P45" s="40">
        <f>IF(N45=0,0,MAX(1,ROUNDUP(N45*(1-'参数与公式'!$B$17),0)))</f>
        <v/>
      </c>
      <c r="Q45" s="40">
        <f>IF(O45=0,0,MAX(1,ROUNDUP(O45*(1-'参数与公式'!$B$17),0)))</f>
        <v/>
      </c>
      <c r="R45" s="18" t="inlineStr">
        <is>
          <t>data/building_templates.yaml; max_level: gameplay/constants.py; formula: gameplay/models/manor.py</t>
        </is>
      </c>
    </row>
    <row r="46" ht="25" customHeight="1">
      <c r="A46" s="17" t="inlineStr">
        <is>
          <t>farm</t>
        </is>
      </c>
      <c r="B46" s="18" t="inlineStr">
        <is>
          <t>农田</t>
        </is>
      </c>
      <c r="C46" s="18" t="inlineStr">
        <is>
          <t>资源生产</t>
        </is>
      </c>
      <c r="D46" s="17" t="n">
        <v>42</v>
      </c>
      <c r="E46" s="24">
        <f>D46+1</f>
        <v/>
      </c>
      <c r="F46" s="38" t="n">
        <v>180</v>
      </c>
      <c r="G46" s="39" t="n">
        <v>1.22</v>
      </c>
      <c r="H46" s="38" t="n">
        <v>170</v>
      </c>
      <c r="I46" s="38" t="n">
        <v>0</v>
      </c>
      <c r="J46" s="39" t="n">
        <v>1.33</v>
      </c>
      <c r="K46" s="42">
        <f>ROUNDUP(F46*POWER(G46,D46),0)</f>
        <v/>
      </c>
      <c r="L46" s="40">
        <f>MAX(1,ROUNDDOWN(K46/'参数与公式'!$B$5,0))</f>
        <v/>
      </c>
      <c r="M46" s="40">
        <f>MAX(1,ROUNDDOWN(K46*(1-'参数与公式'!$B$14)/'参数与公式'!$B$5,0))</f>
        <v/>
      </c>
      <c r="N46" s="42">
        <f>IF(H46=0,0,ROUNDUP(H46*POWER(J46,D46),0))</f>
        <v/>
      </c>
      <c r="O46" s="42">
        <f>IF(I46=0,0,ROUNDUP(I46*POWER(J46,D46),0))</f>
        <v/>
      </c>
      <c r="P46" s="40">
        <f>IF(N46=0,0,MAX(1,ROUNDUP(N46*(1-'参数与公式'!$B$17),0)))</f>
        <v/>
      </c>
      <c r="Q46" s="40">
        <f>IF(O46=0,0,MAX(1,ROUNDUP(O46*(1-'参数与公式'!$B$17),0)))</f>
        <v/>
      </c>
      <c r="R46" s="18" t="inlineStr">
        <is>
          <t>data/building_templates.yaml; max_level: gameplay/constants.py; formula: gameplay/models/manor.py</t>
        </is>
      </c>
    </row>
    <row r="47" ht="25" customHeight="1">
      <c r="A47" s="17" t="inlineStr">
        <is>
          <t>farm</t>
        </is>
      </c>
      <c r="B47" s="18" t="inlineStr">
        <is>
          <t>农田</t>
        </is>
      </c>
      <c r="C47" s="18" t="inlineStr">
        <is>
          <t>资源生产</t>
        </is>
      </c>
      <c r="D47" s="17" t="n">
        <v>43</v>
      </c>
      <c r="E47" s="24">
        <f>D47+1</f>
        <v/>
      </c>
      <c r="F47" s="38" t="n">
        <v>180</v>
      </c>
      <c r="G47" s="39" t="n">
        <v>1.22</v>
      </c>
      <c r="H47" s="38" t="n">
        <v>170</v>
      </c>
      <c r="I47" s="38" t="n">
        <v>0</v>
      </c>
      <c r="J47" s="39" t="n">
        <v>1.33</v>
      </c>
      <c r="K47" s="42">
        <f>ROUNDUP(F47*POWER(G47,D47),0)</f>
        <v/>
      </c>
      <c r="L47" s="40">
        <f>MAX(1,ROUNDDOWN(K47/'参数与公式'!$B$5,0))</f>
        <v/>
      </c>
      <c r="M47" s="40">
        <f>MAX(1,ROUNDDOWN(K47*(1-'参数与公式'!$B$14)/'参数与公式'!$B$5,0))</f>
        <v/>
      </c>
      <c r="N47" s="42">
        <f>IF(H47=0,0,ROUNDUP(H47*POWER(J47,D47),0))</f>
        <v/>
      </c>
      <c r="O47" s="42">
        <f>IF(I47=0,0,ROUNDUP(I47*POWER(J47,D47),0))</f>
        <v/>
      </c>
      <c r="P47" s="40">
        <f>IF(N47=0,0,MAX(1,ROUNDUP(N47*(1-'参数与公式'!$B$17),0)))</f>
        <v/>
      </c>
      <c r="Q47" s="40">
        <f>IF(O47=0,0,MAX(1,ROUNDUP(O47*(1-'参数与公式'!$B$17),0)))</f>
        <v/>
      </c>
      <c r="R47" s="18" t="inlineStr">
        <is>
          <t>data/building_templates.yaml; max_level: gameplay/constants.py; formula: gameplay/models/manor.py</t>
        </is>
      </c>
    </row>
    <row r="48" ht="25" customHeight="1">
      <c r="A48" s="17" t="inlineStr">
        <is>
          <t>farm</t>
        </is>
      </c>
      <c r="B48" s="18" t="inlineStr">
        <is>
          <t>农田</t>
        </is>
      </c>
      <c r="C48" s="18" t="inlineStr">
        <is>
          <t>资源生产</t>
        </is>
      </c>
      <c r="D48" s="17" t="n">
        <v>44</v>
      </c>
      <c r="E48" s="24">
        <f>D48+1</f>
        <v/>
      </c>
      <c r="F48" s="38" t="n">
        <v>180</v>
      </c>
      <c r="G48" s="39" t="n">
        <v>1.22</v>
      </c>
      <c r="H48" s="38" t="n">
        <v>170</v>
      </c>
      <c r="I48" s="38" t="n">
        <v>0</v>
      </c>
      <c r="J48" s="39" t="n">
        <v>1.33</v>
      </c>
      <c r="K48" s="42">
        <f>ROUNDUP(F48*POWER(G48,D48),0)</f>
        <v/>
      </c>
      <c r="L48" s="40">
        <f>MAX(1,ROUNDDOWN(K48/'参数与公式'!$B$5,0))</f>
        <v/>
      </c>
      <c r="M48" s="40">
        <f>MAX(1,ROUNDDOWN(K48*(1-'参数与公式'!$B$14)/'参数与公式'!$B$5,0))</f>
        <v/>
      </c>
      <c r="N48" s="42">
        <f>IF(H48=0,0,ROUNDUP(H48*POWER(J48,D48),0))</f>
        <v/>
      </c>
      <c r="O48" s="42">
        <f>IF(I48=0,0,ROUNDUP(I48*POWER(J48,D48),0))</f>
        <v/>
      </c>
      <c r="P48" s="40">
        <f>IF(N48=0,0,MAX(1,ROUNDUP(N48*(1-'参数与公式'!$B$17),0)))</f>
        <v/>
      </c>
      <c r="Q48" s="40">
        <f>IF(O48=0,0,MAX(1,ROUNDUP(O48*(1-'参数与公式'!$B$17),0)))</f>
        <v/>
      </c>
      <c r="R48" s="18" t="inlineStr">
        <is>
          <t>data/building_templates.yaml; max_level: gameplay/constants.py; formula: gameplay/models/manor.py</t>
        </is>
      </c>
    </row>
    <row r="49" ht="25" customHeight="1">
      <c r="A49" s="17" t="inlineStr">
        <is>
          <t>farm</t>
        </is>
      </c>
      <c r="B49" s="18" t="inlineStr">
        <is>
          <t>农田</t>
        </is>
      </c>
      <c r="C49" s="18" t="inlineStr">
        <is>
          <t>资源生产</t>
        </is>
      </c>
      <c r="D49" s="17" t="n">
        <v>45</v>
      </c>
      <c r="E49" s="24">
        <f>D49+1</f>
        <v/>
      </c>
      <c r="F49" s="38" t="n">
        <v>180</v>
      </c>
      <c r="G49" s="39" t="n">
        <v>1.22</v>
      </c>
      <c r="H49" s="38" t="n">
        <v>170</v>
      </c>
      <c r="I49" s="38" t="n">
        <v>0</v>
      </c>
      <c r="J49" s="39" t="n">
        <v>1.33</v>
      </c>
      <c r="K49" s="42">
        <f>ROUNDUP(F49*POWER(G49,D49),0)</f>
        <v/>
      </c>
      <c r="L49" s="40">
        <f>MAX(1,ROUNDDOWN(K49/'参数与公式'!$B$5,0))</f>
        <v/>
      </c>
      <c r="M49" s="40">
        <f>MAX(1,ROUNDDOWN(K49*(1-'参数与公式'!$B$14)/'参数与公式'!$B$5,0))</f>
        <v/>
      </c>
      <c r="N49" s="42">
        <f>IF(H49=0,0,ROUNDUP(H49*POWER(J49,D49),0))</f>
        <v/>
      </c>
      <c r="O49" s="42">
        <f>IF(I49=0,0,ROUNDUP(I49*POWER(J49,D49),0))</f>
        <v/>
      </c>
      <c r="P49" s="40">
        <f>IF(N49=0,0,MAX(1,ROUNDUP(N49*(1-'参数与公式'!$B$17),0)))</f>
        <v/>
      </c>
      <c r="Q49" s="40">
        <f>IF(O49=0,0,MAX(1,ROUNDUP(O49*(1-'参数与公式'!$B$17),0)))</f>
        <v/>
      </c>
      <c r="R49" s="18" t="inlineStr">
        <is>
          <t>data/building_templates.yaml; max_level: gameplay/constants.py; formula: gameplay/models/manor.py</t>
        </is>
      </c>
    </row>
    <row r="50" ht="25" customHeight="1">
      <c r="A50" s="17" t="inlineStr">
        <is>
          <t>farm</t>
        </is>
      </c>
      <c r="B50" s="18" t="inlineStr">
        <is>
          <t>农田</t>
        </is>
      </c>
      <c r="C50" s="18" t="inlineStr">
        <is>
          <t>资源生产</t>
        </is>
      </c>
      <c r="D50" s="17" t="n">
        <v>46</v>
      </c>
      <c r="E50" s="24">
        <f>D50+1</f>
        <v/>
      </c>
      <c r="F50" s="38" t="n">
        <v>180</v>
      </c>
      <c r="G50" s="39" t="n">
        <v>1.22</v>
      </c>
      <c r="H50" s="38" t="n">
        <v>170</v>
      </c>
      <c r="I50" s="38" t="n">
        <v>0</v>
      </c>
      <c r="J50" s="39" t="n">
        <v>1.33</v>
      </c>
      <c r="K50" s="42">
        <f>ROUNDUP(F50*POWER(G50,D50),0)</f>
        <v/>
      </c>
      <c r="L50" s="40">
        <f>MAX(1,ROUNDDOWN(K50/'参数与公式'!$B$5,0))</f>
        <v/>
      </c>
      <c r="M50" s="40">
        <f>MAX(1,ROUNDDOWN(K50*(1-'参数与公式'!$B$14)/'参数与公式'!$B$5,0))</f>
        <v/>
      </c>
      <c r="N50" s="42">
        <f>IF(H50=0,0,ROUNDUP(H50*POWER(J50,D50),0))</f>
        <v/>
      </c>
      <c r="O50" s="42">
        <f>IF(I50=0,0,ROUNDUP(I50*POWER(J50,D50),0))</f>
        <v/>
      </c>
      <c r="P50" s="40">
        <f>IF(N50=0,0,MAX(1,ROUNDUP(N50*(1-'参数与公式'!$B$17),0)))</f>
        <v/>
      </c>
      <c r="Q50" s="40">
        <f>IF(O50=0,0,MAX(1,ROUNDUP(O50*(1-'参数与公式'!$B$17),0)))</f>
        <v/>
      </c>
      <c r="R50" s="18" t="inlineStr">
        <is>
          <t>data/building_templates.yaml; max_level: gameplay/constants.py; formula: gameplay/models/manor.py</t>
        </is>
      </c>
    </row>
    <row r="51" ht="25" customHeight="1">
      <c r="A51" s="17" t="inlineStr">
        <is>
          <t>farm</t>
        </is>
      </c>
      <c r="B51" s="18" t="inlineStr">
        <is>
          <t>农田</t>
        </is>
      </c>
      <c r="C51" s="18" t="inlineStr">
        <is>
          <t>资源生产</t>
        </is>
      </c>
      <c r="D51" s="17" t="n">
        <v>47</v>
      </c>
      <c r="E51" s="24">
        <f>D51+1</f>
        <v/>
      </c>
      <c r="F51" s="38" t="n">
        <v>180</v>
      </c>
      <c r="G51" s="39" t="n">
        <v>1.22</v>
      </c>
      <c r="H51" s="38" t="n">
        <v>170</v>
      </c>
      <c r="I51" s="38" t="n">
        <v>0</v>
      </c>
      <c r="J51" s="39" t="n">
        <v>1.33</v>
      </c>
      <c r="K51" s="42">
        <f>ROUNDUP(F51*POWER(G51,D51),0)</f>
        <v/>
      </c>
      <c r="L51" s="40">
        <f>MAX(1,ROUNDDOWN(K51/'参数与公式'!$B$5,0))</f>
        <v/>
      </c>
      <c r="M51" s="40">
        <f>MAX(1,ROUNDDOWN(K51*(1-'参数与公式'!$B$14)/'参数与公式'!$B$5,0))</f>
        <v/>
      </c>
      <c r="N51" s="42">
        <f>IF(H51=0,0,ROUNDUP(H51*POWER(J51,D51),0))</f>
        <v/>
      </c>
      <c r="O51" s="42">
        <f>IF(I51=0,0,ROUNDUP(I51*POWER(J51,D51),0))</f>
        <v/>
      </c>
      <c r="P51" s="40">
        <f>IF(N51=0,0,MAX(1,ROUNDUP(N51*(1-'参数与公式'!$B$17),0)))</f>
        <v/>
      </c>
      <c r="Q51" s="40">
        <f>IF(O51=0,0,MAX(1,ROUNDUP(O51*(1-'参数与公式'!$B$17),0)))</f>
        <v/>
      </c>
      <c r="R51" s="18" t="inlineStr">
        <is>
          <t>data/building_templates.yaml; max_level: gameplay/constants.py; formula: gameplay/models/manor.py</t>
        </is>
      </c>
    </row>
    <row r="52" ht="25" customHeight="1">
      <c r="A52" s="17" t="inlineStr">
        <is>
          <t>farm</t>
        </is>
      </c>
      <c r="B52" s="18" t="inlineStr">
        <is>
          <t>农田</t>
        </is>
      </c>
      <c r="C52" s="18" t="inlineStr">
        <is>
          <t>资源生产</t>
        </is>
      </c>
      <c r="D52" s="17" t="n">
        <v>48</v>
      </c>
      <c r="E52" s="24">
        <f>D52+1</f>
        <v/>
      </c>
      <c r="F52" s="38" t="n">
        <v>180</v>
      </c>
      <c r="G52" s="39" t="n">
        <v>1.22</v>
      </c>
      <c r="H52" s="38" t="n">
        <v>170</v>
      </c>
      <c r="I52" s="38" t="n">
        <v>0</v>
      </c>
      <c r="J52" s="39" t="n">
        <v>1.33</v>
      </c>
      <c r="K52" s="42">
        <f>ROUNDUP(F52*POWER(G52,D52),0)</f>
        <v/>
      </c>
      <c r="L52" s="40">
        <f>MAX(1,ROUNDDOWN(K52/'参数与公式'!$B$5,0))</f>
        <v/>
      </c>
      <c r="M52" s="40">
        <f>MAX(1,ROUNDDOWN(K52*(1-'参数与公式'!$B$14)/'参数与公式'!$B$5,0))</f>
        <v/>
      </c>
      <c r="N52" s="42">
        <f>IF(H52=0,0,ROUNDUP(H52*POWER(J52,D52),0))</f>
        <v/>
      </c>
      <c r="O52" s="42">
        <f>IF(I52=0,0,ROUNDUP(I52*POWER(J52,D52),0))</f>
        <v/>
      </c>
      <c r="P52" s="40">
        <f>IF(N52=0,0,MAX(1,ROUNDUP(N52*(1-'参数与公式'!$B$17),0)))</f>
        <v/>
      </c>
      <c r="Q52" s="40">
        <f>IF(O52=0,0,MAX(1,ROUNDUP(O52*(1-'参数与公式'!$B$17),0)))</f>
        <v/>
      </c>
      <c r="R52" s="18" t="inlineStr">
        <is>
          <t>data/building_templates.yaml; max_level: gameplay/constants.py; formula: gameplay/models/manor.py</t>
        </is>
      </c>
    </row>
    <row r="53" ht="25" customHeight="1">
      <c r="A53" s="17" t="inlineStr">
        <is>
          <t>farm</t>
        </is>
      </c>
      <c r="B53" s="18" t="inlineStr">
        <is>
          <t>农田</t>
        </is>
      </c>
      <c r="C53" s="18" t="inlineStr">
        <is>
          <t>资源生产</t>
        </is>
      </c>
      <c r="D53" s="17" t="n">
        <v>49</v>
      </c>
      <c r="E53" s="24">
        <f>D53+1</f>
        <v/>
      </c>
      <c r="F53" s="38" t="n">
        <v>180</v>
      </c>
      <c r="G53" s="39" t="n">
        <v>1.22</v>
      </c>
      <c r="H53" s="38" t="n">
        <v>170</v>
      </c>
      <c r="I53" s="38" t="n">
        <v>0</v>
      </c>
      <c r="J53" s="39" t="n">
        <v>1.33</v>
      </c>
      <c r="K53" s="42">
        <f>ROUNDUP(F53*POWER(G53,D53),0)</f>
        <v/>
      </c>
      <c r="L53" s="40">
        <f>MAX(1,ROUNDDOWN(K53/'参数与公式'!$B$5,0))</f>
        <v/>
      </c>
      <c r="M53" s="40">
        <f>MAX(1,ROUNDDOWN(K53*(1-'参数与公式'!$B$14)/'参数与公式'!$B$5,0))</f>
        <v/>
      </c>
      <c r="N53" s="42">
        <f>IF(H53=0,0,ROUNDUP(H53*POWER(J53,D53),0))</f>
        <v/>
      </c>
      <c r="O53" s="42">
        <f>IF(I53=0,0,ROUNDUP(I53*POWER(J53,D53),0))</f>
        <v/>
      </c>
      <c r="P53" s="40">
        <f>IF(N53=0,0,MAX(1,ROUNDUP(N53*(1-'参数与公式'!$B$17),0)))</f>
        <v/>
      </c>
      <c r="Q53" s="40">
        <f>IF(O53=0,0,MAX(1,ROUNDUP(O53*(1-'参数与公式'!$B$17),0)))</f>
        <v/>
      </c>
      <c r="R53" s="18" t="inlineStr">
        <is>
          <t>data/building_templates.yaml; max_level: gameplay/constants.py; formula: gameplay/models/manor.py</t>
        </is>
      </c>
    </row>
    <row r="54" ht="25" customHeight="1">
      <c r="A54" s="17" t="inlineStr">
        <is>
          <t>tax_office</t>
        </is>
      </c>
      <c r="B54" s="18" t="inlineStr">
        <is>
          <t>税务司</t>
        </is>
      </c>
      <c r="C54" s="18" t="inlineStr">
        <is>
          <t>资源生产</t>
        </is>
      </c>
      <c r="D54" s="17" t="n">
        <v>1</v>
      </c>
      <c r="E54" s="24">
        <f>D54+1</f>
        <v/>
      </c>
      <c r="F54" s="38" t="n">
        <v>210</v>
      </c>
      <c r="G54" s="39" t="n">
        <v>1.25</v>
      </c>
      <c r="H54" s="38" t="n">
        <v>450</v>
      </c>
      <c r="I54" s="38" t="n">
        <v>0</v>
      </c>
      <c r="J54" s="39" t="n">
        <v>1.36</v>
      </c>
      <c r="K54" s="42">
        <f>ROUNDUP(F54*POWER(G54,D54),0)</f>
        <v/>
      </c>
      <c r="L54" s="40">
        <f>MAX(1,ROUNDDOWN(K54/'参数与公式'!$B$5,0))</f>
        <v/>
      </c>
      <c r="M54" s="40">
        <f>MAX(1,ROUNDDOWN(K54*(1-'参数与公式'!$B$14)/'参数与公式'!$B$5,0))</f>
        <v/>
      </c>
      <c r="N54" s="42">
        <f>IF(H54=0,0,ROUNDUP(H54*POWER(J54,D54),0))</f>
        <v/>
      </c>
      <c r="O54" s="42">
        <f>IF(I54=0,0,ROUNDUP(I54*POWER(J54,D54),0))</f>
        <v/>
      </c>
      <c r="P54" s="40">
        <f>IF(N54=0,0,MAX(1,ROUNDUP(N54*(1-'参数与公式'!$B$17),0)))</f>
        <v/>
      </c>
      <c r="Q54" s="40">
        <f>IF(O54=0,0,MAX(1,ROUNDUP(O54*(1-'参数与公式'!$B$17),0)))</f>
        <v/>
      </c>
      <c r="R54" s="18" t="inlineStr">
        <is>
          <t>data/building_templates.yaml; max_level: gameplay/constants.py; formula: gameplay/models/manor.py</t>
        </is>
      </c>
    </row>
    <row r="55" ht="25" customHeight="1">
      <c r="A55" s="17" t="inlineStr">
        <is>
          <t>tax_office</t>
        </is>
      </c>
      <c r="B55" s="18" t="inlineStr">
        <is>
          <t>税务司</t>
        </is>
      </c>
      <c r="C55" s="18" t="inlineStr">
        <is>
          <t>资源生产</t>
        </is>
      </c>
      <c r="D55" s="17" t="n">
        <v>2</v>
      </c>
      <c r="E55" s="24">
        <f>D55+1</f>
        <v/>
      </c>
      <c r="F55" s="38" t="n">
        <v>210</v>
      </c>
      <c r="G55" s="39" t="n">
        <v>1.25</v>
      </c>
      <c r="H55" s="38" t="n">
        <v>450</v>
      </c>
      <c r="I55" s="38" t="n">
        <v>0</v>
      </c>
      <c r="J55" s="39" t="n">
        <v>1.36</v>
      </c>
      <c r="K55" s="42">
        <f>ROUNDUP(F55*POWER(G55,D55),0)</f>
        <v/>
      </c>
      <c r="L55" s="40">
        <f>MAX(1,ROUNDDOWN(K55/'参数与公式'!$B$5,0))</f>
        <v/>
      </c>
      <c r="M55" s="40">
        <f>MAX(1,ROUNDDOWN(K55*(1-'参数与公式'!$B$14)/'参数与公式'!$B$5,0))</f>
        <v/>
      </c>
      <c r="N55" s="42">
        <f>IF(H55=0,0,ROUNDUP(H55*POWER(J55,D55),0))</f>
        <v/>
      </c>
      <c r="O55" s="42">
        <f>IF(I55=0,0,ROUNDUP(I55*POWER(J55,D55),0))</f>
        <v/>
      </c>
      <c r="P55" s="40">
        <f>IF(N55=0,0,MAX(1,ROUNDUP(N55*(1-'参数与公式'!$B$17),0)))</f>
        <v/>
      </c>
      <c r="Q55" s="40">
        <f>IF(O55=0,0,MAX(1,ROUNDUP(O55*(1-'参数与公式'!$B$17),0)))</f>
        <v/>
      </c>
      <c r="R55" s="18" t="inlineStr">
        <is>
          <t>data/building_templates.yaml; max_level: gameplay/constants.py; formula: gameplay/models/manor.py</t>
        </is>
      </c>
    </row>
    <row r="56" ht="25" customHeight="1">
      <c r="A56" s="17" t="inlineStr">
        <is>
          <t>tax_office</t>
        </is>
      </c>
      <c r="B56" s="18" t="inlineStr">
        <is>
          <t>税务司</t>
        </is>
      </c>
      <c r="C56" s="18" t="inlineStr">
        <is>
          <t>资源生产</t>
        </is>
      </c>
      <c r="D56" s="17" t="n">
        <v>3</v>
      </c>
      <c r="E56" s="24">
        <f>D56+1</f>
        <v/>
      </c>
      <c r="F56" s="38" t="n">
        <v>210</v>
      </c>
      <c r="G56" s="39" t="n">
        <v>1.25</v>
      </c>
      <c r="H56" s="38" t="n">
        <v>450</v>
      </c>
      <c r="I56" s="38" t="n">
        <v>0</v>
      </c>
      <c r="J56" s="39" t="n">
        <v>1.36</v>
      </c>
      <c r="K56" s="42">
        <f>ROUNDUP(F56*POWER(G56,D56),0)</f>
        <v/>
      </c>
      <c r="L56" s="40">
        <f>MAX(1,ROUNDDOWN(K56/'参数与公式'!$B$5,0))</f>
        <v/>
      </c>
      <c r="M56" s="40">
        <f>MAX(1,ROUNDDOWN(K56*(1-'参数与公式'!$B$14)/'参数与公式'!$B$5,0))</f>
        <v/>
      </c>
      <c r="N56" s="42">
        <f>IF(H56=0,0,ROUNDUP(H56*POWER(J56,D56),0))</f>
        <v/>
      </c>
      <c r="O56" s="42">
        <f>IF(I56=0,0,ROUNDUP(I56*POWER(J56,D56),0))</f>
        <v/>
      </c>
      <c r="P56" s="40">
        <f>IF(N56=0,0,MAX(1,ROUNDUP(N56*(1-'参数与公式'!$B$17),0)))</f>
        <v/>
      </c>
      <c r="Q56" s="40">
        <f>IF(O56=0,0,MAX(1,ROUNDUP(O56*(1-'参数与公式'!$B$17),0)))</f>
        <v/>
      </c>
      <c r="R56" s="18" t="inlineStr">
        <is>
          <t>data/building_templates.yaml; max_level: gameplay/constants.py; formula: gameplay/models/manor.py</t>
        </is>
      </c>
    </row>
    <row r="57" ht="25" customHeight="1">
      <c r="A57" s="17" t="inlineStr">
        <is>
          <t>tax_office</t>
        </is>
      </c>
      <c r="B57" s="18" t="inlineStr">
        <is>
          <t>税务司</t>
        </is>
      </c>
      <c r="C57" s="18" t="inlineStr">
        <is>
          <t>资源生产</t>
        </is>
      </c>
      <c r="D57" s="17" t="n">
        <v>4</v>
      </c>
      <c r="E57" s="24">
        <f>D57+1</f>
        <v/>
      </c>
      <c r="F57" s="38" t="n">
        <v>210</v>
      </c>
      <c r="G57" s="39" t="n">
        <v>1.25</v>
      </c>
      <c r="H57" s="38" t="n">
        <v>450</v>
      </c>
      <c r="I57" s="38" t="n">
        <v>0</v>
      </c>
      <c r="J57" s="39" t="n">
        <v>1.36</v>
      </c>
      <c r="K57" s="42">
        <f>ROUNDUP(F57*POWER(G57,D57),0)</f>
        <v/>
      </c>
      <c r="L57" s="40">
        <f>MAX(1,ROUNDDOWN(K57/'参数与公式'!$B$5,0))</f>
        <v/>
      </c>
      <c r="M57" s="40">
        <f>MAX(1,ROUNDDOWN(K57*(1-'参数与公式'!$B$14)/'参数与公式'!$B$5,0))</f>
        <v/>
      </c>
      <c r="N57" s="42">
        <f>IF(H57=0,0,ROUNDUP(H57*POWER(J57,D57),0))</f>
        <v/>
      </c>
      <c r="O57" s="42">
        <f>IF(I57=0,0,ROUNDUP(I57*POWER(J57,D57),0))</f>
        <v/>
      </c>
      <c r="P57" s="40">
        <f>IF(N57=0,0,MAX(1,ROUNDUP(N57*(1-'参数与公式'!$B$17),0)))</f>
        <v/>
      </c>
      <c r="Q57" s="40">
        <f>IF(O57=0,0,MAX(1,ROUNDUP(O57*(1-'参数与公式'!$B$17),0)))</f>
        <v/>
      </c>
      <c r="R57" s="18" t="inlineStr">
        <is>
          <t>data/building_templates.yaml; max_level: gameplay/constants.py; formula: gameplay/models/manor.py</t>
        </is>
      </c>
    </row>
    <row r="58" ht="25" customHeight="1">
      <c r="A58" s="17" t="inlineStr">
        <is>
          <t>tax_office</t>
        </is>
      </c>
      <c r="B58" s="18" t="inlineStr">
        <is>
          <t>税务司</t>
        </is>
      </c>
      <c r="C58" s="18" t="inlineStr">
        <is>
          <t>资源生产</t>
        </is>
      </c>
      <c r="D58" s="17" t="n">
        <v>5</v>
      </c>
      <c r="E58" s="24">
        <f>D58+1</f>
        <v/>
      </c>
      <c r="F58" s="38" t="n">
        <v>210</v>
      </c>
      <c r="G58" s="39" t="n">
        <v>1.25</v>
      </c>
      <c r="H58" s="38" t="n">
        <v>450</v>
      </c>
      <c r="I58" s="38" t="n">
        <v>0</v>
      </c>
      <c r="J58" s="39" t="n">
        <v>1.36</v>
      </c>
      <c r="K58" s="42">
        <f>ROUNDUP(F58*POWER(G58,D58),0)</f>
        <v/>
      </c>
      <c r="L58" s="40">
        <f>MAX(1,ROUNDDOWN(K58/'参数与公式'!$B$5,0))</f>
        <v/>
      </c>
      <c r="M58" s="40">
        <f>MAX(1,ROUNDDOWN(K58*(1-'参数与公式'!$B$14)/'参数与公式'!$B$5,0))</f>
        <v/>
      </c>
      <c r="N58" s="42">
        <f>IF(H58=0,0,ROUNDUP(H58*POWER(J58,D58),0))</f>
        <v/>
      </c>
      <c r="O58" s="42">
        <f>IF(I58=0,0,ROUNDUP(I58*POWER(J58,D58),0))</f>
        <v/>
      </c>
      <c r="P58" s="40">
        <f>IF(N58=0,0,MAX(1,ROUNDUP(N58*(1-'参数与公式'!$B$17),0)))</f>
        <v/>
      </c>
      <c r="Q58" s="40">
        <f>IF(O58=0,0,MAX(1,ROUNDUP(O58*(1-'参数与公式'!$B$17),0)))</f>
        <v/>
      </c>
      <c r="R58" s="18" t="inlineStr">
        <is>
          <t>data/building_templates.yaml; max_level: gameplay/constants.py; formula: gameplay/models/manor.py</t>
        </is>
      </c>
    </row>
    <row r="59" ht="25" customHeight="1">
      <c r="A59" s="17" t="inlineStr">
        <is>
          <t>tax_office</t>
        </is>
      </c>
      <c r="B59" s="18" t="inlineStr">
        <is>
          <t>税务司</t>
        </is>
      </c>
      <c r="C59" s="18" t="inlineStr">
        <is>
          <t>资源生产</t>
        </is>
      </c>
      <c r="D59" s="17" t="n">
        <v>6</v>
      </c>
      <c r="E59" s="24">
        <f>D59+1</f>
        <v/>
      </c>
      <c r="F59" s="38" t="n">
        <v>210</v>
      </c>
      <c r="G59" s="39" t="n">
        <v>1.25</v>
      </c>
      <c r="H59" s="38" t="n">
        <v>450</v>
      </c>
      <c r="I59" s="38" t="n">
        <v>0</v>
      </c>
      <c r="J59" s="39" t="n">
        <v>1.36</v>
      </c>
      <c r="K59" s="42">
        <f>ROUNDUP(F59*POWER(G59,D59),0)</f>
        <v/>
      </c>
      <c r="L59" s="40">
        <f>MAX(1,ROUNDDOWN(K59/'参数与公式'!$B$5,0))</f>
        <v/>
      </c>
      <c r="M59" s="40">
        <f>MAX(1,ROUNDDOWN(K59*(1-'参数与公式'!$B$14)/'参数与公式'!$B$5,0))</f>
        <v/>
      </c>
      <c r="N59" s="42">
        <f>IF(H59=0,0,ROUNDUP(H59*POWER(J59,D59),0))</f>
        <v/>
      </c>
      <c r="O59" s="42">
        <f>IF(I59=0,0,ROUNDUP(I59*POWER(J59,D59),0))</f>
        <v/>
      </c>
      <c r="P59" s="40">
        <f>IF(N59=0,0,MAX(1,ROUNDUP(N59*(1-'参数与公式'!$B$17),0)))</f>
        <v/>
      </c>
      <c r="Q59" s="40">
        <f>IF(O59=0,0,MAX(1,ROUNDUP(O59*(1-'参数与公式'!$B$17),0)))</f>
        <v/>
      </c>
      <c r="R59" s="18" t="inlineStr">
        <is>
          <t>data/building_templates.yaml; max_level: gameplay/constants.py; formula: gameplay/models/manor.py</t>
        </is>
      </c>
    </row>
    <row r="60" ht="25" customHeight="1">
      <c r="A60" s="17" t="inlineStr">
        <is>
          <t>tax_office</t>
        </is>
      </c>
      <c r="B60" s="18" t="inlineStr">
        <is>
          <t>税务司</t>
        </is>
      </c>
      <c r="C60" s="18" t="inlineStr">
        <is>
          <t>资源生产</t>
        </is>
      </c>
      <c r="D60" s="17" t="n">
        <v>7</v>
      </c>
      <c r="E60" s="24">
        <f>D60+1</f>
        <v/>
      </c>
      <c r="F60" s="38" t="n">
        <v>210</v>
      </c>
      <c r="G60" s="39" t="n">
        <v>1.25</v>
      </c>
      <c r="H60" s="38" t="n">
        <v>450</v>
      </c>
      <c r="I60" s="38" t="n">
        <v>0</v>
      </c>
      <c r="J60" s="39" t="n">
        <v>1.36</v>
      </c>
      <c r="K60" s="42">
        <f>ROUNDUP(F60*POWER(G60,D60),0)</f>
        <v/>
      </c>
      <c r="L60" s="40">
        <f>MAX(1,ROUNDDOWN(K60/'参数与公式'!$B$5,0))</f>
        <v/>
      </c>
      <c r="M60" s="40">
        <f>MAX(1,ROUNDDOWN(K60*(1-'参数与公式'!$B$14)/'参数与公式'!$B$5,0))</f>
        <v/>
      </c>
      <c r="N60" s="42">
        <f>IF(H60=0,0,ROUNDUP(H60*POWER(J60,D60),0))</f>
        <v/>
      </c>
      <c r="O60" s="42">
        <f>IF(I60=0,0,ROUNDUP(I60*POWER(J60,D60),0))</f>
        <v/>
      </c>
      <c r="P60" s="40">
        <f>IF(N60=0,0,MAX(1,ROUNDUP(N60*(1-'参数与公式'!$B$17),0)))</f>
        <v/>
      </c>
      <c r="Q60" s="40">
        <f>IF(O60=0,0,MAX(1,ROUNDUP(O60*(1-'参数与公式'!$B$17),0)))</f>
        <v/>
      </c>
      <c r="R60" s="18" t="inlineStr">
        <is>
          <t>data/building_templates.yaml; max_level: gameplay/constants.py; formula: gameplay/models/manor.py</t>
        </is>
      </c>
    </row>
    <row r="61" ht="25" customHeight="1">
      <c r="A61" s="17" t="inlineStr">
        <is>
          <t>tax_office</t>
        </is>
      </c>
      <c r="B61" s="18" t="inlineStr">
        <is>
          <t>税务司</t>
        </is>
      </c>
      <c r="C61" s="18" t="inlineStr">
        <is>
          <t>资源生产</t>
        </is>
      </c>
      <c r="D61" s="17" t="n">
        <v>8</v>
      </c>
      <c r="E61" s="24">
        <f>D61+1</f>
        <v/>
      </c>
      <c r="F61" s="38" t="n">
        <v>210</v>
      </c>
      <c r="G61" s="39" t="n">
        <v>1.25</v>
      </c>
      <c r="H61" s="38" t="n">
        <v>450</v>
      </c>
      <c r="I61" s="38" t="n">
        <v>0</v>
      </c>
      <c r="J61" s="39" t="n">
        <v>1.36</v>
      </c>
      <c r="K61" s="42">
        <f>ROUNDUP(F61*POWER(G61,D61),0)</f>
        <v/>
      </c>
      <c r="L61" s="40">
        <f>MAX(1,ROUNDDOWN(K61/'参数与公式'!$B$5,0))</f>
        <v/>
      </c>
      <c r="M61" s="40">
        <f>MAX(1,ROUNDDOWN(K61*(1-'参数与公式'!$B$14)/'参数与公式'!$B$5,0))</f>
        <v/>
      </c>
      <c r="N61" s="42">
        <f>IF(H61=0,0,ROUNDUP(H61*POWER(J61,D61),0))</f>
        <v/>
      </c>
      <c r="O61" s="42">
        <f>IF(I61=0,0,ROUNDUP(I61*POWER(J61,D61),0))</f>
        <v/>
      </c>
      <c r="P61" s="40">
        <f>IF(N61=0,0,MAX(1,ROUNDUP(N61*(1-'参数与公式'!$B$17),0)))</f>
        <v/>
      </c>
      <c r="Q61" s="40">
        <f>IF(O61=0,0,MAX(1,ROUNDUP(O61*(1-'参数与公式'!$B$17),0)))</f>
        <v/>
      </c>
      <c r="R61" s="18" t="inlineStr">
        <is>
          <t>data/building_templates.yaml; max_level: gameplay/constants.py; formula: gameplay/models/manor.py</t>
        </is>
      </c>
    </row>
    <row r="62" ht="25" customHeight="1">
      <c r="A62" s="17" t="inlineStr">
        <is>
          <t>tax_office</t>
        </is>
      </c>
      <c r="B62" s="18" t="inlineStr">
        <is>
          <t>税务司</t>
        </is>
      </c>
      <c r="C62" s="18" t="inlineStr">
        <is>
          <t>资源生产</t>
        </is>
      </c>
      <c r="D62" s="17" t="n">
        <v>9</v>
      </c>
      <c r="E62" s="24">
        <f>D62+1</f>
        <v/>
      </c>
      <c r="F62" s="38" t="n">
        <v>210</v>
      </c>
      <c r="G62" s="39" t="n">
        <v>1.25</v>
      </c>
      <c r="H62" s="38" t="n">
        <v>450</v>
      </c>
      <c r="I62" s="38" t="n">
        <v>0</v>
      </c>
      <c r="J62" s="39" t="n">
        <v>1.36</v>
      </c>
      <c r="K62" s="42">
        <f>ROUNDUP(F62*POWER(G62,D62),0)</f>
        <v/>
      </c>
      <c r="L62" s="40">
        <f>MAX(1,ROUNDDOWN(K62/'参数与公式'!$B$5,0))</f>
        <v/>
      </c>
      <c r="M62" s="40">
        <f>MAX(1,ROUNDDOWN(K62*(1-'参数与公式'!$B$14)/'参数与公式'!$B$5,0))</f>
        <v/>
      </c>
      <c r="N62" s="42">
        <f>IF(H62=0,0,ROUNDUP(H62*POWER(J62,D62),0))</f>
        <v/>
      </c>
      <c r="O62" s="42">
        <f>IF(I62=0,0,ROUNDUP(I62*POWER(J62,D62),0))</f>
        <v/>
      </c>
      <c r="P62" s="40">
        <f>IF(N62=0,0,MAX(1,ROUNDUP(N62*(1-'参数与公式'!$B$17),0)))</f>
        <v/>
      </c>
      <c r="Q62" s="40">
        <f>IF(O62=0,0,MAX(1,ROUNDUP(O62*(1-'参数与公式'!$B$17),0)))</f>
        <v/>
      </c>
      <c r="R62" s="18" t="inlineStr">
        <is>
          <t>data/building_templates.yaml; max_level: gameplay/constants.py; formula: gameplay/models/manor.py</t>
        </is>
      </c>
    </row>
    <row r="63" ht="25" customHeight="1">
      <c r="A63" s="17" t="inlineStr">
        <is>
          <t>tax_office</t>
        </is>
      </c>
      <c r="B63" s="18" t="inlineStr">
        <is>
          <t>税务司</t>
        </is>
      </c>
      <c r="C63" s="18" t="inlineStr">
        <is>
          <t>资源生产</t>
        </is>
      </c>
      <c r="D63" s="17" t="n">
        <v>10</v>
      </c>
      <c r="E63" s="24">
        <f>D63+1</f>
        <v/>
      </c>
      <c r="F63" s="38" t="n">
        <v>210</v>
      </c>
      <c r="G63" s="39" t="n">
        <v>1.25</v>
      </c>
      <c r="H63" s="38" t="n">
        <v>450</v>
      </c>
      <c r="I63" s="38" t="n">
        <v>0</v>
      </c>
      <c r="J63" s="39" t="n">
        <v>1.36</v>
      </c>
      <c r="K63" s="42">
        <f>ROUNDUP(F63*POWER(G63,D63),0)</f>
        <v/>
      </c>
      <c r="L63" s="40">
        <f>MAX(1,ROUNDDOWN(K63/'参数与公式'!$B$5,0))</f>
        <v/>
      </c>
      <c r="M63" s="40">
        <f>MAX(1,ROUNDDOWN(K63*(1-'参数与公式'!$B$14)/'参数与公式'!$B$5,0))</f>
        <v/>
      </c>
      <c r="N63" s="42">
        <f>IF(H63=0,0,ROUNDUP(H63*POWER(J63,D63),0))</f>
        <v/>
      </c>
      <c r="O63" s="42">
        <f>IF(I63=0,0,ROUNDUP(I63*POWER(J63,D63),0))</f>
        <v/>
      </c>
      <c r="P63" s="40">
        <f>IF(N63=0,0,MAX(1,ROUNDUP(N63*(1-'参数与公式'!$B$17),0)))</f>
        <v/>
      </c>
      <c r="Q63" s="40">
        <f>IF(O63=0,0,MAX(1,ROUNDUP(O63*(1-'参数与公式'!$B$17),0)))</f>
        <v/>
      </c>
      <c r="R63" s="18" t="inlineStr">
        <is>
          <t>data/building_templates.yaml; max_level: gameplay/constants.py; formula: gameplay/models/manor.py</t>
        </is>
      </c>
    </row>
    <row r="64" ht="25" customHeight="1">
      <c r="A64" s="17" t="inlineStr">
        <is>
          <t>tax_office</t>
        </is>
      </c>
      <c r="B64" s="18" t="inlineStr">
        <is>
          <t>税务司</t>
        </is>
      </c>
      <c r="C64" s="18" t="inlineStr">
        <is>
          <t>资源生产</t>
        </is>
      </c>
      <c r="D64" s="17" t="n">
        <v>11</v>
      </c>
      <c r="E64" s="24">
        <f>D64+1</f>
        <v/>
      </c>
      <c r="F64" s="38" t="n">
        <v>210</v>
      </c>
      <c r="G64" s="39" t="n">
        <v>1.25</v>
      </c>
      <c r="H64" s="38" t="n">
        <v>450</v>
      </c>
      <c r="I64" s="38" t="n">
        <v>0</v>
      </c>
      <c r="J64" s="39" t="n">
        <v>1.36</v>
      </c>
      <c r="K64" s="42">
        <f>ROUNDUP(F64*POWER(G64,D64),0)</f>
        <v/>
      </c>
      <c r="L64" s="40">
        <f>MAX(1,ROUNDDOWN(K64/'参数与公式'!$B$5,0))</f>
        <v/>
      </c>
      <c r="M64" s="40">
        <f>MAX(1,ROUNDDOWN(K64*(1-'参数与公式'!$B$14)/'参数与公式'!$B$5,0))</f>
        <v/>
      </c>
      <c r="N64" s="42">
        <f>IF(H64=0,0,ROUNDUP(H64*POWER(J64,D64),0))</f>
        <v/>
      </c>
      <c r="O64" s="42">
        <f>IF(I64=0,0,ROUNDUP(I64*POWER(J64,D64),0))</f>
        <v/>
      </c>
      <c r="P64" s="40">
        <f>IF(N64=0,0,MAX(1,ROUNDUP(N64*(1-'参数与公式'!$B$17),0)))</f>
        <v/>
      </c>
      <c r="Q64" s="40">
        <f>IF(O64=0,0,MAX(1,ROUNDUP(O64*(1-'参数与公式'!$B$17),0)))</f>
        <v/>
      </c>
      <c r="R64" s="18" t="inlineStr">
        <is>
          <t>data/building_templates.yaml; max_level: gameplay/constants.py; formula: gameplay/models/manor.py</t>
        </is>
      </c>
    </row>
    <row r="65" ht="25" customHeight="1">
      <c r="A65" s="17" t="inlineStr">
        <is>
          <t>tax_office</t>
        </is>
      </c>
      <c r="B65" s="18" t="inlineStr">
        <is>
          <t>税务司</t>
        </is>
      </c>
      <c r="C65" s="18" t="inlineStr">
        <is>
          <t>资源生产</t>
        </is>
      </c>
      <c r="D65" s="17" t="n">
        <v>12</v>
      </c>
      <c r="E65" s="24">
        <f>D65+1</f>
        <v/>
      </c>
      <c r="F65" s="38" t="n">
        <v>210</v>
      </c>
      <c r="G65" s="39" t="n">
        <v>1.25</v>
      </c>
      <c r="H65" s="38" t="n">
        <v>450</v>
      </c>
      <c r="I65" s="38" t="n">
        <v>0</v>
      </c>
      <c r="J65" s="39" t="n">
        <v>1.36</v>
      </c>
      <c r="K65" s="42">
        <f>ROUNDUP(F65*POWER(G65,D65),0)</f>
        <v/>
      </c>
      <c r="L65" s="40">
        <f>MAX(1,ROUNDDOWN(K65/'参数与公式'!$B$5,0))</f>
        <v/>
      </c>
      <c r="M65" s="40">
        <f>MAX(1,ROUNDDOWN(K65*(1-'参数与公式'!$B$14)/'参数与公式'!$B$5,0))</f>
        <v/>
      </c>
      <c r="N65" s="42">
        <f>IF(H65=0,0,ROUNDUP(H65*POWER(J65,D65),0))</f>
        <v/>
      </c>
      <c r="O65" s="42">
        <f>IF(I65=0,0,ROUNDUP(I65*POWER(J65,D65),0))</f>
        <v/>
      </c>
      <c r="P65" s="40">
        <f>IF(N65=0,0,MAX(1,ROUNDUP(N65*(1-'参数与公式'!$B$17),0)))</f>
        <v/>
      </c>
      <c r="Q65" s="40">
        <f>IF(O65=0,0,MAX(1,ROUNDUP(O65*(1-'参数与公式'!$B$17),0)))</f>
        <v/>
      </c>
      <c r="R65" s="18" t="inlineStr">
        <is>
          <t>data/building_templates.yaml; max_level: gameplay/constants.py; formula: gameplay/models/manor.py</t>
        </is>
      </c>
    </row>
    <row r="66" ht="25" customHeight="1">
      <c r="A66" s="17" t="inlineStr">
        <is>
          <t>tax_office</t>
        </is>
      </c>
      <c r="B66" s="18" t="inlineStr">
        <is>
          <t>税务司</t>
        </is>
      </c>
      <c r="C66" s="18" t="inlineStr">
        <is>
          <t>资源生产</t>
        </is>
      </c>
      <c r="D66" s="17" t="n">
        <v>13</v>
      </c>
      <c r="E66" s="24">
        <f>D66+1</f>
        <v/>
      </c>
      <c r="F66" s="38" t="n">
        <v>210</v>
      </c>
      <c r="G66" s="39" t="n">
        <v>1.25</v>
      </c>
      <c r="H66" s="38" t="n">
        <v>450</v>
      </c>
      <c r="I66" s="38" t="n">
        <v>0</v>
      </c>
      <c r="J66" s="39" t="n">
        <v>1.36</v>
      </c>
      <c r="K66" s="42">
        <f>ROUNDUP(F66*POWER(G66,D66),0)</f>
        <v/>
      </c>
      <c r="L66" s="40">
        <f>MAX(1,ROUNDDOWN(K66/'参数与公式'!$B$5,0))</f>
        <v/>
      </c>
      <c r="M66" s="40">
        <f>MAX(1,ROUNDDOWN(K66*(1-'参数与公式'!$B$14)/'参数与公式'!$B$5,0))</f>
        <v/>
      </c>
      <c r="N66" s="42">
        <f>IF(H66=0,0,ROUNDUP(H66*POWER(J66,D66),0))</f>
        <v/>
      </c>
      <c r="O66" s="42">
        <f>IF(I66=0,0,ROUNDUP(I66*POWER(J66,D66),0))</f>
        <v/>
      </c>
      <c r="P66" s="40">
        <f>IF(N66=0,0,MAX(1,ROUNDUP(N66*(1-'参数与公式'!$B$17),0)))</f>
        <v/>
      </c>
      <c r="Q66" s="40">
        <f>IF(O66=0,0,MAX(1,ROUNDUP(O66*(1-'参数与公式'!$B$17),0)))</f>
        <v/>
      </c>
      <c r="R66" s="18" t="inlineStr">
        <is>
          <t>data/building_templates.yaml; max_level: gameplay/constants.py; formula: gameplay/models/manor.py</t>
        </is>
      </c>
    </row>
    <row r="67" ht="25" customHeight="1">
      <c r="A67" s="17" t="inlineStr">
        <is>
          <t>tax_office</t>
        </is>
      </c>
      <c r="B67" s="18" t="inlineStr">
        <is>
          <t>税务司</t>
        </is>
      </c>
      <c r="C67" s="18" t="inlineStr">
        <is>
          <t>资源生产</t>
        </is>
      </c>
      <c r="D67" s="17" t="n">
        <v>14</v>
      </c>
      <c r="E67" s="24">
        <f>D67+1</f>
        <v/>
      </c>
      <c r="F67" s="38" t="n">
        <v>210</v>
      </c>
      <c r="G67" s="39" t="n">
        <v>1.25</v>
      </c>
      <c r="H67" s="38" t="n">
        <v>450</v>
      </c>
      <c r="I67" s="38" t="n">
        <v>0</v>
      </c>
      <c r="J67" s="39" t="n">
        <v>1.36</v>
      </c>
      <c r="K67" s="42">
        <f>ROUNDUP(F67*POWER(G67,D67),0)</f>
        <v/>
      </c>
      <c r="L67" s="40">
        <f>MAX(1,ROUNDDOWN(K67/'参数与公式'!$B$5,0))</f>
        <v/>
      </c>
      <c r="M67" s="40">
        <f>MAX(1,ROUNDDOWN(K67*(1-'参数与公式'!$B$14)/'参数与公式'!$B$5,0))</f>
        <v/>
      </c>
      <c r="N67" s="42">
        <f>IF(H67=0,0,ROUNDUP(H67*POWER(J67,D67),0))</f>
        <v/>
      </c>
      <c r="O67" s="42">
        <f>IF(I67=0,0,ROUNDUP(I67*POWER(J67,D67),0))</f>
        <v/>
      </c>
      <c r="P67" s="40">
        <f>IF(N67=0,0,MAX(1,ROUNDUP(N67*(1-'参数与公式'!$B$17),0)))</f>
        <v/>
      </c>
      <c r="Q67" s="40">
        <f>IF(O67=0,0,MAX(1,ROUNDUP(O67*(1-'参数与公式'!$B$17),0)))</f>
        <v/>
      </c>
      <c r="R67" s="18" t="inlineStr">
        <is>
          <t>data/building_templates.yaml; max_level: gameplay/constants.py; formula: gameplay/models/manor.py</t>
        </is>
      </c>
    </row>
    <row r="68" ht="25" customHeight="1">
      <c r="A68" s="17" t="inlineStr">
        <is>
          <t>tax_office</t>
        </is>
      </c>
      <c r="B68" s="18" t="inlineStr">
        <is>
          <t>税务司</t>
        </is>
      </c>
      <c r="C68" s="18" t="inlineStr">
        <is>
          <t>资源生产</t>
        </is>
      </c>
      <c r="D68" s="17" t="n">
        <v>15</v>
      </c>
      <c r="E68" s="24">
        <f>D68+1</f>
        <v/>
      </c>
      <c r="F68" s="38" t="n">
        <v>210</v>
      </c>
      <c r="G68" s="39" t="n">
        <v>1.25</v>
      </c>
      <c r="H68" s="38" t="n">
        <v>450</v>
      </c>
      <c r="I68" s="38" t="n">
        <v>0</v>
      </c>
      <c r="J68" s="39" t="n">
        <v>1.36</v>
      </c>
      <c r="K68" s="42">
        <f>ROUNDUP(F68*POWER(G68,D68),0)</f>
        <v/>
      </c>
      <c r="L68" s="40">
        <f>MAX(1,ROUNDDOWN(K68/'参数与公式'!$B$5,0))</f>
        <v/>
      </c>
      <c r="M68" s="40">
        <f>MAX(1,ROUNDDOWN(K68*(1-'参数与公式'!$B$14)/'参数与公式'!$B$5,0))</f>
        <v/>
      </c>
      <c r="N68" s="42">
        <f>IF(H68=0,0,ROUNDUP(H68*POWER(J68,D68),0))</f>
        <v/>
      </c>
      <c r="O68" s="42">
        <f>IF(I68=0,0,ROUNDUP(I68*POWER(J68,D68),0))</f>
        <v/>
      </c>
      <c r="P68" s="40">
        <f>IF(N68=0,0,MAX(1,ROUNDUP(N68*(1-'参数与公式'!$B$17),0)))</f>
        <v/>
      </c>
      <c r="Q68" s="40">
        <f>IF(O68=0,0,MAX(1,ROUNDUP(O68*(1-'参数与公式'!$B$17),0)))</f>
        <v/>
      </c>
      <c r="R68" s="18" t="inlineStr">
        <is>
          <t>data/building_templates.yaml; max_level: gameplay/constants.py; formula: gameplay/models/manor.py</t>
        </is>
      </c>
    </row>
    <row r="69" ht="25" customHeight="1">
      <c r="A69" s="17" t="inlineStr">
        <is>
          <t>tax_office</t>
        </is>
      </c>
      <c r="B69" s="18" t="inlineStr">
        <is>
          <t>税务司</t>
        </is>
      </c>
      <c r="C69" s="18" t="inlineStr">
        <is>
          <t>资源生产</t>
        </is>
      </c>
      <c r="D69" s="17" t="n">
        <v>16</v>
      </c>
      <c r="E69" s="24">
        <f>D69+1</f>
        <v/>
      </c>
      <c r="F69" s="38" t="n">
        <v>210</v>
      </c>
      <c r="G69" s="39" t="n">
        <v>1.25</v>
      </c>
      <c r="H69" s="38" t="n">
        <v>450</v>
      </c>
      <c r="I69" s="38" t="n">
        <v>0</v>
      </c>
      <c r="J69" s="39" t="n">
        <v>1.36</v>
      </c>
      <c r="K69" s="42">
        <f>ROUNDUP(F69*POWER(G69,D69),0)</f>
        <v/>
      </c>
      <c r="L69" s="40">
        <f>MAX(1,ROUNDDOWN(K69/'参数与公式'!$B$5,0))</f>
        <v/>
      </c>
      <c r="M69" s="40">
        <f>MAX(1,ROUNDDOWN(K69*(1-'参数与公式'!$B$14)/'参数与公式'!$B$5,0))</f>
        <v/>
      </c>
      <c r="N69" s="42">
        <f>IF(H69=0,0,ROUNDUP(H69*POWER(J69,D69),0))</f>
        <v/>
      </c>
      <c r="O69" s="42">
        <f>IF(I69=0,0,ROUNDUP(I69*POWER(J69,D69),0))</f>
        <v/>
      </c>
      <c r="P69" s="40">
        <f>IF(N69=0,0,MAX(1,ROUNDUP(N69*(1-'参数与公式'!$B$17),0)))</f>
        <v/>
      </c>
      <c r="Q69" s="40">
        <f>IF(O69=0,0,MAX(1,ROUNDUP(O69*(1-'参数与公式'!$B$17),0)))</f>
        <v/>
      </c>
      <c r="R69" s="18" t="inlineStr">
        <is>
          <t>data/building_templates.yaml; max_level: gameplay/constants.py; formula: gameplay/models/manor.py</t>
        </is>
      </c>
    </row>
    <row r="70" ht="25" customHeight="1">
      <c r="A70" s="17" t="inlineStr">
        <is>
          <t>tax_office</t>
        </is>
      </c>
      <c r="B70" s="18" t="inlineStr">
        <is>
          <t>税务司</t>
        </is>
      </c>
      <c r="C70" s="18" t="inlineStr">
        <is>
          <t>资源生产</t>
        </is>
      </c>
      <c r="D70" s="17" t="n">
        <v>17</v>
      </c>
      <c r="E70" s="24">
        <f>D70+1</f>
        <v/>
      </c>
      <c r="F70" s="38" t="n">
        <v>210</v>
      </c>
      <c r="G70" s="39" t="n">
        <v>1.25</v>
      </c>
      <c r="H70" s="38" t="n">
        <v>450</v>
      </c>
      <c r="I70" s="38" t="n">
        <v>0</v>
      </c>
      <c r="J70" s="39" t="n">
        <v>1.36</v>
      </c>
      <c r="K70" s="42">
        <f>ROUNDUP(F70*POWER(G70,D70),0)</f>
        <v/>
      </c>
      <c r="L70" s="40">
        <f>MAX(1,ROUNDDOWN(K70/'参数与公式'!$B$5,0))</f>
        <v/>
      </c>
      <c r="M70" s="40">
        <f>MAX(1,ROUNDDOWN(K70*(1-'参数与公式'!$B$14)/'参数与公式'!$B$5,0))</f>
        <v/>
      </c>
      <c r="N70" s="42">
        <f>IF(H70=0,0,ROUNDUP(H70*POWER(J70,D70),0))</f>
        <v/>
      </c>
      <c r="O70" s="42">
        <f>IF(I70=0,0,ROUNDUP(I70*POWER(J70,D70),0))</f>
        <v/>
      </c>
      <c r="P70" s="40">
        <f>IF(N70=0,0,MAX(1,ROUNDUP(N70*(1-'参数与公式'!$B$17),0)))</f>
        <v/>
      </c>
      <c r="Q70" s="40">
        <f>IF(O70=0,0,MAX(1,ROUNDUP(O70*(1-'参数与公式'!$B$17),0)))</f>
        <v/>
      </c>
      <c r="R70" s="18" t="inlineStr">
        <is>
          <t>data/building_templates.yaml; max_level: gameplay/constants.py; formula: gameplay/models/manor.py</t>
        </is>
      </c>
    </row>
    <row r="71" ht="25" customHeight="1">
      <c r="A71" s="17" t="inlineStr">
        <is>
          <t>tax_office</t>
        </is>
      </c>
      <c r="B71" s="18" t="inlineStr">
        <is>
          <t>税务司</t>
        </is>
      </c>
      <c r="C71" s="18" t="inlineStr">
        <is>
          <t>资源生产</t>
        </is>
      </c>
      <c r="D71" s="17" t="n">
        <v>18</v>
      </c>
      <c r="E71" s="24">
        <f>D71+1</f>
        <v/>
      </c>
      <c r="F71" s="38" t="n">
        <v>210</v>
      </c>
      <c r="G71" s="39" t="n">
        <v>1.25</v>
      </c>
      <c r="H71" s="38" t="n">
        <v>450</v>
      </c>
      <c r="I71" s="38" t="n">
        <v>0</v>
      </c>
      <c r="J71" s="39" t="n">
        <v>1.36</v>
      </c>
      <c r="K71" s="42">
        <f>ROUNDUP(F71*POWER(G71,D71),0)</f>
        <v/>
      </c>
      <c r="L71" s="40">
        <f>MAX(1,ROUNDDOWN(K71/'参数与公式'!$B$5,0))</f>
        <v/>
      </c>
      <c r="M71" s="40">
        <f>MAX(1,ROUNDDOWN(K71*(1-'参数与公式'!$B$14)/'参数与公式'!$B$5,0))</f>
        <v/>
      </c>
      <c r="N71" s="42">
        <f>IF(H71=0,0,ROUNDUP(H71*POWER(J71,D71),0))</f>
        <v/>
      </c>
      <c r="O71" s="42">
        <f>IF(I71=0,0,ROUNDUP(I71*POWER(J71,D71),0))</f>
        <v/>
      </c>
      <c r="P71" s="40">
        <f>IF(N71=0,0,MAX(1,ROUNDUP(N71*(1-'参数与公式'!$B$17),0)))</f>
        <v/>
      </c>
      <c r="Q71" s="40">
        <f>IF(O71=0,0,MAX(1,ROUNDUP(O71*(1-'参数与公式'!$B$17),0)))</f>
        <v/>
      </c>
      <c r="R71" s="18" t="inlineStr">
        <is>
          <t>data/building_templates.yaml; max_level: gameplay/constants.py; formula: gameplay/models/manor.py</t>
        </is>
      </c>
    </row>
    <row r="72" ht="25" customHeight="1">
      <c r="A72" s="17" t="inlineStr">
        <is>
          <t>tax_office</t>
        </is>
      </c>
      <c r="B72" s="18" t="inlineStr">
        <is>
          <t>税务司</t>
        </is>
      </c>
      <c r="C72" s="18" t="inlineStr">
        <is>
          <t>资源生产</t>
        </is>
      </c>
      <c r="D72" s="17" t="n">
        <v>19</v>
      </c>
      <c r="E72" s="24">
        <f>D72+1</f>
        <v/>
      </c>
      <c r="F72" s="38" t="n">
        <v>210</v>
      </c>
      <c r="G72" s="39" t="n">
        <v>1.25</v>
      </c>
      <c r="H72" s="38" t="n">
        <v>450</v>
      </c>
      <c r="I72" s="38" t="n">
        <v>0</v>
      </c>
      <c r="J72" s="39" t="n">
        <v>1.36</v>
      </c>
      <c r="K72" s="42">
        <f>ROUNDUP(F72*POWER(G72,D72),0)</f>
        <v/>
      </c>
      <c r="L72" s="40">
        <f>MAX(1,ROUNDDOWN(K72/'参数与公式'!$B$5,0))</f>
        <v/>
      </c>
      <c r="M72" s="40">
        <f>MAX(1,ROUNDDOWN(K72*(1-'参数与公式'!$B$14)/'参数与公式'!$B$5,0))</f>
        <v/>
      </c>
      <c r="N72" s="42">
        <f>IF(H72=0,0,ROUNDUP(H72*POWER(J72,D72),0))</f>
        <v/>
      </c>
      <c r="O72" s="42">
        <f>IF(I72=0,0,ROUNDUP(I72*POWER(J72,D72),0))</f>
        <v/>
      </c>
      <c r="P72" s="40">
        <f>IF(N72=0,0,MAX(1,ROUNDUP(N72*(1-'参数与公式'!$B$17),0)))</f>
        <v/>
      </c>
      <c r="Q72" s="40">
        <f>IF(O72=0,0,MAX(1,ROUNDUP(O72*(1-'参数与公式'!$B$17),0)))</f>
        <v/>
      </c>
      <c r="R72" s="18" t="inlineStr">
        <is>
          <t>data/building_templates.yaml; max_level: gameplay/constants.py; formula: gameplay/models/manor.py</t>
        </is>
      </c>
    </row>
    <row r="73" ht="25" customHeight="1">
      <c r="A73" s="17" t="inlineStr">
        <is>
          <t>tax_office</t>
        </is>
      </c>
      <c r="B73" s="18" t="inlineStr">
        <is>
          <t>税务司</t>
        </is>
      </c>
      <c r="C73" s="18" t="inlineStr">
        <is>
          <t>资源生产</t>
        </is>
      </c>
      <c r="D73" s="17" t="n">
        <v>20</v>
      </c>
      <c r="E73" s="24">
        <f>D73+1</f>
        <v/>
      </c>
      <c r="F73" s="38" t="n">
        <v>210</v>
      </c>
      <c r="G73" s="39" t="n">
        <v>1.25</v>
      </c>
      <c r="H73" s="38" t="n">
        <v>450</v>
      </c>
      <c r="I73" s="38" t="n">
        <v>0</v>
      </c>
      <c r="J73" s="39" t="n">
        <v>1.36</v>
      </c>
      <c r="K73" s="42">
        <f>ROUNDUP(F73*POWER(G73,D73),0)</f>
        <v/>
      </c>
      <c r="L73" s="40">
        <f>MAX(1,ROUNDDOWN(K73/'参数与公式'!$B$5,0))</f>
        <v/>
      </c>
      <c r="M73" s="40">
        <f>MAX(1,ROUNDDOWN(K73*(1-'参数与公式'!$B$14)/'参数与公式'!$B$5,0))</f>
        <v/>
      </c>
      <c r="N73" s="42">
        <f>IF(H73=0,0,ROUNDUP(H73*POWER(J73,D73),0))</f>
        <v/>
      </c>
      <c r="O73" s="42">
        <f>IF(I73=0,0,ROUNDUP(I73*POWER(J73,D73),0))</f>
        <v/>
      </c>
      <c r="P73" s="40">
        <f>IF(N73=0,0,MAX(1,ROUNDUP(N73*(1-'参数与公式'!$B$17),0)))</f>
        <v/>
      </c>
      <c r="Q73" s="40">
        <f>IF(O73=0,0,MAX(1,ROUNDUP(O73*(1-'参数与公式'!$B$17),0)))</f>
        <v/>
      </c>
      <c r="R73" s="18" t="inlineStr">
        <is>
          <t>data/building_templates.yaml; max_level: gameplay/constants.py; formula: gameplay/models/manor.py</t>
        </is>
      </c>
    </row>
    <row r="74" ht="25" customHeight="1">
      <c r="A74" s="17" t="inlineStr">
        <is>
          <t>tax_office</t>
        </is>
      </c>
      <c r="B74" s="18" t="inlineStr">
        <is>
          <t>税务司</t>
        </is>
      </c>
      <c r="C74" s="18" t="inlineStr">
        <is>
          <t>资源生产</t>
        </is>
      </c>
      <c r="D74" s="17" t="n">
        <v>21</v>
      </c>
      <c r="E74" s="24">
        <f>D74+1</f>
        <v/>
      </c>
      <c r="F74" s="38" t="n">
        <v>210</v>
      </c>
      <c r="G74" s="39" t="n">
        <v>1.25</v>
      </c>
      <c r="H74" s="38" t="n">
        <v>450</v>
      </c>
      <c r="I74" s="38" t="n">
        <v>0</v>
      </c>
      <c r="J74" s="39" t="n">
        <v>1.36</v>
      </c>
      <c r="K74" s="42">
        <f>ROUNDUP(F74*POWER(G74,D74),0)</f>
        <v/>
      </c>
      <c r="L74" s="40">
        <f>MAX(1,ROUNDDOWN(K74/'参数与公式'!$B$5,0))</f>
        <v/>
      </c>
      <c r="M74" s="40">
        <f>MAX(1,ROUNDDOWN(K74*(1-'参数与公式'!$B$14)/'参数与公式'!$B$5,0))</f>
        <v/>
      </c>
      <c r="N74" s="42">
        <f>IF(H74=0,0,ROUNDUP(H74*POWER(J74,D74),0))</f>
        <v/>
      </c>
      <c r="O74" s="42">
        <f>IF(I74=0,0,ROUNDUP(I74*POWER(J74,D74),0))</f>
        <v/>
      </c>
      <c r="P74" s="40">
        <f>IF(N74=0,0,MAX(1,ROUNDUP(N74*(1-'参数与公式'!$B$17),0)))</f>
        <v/>
      </c>
      <c r="Q74" s="40">
        <f>IF(O74=0,0,MAX(1,ROUNDUP(O74*(1-'参数与公式'!$B$17),0)))</f>
        <v/>
      </c>
      <c r="R74" s="18" t="inlineStr">
        <is>
          <t>data/building_templates.yaml; max_level: gameplay/constants.py; formula: gameplay/models/manor.py</t>
        </is>
      </c>
    </row>
    <row r="75" ht="25" customHeight="1">
      <c r="A75" s="17" t="inlineStr">
        <is>
          <t>tax_office</t>
        </is>
      </c>
      <c r="B75" s="18" t="inlineStr">
        <is>
          <t>税务司</t>
        </is>
      </c>
      <c r="C75" s="18" t="inlineStr">
        <is>
          <t>资源生产</t>
        </is>
      </c>
      <c r="D75" s="17" t="n">
        <v>22</v>
      </c>
      <c r="E75" s="24">
        <f>D75+1</f>
        <v/>
      </c>
      <c r="F75" s="38" t="n">
        <v>210</v>
      </c>
      <c r="G75" s="39" t="n">
        <v>1.25</v>
      </c>
      <c r="H75" s="38" t="n">
        <v>450</v>
      </c>
      <c r="I75" s="38" t="n">
        <v>0</v>
      </c>
      <c r="J75" s="39" t="n">
        <v>1.36</v>
      </c>
      <c r="K75" s="42">
        <f>ROUNDUP(F75*POWER(G75,D75),0)</f>
        <v/>
      </c>
      <c r="L75" s="40">
        <f>MAX(1,ROUNDDOWN(K75/'参数与公式'!$B$5,0))</f>
        <v/>
      </c>
      <c r="M75" s="40">
        <f>MAX(1,ROUNDDOWN(K75*(1-'参数与公式'!$B$14)/'参数与公式'!$B$5,0))</f>
        <v/>
      </c>
      <c r="N75" s="42">
        <f>IF(H75=0,0,ROUNDUP(H75*POWER(J75,D75),0))</f>
        <v/>
      </c>
      <c r="O75" s="42">
        <f>IF(I75=0,0,ROUNDUP(I75*POWER(J75,D75),0))</f>
        <v/>
      </c>
      <c r="P75" s="40">
        <f>IF(N75=0,0,MAX(1,ROUNDUP(N75*(1-'参数与公式'!$B$17),0)))</f>
        <v/>
      </c>
      <c r="Q75" s="40">
        <f>IF(O75=0,0,MAX(1,ROUNDUP(O75*(1-'参数与公式'!$B$17),0)))</f>
        <v/>
      </c>
      <c r="R75" s="18" t="inlineStr">
        <is>
          <t>data/building_templates.yaml; max_level: gameplay/constants.py; formula: gameplay/models/manor.py</t>
        </is>
      </c>
    </row>
    <row r="76" ht="25" customHeight="1">
      <c r="A76" s="17" t="inlineStr">
        <is>
          <t>tax_office</t>
        </is>
      </c>
      <c r="B76" s="18" t="inlineStr">
        <is>
          <t>税务司</t>
        </is>
      </c>
      <c r="C76" s="18" t="inlineStr">
        <is>
          <t>资源生产</t>
        </is>
      </c>
      <c r="D76" s="17" t="n">
        <v>23</v>
      </c>
      <c r="E76" s="24">
        <f>D76+1</f>
        <v/>
      </c>
      <c r="F76" s="38" t="n">
        <v>210</v>
      </c>
      <c r="G76" s="39" t="n">
        <v>1.25</v>
      </c>
      <c r="H76" s="38" t="n">
        <v>450</v>
      </c>
      <c r="I76" s="38" t="n">
        <v>0</v>
      </c>
      <c r="J76" s="39" t="n">
        <v>1.36</v>
      </c>
      <c r="K76" s="42">
        <f>ROUNDUP(F76*POWER(G76,D76),0)</f>
        <v/>
      </c>
      <c r="L76" s="40">
        <f>MAX(1,ROUNDDOWN(K76/'参数与公式'!$B$5,0))</f>
        <v/>
      </c>
      <c r="M76" s="40">
        <f>MAX(1,ROUNDDOWN(K76*(1-'参数与公式'!$B$14)/'参数与公式'!$B$5,0))</f>
        <v/>
      </c>
      <c r="N76" s="42">
        <f>IF(H76=0,0,ROUNDUP(H76*POWER(J76,D76),0))</f>
        <v/>
      </c>
      <c r="O76" s="42">
        <f>IF(I76=0,0,ROUNDUP(I76*POWER(J76,D76),0))</f>
        <v/>
      </c>
      <c r="P76" s="40">
        <f>IF(N76=0,0,MAX(1,ROUNDUP(N76*(1-'参数与公式'!$B$17),0)))</f>
        <v/>
      </c>
      <c r="Q76" s="40">
        <f>IF(O76=0,0,MAX(1,ROUNDUP(O76*(1-'参数与公式'!$B$17),0)))</f>
        <v/>
      </c>
      <c r="R76" s="18" t="inlineStr">
        <is>
          <t>data/building_templates.yaml; max_level: gameplay/constants.py; formula: gameplay/models/manor.py</t>
        </is>
      </c>
    </row>
    <row r="77" ht="25" customHeight="1">
      <c r="A77" s="17" t="inlineStr">
        <is>
          <t>tax_office</t>
        </is>
      </c>
      <c r="B77" s="18" t="inlineStr">
        <is>
          <t>税务司</t>
        </is>
      </c>
      <c r="C77" s="18" t="inlineStr">
        <is>
          <t>资源生产</t>
        </is>
      </c>
      <c r="D77" s="17" t="n">
        <v>24</v>
      </c>
      <c r="E77" s="24">
        <f>D77+1</f>
        <v/>
      </c>
      <c r="F77" s="38" t="n">
        <v>210</v>
      </c>
      <c r="G77" s="39" t="n">
        <v>1.25</v>
      </c>
      <c r="H77" s="38" t="n">
        <v>450</v>
      </c>
      <c r="I77" s="38" t="n">
        <v>0</v>
      </c>
      <c r="J77" s="39" t="n">
        <v>1.36</v>
      </c>
      <c r="K77" s="42">
        <f>ROUNDUP(F77*POWER(G77,D77),0)</f>
        <v/>
      </c>
      <c r="L77" s="40">
        <f>MAX(1,ROUNDDOWN(K77/'参数与公式'!$B$5,0))</f>
        <v/>
      </c>
      <c r="M77" s="40">
        <f>MAX(1,ROUNDDOWN(K77*(1-'参数与公式'!$B$14)/'参数与公式'!$B$5,0))</f>
        <v/>
      </c>
      <c r="N77" s="42">
        <f>IF(H77=0,0,ROUNDUP(H77*POWER(J77,D77),0))</f>
        <v/>
      </c>
      <c r="O77" s="42">
        <f>IF(I77=0,0,ROUNDUP(I77*POWER(J77,D77),0))</f>
        <v/>
      </c>
      <c r="P77" s="40">
        <f>IF(N77=0,0,MAX(1,ROUNDUP(N77*(1-'参数与公式'!$B$17),0)))</f>
        <v/>
      </c>
      <c r="Q77" s="40">
        <f>IF(O77=0,0,MAX(1,ROUNDUP(O77*(1-'参数与公式'!$B$17),0)))</f>
        <v/>
      </c>
      <c r="R77" s="18" t="inlineStr">
        <is>
          <t>data/building_templates.yaml; max_level: gameplay/constants.py; formula: gameplay/models/manor.py</t>
        </is>
      </c>
    </row>
    <row r="78" ht="25" customHeight="1">
      <c r="A78" s="17" t="inlineStr">
        <is>
          <t>tax_office</t>
        </is>
      </c>
      <c r="B78" s="18" t="inlineStr">
        <is>
          <t>税务司</t>
        </is>
      </c>
      <c r="C78" s="18" t="inlineStr">
        <is>
          <t>资源生产</t>
        </is>
      </c>
      <c r="D78" s="17" t="n">
        <v>25</v>
      </c>
      <c r="E78" s="24">
        <f>D78+1</f>
        <v/>
      </c>
      <c r="F78" s="38" t="n">
        <v>210</v>
      </c>
      <c r="G78" s="39" t="n">
        <v>1.25</v>
      </c>
      <c r="H78" s="38" t="n">
        <v>450</v>
      </c>
      <c r="I78" s="38" t="n">
        <v>0</v>
      </c>
      <c r="J78" s="39" t="n">
        <v>1.36</v>
      </c>
      <c r="K78" s="42">
        <f>ROUNDUP(F78*POWER(G78,D78),0)</f>
        <v/>
      </c>
      <c r="L78" s="40">
        <f>MAX(1,ROUNDDOWN(K78/'参数与公式'!$B$5,0))</f>
        <v/>
      </c>
      <c r="M78" s="40">
        <f>MAX(1,ROUNDDOWN(K78*(1-'参数与公式'!$B$14)/'参数与公式'!$B$5,0))</f>
        <v/>
      </c>
      <c r="N78" s="42">
        <f>IF(H78=0,0,ROUNDUP(H78*POWER(J78,D78),0))</f>
        <v/>
      </c>
      <c r="O78" s="42">
        <f>IF(I78=0,0,ROUNDUP(I78*POWER(J78,D78),0))</f>
        <v/>
      </c>
      <c r="P78" s="40">
        <f>IF(N78=0,0,MAX(1,ROUNDUP(N78*(1-'参数与公式'!$B$17),0)))</f>
        <v/>
      </c>
      <c r="Q78" s="40">
        <f>IF(O78=0,0,MAX(1,ROUNDUP(O78*(1-'参数与公式'!$B$17),0)))</f>
        <v/>
      </c>
      <c r="R78" s="18" t="inlineStr">
        <is>
          <t>data/building_templates.yaml; max_level: gameplay/constants.py; formula: gameplay/models/manor.py</t>
        </is>
      </c>
    </row>
    <row r="79" ht="25" customHeight="1">
      <c r="A79" s="17" t="inlineStr">
        <is>
          <t>tax_office</t>
        </is>
      </c>
      <c r="B79" s="18" t="inlineStr">
        <is>
          <t>税务司</t>
        </is>
      </c>
      <c r="C79" s="18" t="inlineStr">
        <is>
          <t>资源生产</t>
        </is>
      </c>
      <c r="D79" s="17" t="n">
        <v>26</v>
      </c>
      <c r="E79" s="24">
        <f>D79+1</f>
        <v/>
      </c>
      <c r="F79" s="38" t="n">
        <v>210</v>
      </c>
      <c r="G79" s="39" t="n">
        <v>1.25</v>
      </c>
      <c r="H79" s="38" t="n">
        <v>450</v>
      </c>
      <c r="I79" s="38" t="n">
        <v>0</v>
      </c>
      <c r="J79" s="39" t="n">
        <v>1.36</v>
      </c>
      <c r="K79" s="42">
        <f>ROUNDUP(F79*POWER(G79,D79),0)</f>
        <v/>
      </c>
      <c r="L79" s="40">
        <f>MAX(1,ROUNDDOWN(K79/'参数与公式'!$B$5,0))</f>
        <v/>
      </c>
      <c r="M79" s="40">
        <f>MAX(1,ROUNDDOWN(K79*(1-'参数与公式'!$B$14)/'参数与公式'!$B$5,0))</f>
        <v/>
      </c>
      <c r="N79" s="42">
        <f>IF(H79=0,0,ROUNDUP(H79*POWER(J79,D79),0))</f>
        <v/>
      </c>
      <c r="O79" s="42">
        <f>IF(I79=0,0,ROUNDUP(I79*POWER(J79,D79),0))</f>
        <v/>
      </c>
      <c r="P79" s="40">
        <f>IF(N79=0,0,MAX(1,ROUNDUP(N79*(1-'参数与公式'!$B$17),0)))</f>
        <v/>
      </c>
      <c r="Q79" s="40">
        <f>IF(O79=0,0,MAX(1,ROUNDUP(O79*(1-'参数与公式'!$B$17),0)))</f>
        <v/>
      </c>
      <c r="R79" s="18" t="inlineStr">
        <is>
          <t>data/building_templates.yaml; max_level: gameplay/constants.py; formula: gameplay/models/manor.py</t>
        </is>
      </c>
    </row>
    <row r="80" ht="25" customHeight="1">
      <c r="A80" s="17" t="inlineStr">
        <is>
          <t>tax_office</t>
        </is>
      </c>
      <c r="B80" s="18" t="inlineStr">
        <is>
          <t>税务司</t>
        </is>
      </c>
      <c r="C80" s="18" t="inlineStr">
        <is>
          <t>资源生产</t>
        </is>
      </c>
      <c r="D80" s="17" t="n">
        <v>27</v>
      </c>
      <c r="E80" s="24">
        <f>D80+1</f>
        <v/>
      </c>
      <c r="F80" s="38" t="n">
        <v>210</v>
      </c>
      <c r="G80" s="39" t="n">
        <v>1.25</v>
      </c>
      <c r="H80" s="38" t="n">
        <v>450</v>
      </c>
      <c r="I80" s="38" t="n">
        <v>0</v>
      </c>
      <c r="J80" s="39" t="n">
        <v>1.36</v>
      </c>
      <c r="K80" s="42">
        <f>ROUNDUP(F80*POWER(G80,D80),0)</f>
        <v/>
      </c>
      <c r="L80" s="40">
        <f>MAX(1,ROUNDDOWN(K80/'参数与公式'!$B$5,0))</f>
        <v/>
      </c>
      <c r="M80" s="40">
        <f>MAX(1,ROUNDDOWN(K80*(1-'参数与公式'!$B$14)/'参数与公式'!$B$5,0))</f>
        <v/>
      </c>
      <c r="N80" s="42">
        <f>IF(H80=0,0,ROUNDUP(H80*POWER(J80,D80),0))</f>
        <v/>
      </c>
      <c r="O80" s="42">
        <f>IF(I80=0,0,ROUNDUP(I80*POWER(J80,D80),0))</f>
        <v/>
      </c>
      <c r="P80" s="40">
        <f>IF(N80=0,0,MAX(1,ROUNDUP(N80*(1-'参数与公式'!$B$17),0)))</f>
        <v/>
      </c>
      <c r="Q80" s="40">
        <f>IF(O80=0,0,MAX(1,ROUNDUP(O80*(1-'参数与公式'!$B$17),0)))</f>
        <v/>
      </c>
      <c r="R80" s="18" t="inlineStr">
        <is>
          <t>data/building_templates.yaml; max_level: gameplay/constants.py; formula: gameplay/models/manor.py</t>
        </is>
      </c>
    </row>
    <row r="81" ht="25" customHeight="1">
      <c r="A81" s="17" t="inlineStr">
        <is>
          <t>tax_office</t>
        </is>
      </c>
      <c r="B81" s="18" t="inlineStr">
        <is>
          <t>税务司</t>
        </is>
      </c>
      <c r="C81" s="18" t="inlineStr">
        <is>
          <t>资源生产</t>
        </is>
      </c>
      <c r="D81" s="17" t="n">
        <v>28</v>
      </c>
      <c r="E81" s="24">
        <f>D81+1</f>
        <v/>
      </c>
      <c r="F81" s="38" t="n">
        <v>210</v>
      </c>
      <c r="G81" s="39" t="n">
        <v>1.25</v>
      </c>
      <c r="H81" s="38" t="n">
        <v>450</v>
      </c>
      <c r="I81" s="38" t="n">
        <v>0</v>
      </c>
      <c r="J81" s="39" t="n">
        <v>1.36</v>
      </c>
      <c r="K81" s="42">
        <f>ROUNDUP(F81*POWER(G81,D81),0)</f>
        <v/>
      </c>
      <c r="L81" s="40">
        <f>MAX(1,ROUNDDOWN(K81/'参数与公式'!$B$5,0))</f>
        <v/>
      </c>
      <c r="M81" s="40">
        <f>MAX(1,ROUNDDOWN(K81*(1-'参数与公式'!$B$14)/'参数与公式'!$B$5,0))</f>
        <v/>
      </c>
      <c r="N81" s="42">
        <f>IF(H81=0,0,ROUNDUP(H81*POWER(J81,D81),0))</f>
        <v/>
      </c>
      <c r="O81" s="42">
        <f>IF(I81=0,0,ROUNDUP(I81*POWER(J81,D81),0))</f>
        <v/>
      </c>
      <c r="P81" s="40">
        <f>IF(N81=0,0,MAX(1,ROUNDUP(N81*(1-'参数与公式'!$B$17),0)))</f>
        <v/>
      </c>
      <c r="Q81" s="40">
        <f>IF(O81=0,0,MAX(1,ROUNDUP(O81*(1-'参数与公式'!$B$17),0)))</f>
        <v/>
      </c>
      <c r="R81" s="18" t="inlineStr">
        <is>
          <t>data/building_templates.yaml; max_level: gameplay/constants.py; formula: gameplay/models/manor.py</t>
        </is>
      </c>
    </row>
    <row r="82" ht="25" customHeight="1">
      <c r="A82" s="17" t="inlineStr">
        <is>
          <t>tax_office</t>
        </is>
      </c>
      <c r="B82" s="18" t="inlineStr">
        <is>
          <t>税务司</t>
        </is>
      </c>
      <c r="C82" s="18" t="inlineStr">
        <is>
          <t>资源生产</t>
        </is>
      </c>
      <c r="D82" s="17" t="n">
        <v>29</v>
      </c>
      <c r="E82" s="24">
        <f>D82+1</f>
        <v/>
      </c>
      <c r="F82" s="38" t="n">
        <v>210</v>
      </c>
      <c r="G82" s="39" t="n">
        <v>1.25</v>
      </c>
      <c r="H82" s="38" t="n">
        <v>450</v>
      </c>
      <c r="I82" s="38" t="n">
        <v>0</v>
      </c>
      <c r="J82" s="39" t="n">
        <v>1.36</v>
      </c>
      <c r="K82" s="42">
        <f>ROUNDUP(F82*POWER(G82,D82),0)</f>
        <v/>
      </c>
      <c r="L82" s="40">
        <f>MAX(1,ROUNDDOWN(K82/'参数与公式'!$B$5,0))</f>
        <v/>
      </c>
      <c r="M82" s="40">
        <f>MAX(1,ROUNDDOWN(K82*(1-'参数与公式'!$B$14)/'参数与公式'!$B$5,0))</f>
        <v/>
      </c>
      <c r="N82" s="42">
        <f>IF(H82=0,0,ROUNDUP(H82*POWER(J82,D82),0))</f>
        <v/>
      </c>
      <c r="O82" s="42">
        <f>IF(I82=0,0,ROUNDUP(I82*POWER(J82,D82),0))</f>
        <v/>
      </c>
      <c r="P82" s="40">
        <f>IF(N82=0,0,MAX(1,ROUNDUP(N82*(1-'参数与公式'!$B$17),0)))</f>
        <v/>
      </c>
      <c r="Q82" s="40">
        <f>IF(O82=0,0,MAX(1,ROUNDUP(O82*(1-'参数与公式'!$B$17),0)))</f>
        <v/>
      </c>
      <c r="R82" s="18" t="inlineStr">
        <is>
          <t>data/building_templates.yaml; max_level: gameplay/constants.py; formula: gameplay/models/manor.py</t>
        </is>
      </c>
    </row>
    <row r="83" ht="25" customHeight="1">
      <c r="A83" s="17" t="inlineStr">
        <is>
          <t>bathhouse</t>
        </is>
      </c>
      <c r="B83" s="18" t="inlineStr">
        <is>
          <t>澡堂</t>
        </is>
      </c>
      <c r="C83" s="18" t="inlineStr">
        <is>
          <t>资源生产</t>
        </is>
      </c>
      <c r="D83" s="17" t="n">
        <v>1</v>
      </c>
      <c r="E83" s="24">
        <f>D83+1</f>
        <v/>
      </c>
      <c r="F83" s="38" t="n">
        <v>300</v>
      </c>
      <c r="G83" s="39" t="n">
        <v>1.25</v>
      </c>
      <c r="H83" s="38" t="n">
        <v>850</v>
      </c>
      <c r="I83" s="38" t="n">
        <v>0</v>
      </c>
      <c r="J83" s="39" t="n">
        <v>1.35</v>
      </c>
      <c r="K83" s="42">
        <f>ROUNDUP(F83*POWER(G83,D83),0)</f>
        <v/>
      </c>
      <c r="L83" s="40">
        <f>MAX(1,ROUNDDOWN(K83/'参数与公式'!$B$5,0))</f>
        <v/>
      </c>
      <c r="M83" s="40">
        <f>MAX(1,ROUNDDOWN(K83*(1-'参数与公式'!$B$14)/'参数与公式'!$B$5,0))</f>
        <v/>
      </c>
      <c r="N83" s="42">
        <f>IF(H83=0,0,ROUNDUP(H83*POWER(J83,D83),0))</f>
        <v/>
      </c>
      <c r="O83" s="42">
        <f>IF(I83=0,0,ROUNDUP(I83*POWER(J83,D83),0))</f>
        <v/>
      </c>
      <c r="P83" s="40">
        <f>IF(N83=0,0,MAX(1,ROUNDUP(N83*(1-'参数与公式'!$B$17),0)))</f>
        <v/>
      </c>
      <c r="Q83" s="40">
        <f>IF(O83=0,0,MAX(1,ROUNDUP(O83*(1-'参数与公式'!$B$17),0)))</f>
        <v/>
      </c>
      <c r="R83" s="18" t="inlineStr">
        <is>
          <t>data/building_templates.yaml; max_level: gameplay/constants.py; formula: gameplay/models/manor.py</t>
        </is>
      </c>
    </row>
    <row r="84" ht="25" customHeight="1">
      <c r="A84" s="17" t="inlineStr">
        <is>
          <t>bathhouse</t>
        </is>
      </c>
      <c r="B84" s="18" t="inlineStr">
        <is>
          <t>澡堂</t>
        </is>
      </c>
      <c r="C84" s="18" t="inlineStr">
        <is>
          <t>资源生产</t>
        </is>
      </c>
      <c r="D84" s="17" t="n">
        <v>2</v>
      </c>
      <c r="E84" s="24">
        <f>D84+1</f>
        <v/>
      </c>
      <c r="F84" s="38" t="n">
        <v>300</v>
      </c>
      <c r="G84" s="39" t="n">
        <v>1.25</v>
      </c>
      <c r="H84" s="38" t="n">
        <v>850</v>
      </c>
      <c r="I84" s="38" t="n">
        <v>0</v>
      </c>
      <c r="J84" s="39" t="n">
        <v>1.35</v>
      </c>
      <c r="K84" s="42">
        <f>ROUNDUP(F84*POWER(G84,D84),0)</f>
        <v/>
      </c>
      <c r="L84" s="40">
        <f>MAX(1,ROUNDDOWN(K84/'参数与公式'!$B$5,0))</f>
        <v/>
      </c>
      <c r="M84" s="40">
        <f>MAX(1,ROUNDDOWN(K84*(1-'参数与公式'!$B$14)/'参数与公式'!$B$5,0))</f>
        <v/>
      </c>
      <c r="N84" s="42">
        <f>IF(H84=0,0,ROUNDUP(H84*POWER(J84,D84),0))</f>
        <v/>
      </c>
      <c r="O84" s="42">
        <f>IF(I84=0,0,ROUNDUP(I84*POWER(J84,D84),0))</f>
        <v/>
      </c>
      <c r="P84" s="40">
        <f>IF(N84=0,0,MAX(1,ROUNDUP(N84*(1-'参数与公式'!$B$17),0)))</f>
        <v/>
      </c>
      <c r="Q84" s="40">
        <f>IF(O84=0,0,MAX(1,ROUNDUP(O84*(1-'参数与公式'!$B$17),0)))</f>
        <v/>
      </c>
      <c r="R84" s="18" t="inlineStr">
        <is>
          <t>data/building_templates.yaml; max_level: gameplay/constants.py; formula: gameplay/models/manor.py</t>
        </is>
      </c>
    </row>
    <row r="85" ht="25" customHeight="1">
      <c r="A85" s="17" t="inlineStr">
        <is>
          <t>bathhouse</t>
        </is>
      </c>
      <c r="B85" s="18" t="inlineStr">
        <is>
          <t>澡堂</t>
        </is>
      </c>
      <c r="C85" s="18" t="inlineStr">
        <is>
          <t>资源生产</t>
        </is>
      </c>
      <c r="D85" s="17" t="n">
        <v>3</v>
      </c>
      <c r="E85" s="24">
        <f>D85+1</f>
        <v/>
      </c>
      <c r="F85" s="38" t="n">
        <v>300</v>
      </c>
      <c r="G85" s="39" t="n">
        <v>1.25</v>
      </c>
      <c r="H85" s="38" t="n">
        <v>850</v>
      </c>
      <c r="I85" s="38" t="n">
        <v>0</v>
      </c>
      <c r="J85" s="39" t="n">
        <v>1.35</v>
      </c>
      <c r="K85" s="42">
        <f>ROUNDUP(F85*POWER(G85,D85),0)</f>
        <v/>
      </c>
      <c r="L85" s="40">
        <f>MAX(1,ROUNDDOWN(K85/'参数与公式'!$B$5,0))</f>
        <v/>
      </c>
      <c r="M85" s="40">
        <f>MAX(1,ROUNDDOWN(K85*(1-'参数与公式'!$B$14)/'参数与公式'!$B$5,0))</f>
        <v/>
      </c>
      <c r="N85" s="42">
        <f>IF(H85=0,0,ROUNDUP(H85*POWER(J85,D85),0))</f>
        <v/>
      </c>
      <c r="O85" s="42">
        <f>IF(I85=0,0,ROUNDUP(I85*POWER(J85,D85),0))</f>
        <v/>
      </c>
      <c r="P85" s="40">
        <f>IF(N85=0,0,MAX(1,ROUNDUP(N85*(1-'参数与公式'!$B$17),0)))</f>
        <v/>
      </c>
      <c r="Q85" s="40">
        <f>IF(O85=0,0,MAX(1,ROUNDUP(O85*(1-'参数与公式'!$B$17),0)))</f>
        <v/>
      </c>
      <c r="R85" s="18" t="inlineStr">
        <is>
          <t>data/building_templates.yaml; max_level: gameplay/constants.py; formula: gameplay/models/manor.py</t>
        </is>
      </c>
    </row>
    <row r="86" ht="25" customHeight="1">
      <c r="A86" s="17" t="inlineStr">
        <is>
          <t>bathhouse</t>
        </is>
      </c>
      <c r="B86" s="18" t="inlineStr">
        <is>
          <t>澡堂</t>
        </is>
      </c>
      <c r="C86" s="18" t="inlineStr">
        <is>
          <t>资源生产</t>
        </is>
      </c>
      <c r="D86" s="17" t="n">
        <v>4</v>
      </c>
      <c r="E86" s="24">
        <f>D86+1</f>
        <v/>
      </c>
      <c r="F86" s="38" t="n">
        <v>300</v>
      </c>
      <c r="G86" s="39" t="n">
        <v>1.25</v>
      </c>
      <c r="H86" s="38" t="n">
        <v>850</v>
      </c>
      <c r="I86" s="38" t="n">
        <v>0</v>
      </c>
      <c r="J86" s="39" t="n">
        <v>1.35</v>
      </c>
      <c r="K86" s="42">
        <f>ROUNDUP(F86*POWER(G86,D86),0)</f>
        <v/>
      </c>
      <c r="L86" s="40">
        <f>MAX(1,ROUNDDOWN(K86/'参数与公式'!$B$5,0))</f>
        <v/>
      </c>
      <c r="M86" s="40">
        <f>MAX(1,ROUNDDOWN(K86*(1-'参数与公式'!$B$14)/'参数与公式'!$B$5,0))</f>
        <v/>
      </c>
      <c r="N86" s="42">
        <f>IF(H86=0,0,ROUNDUP(H86*POWER(J86,D86),0))</f>
        <v/>
      </c>
      <c r="O86" s="42">
        <f>IF(I86=0,0,ROUNDUP(I86*POWER(J86,D86),0))</f>
        <v/>
      </c>
      <c r="P86" s="40">
        <f>IF(N86=0,0,MAX(1,ROUNDUP(N86*(1-'参数与公式'!$B$17),0)))</f>
        <v/>
      </c>
      <c r="Q86" s="40">
        <f>IF(O86=0,0,MAX(1,ROUNDUP(O86*(1-'参数与公式'!$B$17),0)))</f>
        <v/>
      </c>
      <c r="R86" s="18" t="inlineStr">
        <is>
          <t>data/building_templates.yaml; max_level: gameplay/constants.py; formula: gameplay/models/manor.py</t>
        </is>
      </c>
    </row>
    <row r="87" ht="25" customHeight="1">
      <c r="A87" s="17" t="inlineStr">
        <is>
          <t>bathhouse</t>
        </is>
      </c>
      <c r="B87" s="18" t="inlineStr">
        <is>
          <t>澡堂</t>
        </is>
      </c>
      <c r="C87" s="18" t="inlineStr">
        <is>
          <t>资源生产</t>
        </is>
      </c>
      <c r="D87" s="17" t="n">
        <v>5</v>
      </c>
      <c r="E87" s="24">
        <f>D87+1</f>
        <v/>
      </c>
      <c r="F87" s="38" t="n">
        <v>300</v>
      </c>
      <c r="G87" s="39" t="n">
        <v>1.25</v>
      </c>
      <c r="H87" s="38" t="n">
        <v>850</v>
      </c>
      <c r="I87" s="38" t="n">
        <v>0</v>
      </c>
      <c r="J87" s="39" t="n">
        <v>1.35</v>
      </c>
      <c r="K87" s="42">
        <f>ROUNDUP(F87*POWER(G87,D87),0)</f>
        <v/>
      </c>
      <c r="L87" s="40">
        <f>MAX(1,ROUNDDOWN(K87/'参数与公式'!$B$5,0))</f>
        <v/>
      </c>
      <c r="M87" s="40">
        <f>MAX(1,ROUNDDOWN(K87*(1-'参数与公式'!$B$14)/'参数与公式'!$B$5,0))</f>
        <v/>
      </c>
      <c r="N87" s="42">
        <f>IF(H87=0,0,ROUNDUP(H87*POWER(J87,D87),0))</f>
        <v/>
      </c>
      <c r="O87" s="42">
        <f>IF(I87=0,0,ROUNDUP(I87*POWER(J87,D87),0))</f>
        <v/>
      </c>
      <c r="P87" s="40">
        <f>IF(N87=0,0,MAX(1,ROUNDUP(N87*(1-'参数与公式'!$B$17),0)))</f>
        <v/>
      </c>
      <c r="Q87" s="40">
        <f>IF(O87=0,0,MAX(1,ROUNDUP(O87*(1-'参数与公式'!$B$17),0)))</f>
        <v/>
      </c>
      <c r="R87" s="18" t="inlineStr">
        <is>
          <t>data/building_templates.yaml; max_level: gameplay/constants.py; formula: gameplay/models/manor.py</t>
        </is>
      </c>
    </row>
    <row r="88" ht="25" customHeight="1">
      <c r="A88" s="17" t="inlineStr">
        <is>
          <t>bathhouse</t>
        </is>
      </c>
      <c r="B88" s="18" t="inlineStr">
        <is>
          <t>澡堂</t>
        </is>
      </c>
      <c r="C88" s="18" t="inlineStr">
        <is>
          <t>资源生产</t>
        </is>
      </c>
      <c r="D88" s="17" t="n">
        <v>6</v>
      </c>
      <c r="E88" s="24">
        <f>D88+1</f>
        <v/>
      </c>
      <c r="F88" s="38" t="n">
        <v>300</v>
      </c>
      <c r="G88" s="39" t="n">
        <v>1.25</v>
      </c>
      <c r="H88" s="38" t="n">
        <v>850</v>
      </c>
      <c r="I88" s="38" t="n">
        <v>0</v>
      </c>
      <c r="J88" s="39" t="n">
        <v>1.35</v>
      </c>
      <c r="K88" s="42">
        <f>ROUNDUP(F88*POWER(G88,D88),0)</f>
        <v/>
      </c>
      <c r="L88" s="40">
        <f>MAX(1,ROUNDDOWN(K88/'参数与公式'!$B$5,0))</f>
        <v/>
      </c>
      <c r="M88" s="40">
        <f>MAX(1,ROUNDDOWN(K88*(1-'参数与公式'!$B$14)/'参数与公式'!$B$5,0))</f>
        <v/>
      </c>
      <c r="N88" s="42">
        <f>IF(H88=0,0,ROUNDUP(H88*POWER(J88,D88),0))</f>
        <v/>
      </c>
      <c r="O88" s="42">
        <f>IF(I88=0,0,ROUNDUP(I88*POWER(J88,D88),0))</f>
        <v/>
      </c>
      <c r="P88" s="40">
        <f>IF(N88=0,0,MAX(1,ROUNDUP(N88*(1-'参数与公式'!$B$17),0)))</f>
        <v/>
      </c>
      <c r="Q88" s="40">
        <f>IF(O88=0,0,MAX(1,ROUNDUP(O88*(1-'参数与公式'!$B$17),0)))</f>
        <v/>
      </c>
      <c r="R88" s="18" t="inlineStr">
        <is>
          <t>data/building_templates.yaml; max_level: gameplay/constants.py; formula: gameplay/models/manor.py</t>
        </is>
      </c>
    </row>
    <row r="89" ht="25" customHeight="1">
      <c r="A89" s="17" t="inlineStr">
        <is>
          <t>bathhouse</t>
        </is>
      </c>
      <c r="B89" s="18" t="inlineStr">
        <is>
          <t>澡堂</t>
        </is>
      </c>
      <c r="C89" s="18" t="inlineStr">
        <is>
          <t>资源生产</t>
        </is>
      </c>
      <c r="D89" s="17" t="n">
        <v>7</v>
      </c>
      <c r="E89" s="24">
        <f>D89+1</f>
        <v/>
      </c>
      <c r="F89" s="38" t="n">
        <v>300</v>
      </c>
      <c r="G89" s="39" t="n">
        <v>1.25</v>
      </c>
      <c r="H89" s="38" t="n">
        <v>850</v>
      </c>
      <c r="I89" s="38" t="n">
        <v>0</v>
      </c>
      <c r="J89" s="39" t="n">
        <v>1.35</v>
      </c>
      <c r="K89" s="42">
        <f>ROUNDUP(F89*POWER(G89,D89),0)</f>
        <v/>
      </c>
      <c r="L89" s="40">
        <f>MAX(1,ROUNDDOWN(K89/'参数与公式'!$B$5,0))</f>
        <v/>
      </c>
      <c r="M89" s="40">
        <f>MAX(1,ROUNDDOWN(K89*(1-'参数与公式'!$B$14)/'参数与公式'!$B$5,0))</f>
        <v/>
      </c>
      <c r="N89" s="42">
        <f>IF(H89=0,0,ROUNDUP(H89*POWER(J89,D89),0))</f>
        <v/>
      </c>
      <c r="O89" s="42">
        <f>IF(I89=0,0,ROUNDUP(I89*POWER(J89,D89),0))</f>
        <v/>
      </c>
      <c r="P89" s="40">
        <f>IF(N89=0,0,MAX(1,ROUNDUP(N89*(1-'参数与公式'!$B$17),0)))</f>
        <v/>
      </c>
      <c r="Q89" s="40">
        <f>IF(O89=0,0,MAX(1,ROUNDUP(O89*(1-'参数与公式'!$B$17),0)))</f>
        <v/>
      </c>
      <c r="R89" s="18" t="inlineStr">
        <is>
          <t>data/building_templates.yaml; max_level: gameplay/constants.py; formula: gameplay/models/manor.py</t>
        </is>
      </c>
    </row>
    <row r="90" ht="25" customHeight="1">
      <c r="A90" s="17" t="inlineStr">
        <is>
          <t>bathhouse</t>
        </is>
      </c>
      <c r="B90" s="18" t="inlineStr">
        <is>
          <t>澡堂</t>
        </is>
      </c>
      <c r="C90" s="18" t="inlineStr">
        <is>
          <t>资源生产</t>
        </is>
      </c>
      <c r="D90" s="17" t="n">
        <v>8</v>
      </c>
      <c r="E90" s="24">
        <f>D90+1</f>
        <v/>
      </c>
      <c r="F90" s="38" t="n">
        <v>300</v>
      </c>
      <c r="G90" s="39" t="n">
        <v>1.25</v>
      </c>
      <c r="H90" s="38" t="n">
        <v>850</v>
      </c>
      <c r="I90" s="38" t="n">
        <v>0</v>
      </c>
      <c r="J90" s="39" t="n">
        <v>1.35</v>
      </c>
      <c r="K90" s="42">
        <f>ROUNDUP(F90*POWER(G90,D90),0)</f>
        <v/>
      </c>
      <c r="L90" s="40">
        <f>MAX(1,ROUNDDOWN(K90/'参数与公式'!$B$5,0))</f>
        <v/>
      </c>
      <c r="M90" s="40">
        <f>MAX(1,ROUNDDOWN(K90*(1-'参数与公式'!$B$14)/'参数与公式'!$B$5,0))</f>
        <v/>
      </c>
      <c r="N90" s="42">
        <f>IF(H90=0,0,ROUNDUP(H90*POWER(J90,D90),0))</f>
        <v/>
      </c>
      <c r="O90" s="42">
        <f>IF(I90=0,0,ROUNDUP(I90*POWER(J90,D90),0))</f>
        <v/>
      </c>
      <c r="P90" s="40">
        <f>IF(N90=0,0,MAX(1,ROUNDUP(N90*(1-'参数与公式'!$B$17),0)))</f>
        <v/>
      </c>
      <c r="Q90" s="40">
        <f>IF(O90=0,0,MAX(1,ROUNDUP(O90*(1-'参数与公式'!$B$17),0)))</f>
        <v/>
      </c>
      <c r="R90" s="18" t="inlineStr">
        <is>
          <t>data/building_templates.yaml; max_level: gameplay/constants.py; formula: gameplay/models/manor.py</t>
        </is>
      </c>
    </row>
    <row r="91" ht="25" customHeight="1">
      <c r="A91" s="17" t="inlineStr">
        <is>
          <t>bathhouse</t>
        </is>
      </c>
      <c r="B91" s="18" t="inlineStr">
        <is>
          <t>澡堂</t>
        </is>
      </c>
      <c r="C91" s="18" t="inlineStr">
        <is>
          <t>资源生产</t>
        </is>
      </c>
      <c r="D91" s="17" t="n">
        <v>9</v>
      </c>
      <c r="E91" s="24">
        <f>D91+1</f>
        <v/>
      </c>
      <c r="F91" s="38" t="n">
        <v>300</v>
      </c>
      <c r="G91" s="39" t="n">
        <v>1.25</v>
      </c>
      <c r="H91" s="38" t="n">
        <v>850</v>
      </c>
      <c r="I91" s="38" t="n">
        <v>0</v>
      </c>
      <c r="J91" s="39" t="n">
        <v>1.35</v>
      </c>
      <c r="K91" s="42">
        <f>ROUNDUP(F91*POWER(G91,D91),0)</f>
        <v/>
      </c>
      <c r="L91" s="40">
        <f>MAX(1,ROUNDDOWN(K91/'参数与公式'!$B$5,0))</f>
        <v/>
      </c>
      <c r="M91" s="40">
        <f>MAX(1,ROUNDDOWN(K91*(1-'参数与公式'!$B$14)/'参数与公式'!$B$5,0))</f>
        <v/>
      </c>
      <c r="N91" s="42">
        <f>IF(H91=0,0,ROUNDUP(H91*POWER(J91,D91),0))</f>
        <v/>
      </c>
      <c r="O91" s="42">
        <f>IF(I91=0,0,ROUNDUP(I91*POWER(J91,D91),0))</f>
        <v/>
      </c>
      <c r="P91" s="40">
        <f>IF(N91=0,0,MAX(1,ROUNDUP(N91*(1-'参数与公式'!$B$17),0)))</f>
        <v/>
      </c>
      <c r="Q91" s="40">
        <f>IF(O91=0,0,MAX(1,ROUNDUP(O91*(1-'参数与公式'!$B$17),0)))</f>
        <v/>
      </c>
      <c r="R91" s="18" t="inlineStr">
        <is>
          <t>data/building_templates.yaml; max_level: gameplay/constants.py; formula: gameplay/models/manor.py</t>
        </is>
      </c>
    </row>
    <row r="92" ht="25" customHeight="1">
      <c r="A92" s="17" t="inlineStr">
        <is>
          <t>bathhouse</t>
        </is>
      </c>
      <c r="B92" s="18" t="inlineStr">
        <is>
          <t>澡堂</t>
        </is>
      </c>
      <c r="C92" s="18" t="inlineStr">
        <is>
          <t>资源生产</t>
        </is>
      </c>
      <c r="D92" s="17" t="n">
        <v>10</v>
      </c>
      <c r="E92" s="24">
        <f>D92+1</f>
        <v/>
      </c>
      <c r="F92" s="38" t="n">
        <v>300</v>
      </c>
      <c r="G92" s="39" t="n">
        <v>1.25</v>
      </c>
      <c r="H92" s="38" t="n">
        <v>850</v>
      </c>
      <c r="I92" s="38" t="n">
        <v>0</v>
      </c>
      <c r="J92" s="39" t="n">
        <v>1.35</v>
      </c>
      <c r="K92" s="42">
        <f>ROUNDUP(F92*POWER(G92,D92),0)</f>
        <v/>
      </c>
      <c r="L92" s="40">
        <f>MAX(1,ROUNDDOWN(K92/'参数与公式'!$B$5,0))</f>
        <v/>
      </c>
      <c r="M92" s="40">
        <f>MAX(1,ROUNDDOWN(K92*(1-'参数与公式'!$B$14)/'参数与公式'!$B$5,0))</f>
        <v/>
      </c>
      <c r="N92" s="42">
        <f>IF(H92=0,0,ROUNDUP(H92*POWER(J92,D92),0))</f>
        <v/>
      </c>
      <c r="O92" s="42">
        <f>IF(I92=0,0,ROUNDUP(I92*POWER(J92,D92),0))</f>
        <v/>
      </c>
      <c r="P92" s="40">
        <f>IF(N92=0,0,MAX(1,ROUNDUP(N92*(1-'参数与公式'!$B$17),0)))</f>
        <v/>
      </c>
      <c r="Q92" s="40">
        <f>IF(O92=0,0,MAX(1,ROUNDUP(O92*(1-'参数与公式'!$B$17),0)))</f>
        <v/>
      </c>
      <c r="R92" s="18" t="inlineStr">
        <is>
          <t>data/building_templates.yaml; max_level: gameplay/constants.py; formula: gameplay/models/manor.py</t>
        </is>
      </c>
    </row>
    <row r="93" ht="25" customHeight="1">
      <c r="A93" s="17" t="inlineStr">
        <is>
          <t>bathhouse</t>
        </is>
      </c>
      <c r="B93" s="18" t="inlineStr">
        <is>
          <t>澡堂</t>
        </is>
      </c>
      <c r="C93" s="18" t="inlineStr">
        <is>
          <t>资源生产</t>
        </is>
      </c>
      <c r="D93" s="17" t="n">
        <v>11</v>
      </c>
      <c r="E93" s="24">
        <f>D93+1</f>
        <v/>
      </c>
      <c r="F93" s="38" t="n">
        <v>300</v>
      </c>
      <c r="G93" s="39" t="n">
        <v>1.25</v>
      </c>
      <c r="H93" s="38" t="n">
        <v>850</v>
      </c>
      <c r="I93" s="38" t="n">
        <v>0</v>
      </c>
      <c r="J93" s="39" t="n">
        <v>1.35</v>
      </c>
      <c r="K93" s="42">
        <f>ROUNDUP(F93*POWER(G93,D93),0)</f>
        <v/>
      </c>
      <c r="L93" s="40">
        <f>MAX(1,ROUNDDOWN(K93/'参数与公式'!$B$5,0))</f>
        <v/>
      </c>
      <c r="M93" s="40">
        <f>MAX(1,ROUNDDOWN(K93*(1-'参数与公式'!$B$14)/'参数与公式'!$B$5,0))</f>
        <v/>
      </c>
      <c r="N93" s="42">
        <f>IF(H93=0,0,ROUNDUP(H93*POWER(J93,D93),0))</f>
        <v/>
      </c>
      <c r="O93" s="42">
        <f>IF(I93=0,0,ROUNDUP(I93*POWER(J93,D93),0))</f>
        <v/>
      </c>
      <c r="P93" s="40">
        <f>IF(N93=0,0,MAX(1,ROUNDUP(N93*(1-'参数与公式'!$B$17),0)))</f>
        <v/>
      </c>
      <c r="Q93" s="40">
        <f>IF(O93=0,0,MAX(1,ROUNDUP(O93*(1-'参数与公式'!$B$17),0)))</f>
        <v/>
      </c>
      <c r="R93" s="18" t="inlineStr">
        <is>
          <t>data/building_templates.yaml; max_level: gameplay/constants.py; formula: gameplay/models/manor.py</t>
        </is>
      </c>
    </row>
    <row r="94" ht="25" customHeight="1">
      <c r="A94" s="17" t="inlineStr">
        <is>
          <t>bathhouse</t>
        </is>
      </c>
      <c r="B94" s="18" t="inlineStr">
        <is>
          <t>澡堂</t>
        </is>
      </c>
      <c r="C94" s="18" t="inlineStr">
        <is>
          <t>资源生产</t>
        </is>
      </c>
      <c r="D94" s="17" t="n">
        <v>12</v>
      </c>
      <c r="E94" s="24">
        <f>D94+1</f>
        <v/>
      </c>
      <c r="F94" s="38" t="n">
        <v>300</v>
      </c>
      <c r="G94" s="39" t="n">
        <v>1.25</v>
      </c>
      <c r="H94" s="38" t="n">
        <v>850</v>
      </c>
      <c r="I94" s="38" t="n">
        <v>0</v>
      </c>
      <c r="J94" s="39" t="n">
        <v>1.35</v>
      </c>
      <c r="K94" s="42">
        <f>ROUNDUP(F94*POWER(G94,D94),0)</f>
        <v/>
      </c>
      <c r="L94" s="40">
        <f>MAX(1,ROUNDDOWN(K94/'参数与公式'!$B$5,0))</f>
        <v/>
      </c>
      <c r="M94" s="40">
        <f>MAX(1,ROUNDDOWN(K94*(1-'参数与公式'!$B$14)/'参数与公式'!$B$5,0))</f>
        <v/>
      </c>
      <c r="N94" s="42">
        <f>IF(H94=0,0,ROUNDUP(H94*POWER(J94,D94),0))</f>
        <v/>
      </c>
      <c r="O94" s="42">
        <f>IF(I94=0,0,ROUNDUP(I94*POWER(J94,D94),0))</f>
        <v/>
      </c>
      <c r="P94" s="40">
        <f>IF(N94=0,0,MAX(1,ROUNDUP(N94*(1-'参数与公式'!$B$17),0)))</f>
        <v/>
      </c>
      <c r="Q94" s="40">
        <f>IF(O94=0,0,MAX(1,ROUNDUP(O94*(1-'参数与公式'!$B$17),0)))</f>
        <v/>
      </c>
      <c r="R94" s="18" t="inlineStr">
        <is>
          <t>data/building_templates.yaml; max_level: gameplay/constants.py; formula: gameplay/models/manor.py</t>
        </is>
      </c>
    </row>
    <row r="95" ht="25" customHeight="1">
      <c r="A95" s="17" t="inlineStr">
        <is>
          <t>bathhouse</t>
        </is>
      </c>
      <c r="B95" s="18" t="inlineStr">
        <is>
          <t>澡堂</t>
        </is>
      </c>
      <c r="C95" s="18" t="inlineStr">
        <is>
          <t>资源生产</t>
        </is>
      </c>
      <c r="D95" s="17" t="n">
        <v>13</v>
      </c>
      <c r="E95" s="24">
        <f>D95+1</f>
        <v/>
      </c>
      <c r="F95" s="38" t="n">
        <v>300</v>
      </c>
      <c r="G95" s="39" t="n">
        <v>1.25</v>
      </c>
      <c r="H95" s="38" t="n">
        <v>850</v>
      </c>
      <c r="I95" s="38" t="n">
        <v>0</v>
      </c>
      <c r="J95" s="39" t="n">
        <v>1.35</v>
      </c>
      <c r="K95" s="42">
        <f>ROUNDUP(F95*POWER(G95,D95),0)</f>
        <v/>
      </c>
      <c r="L95" s="40">
        <f>MAX(1,ROUNDDOWN(K95/'参数与公式'!$B$5,0))</f>
        <v/>
      </c>
      <c r="M95" s="40">
        <f>MAX(1,ROUNDDOWN(K95*(1-'参数与公式'!$B$14)/'参数与公式'!$B$5,0))</f>
        <v/>
      </c>
      <c r="N95" s="42">
        <f>IF(H95=0,0,ROUNDUP(H95*POWER(J95,D95),0))</f>
        <v/>
      </c>
      <c r="O95" s="42">
        <f>IF(I95=0,0,ROUNDUP(I95*POWER(J95,D95),0))</f>
        <v/>
      </c>
      <c r="P95" s="40">
        <f>IF(N95=0,0,MAX(1,ROUNDUP(N95*(1-'参数与公式'!$B$17),0)))</f>
        <v/>
      </c>
      <c r="Q95" s="40">
        <f>IF(O95=0,0,MAX(1,ROUNDUP(O95*(1-'参数与公式'!$B$17),0)))</f>
        <v/>
      </c>
      <c r="R95" s="18" t="inlineStr">
        <is>
          <t>data/building_templates.yaml; max_level: gameplay/constants.py; formula: gameplay/models/manor.py</t>
        </is>
      </c>
    </row>
    <row r="96" ht="25" customHeight="1">
      <c r="A96" s="17" t="inlineStr">
        <is>
          <t>bathhouse</t>
        </is>
      </c>
      <c r="B96" s="18" t="inlineStr">
        <is>
          <t>澡堂</t>
        </is>
      </c>
      <c r="C96" s="18" t="inlineStr">
        <is>
          <t>资源生产</t>
        </is>
      </c>
      <c r="D96" s="17" t="n">
        <v>14</v>
      </c>
      <c r="E96" s="24">
        <f>D96+1</f>
        <v/>
      </c>
      <c r="F96" s="38" t="n">
        <v>300</v>
      </c>
      <c r="G96" s="39" t="n">
        <v>1.25</v>
      </c>
      <c r="H96" s="38" t="n">
        <v>850</v>
      </c>
      <c r="I96" s="38" t="n">
        <v>0</v>
      </c>
      <c r="J96" s="39" t="n">
        <v>1.35</v>
      </c>
      <c r="K96" s="42">
        <f>ROUNDUP(F96*POWER(G96,D96),0)</f>
        <v/>
      </c>
      <c r="L96" s="40">
        <f>MAX(1,ROUNDDOWN(K96/'参数与公式'!$B$5,0))</f>
        <v/>
      </c>
      <c r="M96" s="40">
        <f>MAX(1,ROUNDDOWN(K96*(1-'参数与公式'!$B$14)/'参数与公式'!$B$5,0))</f>
        <v/>
      </c>
      <c r="N96" s="42">
        <f>IF(H96=0,0,ROUNDUP(H96*POWER(J96,D96),0))</f>
        <v/>
      </c>
      <c r="O96" s="42">
        <f>IF(I96=0,0,ROUNDUP(I96*POWER(J96,D96),0))</f>
        <v/>
      </c>
      <c r="P96" s="40">
        <f>IF(N96=0,0,MAX(1,ROUNDUP(N96*(1-'参数与公式'!$B$17),0)))</f>
        <v/>
      </c>
      <c r="Q96" s="40">
        <f>IF(O96=0,0,MAX(1,ROUNDUP(O96*(1-'参数与公式'!$B$17),0)))</f>
        <v/>
      </c>
      <c r="R96" s="18" t="inlineStr">
        <is>
          <t>data/building_templates.yaml; max_level: gameplay/constants.py; formula: gameplay/models/manor.py</t>
        </is>
      </c>
    </row>
    <row r="97" ht="25" customHeight="1">
      <c r="A97" s="17" t="inlineStr">
        <is>
          <t>bathhouse</t>
        </is>
      </c>
      <c r="B97" s="18" t="inlineStr">
        <is>
          <t>澡堂</t>
        </is>
      </c>
      <c r="C97" s="18" t="inlineStr">
        <is>
          <t>资源生产</t>
        </is>
      </c>
      <c r="D97" s="17" t="n">
        <v>15</v>
      </c>
      <c r="E97" s="24">
        <f>D97+1</f>
        <v/>
      </c>
      <c r="F97" s="38" t="n">
        <v>300</v>
      </c>
      <c r="G97" s="39" t="n">
        <v>1.25</v>
      </c>
      <c r="H97" s="38" t="n">
        <v>850</v>
      </c>
      <c r="I97" s="38" t="n">
        <v>0</v>
      </c>
      <c r="J97" s="39" t="n">
        <v>1.35</v>
      </c>
      <c r="K97" s="42">
        <f>ROUNDUP(F97*POWER(G97,D97),0)</f>
        <v/>
      </c>
      <c r="L97" s="40">
        <f>MAX(1,ROUNDDOWN(K97/'参数与公式'!$B$5,0))</f>
        <v/>
      </c>
      <c r="M97" s="40">
        <f>MAX(1,ROUNDDOWN(K97*(1-'参数与公式'!$B$14)/'参数与公式'!$B$5,0))</f>
        <v/>
      </c>
      <c r="N97" s="42">
        <f>IF(H97=0,0,ROUNDUP(H97*POWER(J97,D97),0))</f>
        <v/>
      </c>
      <c r="O97" s="42">
        <f>IF(I97=0,0,ROUNDUP(I97*POWER(J97,D97),0))</f>
        <v/>
      </c>
      <c r="P97" s="40">
        <f>IF(N97=0,0,MAX(1,ROUNDUP(N97*(1-'参数与公式'!$B$17),0)))</f>
        <v/>
      </c>
      <c r="Q97" s="40">
        <f>IF(O97=0,0,MAX(1,ROUNDUP(O97*(1-'参数与公式'!$B$17),0)))</f>
        <v/>
      </c>
      <c r="R97" s="18" t="inlineStr">
        <is>
          <t>data/building_templates.yaml; max_level: gameplay/constants.py; formula: gameplay/models/manor.py</t>
        </is>
      </c>
    </row>
    <row r="98" ht="25" customHeight="1">
      <c r="A98" s="17" t="inlineStr">
        <is>
          <t>bathhouse</t>
        </is>
      </c>
      <c r="B98" s="18" t="inlineStr">
        <is>
          <t>澡堂</t>
        </is>
      </c>
      <c r="C98" s="18" t="inlineStr">
        <is>
          <t>资源生产</t>
        </is>
      </c>
      <c r="D98" s="17" t="n">
        <v>16</v>
      </c>
      <c r="E98" s="24">
        <f>D98+1</f>
        <v/>
      </c>
      <c r="F98" s="38" t="n">
        <v>300</v>
      </c>
      <c r="G98" s="39" t="n">
        <v>1.25</v>
      </c>
      <c r="H98" s="38" t="n">
        <v>850</v>
      </c>
      <c r="I98" s="38" t="n">
        <v>0</v>
      </c>
      <c r="J98" s="39" t="n">
        <v>1.35</v>
      </c>
      <c r="K98" s="42">
        <f>ROUNDUP(F98*POWER(G98,D98),0)</f>
        <v/>
      </c>
      <c r="L98" s="40">
        <f>MAX(1,ROUNDDOWN(K98/'参数与公式'!$B$5,0))</f>
        <v/>
      </c>
      <c r="M98" s="40">
        <f>MAX(1,ROUNDDOWN(K98*(1-'参数与公式'!$B$14)/'参数与公式'!$B$5,0))</f>
        <v/>
      </c>
      <c r="N98" s="42">
        <f>IF(H98=0,0,ROUNDUP(H98*POWER(J98,D98),0))</f>
        <v/>
      </c>
      <c r="O98" s="42">
        <f>IF(I98=0,0,ROUNDUP(I98*POWER(J98,D98),0))</f>
        <v/>
      </c>
      <c r="P98" s="40">
        <f>IF(N98=0,0,MAX(1,ROUNDUP(N98*(1-'参数与公式'!$B$17),0)))</f>
        <v/>
      </c>
      <c r="Q98" s="40">
        <f>IF(O98=0,0,MAX(1,ROUNDUP(O98*(1-'参数与公式'!$B$17),0)))</f>
        <v/>
      </c>
      <c r="R98" s="18" t="inlineStr">
        <is>
          <t>data/building_templates.yaml; max_level: gameplay/constants.py; formula: gameplay/models/manor.py</t>
        </is>
      </c>
    </row>
    <row r="99" ht="25" customHeight="1">
      <c r="A99" s="17" t="inlineStr">
        <is>
          <t>bathhouse</t>
        </is>
      </c>
      <c r="B99" s="18" t="inlineStr">
        <is>
          <t>澡堂</t>
        </is>
      </c>
      <c r="C99" s="18" t="inlineStr">
        <is>
          <t>资源生产</t>
        </is>
      </c>
      <c r="D99" s="17" t="n">
        <v>17</v>
      </c>
      <c r="E99" s="24">
        <f>D99+1</f>
        <v/>
      </c>
      <c r="F99" s="38" t="n">
        <v>300</v>
      </c>
      <c r="G99" s="39" t="n">
        <v>1.25</v>
      </c>
      <c r="H99" s="38" t="n">
        <v>850</v>
      </c>
      <c r="I99" s="38" t="n">
        <v>0</v>
      </c>
      <c r="J99" s="39" t="n">
        <v>1.35</v>
      </c>
      <c r="K99" s="42">
        <f>ROUNDUP(F99*POWER(G99,D99),0)</f>
        <v/>
      </c>
      <c r="L99" s="40">
        <f>MAX(1,ROUNDDOWN(K99/'参数与公式'!$B$5,0))</f>
        <v/>
      </c>
      <c r="M99" s="40">
        <f>MAX(1,ROUNDDOWN(K99*(1-'参数与公式'!$B$14)/'参数与公式'!$B$5,0))</f>
        <v/>
      </c>
      <c r="N99" s="42">
        <f>IF(H99=0,0,ROUNDUP(H99*POWER(J99,D99),0))</f>
        <v/>
      </c>
      <c r="O99" s="42">
        <f>IF(I99=0,0,ROUNDUP(I99*POWER(J99,D99),0))</f>
        <v/>
      </c>
      <c r="P99" s="40">
        <f>IF(N99=0,0,MAX(1,ROUNDUP(N99*(1-'参数与公式'!$B$17),0)))</f>
        <v/>
      </c>
      <c r="Q99" s="40">
        <f>IF(O99=0,0,MAX(1,ROUNDUP(O99*(1-'参数与公式'!$B$17),0)))</f>
        <v/>
      </c>
      <c r="R99" s="18" t="inlineStr">
        <is>
          <t>data/building_templates.yaml; max_level: gameplay/constants.py; formula: gameplay/models/manor.py</t>
        </is>
      </c>
    </row>
    <row r="100" ht="25" customHeight="1">
      <c r="A100" s="17" t="inlineStr">
        <is>
          <t>bathhouse</t>
        </is>
      </c>
      <c r="B100" s="18" t="inlineStr">
        <is>
          <t>澡堂</t>
        </is>
      </c>
      <c r="C100" s="18" t="inlineStr">
        <is>
          <t>资源生产</t>
        </is>
      </c>
      <c r="D100" s="17" t="n">
        <v>18</v>
      </c>
      <c r="E100" s="24">
        <f>D100+1</f>
        <v/>
      </c>
      <c r="F100" s="38" t="n">
        <v>300</v>
      </c>
      <c r="G100" s="39" t="n">
        <v>1.25</v>
      </c>
      <c r="H100" s="38" t="n">
        <v>850</v>
      </c>
      <c r="I100" s="38" t="n">
        <v>0</v>
      </c>
      <c r="J100" s="39" t="n">
        <v>1.35</v>
      </c>
      <c r="K100" s="42">
        <f>ROUNDUP(F100*POWER(G100,D100),0)</f>
        <v/>
      </c>
      <c r="L100" s="40">
        <f>MAX(1,ROUNDDOWN(K100/'参数与公式'!$B$5,0))</f>
        <v/>
      </c>
      <c r="M100" s="40">
        <f>MAX(1,ROUNDDOWN(K100*(1-'参数与公式'!$B$14)/'参数与公式'!$B$5,0))</f>
        <v/>
      </c>
      <c r="N100" s="42">
        <f>IF(H100=0,0,ROUNDUP(H100*POWER(J100,D100),0))</f>
        <v/>
      </c>
      <c r="O100" s="42">
        <f>IF(I100=0,0,ROUNDUP(I100*POWER(J100,D100),0))</f>
        <v/>
      </c>
      <c r="P100" s="40">
        <f>IF(N100=0,0,MAX(1,ROUNDUP(N100*(1-'参数与公式'!$B$17),0)))</f>
        <v/>
      </c>
      <c r="Q100" s="40">
        <f>IF(O100=0,0,MAX(1,ROUNDUP(O100*(1-'参数与公式'!$B$17),0)))</f>
        <v/>
      </c>
      <c r="R100" s="18" t="inlineStr">
        <is>
          <t>data/building_templates.yaml; max_level: gameplay/constants.py; formula: gameplay/models/manor.py</t>
        </is>
      </c>
    </row>
    <row r="101" ht="25" customHeight="1">
      <c r="A101" s="17" t="inlineStr">
        <is>
          <t>bathhouse</t>
        </is>
      </c>
      <c r="B101" s="18" t="inlineStr">
        <is>
          <t>澡堂</t>
        </is>
      </c>
      <c r="C101" s="18" t="inlineStr">
        <is>
          <t>资源生产</t>
        </is>
      </c>
      <c r="D101" s="17" t="n">
        <v>19</v>
      </c>
      <c r="E101" s="24">
        <f>D101+1</f>
        <v/>
      </c>
      <c r="F101" s="38" t="n">
        <v>300</v>
      </c>
      <c r="G101" s="39" t="n">
        <v>1.25</v>
      </c>
      <c r="H101" s="38" t="n">
        <v>850</v>
      </c>
      <c r="I101" s="38" t="n">
        <v>0</v>
      </c>
      <c r="J101" s="39" t="n">
        <v>1.35</v>
      </c>
      <c r="K101" s="42">
        <f>ROUNDUP(F101*POWER(G101,D101),0)</f>
        <v/>
      </c>
      <c r="L101" s="40">
        <f>MAX(1,ROUNDDOWN(K101/'参数与公式'!$B$5,0))</f>
        <v/>
      </c>
      <c r="M101" s="40">
        <f>MAX(1,ROUNDDOWN(K101*(1-'参数与公式'!$B$14)/'参数与公式'!$B$5,0))</f>
        <v/>
      </c>
      <c r="N101" s="42">
        <f>IF(H101=0,0,ROUNDUP(H101*POWER(J101,D101),0))</f>
        <v/>
      </c>
      <c r="O101" s="42">
        <f>IF(I101=0,0,ROUNDUP(I101*POWER(J101,D101),0))</f>
        <v/>
      </c>
      <c r="P101" s="40">
        <f>IF(N101=0,0,MAX(1,ROUNDUP(N101*(1-'参数与公式'!$B$17),0)))</f>
        <v/>
      </c>
      <c r="Q101" s="40">
        <f>IF(O101=0,0,MAX(1,ROUNDUP(O101*(1-'参数与公式'!$B$17),0)))</f>
        <v/>
      </c>
      <c r="R101" s="18" t="inlineStr">
        <is>
          <t>data/building_templates.yaml; max_level: gameplay/constants.py; formula: gameplay/models/manor.py</t>
        </is>
      </c>
    </row>
    <row r="102" ht="25" customHeight="1">
      <c r="A102" s="17" t="inlineStr">
        <is>
          <t>latrine</t>
        </is>
      </c>
      <c r="B102" s="18" t="inlineStr">
        <is>
          <t>茅厕</t>
        </is>
      </c>
      <c r="C102" s="18" t="inlineStr">
        <is>
          <t>资源生产</t>
        </is>
      </c>
      <c r="D102" s="17" t="n">
        <v>1</v>
      </c>
      <c r="E102" s="24">
        <f>D102+1</f>
        <v/>
      </c>
      <c r="F102" s="38" t="n">
        <v>300</v>
      </c>
      <c r="G102" s="39" t="n">
        <v>1.25</v>
      </c>
      <c r="H102" s="38" t="n">
        <v>550</v>
      </c>
      <c r="I102" s="38" t="n">
        <v>0</v>
      </c>
      <c r="J102" s="39" t="n">
        <v>1.35</v>
      </c>
      <c r="K102" s="42">
        <f>ROUNDUP(F102*POWER(G102,D102),0)</f>
        <v/>
      </c>
      <c r="L102" s="40">
        <f>MAX(1,ROUNDDOWN(K102/'参数与公式'!$B$5,0))</f>
        <v/>
      </c>
      <c r="M102" s="40">
        <f>MAX(1,ROUNDDOWN(K102*(1-'参数与公式'!$B$14)/'参数与公式'!$B$5,0))</f>
        <v/>
      </c>
      <c r="N102" s="42">
        <f>IF(H102=0,0,ROUNDUP(H102*POWER(J102,D102),0))</f>
        <v/>
      </c>
      <c r="O102" s="42">
        <f>IF(I102=0,0,ROUNDUP(I102*POWER(J102,D102),0))</f>
        <v/>
      </c>
      <c r="P102" s="40">
        <f>IF(N102=0,0,MAX(1,ROUNDUP(N102*(1-'参数与公式'!$B$17),0)))</f>
        <v/>
      </c>
      <c r="Q102" s="40">
        <f>IF(O102=0,0,MAX(1,ROUNDUP(O102*(1-'参数与公式'!$B$17),0)))</f>
        <v/>
      </c>
      <c r="R102" s="18" t="inlineStr">
        <is>
          <t>data/building_templates.yaml; max_level: gameplay/constants.py; formula: gameplay/models/manor.py</t>
        </is>
      </c>
    </row>
    <row r="103" ht="25" customHeight="1">
      <c r="A103" s="17" t="inlineStr">
        <is>
          <t>latrine</t>
        </is>
      </c>
      <c r="B103" s="18" t="inlineStr">
        <is>
          <t>茅厕</t>
        </is>
      </c>
      <c r="C103" s="18" t="inlineStr">
        <is>
          <t>资源生产</t>
        </is>
      </c>
      <c r="D103" s="17" t="n">
        <v>2</v>
      </c>
      <c r="E103" s="24">
        <f>D103+1</f>
        <v/>
      </c>
      <c r="F103" s="38" t="n">
        <v>300</v>
      </c>
      <c r="G103" s="39" t="n">
        <v>1.25</v>
      </c>
      <c r="H103" s="38" t="n">
        <v>550</v>
      </c>
      <c r="I103" s="38" t="n">
        <v>0</v>
      </c>
      <c r="J103" s="39" t="n">
        <v>1.35</v>
      </c>
      <c r="K103" s="42">
        <f>ROUNDUP(F103*POWER(G103,D103),0)</f>
        <v/>
      </c>
      <c r="L103" s="40">
        <f>MAX(1,ROUNDDOWN(K103/'参数与公式'!$B$5,0))</f>
        <v/>
      </c>
      <c r="M103" s="40">
        <f>MAX(1,ROUNDDOWN(K103*(1-'参数与公式'!$B$14)/'参数与公式'!$B$5,0))</f>
        <v/>
      </c>
      <c r="N103" s="42">
        <f>IF(H103=0,0,ROUNDUP(H103*POWER(J103,D103),0))</f>
        <v/>
      </c>
      <c r="O103" s="42">
        <f>IF(I103=0,0,ROUNDUP(I103*POWER(J103,D103),0))</f>
        <v/>
      </c>
      <c r="P103" s="40">
        <f>IF(N103=0,0,MAX(1,ROUNDUP(N103*(1-'参数与公式'!$B$17),0)))</f>
        <v/>
      </c>
      <c r="Q103" s="40">
        <f>IF(O103=0,0,MAX(1,ROUNDUP(O103*(1-'参数与公式'!$B$17),0)))</f>
        <v/>
      </c>
      <c r="R103" s="18" t="inlineStr">
        <is>
          <t>data/building_templates.yaml; max_level: gameplay/constants.py; formula: gameplay/models/manor.py</t>
        </is>
      </c>
    </row>
    <row r="104" ht="25" customHeight="1">
      <c r="A104" s="17" t="inlineStr">
        <is>
          <t>latrine</t>
        </is>
      </c>
      <c r="B104" s="18" t="inlineStr">
        <is>
          <t>茅厕</t>
        </is>
      </c>
      <c r="C104" s="18" t="inlineStr">
        <is>
          <t>资源生产</t>
        </is>
      </c>
      <c r="D104" s="17" t="n">
        <v>3</v>
      </c>
      <c r="E104" s="24">
        <f>D104+1</f>
        <v/>
      </c>
      <c r="F104" s="38" t="n">
        <v>300</v>
      </c>
      <c r="G104" s="39" t="n">
        <v>1.25</v>
      </c>
      <c r="H104" s="38" t="n">
        <v>550</v>
      </c>
      <c r="I104" s="38" t="n">
        <v>0</v>
      </c>
      <c r="J104" s="39" t="n">
        <v>1.35</v>
      </c>
      <c r="K104" s="42">
        <f>ROUNDUP(F104*POWER(G104,D104),0)</f>
        <v/>
      </c>
      <c r="L104" s="40">
        <f>MAX(1,ROUNDDOWN(K104/'参数与公式'!$B$5,0))</f>
        <v/>
      </c>
      <c r="M104" s="40">
        <f>MAX(1,ROUNDDOWN(K104*(1-'参数与公式'!$B$14)/'参数与公式'!$B$5,0))</f>
        <v/>
      </c>
      <c r="N104" s="42">
        <f>IF(H104=0,0,ROUNDUP(H104*POWER(J104,D104),0))</f>
        <v/>
      </c>
      <c r="O104" s="42">
        <f>IF(I104=0,0,ROUNDUP(I104*POWER(J104,D104),0))</f>
        <v/>
      </c>
      <c r="P104" s="40">
        <f>IF(N104=0,0,MAX(1,ROUNDUP(N104*(1-'参数与公式'!$B$17),0)))</f>
        <v/>
      </c>
      <c r="Q104" s="40">
        <f>IF(O104=0,0,MAX(1,ROUNDUP(O104*(1-'参数与公式'!$B$17),0)))</f>
        <v/>
      </c>
      <c r="R104" s="18" t="inlineStr">
        <is>
          <t>data/building_templates.yaml; max_level: gameplay/constants.py; formula: gameplay/models/manor.py</t>
        </is>
      </c>
    </row>
    <row r="105" ht="25" customHeight="1">
      <c r="A105" s="17" t="inlineStr">
        <is>
          <t>latrine</t>
        </is>
      </c>
      <c r="B105" s="18" t="inlineStr">
        <is>
          <t>茅厕</t>
        </is>
      </c>
      <c r="C105" s="18" t="inlineStr">
        <is>
          <t>资源生产</t>
        </is>
      </c>
      <c r="D105" s="17" t="n">
        <v>4</v>
      </c>
      <c r="E105" s="24">
        <f>D105+1</f>
        <v/>
      </c>
      <c r="F105" s="38" t="n">
        <v>300</v>
      </c>
      <c r="G105" s="39" t="n">
        <v>1.25</v>
      </c>
      <c r="H105" s="38" t="n">
        <v>550</v>
      </c>
      <c r="I105" s="38" t="n">
        <v>0</v>
      </c>
      <c r="J105" s="39" t="n">
        <v>1.35</v>
      </c>
      <c r="K105" s="42">
        <f>ROUNDUP(F105*POWER(G105,D105),0)</f>
        <v/>
      </c>
      <c r="L105" s="40">
        <f>MAX(1,ROUNDDOWN(K105/'参数与公式'!$B$5,0))</f>
        <v/>
      </c>
      <c r="M105" s="40">
        <f>MAX(1,ROUNDDOWN(K105*(1-'参数与公式'!$B$14)/'参数与公式'!$B$5,0))</f>
        <v/>
      </c>
      <c r="N105" s="42">
        <f>IF(H105=0,0,ROUNDUP(H105*POWER(J105,D105),0))</f>
        <v/>
      </c>
      <c r="O105" s="42">
        <f>IF(I105=0,0,ROUNDUP(I105*POWER(J105,D105),0))</f>
        <v/>
      </c>
      <c r="P105" s="40">
        <f>IF(N105=0,0,MAX(1,ROUNDUP(N105*(1-'参数与公式'!$B$17),0)))</f>
        <v/>
      </c>
      <c r="Q105" s="40">
        <f>IF(O105=0,0,MAX(1,ROUNDUP(O105*(1-'参数与公式'!$B$17),0)))</f>
        <v/>
      </c>
      <c r="R105" s="18" t="inlineStr">
        <is>
          <t>data/building_templates.yaml; max_level: gameplay/constants.py; formula: gameplay/models/manor.py</t>
        </is>
      </c>
    </row>
    <row r="106" ht="25" customHeight="1">
      <c r="A106" s="17" t="inlineStr">
        <is>
          <t>latrine</t>
        </is>
      </c>
      <c r="B106" s="18" t="inlineStr">
        <is>
          <t>茅厕</t>
        </is>
      </c>
      <c r="C106" s="18" t="inlineStr">
        <is>
          <t>资源生产</t>
        </is>
      </c>
      <c r="D106" s="17" t="n">
        <v>5</v>
      </c>
      <c r="E106" s="24">
        <f>D106+1</f>
        <v/>
      </c>
      <c r="F106" s="38" t="n">
        <v>300</v>
      </c>
      <c r="G106" s="39" t="n">
        <v>1.25</v>
      </c>
      <c r="H106" s="38" t="n">
        <v>550</v>
      </c>
      <c r="I106" s="38" t="n">
        <v>0</v>
      </c>
      <c r="J106" s="39" t="n">
        <v>1.35</v>
      </c>
      <c r="K106" s="42">
        <f>ROUNDUP(F106*POWER(G106,D106),0)</f>
        <v/>
      </c>
      <c r="L106" s="40">
        <f>MAX(1,ROUNDDOWN(K106/'参数与公式'!$B$5,0))</f>
        <v/>
      </c>
      <c r="M106" s="40">
        <f>MAX(1,ROUNDDOWN(K106*(1-'参数与公式'!$B$14)/'参数与公式'!$B$5,0))</f>
        <v/>
      </c>
      <c r="N106" s="42">
        <f>IF(H106=0,0,ROUNDUP(H106*POWER(J106,D106),0))</f>
        <v/>
      </c>
      <c r="O106" s="42">
        <f>IF(I106=0,0,ROUNDUP(I106*POWER(J106,D106),0))</f>
        <v/>
      </c>
      <c r="P106" s="40">
        <f>IF(N106=0,0,MAX(1,ROUNDUP(N106*(1-'参数与公式'!$B$17),0)))</f>
        <v/>
      </c>
      <c r="Q106" s="40">
        <f>IF(O106=0,0,MAX(1,ROUNDUP(O106*(1-'参数与公式'!$B$17),0)))</f>
        <v/>
      </c>
      <c r="R106" s="18" t="inlineStr">
        <is>
          <t>data/building_templates.yaml; max_level: gameplay/constants.py; formula: gameplay/models/manor.py</t>
        </is>
      </c>
    </row>
    <row r="107" ht="25" customHeight="1">
      <c r="A107" s="17" t="inlineStr">
        <is>
          <t>latrine</t>
        </is>
      </c>
      <c r="B107" s="18" t="inlineStr">
        <is>
          <t>茅厕</t>
        </is>
      </c>
      <c r="C107" s="18" t="inlineStr">
        <is>
          <t>资源生产</t>
        </is>
      </c>
      <c r="D107" s="17" t="n">
        <v>6</v>
      </c>
      <c r="E107" s="24">
        <f>D107+1</f>
        <v/>
      </c>
      <c r="F107" s="38" t="n">
        <v>300</v>
      </c>
      <c r="G107" s="39" t="n">
        <v>1.25</v>
      </c>
      <c r="H107" s="38" t="n">
        <v>550</v>
      </c>
      <c r="I107" s="38" t="n">
        <v>0</v>
      </c>
      <c r="J107" s="39" t="n">
        <v>1.35</v>
      </c>
      <c r="K107" s="42">
        <f>ROUNDUP(F107*POWER(G107,D107),0)</f>
        <v/>
      </c>
      <c r="L107" s="40">
        <f>MAX(1,ROUNDDOWN(K107/'参数与公式'!$B$5,0))</f>
        <v/>
      </c>
      <c r="M107" s="40">
        <f>MAX(1,ROUNDDOWN(K107*(1-'参数与公式'!$B$14)/'参数与公式'!$B$5,0))</f>
        <v/>
      </c>
      <c r="N107" s="42">
        <f>IF(H107=0,0,ROUNDUP(H107*POWER(J107,D107),0))</f>
        <v/>
      </c>
      <c r="O107" s="42">
        <f>IF(I107=0,0,ROUNDUP(I107*POWER(J107,D107),0))</f>
        <v/>
      </c>
      <c r="P107" s="40">
        <f>IF(N107=0,0,MAX(1,ROUNDUP(N107*(1-'参数与公式'!$B$17),0)))</f>
        <v/>
      </c>
      <c r="Q107" s="40">
        <f>IF(O107=0,0,MAX(1,ROUNDUP(O107*(1-'参数与公式'!$B$17),0)))</f>
        <v/>
      </c>
      <c r="R107" s="18" t="inlineStr">
        <is>
          <t>data/building_templates.yaml; max_level: gameplay/constants.py; formula: gameplay/models/manor.py</t>
        </is>
      </c>
    </row>
    <row r="108" ht="25" customHeight="1">
      <c r="A108" s="17" t="inlineStr">
        <is>
          <t>latrine</t>
        </is>
      </c>
      <c r="B108" s="18" t="inlineStr">
        <is>
          <t>茅厕</t>
        </is>
      </c>
      <c r="C108" s="18" t="inlineStr">
        <is>
          <t>资源生产</t>
        </is>
      </c>
      <c r="D108" s="17" t="n">
        <v>7</v>
      </c>
      <c r="E108" s="24">
        <f>D108+1</f>
        <v/>
      </c>
      <c r="F108" s="38" t="n">
        <v>300</v>
      </c>
      <c r="G108" s="39" t="n">
        <v>1.25</v>
      </c>
      <c r="H108" s="38" t="n">
        <v>550</v>
      </c>
      <c r="I108" s="38" t="n">
        <v>0</v>
      </c>
      <c r="J108" s="39" t="n">
        <v>1.35</v>
      </c>
      <c r="K108" s="42">
        <f>ROUNDUP(F108*POWER(G108,D108),0)</f>
        <v/>
      </c>
      <c r="L108" s="40">
        <f>MAX(1,ROUNDDOWN(K108/'参数与公式'!$B$5,0))</f>
        <v/>
      </c>
      <c r="M108" s="40">
        <f>MAX(1,ROUNDDOWN(K108*(1-'参数与公式'!$B$14)/'参数与公式'!$B$5,0))</f>
        <v/>
      </c>
      <c r="N108" s="42">
        <f>IF(H108=0,0,ROUNDUP(H108*POWER(J108,D108),0))</f>
        <v/>
      </c>
      <c r="O108" s="42">
        <f>IF(I108=0,0,ROUNDUP(I108*POWER(J108,D108),0))</f>
        <v/>
      </c>
      <c r="P108" s="40">
        <f>IF(N108=0,0,MAX(1,ROUNDUP(N108*(1-'参数与公式'!$B$17),0)))</f>
        <v/>
      </c>
      <c r="Q108" s="40">
        <f>IF(O108=0,0,MAX(1,ROUNDUP(O108*(1-'参数与公式'!$B$17),0)))</f>
        <v/>
      </c>
      <c r="R108" s="18" t="inlineStr">
        <is>
          <t>data/building_templates.yaml; max_level: gameplay/constants.py; formula: gameplay/models/manor.py</t>
        </is>
      </c>
    </row>
    <row r="109" ht="25" customHeight="1">
      <c r="A109" s="17" t="inlineStr">
        <is>
          <t>latrine</t>
        </is>
      </c>
      <c r="B109" s="18" t="inlineStr">
        <is>
          <t>茅厕</t>
        </is>
      </c>
      <c r="C109" s="18" t="inlineStr">
        <is>
          <t>资源生产</t>
        </is>
      </c>
      <c r="D109" s="17" t="n">
        <v>8</v>
      </c>
      <c r="E109" s="24">
        <f>D109+1</f>
        <v/>
      </c>
      <c r="F109" s="38" t="n">
        <v>300</v>
      </c>
      <c r="G109" s="39" t="n">
        <v>1.25</v>
      </c>
      <c r="H109" s="38" t="n">
        <v>550</v>
      </c>
      <c r="I109" s="38" t="n">
        <v>0</v>
      </c>
      <c r="J109" s="39" t="n">
        <v>1.35</v>
      </c>
      <c r="K109" s="42">
        <f>ROUNDUP(F109*POWER(G109,D109),0)</f>
        <v/>
      </c>
      <c r="L109" s="40">
        <f>MAX(1,ROUNDDOWN(K109/'参数与公式'!$B$5,0))</f>
        <v/>
      </c>
      <c r="M109" s="40">
        <f>MAX(1,ROUNDDOWN(K109*(1-'参数与公式'!$B$14)/'参数与公式'!$B$5,0))</f>
        <v/>
      </c>
      <c r="N109" s="42">
        <f>IF(H109=0,0,ROUNDUP(H109*POWER(J109,D109),0))</f>
        <v/>
      </c>
      <c r="O109" s="42">
        <f>IF(I109=0,0,ROUNDUP(I109*POWER(J109,D109),0))</f>
        <v/>
      </c>
      <c r="P109" s="40">
        <f>IF(N109=0,0,MAX(1,ROUNDUP(N109*(1-'参数与公式'!$B$17),0)))</f>
        <v/>
      </c>
      <c r="Q109" s="40">
        <f>IF(O109=0,0,MAX(1,ROUNDUP(O109*(1-'参数与公式'!$B$17),0)))</f>
        <v/>
      </c>
      <c r="R109" s="18" t="inlineStr">
        <is>
          <t>data/building_templates.yaml; max_level: gameplay/constants.py; formula: gameplay/models/manor.py</t>
        </is>
      </c>
    </row>
    <row r="110" ht="25" customHeight="1">
      <c r="A110" s="17" t="inlineStr">
        <is>
          <t>latrine</t>
        </is>
      </c>
      <c r="B110" s="18" t="inlineStr">
        <is>
          <t>茅厕</t>
        </is>
      </c>
      <c r="C110" s="18" t="inlineStr">
        <is>
          <t>资源生产</t>
        </is>
      </c>
      <c r="D110" s="17" t="n">
        <v>9</v>
      </c>
      <c r="E110" s="24">
        <f>D110+1</f>
        <v/>
      </c>
      <c r="F110" s="38" t="n">
        <v>300</v>
      </c>
      <c r="G110" s="39" t="n">
        <v>1.25</v>
      </c>
      <c r="H110" s="38" t="n">
        <v>550</v>
      </c>
      <c r="I110" s="38" t="n">
        <v>0</v>
      </c>
      <c r="J110" s="39" t="n">
        <v>1.35</v>
      </c>
      <c r="K110" s="42">
        <f>ROUNDUP(F110*POWER(G110,D110),0)</f>
        <v/>
      </c>
      <c r="L110" s="40">
        <f>MAX(1,ROUNDDOWN(K110/'参数与公式'!$B$5,0))</f>
        <v/>
      </c>
      <c r="M110" s="40">
        <f>MAX(1,ROUNDDOWN(K110*(1-'参数与公式'!$B$14)/'参数与公式'!$B$5,0))</f>
        <v/>
      </c>
      <c r="N110" s="42">
        <f>IF(H110=0,0,ROUNDUP(H110*POWER(J110,D110),0))</f>
        <v/>
      </c>
      <c r="O110" s="42">
        <f>IF(I110=0,0,ROUNDUP(I110*POWER(J110,D110),0))</f>
        <v/>
      </c>
      <c r="P110" s="40">
        <f>IF(N110=0,0,MAX(1,ROUNDUP(N110*(1-'参数与公式'!$B$17),0)))</f>
        <v/>
      </c>
      <c r="Q110" s="40">
        <f>IF(O110=0,0,MAX(1,ROUNDUP(O110*(1-'参数与公式'!$B$17),0)))</f>
        <v/>
      </c>
      <c r="R110" s="18" t="inlineStr">
        <is>
          <t>data/building_templates.yaml; max_level: gameplay/constants.py; formula: gameplay/models/manor.py</t>
        </is>
      </c>
    </row>
    <row r="111" ht="25" customHeight="1">
      <c r="A111" s="17" t="inlineStr">
        <is>
          <t>latrine</t>
        </is>
      </c>
      <c r="B111" s="18" t="inlineStr">
        <is>
          <t>茅厕</t>
        </is>
      </c>
      <c r="C111" s="18" t="inlineStr">
        <is>
          <t>资源生产</t>
        </is>
      </c>
      <c r="D111" s="17" t="n">
        <v>10</v>
      </c>
      <c r="E111" s="24">
        <f>D111+1</f>
        <v/>
      </c>
      <c r="F111" s="38" t="n">
        <v>300</v>
      </c>
      <c r="G111" s="39" t="n">
        <v>1.25</v>
      </c>
      <c r="H111" s="38" t="n">
        <v>550</v>
      </c>
      <c r="I111" s="38" t="n">
        <v>0</v>
      </c>
      <c r="J111" s="39" t="n">
        <v>1.35</v>
      </c>
      <c r="K111" s="42">
        <f>ROUNDUP(F111*POWER(G111,D111),0)</f>
        <v/>
      </c>
      <c r="L111" s="40">
        <f>MAX(1,ROUNDDOWN(K111/'参数与公式'!$B$5,0))</f>
        <v/>
      </c>
      <c r="M111" s="40">
        <f>MAX(1,ROUNDDOWN(K111*(1-'参数与公式'!$B$14)/'参数与公式'!$B$5,0))</f>
        <v/>
      </c>
      <c r="N111" s="42">
        <f>IF(H111=0,0,ROUNDUP(H111*POWER(J111,D111),0))</f>
        <v/>
      </c>
      <c r="O111" s="42">
        <f>IF(I111=0,0,ROUNDUP(I111*POWER(J111,D111),0))</f>
        <v/>
      </c>
      <c r="P111" s="40">
        <f>IF(N111=0,0,MAX(1,ROUNDUP(N111*(1-'参数与公式'!$B$17),0)))</f>
        <v/>
      </c>
      <c r="Q111" s="40">
        <f>IF(O111=0,0,MAX(1,ROUNDUP(O111*(1-'参数与公式'!$B$17),0)))</f>
        <v/>
      </c>
      <c r="R111" s="18" t="inlineStr">
        <is>
          <t>data/building_templates.yaml; max_level: gameplay/constants.py; formula: gameplay/models/manor.py</t>
        </is>
      </c>
    </row>
    <row r="112" ht="25" customHeight="1">
      <c r="A112" s="17" t="inlineStr">
        <is>
          <t>latrine</t>
        </is>
      </c>
      <c r="B112" s="18" t="inlineStr">
        <is>
          <t>茅厕</t>
        </is>
      </c>
      <c r="C112" s="18" t="inlineStr">
        <is>
          <t>资源生产</t>
        </is>
      </c>
      <c r="D112" s="17" t="n">
        <v>11</v>
      </c>
      <c r="E112" s="24">
        <f>D112+1</f>
        <v/>
      </c>
      <c r="F112" s="38" t="n">
        <v>300</v>
      </c>
      <c r="G112" s="39" t="n">
        <v>1.25</v>
      </c>
      <c r="H112" s="38" t="n">
        <v>550</v>
      </c>
      <c r="I112" s="38" t="n">
        <v>0</v>
      </c>
      <c r="J112" s="39" t="n">
        <v>1.35</v>
      </c>
      <c r="K112" s="42">
        <f>ROUNDUP(F112*POWER(G112,D112),0)</f>
        <v/>
      </c>
      <c r="L112" s="40">
        <f>MAX(1,ROUNDDOWN(K112/'参数与公式'!$B$5,0))</f>
        <v/>
      </c>
      <c r="M112" s="40">
        <f>MAX(1,ROUNDDOWN(K112*(1-'参数与公式'!$B$14)/'参数与公式'!$B$5,0))</f>
        <v/>
      </c>
      <c r="N112" s="42">
        <f>IF(H112=0,0,ROUNDUP(H112*POWER(J112,D112),0))</f>
        <v/>
      </c>
      <c r="O112" s="42">
        <f>IF(I112=0,0,ROUNDUP(I112*POWER(J112,D112),0))</f>
        <v/>
      </c>
      <c r="P112" s="40">
        <f>IF(N112=0,0,MAX(1,ROUNDUP(N112*(1-'参数与公式'!$B$17),0)))</f>
        <v/>
      </c>
      <c r="Q112" s="40">
        <f>IF(O112=0,0,MAX(1,ROUNDUP(O112*(1-'参数与公式'!$B$17),0)))</f>
        <v/>
      </c>
      <c r="R112" s="18" t="inlineStr">
        <is>
          <t>data/building_templates.yaml; max_level: gameplay/constants.py; formula: gameplay/models/manor.py</t>
        </is>
      </c>
    </row>
    <row r="113" ht="25" customHeight="1">
      <c r="A113" s="17" t="inlineStr">
        <is>
          <t>latrine</t>
        </is>
      </c>
      <c r="B113" s="18" t="inlineStr">
        <is>
          <t>茅厕</t>
        </is>
      </c>
      <c r="C113" s="18" t="inlineStr">
        <is>
          <t>资源生产</t>
        </is>
      </c>
      <c r="D113" s="17" t="n">
        <v>12</v>
      </c>
      <c r="E113" s="24">
        <f>D113+1</f>
        <v/>
      </c>
      <c r="F113" s="38" t="n">
        <v>300</v>
      </c>
      <c r="G113" s="39" t="n">
        <v>1.25</v>
      </c>
      <c r="H113" s="38" t="n">
        <v>550</v>
      </c>
      <c r="I113" s="38" t="n">
        <v>0</v>
      </c>
      <c r="J113" s="39" t="n">
        <v>1.35</v>
      </c>
      <c r="K113" s="42">
        <f>ROUNDUP(F113*POWER(G113,D113),0)</f>
        <v/>
      </c>
      <c r="L113" s="40">
        <f>MAX(1,ROUNDDOWN(K113/'参数与公式'!$B$5,0))</f>
        <v/>
      </c>
      <c r="M113" s="40">
        <f>MAX(1,ROUNDDOWN(K113*(1-'参数与公式'!$B$14)/'参数与公式'!$B$5,0))</f>
        <v/>
      </c>
      <c r="N113" s="42">
        <f>IF(H113=0,0,ROUNDUP(H113*POWER(J113,D113),0))</f>
        <v/>
      </c>
      <c r="O113" s="42">
        <f>IF(I113=0,0,ROUNDUP(I113*POWER(J113,D113),0))</f>
        <v/>
      </c>
      <c r="P113" s="40">
        <f>IF(N113=0,0,MAX(1,ROUNDUP(N113*(1-'参数与公式'!$B$17),0)))</f>
        <v/>
      </c>
      <c r="Q113" s="40">
        <f>IF(O113=0,0,MAX(1,ROUNDUP(O113*(1-'参数与公式'!$B$17),0)))</f>
        <v/>
      </c>
      <c r="R113" s="18" t="inlineStr">
        <is>
          <t>data/building_templates.yaml; max_level: gameplay/constants.py; formula: gameplay/models/manor.py</t>
        </is>
      </c>
    </row>
    <row r="114" ht="25" customHeight="1">
      <c r="A114" s="17" t="inlineStr">
        <is>
          <t>latrine</t>
        </is>
      </c>
      <c r="B114" s="18" t="inlineStr">
        <is>
          <t>茅厕</t>
        </is>
      </c>
      <c r="C114" s="18" t="inlineStr">
        <is>
          <t>资源生产</t>
        </is>
      </c>
      <c r="D114" s="17" t="n">
        <v>13</v>
      </c>
      <c r="E114" s="24">
        <f>D114+1</f>
        <v/>
      </c>
      <c r="F114" s="38" t="n">
        <v>300</v>
      </c>
      <c r="G114" s="39" t="n">
        <v>1.25</v>
      </c>
      <c r="H114" s="38" t="n">
        <v>550</v>
      </c>
      <c r="I114" s="38" t="n">
        <v>0</v>
      </c>
      <c r="J114" s="39" t="n">
        <v>1.35</v>
      </c>
      <c r="K114" s="42">
        <f>ROUNDUP(F114*POWER(G114,D114),0)</f>
        <v/>
      </c>
      <c r="L114" s="40">
        <f>MAX(1,ROUNDDOWN(K114/'参数与公式'!$B$5,0))</f>
        <v/>
      </c>
      <c r="M114" s="40">
        <f>MAX(1,ROUNDDOWN(K114*(1-'参数与公式'!$B$14)/'参数与公式'!$B$5,0))</f>
        <v/>
      </c>
      <c r="N114" s="42">
        <f>IF(H114=0,0,ROUNDUP(H114*POWER(J114,D114),0))</f>
        <v/>
      </c>
      <c r="O114" s="42">
        <f>IF(I114=0,0,ROUNDUP(I114*POWER(J114,D114),0))</f>
        <v/>
      </c>
      <c r="P114" s="40">
        <f>IF(N114=0,0,MAX(1,ROUNDUP(N114*(1-'参数与公式'!$B$17),0)))</f>
        <v/>
      </c>
      <c r="Q114" s="40">
        <f>IF(O114=0,0,MAX(1,ROUNDUP(O114*(1-'参数与公式'!$B$17),0)))</f>
        <v/>
      </c>
      <c r="R114" s="18" t="inlineStr">
        <is>
          <t>data/building_templates.yaml; max_level: gameplay/constants.py; formula: gameplay/models/manor.py</t>
        </is>
      </c>
    </row>
    <row r="115" ht="25" customHeight="1">
      <c r="A115" s="17" t="inlineStr">
        <is>
          <t>latrine</t>
        </is>
      </c>
      <c r="B115" s="18" t="inlineStr">
        <is>
          <t>茅厕</t>
        </is>
      </c>
      <c r="C115" s="18" t="inlineStr">
        <is>
          <t>资源生产</t>
        </is>
      </c>
      <c r="D115" s="17" t="n">
        <v>14</v>
      </c>
      <c r="E115" s="24">
        <f>D115+1</f>
        <v/>
      </c>
      <c r="F115" s="38" t="n">
        <v>300</v>
      </c>
      <c r="G115" s="39" t="n">
        <v>1.25</v>
      </c>
      <c r="H115" s="38" t="n">
        <v>550</v>
      </c>
      <c r="I115" s="38" t="n">
        <v>0</v>
      </c>
      <c r="J115" s="39" t="n">
        <v>1.35</v>
      </c>
      <c r="K115" s="42">
        <f>ROUNDUP(F115*POWER(G115,D115),0)</f>
        <v/>
      </c>
      <c r="L115" s="40">
        <f>MAX(1,ROUNDDOWN(K115/'参数与公式'!$B$5,0))</f>
        <v/>
      </c>
      <c r="M115" s="40">
        <f>MAX(1,ROUNDDOWN(K115*(1-'参数与公式'!$B$14)/'参数与公式'!$B$5,0))</f>
        <v/>
      </c>
      <c r="N115" s="42">
        <f>IF(H115=0,0,ROUNDUP(H115*POWER(J115,D115),0))</f>
        <v/>
      </c>
      <c r="O115" s="42">
        <f>IF(I115=0,0,ROUNDUP(I115*POWER(J115,D115),0))</f>
        <v/>
      </c>
      <c r="P115" s="40">
        <f>IF(N115=0,0,MAX(1,ROUNDUP(N115*(1-'参数与公式'!$B$17),0)))</f>
        <v/>
      </c>
      <c r="Q115" s="40">
        <f>IF(O115=0,0,MAX(1,ROUNDUP(O115*(1-'参数与公式'!$B$17),0)))</f>
        <v/>
      </c>
      <c r="R115" s="18" t="inlineStr">
        <is>
          <t>data/building_templates.yaml; max_level: gameplay/constants.py; formula: gameplay/models/manor.py</t>
        </is>
      </c>
    </row>
    <row r="116" ht="25" customHeight="1">
      <c r="A116" s="17" t="inlineStr">
        <is>
          <t>latrine</t>
        </is>
      </c>
      <c r="B116" s="18" t="inlineStr">
        <is>
          <t>茅厕</t>
        </is>
      </c>
      <c r="C116" s="18" t="inlineStr">
        <is>
          <t>资源生产</t>
        </is>
      </c>
      <c r="D116" s="17" t="n">
        <v>15</v>
      </c>
      <c r="E116" s="24">
        <f>D116+1</f>
        <v/>
      </c>
      <c r="F116" s="38" t="n">
        <v>300</v>
      </c>
      <c r="G116" s="39" t="n">
        <v>1.25</v>
      </c>
      <c r="H116" s="38" t="n">
        <v>550</v>
      </c>
      <c r="I116" s="38" t="n">
        <v>0</v>
      </c>
      <c r="J116" s="39" t="n">
        <v>1.35</v>
      </c>
      <c r="K116" s="42">
        <f>ROUNDUP(F116*POWER(G116,D116),0)</f>
        <v/>
      </c>
      <c r="L116" s="40">
        <f>MAX(1,ROUNDDOWN(K116/'参数与公式'!$B$5,0))</f>
        <v/>
      </c>
      <c r="M116" s="40">
        <f>MAX(1,ROUNDDOWN(K116*(1-'参数与公式'!$B$14)/'参数与公式'!$B$5,0))</f>
        <v/>
      </c>
      <c r="N116" s="42">
        <f>IF(H116=0,0,ROUNDUP(H116*POWER(J116,D116),0))</f>
        <v/>
      </c>
      <c r="O116" s="42">
        <f>IF(I116=0,0,ROUNDUP(I116*POWER(J116,D116),0))</f>
        <v/>
      </c>
      <c r="P116" s="40">
        <f>IF(N116=0,0,MAX(1,ROUNDUP(N116*(1-'参数与公式'!$B$17),0)))</f>
        <v/>
      </c>
      <c r="Q116" s="40">
        <f>IF(O116=0,0,MAX(1,ROUNDUP(O116*(1-'参数与公式'!$B$17),0)))</f>
        <v/>
      </c>
      <c r="R116" s="18" t="inlineStr">
        <is>
          <t>data/building_templates.yaml; max_level: gameplay/constants.py; formula: gameplay/models/manor.py</t>
        </is>
      </c>
    </row>
    <row r="117" ht="25" customHeight="1">
      <c r="A117" s="17" t="inlineStr">
        <is>
          <t>latrine</t>
        </is>
      </c>
      <c r="B117" s="18" t="inlineStr">
        <is>
          <t>茅厕</t>
        </is>
      </c>
      <c r="C117" s="18" t="inlineStr">
        <is>
          <t>资源生产</t>
        </is>
      </c>
      <c r="D117" s="17" t="n">
        <v>16</v>
      </c>
      <c r="E117" s="24">
        <f>D117+1</f>
        <v/>
      </c>
      <c r="F117" s="38" t="n">
        <v>300</v>
      </c>
      <c r="G117" s="39" t="n">
        <v>1.25</v>
      </c>
      <c r="H117" s="38" t="n">
        <v>550</v>
      </c>
      <c r="I117" s="38" t="n">
        <v>0</v>
      </c>
      <c r="J117" s="39" t="n">
        <v>1.35</v>
      </c>
      <c r="K117" s="42">
        <f>ROUNDUP(F117*POWER(G117,D117),0)</f>
        <v/>
      </c>
      <c r="L117" s="40">
        <f>MAX(1,ROUNDDOWN(K117/'参数与公式'!$B$5,0))</f>
        <v/>
      </c>
      <c r="M117" s="40">
        <f>MAX(1,ROUNDDOWN(K117*(1-'参数与公式'!$B$14)/'参数与公式'!$B$5,0))</f>
        <v/>
      </c>
      <c r="N117" s="42">
        <f>IF(H117=0,0,ROUNDUP(H117*POWER(J117,D117),0))</f>
        <v/>
      </c>
      <c r="O117" s="42">
        <f>IF(I117=0,0,ROUNDUP(I117*POWER(J117,D117),0))</f>
        <v/>
      </c>
      <c r="P117" s="40">
        <f>IF(N117=0,0,MAX(1,ROUNDUP(N117*(1-'参数与公式'!$B$17),0)))</f>
        <v/>
      </c>
      <c r="Q117" s="40">
        <f>IF(O117=0,0,MAX(1,ROUNDUP(O117*(1-'参数与公式'!$B$17),0)))</f>
        <v/>
      </c>
      <c r="R117" s="18" t="inlineStr">
        <is>
          <t>data/building_templates.yaml; max_level: gameplay/constants.py; formula: gameplay/models/manor.py</t>
        </is>
      </c>
    </row>
    <row r="118" ht="25" customHeight="1">
      <c r="A118" s="17" t="inlineStr">
        <is>
          <t>latrine</t>
        </is>
      </c>
      <c r="B118" s="18" t="inlineStr">
        <is>
          <t>茅厕</t>
        </is>
      </c>
      <c r="C118" s="18" t="inlineStr">
        <is>
          <t>资源生产</t>
        </is>
      </c>
      <c r="D118" s="17" t="n">
        <v>17</v>
      </c>
      <c r="E118" s="24">
        <f>D118+1</f>
        <v/>
      </c>
      <c r="F118" s="38" t="n">
        <v>300</v>
      </c>
      <c r="G118" s="39" t="n">
        <v>1.25</v>
      </c>
      <c r="H118" s="38" t="n">
        <v>550</v>
      </c>
      <c r="I118" s="38" t="n">
        <v>0</v>
      </c>
      <c r="J118" s="39" t="n">
        <v>1.35</v>
      </c>
      <c r="K118" s="42">
        <f>ROUNDUP(F118*POWER(G118,D118),0)</f>
        <v/>
      </c>
      <c r="L118" s="40">
        <f>MAX(1,ROUNDDOWN(K118/'参数与公式'!$B$5,0))</f>
        <v/>
      </c>
      <c r="M118" s="40">
        <f>MAX(1,ROUNDDOWN(K118*(1-'参数与公式'!$B$14)/'参数与公式'!$B$5,0))</f>
        <v/>
      </c>
      <c r="N118" s="42">
        <f>IF(H118=0,0,ROUNDUP(H118*POWER(J118,D118),0))</f>
        <v/>
      </c>
      <c r="O118" s="42">
        <f>IF(I118=0,0,ROUNDUP(I118*POWER(J118,D118),0))</f>
        <v/>
      </c>
      <c r="P118" s="40">
        <f>IF(N118=0,0,MAX(1,ROUNDUP(N118*(1-'参数与公式'!$B$17),0)))</f>
        <v/>
      </c>
      <c r="Q118" s="40">
        <f>IF(O118=0,0,MAX(1,ROUNDUP(O118*(1-'参数与公式'!$B$17),0)))</f>
        <v/>
      </c>
      <c r="R118" s="18" t="inlineStr">
        <is>
          <t>data/building_templates.yaml; max_level: gameplay/constants.py; formula: gameplay/models/manor.py</t>
        </is>
      </c>
    </row>
    <row r="119" ht="25" customHeight="1">
      <c r="A119" s="17" t="inlineStr">
        <is>
          <t>latrine</t>
        </is>
      </c>
      <c r="B119" s="18" t="inlineStr">
        <is>
          <t>茅厕</t>
        </is>
      </c>
      <c r="C119" s="18" t="inlineStr">
        <is>
          <t>资源生产</t>
        </is>
      </c>
      <c r="D119" s="17" t="n">
        <v>18</v>
      </c>
      <c r="E119" s="24">
        <f>D119+1</f>
        <v/>
      </c>
      <c r="F119" s="38" t="n">
        <v>300</v>
      </c>
      <c r="G119" s="39" t="n">
        <v>1.25</v>
      </c>
      <c r="H119" s="38" t="n">
        <v>550</v>
      </c>
      <c r="I119" s="38" t="n">
        <v>0</v>
      </c>
      <c r="J119" s="39" t="n">
        <v>1.35</v>
      </c>
      <c r="K119" s="42">
        <f>ROUNDUP(F119*POWER(G119,D119),0)</f>
        <v/>
      </c>
      <c r="L119" s="40">
        <f>MAX(1,ROUNDDOWN(K119/'参数与公式'!$B$5,0))</f>
        <v/>
      </c>
      <c r="M119" s="40">
        <f>MAX(1,ROUNDDOWN(K119*(1-'参数与公式'!$B$14)/'参数与公式'!$B$5,0))</f>
        <v/>
      </c>
      <c r="N119" s="42">
        <f>IF(H119=0,0,ROUNDUP(H119*POWER(J119,D119),0))</f>
        <v/>
      </c>
      <c r="O119" s="42">
        <f>IF(I119=0,0,ROUNDUP(I119*POWER(J119,D119),0))</f>
        <v/>
      </c>
      <c r="P119" s="40">
        <f>IF(N119=0,0,MAX(1,ROUNDUP(N119*(1-'参数与公式'!$B$17),0)))</f>
        <v/>
      </c>
      <c r="Q119" s="40">
        <f>IF(O119=0,0,MAX(1,ROUNDUP(O119*(1-'参数与公式'!$B$17),0)))</f>
        <v/>
      </c>
      <c r="R119" s="18" t="inlineStr">
        <is>
          <t>data/building_templates.yaml; max_level: gameplay/constants.py; formula: gameplay/models/manor.py</t>
        </is>
      </c>
    </row>
    <row r="120" ht="25" customHeight="1">
      <c r="A120" s="17" t="inlineStr">
        <is>
          <t>latrine</t>
        </is>
      </c>
      <c r="B120" s="18" t="inlineStr">
        <is>
          <t>茅厕</t>
        </is>
      </c>
      <c r="C120" s="18" t="inlineStr">
        <is>
          <t>资源生产</t>
        </is>
      </c>
      <c r="D120" s="17" t="n">
        <v>19</v>
      </c>
      <c r="E120" s="24">
        <f>D120+1</f>
        <v/>
      </c>
      <c r="F120" s="38" t="n">
        <v>300</v>
      </c>
      <c r="G120" s="39" t="n">
        <v>1.25</v>
      </c>
      <c r="H120" s="38" t="n">
        <v>550</v>
      </c>
      <c r="I120" s="38" t="n">
        <v>0</v>
      </c>
      <c r="J120" s="39" t="n">
        <v>1.35</v>
      </c>
      <c r="K120" s="42">
        <f>ROUNDUP(F120*POWER(G120,D120),0)</f>
        <v/>
      </c>
      <c r="L120" s="40">
        <f>MAX(1,ROUNDDOWN(K120/'参数与公式'!$B$5,0))</f>
        <v/>
      </c>
      <c r="M120" s="40">
        <f>MAX(1,ROUNDDOWN(K120*(1-'参数与公式'!$B$14)/'参数与公式'!$B$5,0))</f>
        <v/>
      </c>
      <c r="N120" s="42">
        <f>IF(H120=0,0,ROUNDUP(H120*POWER(J120,D120),0))</f>
        <v/>
      </c>
      <c r="O120" s="42">
        <f>IF(I120=0,0,ROUNDUP(I120*POWER(J120,D120),0))</f>
        <v/>
      </c>
      <c r="P120" s="40">
        <f>IF(N120=0,0,MAX(1,ROUNDUP(N120*(1-'参数与公式'!$B$17),0)))</f>
        <v/>
      </c>
      <c r="Q120" s="40">
        <f>IF(O120=0,0,MAX(1,ROUNDUP(O120*(1-'参数与公式'!$B$17),0)))</f>
        <v/>
      </c>
      <c r="R120" s="18" t="inlineStr">
        <is>
          <t>data/building_templates.yaml; max_level: gameplay/constants.py; formula: gameplay/models/manor.py</t>
        </is>
      </c>
    </row>
    <row r="121" ht="25" customHeight="1">
      <c r="A121" s="17" t="inlineStr">
        <is>
          <t>granary</t>
        </is>
      </c>
      <c r="B121" s="18" t="inlineStr">
        <is>
          <t>粮仓</t>
        </is>
      </c>
      <c r="C121" s="18" t="inlineStr">
        <is>
          <t>仓储设施</t>
        </is>
      </c>
      <c r="D121" s="17" t="n">
        <v>1</v>
      </c>
      <c r="E121" s="24">
        <f>D121+1</f>
        <v/>
      </c>
      <c r="F121" s="38" t="n">
        <v>300</v>
      </c>
      <c r="G121" s="39" t="n">
        <v>1.2</v>
      </c>
      <c r="H121" s="38" t="n">
        <v>950</v>
      </c>
      <c r="I121" s="38" t="n">
        <v>0</v>
      </c>
      <c r="J121" s="39" t="n">
        <v>1.35</v>
      </c>
      <c r="K121" s="42">
        <f>ROUNDUP(F121*POWER(G121,D121),0)</f>
        <v/>
      </c>
      <c r="L121" s="40">
        <f>MAX(1,ROUNDDOWN(K121/'参数与公式'!$B$5,0))</f>
        <v/>
      </c>
      <c r="M121" s="40">
        <f>MAX(1,ROUNDDOWN(K121*(1-'参数与公式'!$B$14)/'参数与公式'!$B$5,0))</f>
        <v/>
      </c>
      <c r="N121" s="42">
        <f>IF(H121=0,0,ROUNDUP(H121*POWER(J121,D121),0))</f>
        <v/>
      </c>
      <c r="O121" s="42">
        <f>IF(I121=0,0,ROUNDUP(I121*POWER(J121,D121),0))</f>
        <v/>
      </c>
      <c r="P121" s="40">
        <f>IF(N121=0,0,MAX(1,ROUNDUP(N121*(1-'参数与公式'!$B$17),0)))</f>
        <v/>
      </c>
      <c r="Q121" s="40">
        <f>IF(O121=0,0,MAX(1,ROUNDUP(O121*(1-'参数与公式'!$B$17),0)))</f>
        <v/>
      </c>
      <c r="R121" s="18" t="inlineStr">
        <is>
          <t>data/building_templates.yaml; max_level: gameplay/constants.py; formula: gameplay/models/manor.py</t>
        </is>
      </c>
    </row>
    <row r="122" ht="25" customHeight="1">
      <c r="A122" s="17" t="inlineStr">
        <is>
          <t>granary</t>
        </is>
      </c>
      <c r="B122" s="18" t="inlineStr">
        <is>
          <t>粮仓</t>
        </is>
      </c>
      <c r="C122" s="18" t="inlineStr">
        <is>
          <t>仓储设施</t>
        </is>
      </c>
      <c r="D122" s="17" t="n">
        <v>2</v>
      </c>
      <c r="E122" s="24">
        <f>D122+1</f>
        <v/>
      </c>
      <c r="F122" s="38" t="n">
        <v>300</v>
      </c>
      <c r="G122" s="39" t="n">
        <v>1.2</v>
      </c>
      <c r="H122" s="38" t="n">
        <v>950</v>
      </c>
      <c r="I122" s="38" t="n">
        <v>0</v>
      </c>
      <c r="J122" s="39" t="n">
        <v>1.35</v>
      </c>
      <c r="K122" s="42">
        <f>ROUNDUP(F122*POWER(G122,D122),0)</f>
        <v/>
      </c>
      <c r="L122" s="40">
        <f>MAX(1,ROUNDDOWN(K122/'参数与公式'!$B$5,0))</f>
        <v/>
      </c>
      <c r="M122" s="40">
        <f>MAX(1,ROUNDDOWN(K122*(1-'参数与公式'!$B$14)/'参数与公式'!$B$5,0))</f>
        <v/>
      </c>
      <c r="N122" s="42">
        <f>IF(H122=0,0,ROUNDUP(H122*POWER(J122,D122),0))</f>
        <v/>
      </c>
      <c r="O122" s="42">
        <f>IF(I122=0,0,ROUNDUP(I122*POWER(J122,D122),0))</f>
        <v/>
      </c>
      <c r="P122" s="40">
        <f>IF(N122=0,0,MAX(1,ROUNDUP(N122*(1-'参数与公式'!$B$17),0)))</f>
        <v/>
      </c>
      <c r="Q122" s="40">
        <f>IF(O122=0,0,MAX(1,ROUNDUP(O122*(1-'参数与公式'!$B$17),0)))</f>
        <v/>
      </c>
      <c r="R122" s="18" t="inlineStr">
        <is>
          <t>data/building_templates.yaml; max_level: gameplay/constants.py; formula: gameplay/models/manor.py</t>
        </is>
      </c>
    </row>
    <row r="123" ht="25" customHeight="1">
      <c r="A123" s="17" t="inlineStr">
        <is>
          <t>granary</t>
        </is>
      </c>
      <c r="B123" s="18" t="inlineStr">
        <is>
          <t>粮仓</t>
        </is>
      </c>
      <c r="C123" s="18" t="inlineStr">
        <is>
          <t>仓储设施</t>
        </is>
      </c>
      <c r="D123" s="17" t="n">
        <v>3</v>
      </c>
      <c r="E123" s="24">
        <f>D123+1</f>
        <v/>
      </c>
      <c r="F123" s="38" t="n">
        <v>300</v>
      </c>
      <c r="G123" s="39" t="n">
        <v>1.2</v>
      </c>
      <c r="H123" s="38" t="n">
        <v>950</v>
      </c>
      <c r="I123" s="38" t="n">
        <v>0</v>
      </c>
      <c r="J123" s="39" t="n">
        <v>1.35</v>
      </c>
      <c r="K123" s="42">
        <f>ROUNDUP(F123*POWER(G123,D123),0)</f>
        <v/>
      </c>
      <c r="L123" s="40">
        <f>MAX(1,ROUNDDOWN(K123/'参数与公式'!$B$5,0))</f>
        <v/>
      </c>
      <c r="M123" s="40">
        <f>MAX(1,ROUNDDOWN(K123*(1-'参数与公式'!$B$14)/'参数与公式'!$B$5,0))</f>
        <v/>
      </c>
      <c r="N123" s="42">
        <f>IF(H123=0,0,ROUNDUP(H123*POWER(J123,D123),0))</f>
        <v/>
      </c>
      <c r="O123" s="42">
        <f>IF(I123=0,0,ROUNDUP(I123*POWER(J123,D123),0))</f>
        <v/>
      </c>
      <c r="P123" s="40">
        <f>IF(N123=0,0,MAX(1,ROUNDUP(N123*(1-'参数与公式'!$B$17),0)))</f>
        <v/>
      </c>
      <c r="Q123" s="40">
        <f>IF(O123=0,0,MAX(1,ROUNDUP(O123*(1-'参数与公式'!$B$17),0)))</f>
        <v/>
      </c>
      <c r="R123" s="18" t="inlineStr">
        <is>
          <t>data/building_templates.yaml; max_level: gameplay/constants.py; formula: gameplay/models/manor.py</t>
        </is>
      </c>
    </row>
    <row r="124" ht="25" customHeight="1">
      <c r="A124" s="17" t="inlineStr">
        <is>
          <t>granary</t>
        </is>
      </c>
      <c r="B124" s="18" t="inlineStr">
        <is>
          <t>粮仓</t>
        </is>
      </c>
      <c r="C124" s="18" t="inlineStr">
        <is>
          <t>仓储设施</t>
        </is>
      </c>
      <c r="D124" s="17" t="n">
        <v>4</v>
      </c>
      <c r="E124" s="24">
        <f>D124+1</f>
        <v/>
      </c>
      <c r="F124" s="38" t="n">
        <v>300</v>
      </c>
      <c r="G124" s="39" t="n">
        <v>1.2</v>
      </c>
      <c r="H124" s="38" t="n">
        <v>950</v>
      </c>
      <c r="I124" s="38" t="n">
        <v>0</v>
      </c>
      <c r="J124" s="39" t="n">
        <v>1.35</v>
      </c>
      <c r="K124" s="42">
        <f>ROUNDUP(F124*POWER(G124,D124),0)</f>
        <v/>
      </c>
      <c r="L124" s="40">
        <f>MAX(1,ROUNDDOWN(K124/'参数与公式'!$B$5,0))</f>
        <v/>
      </c>
      <c r="M124" s="40">
        <f>MAX(1,ROUNDDOWN(K124*(1-'参数与公式'!$B$14)/'参数与公式'!$B$5,0))</f>
        <v/>
      </c>
      <c r="N124" s="42">
        <f>IF(H124=0,0,ROUNDUP(H124*POWER(J124,D124),0))</f>
        <v/>
      </c>
      <c r="O124" s="42">
        <f>IF(I124=0,0,ROUNDUP(I124*POWER(J124,D124),0))</f>
        <v/>
      </c>
      <c r="P124" s="40">
        <f>IF(N124=0,0,MAX(1,ROUNDUP(N124*(1-'参数与公式'!$B$17),0)))</f>
        <v/>
      </c>
      <c r="Q124" s="40">
        <f>IF(O124=0,0,MAX(1,ROUNDUP(O124*(1-'参数与公式'!$B$17),0)))</f>
        <v/>
      </c>
      <c r="R124" s="18" t="inlineStr">
        <is>
          <t>data/building_templates.yaml; max_level: gameplay/constants.py; formula: gameplay/models/manor.py</t>
        </is>
      </c>
    </row>
    <row r="125" ht="25" customHeight="1">
      <c r="A125" s="17" t="inlineStr">
        <is>
          <t>granary</t>
        </is>
      </c>
      <c r="B125" s="18" t="inlineStr">
        <is>
          <t>粮仓</t>
        </is>
      </c>
      <c r="C125" s="18" t="inlineStr">
        <is>
          <t>仓储设施</t>
        </is>
      </c>
      <c r="D125" s="17" t="n">
        <v>5</v>
      </c>
      <c r="E125" s="24">
        <f>D125+1</f>
        <v/>
      </c>
      <c r="F125" s="38" t="n">
        <v>300</v>
      </c>
      <c r="G125" s="39" t="n">
        <v>1.2</v>
      </c>
      <c r="H125" s="38" t="n">
        <v>950</v>
      </c>
      <c r="I125" s="38" t="n">
        <v>0</v>
      </c>
      <c r="J125" s="39" t="n">
        <v>1.35</v>
      </c>
      <c r="K125" s="42">
        <f>ROUNDUP(F125*POWER(G125,D125),0)</f>
        <v/>
      </c>
      <c r="L125" s="40">
        <f>MAX(1,ROUNDDOWN(K125/'参数与公式'!$B$5,0))</f>
        <v/>
      </c>
      <c r="M125" s="40">
        <f>MAX(1,ROUNDDOWN(K125*(1-'参数与公式'!$B$14)/'参数与公式'!$B$5,0))</f>
        <v/>
      </c>
      <c r="N125" s="42">
        <f>IF(H125=0,0,ROUNDUP(H125*POWER(J125,D125),0))</f>
        <v/>
      </c>
      <c r="O125" s="42">
        <f>IF(I125=0,0,ROUNDUP(I125*POWER(J125,D125),0))</f>
        <v/>
      </c>
      <c r="P125" s="40">
        <f>IF(N125=0,0,MAX(1,ROUNDUP(N125*(1-'参数与公式'!$B$17),0)))</f>
        <v/>
      </c>
      <c r="Q125" s="40">
        <f>IF(O125=0,0,MAX(1,ROUNDUP(O125*(1-'参数与公式'!$B$17),0)))</f>
        <v/>
      </c>
      <c r="R125" s="18" t="inlineStr">
        <is>
          <t>data/building_templates.yaml; max_level: gameplay/constants.py; formula: gameplay/models/manor.py</t>
        </is>
      </c>
    </row>
    <row r="126" ht="25" customHeight="1">
      <c r="A126" s="17" t="inlineStr">
        <is>
          <t>granary</t>
        </is>
      </c>
      <c r="B126" s="18" t="inlineStr">
        <is>
          <t>粮仓</t>
        </is>
      </c>
      <c r="C126" s="18" t="inlineStr">
        <is>
          <t>仓储设施</t>
        </is>
      </c>
      <c r="D126" s="17" t="n">
        <v>6</v>
      </c>
      <c r="E126" s="24">
        <f>D126+1</f>
        <v/>
      </c>
      <c r="F126" s="38" t="n">
        <v>300</v>
      </c>
      <c r="G126" s="39" t="n">
        <v>1.2</v>
      </c>
      <c r="H126" s="38" t="n">
        <v>950</v>
      </c>
      <c r="I126" s="38" t="n">
        <v>0</v>
      </c>
      <c r="J126" s="39" t="n">
        <v>1.35</v>
      </c>
      <c r="K126" s="42">
        <f>ROUNDUP(F126*POWER(G126,D126),0)</f>
        <v/>
      </c>
      <c r="L126" s="40">
        <f>MAX(1,ROUNDDOWN(K126/'参数与公式'!$B$5,0))</f>
        <v/>
      </c>
      <c r="M126" s="40">
        <f>MAX(1,ROUNDDOWN(K126*(1-'参数与公式'!$B$14)/'参数与公式'!$B$5,0))</f>
        <v/>
      </c>
      <c r="N126" s="42">
        <f>IF(H126=0,0,ROUNDUP(H126*POWER(J126,D126),0))</f>
        <v/>
      </c>
      <c r="O126" s="42">
        <f>IF(I126=0,0,ROUNDUP(I126*POWER(J126,D126),0))</f>
        <v/>
      </c>
      <c r="P126" s="40">
        <f>IF(N126=0,0,MAX(1,ROUNDUP(N126*(1-'参数与公式'!$B$17),0)))</f>
        <v/>
      </c>
      <c r="Q126" s="40">
        <f>IF(O126=0,0,MAX(1,ROUNDUP(O126*(1-'参数与公式'!$B$17),0)))</f>
        <v/>
      </c>
      <c r="R126" s="18" t="inlineStr">
        <is>
          <t>data/building_templates.yaml; max_level: gameplay/constants.py; formula: gameplay/models/manor.py</t>
        </is>
      </c>
    </row>
    <row r="127" ht="25" customHeight="1">
      <c r="A127" s="17" t="inlineStr">
        <is>
          <t>granary</t>
        </is>
      </c>
      <c r="B127" s="18" t="inlineStr">
        <is>
          <t>粮仓</t>
        </is>
      </c>
      <c r="C127" s="18" t="inlineStr">
        <is>
          <t>仓储设施</t>
        </is>
      </c>
      <c r="D127" s="17" t="n">
        <v>7</v>
      </c>
      <c r="E127" s="24">
        <f>D127+1</f>
        <v/>
      </c>
      <c r="F127" s="38" t="n">
        <v>300</v>
      </c>
      <c r="G127" s="39" t="n">
        <v>1.2</v>
      </c>
      <c r="H127" s="38" t="n">
        <v>950</v>
      </c>
      <c r="I127" s="38" t="n">
        <v>0</v>
      </c>
      <c r="J127" s="39" t="n">
        <v>1.35</v>
      </c>
      <c r="K127" s="42">
        <f>ROUNDUP(F127*POWER(G127,D127),0)</f>
        <v/>
      </c>
      <c r="L127" s="40">
        <f>MAX(1,ROUNDDOWN(K127/'参数与公式'!$B$5,0))</f>
        <v/>
      </c>
      <c r="M127" s="40">
        <f>MAX(1,ROUNDDOWN(K127*(1-'参数与公式'!$B$14)/'参数与公式'!$B$5,0))</f>
        <v/>
      </c>
      <c r="N127" s="42">
        <f>IF(H127=0,0,ROUNDUP(H127*POWER(J127,D127),0))</f>
        <v/>
      </c>
      <c r="O127" s="42">
        <f>IF(I127=0,0,ROUNDUP(I127*POWER(J127,D127),0))</f>
        <v/>
      </c>
      <c r="P127" s="40">
        <f>IF(N127=0,0,MAX(1,ROUNDUP(N127*(1-'参数与公式'!$B$17),0)))</f>
        <v/>
      </c>
      <c r="Q127" s="40">
        <f>IF(O127=0,0,MAX(1,ROUNDUP(O127*(1-'参数与公式'!$B$17),0)))</f>
        <v/>
      </c>
      <c r="R127" s="18" t="inlineStr">
        <is>
          <t>data/building_templates.yaml; max_level: gameplay/constants.py; formula: gameplay/models/manor.py</t>
        </is>
      </c>
    </row>
    <row r="128" ht="25" customHeight="1">
      <c r="A128" s="17" t="inlineStr">
        <is>
          <t>granary</t>
        </is>
      </c>
      <c r="B128" s="18" t="inlineStr">
        <is>
          <t>粮仓</t>
        </is>
      </c>
      <c r="C128" s="18" t="inlineStr">
        <is>
          <t>仓储设施</t>
        </is>
      </c>
      <c r="D128" s="17" t="n">
        <v>8</v>
      </c>
      <c r="E128" s="24">
        <f>D128+1</f>
        <v/>
      </c>
      <c r="F128" s="38" t="n">
        <v>300</v>
      </c>
      <c r="G128" s="39" t="n">
        <v>1.2</v>
      </c>
      <c r="H128" s="38" t="n">
        <v>950</v>
      </c>
      <c r="I128" s="38" t="n">
        <v>0</v>
      </c>
      <c r="J128" s="39" t="n">
        <v>1.35</v>
      </c>
      <c r="K128" s="42">
        <f>ROUNDUP(F128*POWER(G128,D128),0)</f>
        <v/>
      </c>
      <c r="L128" s="40">
        <f>MAX(1,ROUNDDOWN(K128/'参数与公式'!$B$5,0))</f>
        <v/>
      </c>
      <c r="M128" s="40">
        <f>MAX(1,ROUNDDOWN(K128*(1-'参数与公式'!$B$14)/'参数与公式'!$B$5,0))</f>
        <v/>
      </c>
      <c r="N128" s="42">
        <f>IF(H128=0,0,ROUNDUP(H128*POWER(J128,D128),0))</f>
        <v/>
      </c>
      <c r="O128" s="42">
        <f>IF(I128=0,0,ROUNDUP(I128*POWER(J128,D128),0))</f>
        <v/>
      </c>
      <c r="P128" s="40">
        <f>IF(N128=0,0,MAX(1,ROUNDUP(N128*(1-'参数与公式'!$B$17),0)))</f>
        <v/>
      </c>
      <c r="Q128" s="40">
        <f>IF(O128=0,0,MAX(1,ROUNDUP(O128*(1-'参数与公式'!$B$17),0)))</f>
        <v/>
      </c>
      <c r="R128" s="18" t="inlineStr">
        <is>
          <t>data/building_templates.yaml; max_level: gameplay/constants.py; formula: gameplay/models/manor.py</t>
        </is>
      </c>
    </row>
    <row r="129" ht="25" customHeight="1">
      <c r="A129" s="17" t="inlineStr">
        <is>
          <t>granary</t>
        </is>
      </c>
      <c r="B129" s="18" t="inlineStr">
        <is>
          <t>粮仓</t>
        </is>
      </c>
      <c r="C129" s="18" t="inlineStr">
        <is>
          <t>仓储设施</t>
        </is>
      </c>
      <c r="D129" s="17" t="n">
        <v>9</v>
      </c>
      <c r="E129" s="24">
        <f>D129+1</f>
        <v/>
      </c>
      <c r="F129" s="38" t="n">
        <v>300</v>
      </c>
      <c r="G129" s="39" t="n">
        <v>1.2</v>
      </c>
      <c r="H129" s="38" t="n">
        <v>950</v>
      </c>
      <c r="I129" s="38" t="n">
        <v>0</v>
      </c>
      <c r="J129" s="39" t="n">
        <v>1.35</v>
      </c>
      <c r="K129" s="42">
        <f>ROUNDUP(F129*POWER(G129,D129),0)</f>
        <v/>
      </c>
      <c r="L129" s="40">
        <f>MAX(1,ROUNDDOWN(K129/'参数与公式'!$B$5,0))</f>
        <v/>
      </c>
      <c r="M129" s="40">
        <f>MAX(1,ROUNDDOWN(K129*(1-'参数与公式'!$B$14)/'参数与公式'!$B$5,0))</f>
        <v/>
      </c>
      <c r="N129" s="42">
        <f>IF(H129=0,0,ROUNDUP(H129*POWER(J129,D129),0))</f>
        <v/>
      </c>
      <c r="O129" s="42">
        <f>IF(I129=0,0,ROUNDUP(I129*POWER(J129,D129),0))</f>
        <v/>
      </c>
      <c r="P129" s="40">
        <f>IF(N129=0,0,MAX(1,ROUNDUP(N129*(1-'参数与公式'!$B$17),0)))</f>
        <v/>
      </c>
      <c r="Q129" s="40">
        <f>IF(O129=0,0,MAX(1,ROUNDUP(O129*(1-'参数与公式'!$B$17),0)))</f>
        <v/>
      </c>
      <c r="R129" s="18" t="inlineStr">
        <is>
          <t>data/building_templates.yaml; max_level: gameplay/constants.py; formula: gameplay/models/manor.py</t>
        </is>
      </c>
    </row>
    <row r="130" ht="25" customHeight="1">
      <c r="A130" s="17" t="inlineStr">
        <is>
          <t>granary</t>
        </is>
      </c>
      <c r="B130" s="18" t="inlineStr">
        <is>
          <t>粮仓</t>
        </is>
      </c>
      <c r="C130" s="18" t="inlineStr">
        <is>
          <t>仓储设施</t>
        </is>
      </c>
      <c r="D130" s="17" t="n">
        <v>10</v>
      </c>
      <c r="E130" s="24">
        <f>D130+1</f>
        <v/>
      </c>
      <c r="F130" s="38" t="n">
        <v>300</v>
      </c>
      <c r="G130" s="39" t="n">
        <v>1.2</v>
      </c>
      <c r="H130" s="38" t="n">
        <v>950</v>
      </c>
      <c r="I130" s="38" t="n">
        <v>0</v>
      </c>
      <c r="J130" s="39" t="n">
        <v>1.35</v>
      </c>
      <c r="K130" s="42">
        <f>ROUNDUP(F130*POWER(G130,D130),0)</f>
        <v/>
      </c>
      <c r="L130" s="40">
        <f>MAX(1,ROUNDDOWN(K130/'参数与公式'!$B$5,0))</f>
        <v/>
      </c>
      <c r="M130" s="40">
        <f>MAX(1,ROUNDDOWN(K130*(1-'参数与公式'!$B$14)/'参数与公式'!$B$5,0))</f>
        <v/>
      </c>
      <c r="N130" s="42">
        <f>IF(H130=0,0,ROUNDUP(H130*POWER(J130,D130),0))</f>
        <v/>
      </c>
      <c r="O130" s="42">
        <f>IF(I130=0,0,ROUNDUP(I130*POWER(J130,D130),0))</f>
        <v/>
      </c>
      <c r="P130" s="40">
        <f>IF(N130=0,0,MAX(1,ROUNDUP(N130*(1-'参数与公式'!$B$17),0)))</f>
        <v/>
      </c>
      <c r="Q130" s="40">
        <f>IF(O130=0,0,MAX(1,ROUNDUP(O130*(1-'参数与公式'!$B$17),0)))</f>
        <v/>
      </c>
      <c r="R130" s="18" t="inlineStr">
        <is>
          <t>data/building_templates.yaml; max_level: gameplay/constants.py; formula: gameplay/models/manor.py</t>
        </is>
      </c>
    </row>
    <row r="131" ht="25" customHeight="1">
      <c r="A131" s="17" t="inlineStr">
        <is>
          <t>granary</t>
        </is>
      </c>
      <c r="B131" s="18" t="inlineStr">
        <is>
          <t>粮仓</t>
        </is>
      </c>
      <c r="C131" s="18" t="inlineStr">
        <is>
          <t>仓储设施</t>
        </is>
      </c>
      <c r="D131" s="17" t="n">
        <v>11</v>
      </c>
      <c r="E131" s="24">
        <f>D131+1</f>
        <v/>
      </c>
      <c r="F131" s="38" t="n">
        <v>300</v>
      </c>
      <c r="G131" s="39" t="n">
        <v>1.2</v>
      </c>
      <c r="H131" s="38" t="n">
        <v>950</v>
      </c>
      <c r="I131" s="38" t="n">
        <v>0</v>
      </c>
      <c r="J131" s="39" t="n">
        <v>1.35</v>
      </c>
      <c r="K131" s="42">
        <f>ROUNDUP(F131*POWER(G131,D131),0)</f>
        <v/>
      </c>
      <c r="L131" s="40">
        <f>MAX(1,ROUNDDOWN(K131/'参数与公式'!$B$5,0))</f>
        <v/>
      </c>
      <c r="M131" s="40">
        <f>MAX(1,ROUNDDOWN(K131*(1-'参数与公式'!$B$14)/'参数与公式'!$B$5,0))</f>
        <v/>
      </c>
      <c r="N131" s="42">
        <f>IF(H131=0,0,ROUNDUP(H131*POWER(J131,D131),0))</f>
        <v/>
      </c>
      <c r="O131" s="42">
        <f>IF(I131=0,0,ROUNDUP(I131*POWER(J131,D131),0))</f>
        <v/>
      </c>
      <c r="P131" s="40">
        <f>IF(N131=0,0,MAX(1,ROUNDUP(N131*(1-'参数与公式'!$B$17),0)))</f>
        <v/>
      </c>
      <c r="Q131" s="40">
        <f>IF(O131=0,0,MAX(1,ROUNDUP(O131*(1-'参数与公式'!$B$17),0)))</f>
        <v/>
      </c>
      <c r="R131" s="18" t="inlineStr">
        <is>
          <t>data/building_templates.yaml; max_level: gameplay/constants.py; formula: gameplay/models/manor.py</t>
        </is>
      </c>
    </row>
    <row r="132" ht="25" customHeight="1">
      <c r="A132" s="17" t="inlineStr">
        <is>
          <t>granary</t>
        </is>
      </c>
      <c r="B132" s="18" t="inlineStr">
        <is>
          <t>粮仓</t>
        </is>
      </c>
      <c r="C132" s="18" t="inlineStr">
        <is>
          <t>仓储设施</t>
        </is>
      </c>
      <c r="D132" s="17" t="n">
        <v>12</v>
      </c>
      <c r="E132" s="24">
        <f>D132+1</f>
        <v/>
      </c>
      <c r="F132" s="38" t="n">
        <v>300</v>
      </c>
      <c r="G132" s="39" t="n">
        <v>1.2</v>
      </c>
      <c r="H132" s="38" t="n">
        <v>950</v>
      </c>
      <c r="I132" s="38" t="n">
        <v>0</v>
      </c>
      <c r="J132" s="39" t="n">
        <v>1.35</v>
      </c>
      <c r="K132" s="42">
        <f>ROUNDUP(F132*POWER(G132,D132),0)</f>
        <v/>
      </c>
      <c r="L132" s="40">
        <f>MAX(1,ROUNDDOWN(K132/'参数与公式'!$B$5,0))</f>
        <v/>
      </c>
      <c r="M132" s="40">
        <f>MAX(1,ROUNDDOWN(K132*(1-'参数与公式'!$B$14)/'参数与公式'!$B$5,0))</f>
        <v/>
      </c>
      <c r="N132" s="42">
        <f>IF(H132=0,0,ROUNDUP(H132*POWER(J132,D132),0))</f>
        <v/>
      </c>
      <c r="O132" s="42">
        <f>IF(I132=0,0,ROUNDUP(I132*POWER(J132,D132),0))</f>
        <v/>
      </c>
      <c r="P132" s="40">
        <f>IF(N132=0,0,MAX(1,ROUNDUP(N132*(1-'参数与公式'!$B$17),0)))</f>
        <v/>
      </c>
      <c r="Q132" s="40">
        <f>IF(O132=0,0,MAX(1,ROUNDUP(O132*(1-'参数与公式'!$B$17),0)))</f>
        <v/>
      </c>
      <c r="R132" s="18" t="inlineStr">
        <is>
          <t>data/building_templates.yaml; max_level: gameplay/constants.py; formula: gameplay/models/manor.py</t>
        </is>
      </c>
    </row>
    <row r="133" ht="25" customHeight="1">
      <c r="A133" s="17" t="inlineStr">
        <is>
          <t>granary</t>
        </is>
      </c>
      <c r="B133" s="18" t="inlineStr">
        <is>
          <t>粮仓</t>
        </is>
      </c>
      <c r="C133" s="18" t="inlineStr">
        <is>
          <t>仓储设施</t>
        </is>
      </c>
      <c r="D133" s="17" t="n">
        <v>13</v>
      </c>
      <c r="E133" s="24">
        <f>D133+1</f>
        <v/>
      </c>
      <c r="F133" s="38" t="n">
        <v>300</v>
      </c>
      <c r="G133" s="39" t="n">
        <v>1.2</v>
      </c>
      <c r="H133" s="38" t="n">
        <v>950</v>
      </c>
      <c r="I133" s="38" t="n">
        <v>0</v>
      </c>
      <c r="J133" s="39" t="n">
        <v>1.35</v>
      </c>
      <c r="K133" s="42">
        <f>ROUNDUP(F133*POWER(G133,D133),0)</f>
        <v/>
      </c>
      <c r="L133" s="40">
        <f>MAX(1,ROUNDDOWN(K133/'参数与公式'!$B$5,0))</f>
        <v/>
      </c>
      <c r="M133" s="40">
        <f>MAX(1,ROUNDDOWN(K133*(1-'参数与公式'!$B$14)/'参数与公式'!$B$5,0))</f>
        <v/>
      </c>
      <c r="N133" s="42">
        <f>IF(H133=0,0,ROUNDUP(H133*POWER(J133,D133),0))</f>
        <v/>
      </c>
      <c r="O133" s="42">
        <f>IF(I133=0,0,ROUNDUP(I133*POWER(J133,D133),0))</f>
        <v/>
      </c>
      <c r="P133" s="40">
        <f>IF(N133=0,0,MAX(1,ROUNDUP(N133*(1-'参数与公式'!$B$17),0)))</f>
        <v/>
      </c>
      <c r="Q133" s="40">
        <f>IF(O133=0,0,MAX(1,ROUNDUP(O133*(1-'参数与公式'!$B$17),0)))</f>
        <v/>
      </c>
      <c r="R133" s="18" t="inlineStr">
        <is>
          <t>data/building_templates.yaml; max_level: gameplay/constants.py; formula: gameplay/models/manor.py</t>
        </is>
      </c>
    </row>
    <row r="134" ht="25" customHeight="1">
      <c r="A134" s="17" t="inlineStr">
        <is>
          <t>granary</t>
        </is>
      </c>
      <c r="B134" s="18" t="inlineStr">
        <is>
          <t>粮仓</t>
        </is>
      </c>
      <c r="C134" s="18" t="inlineStr">
        <is>
          <t>仓储设施</t>
        </is>
      </c>
      <c r="D134" s="17" t="n">
        <v>14</v>
      </c>
      <c r="E134" s="24">
        <f>D134+1</f>
        <v/>
      </c>
      <c r="F134" s="38" t="n">
        <v>300</v>
      </c>
      <c r="G134" s="39" t="n">
        <v>1.2</v>
      </c>
      <c r="H134" s="38" t="n">
        <v>950</v>
      </c>
      <c r="I134" s="38" t="n">
        <v>0</v>
      </c>
      <c r="J134" s="39" t="n">
        <v>1.35</v>
      </c>
      <c r="K134" s="42">
        <f>ROUNDUP(F134*POWER(G134,D134),0)</f>
        <v/>
      </c>
      <c r="L134" s="40">
        <f>MAX(1,ROUNDDOWN(K134/'参数与公式'!$B$5,0))</f>
        <v/>
      </c>
      <c r="M134" s="40">
        <f>MAX(1,ROUNDDOWN(K134*(1-'参数与公式'!$B$14)/'参数与公式'!$B$5,0))</f>
        <v/>
      </c>
      <c r="N134" s="42">
        <f>IF(H134=0,0,ROUNDUP(H134*POWER(J134,D134),0))</f>
        <v/>
      </c>
      <c r="O134" s="42">
        <f>IF(I134=0,0,ROUNDUP(I134*POWER(J134,D134),0))</f>
        <v/>
      </c>
      <c r="P134" s="40">
        <f>IF(N134=0,0,MAX(1,ROUNDUP(N134*(1-'参数与公式'!$B$17),0)))</f>
        <v/>
      </c>
      <c r="Q134" s="40">
        <f>IF(O134=0,0,MAX(1,ROUNDUP(O134*(1-'参数与公式'!$B$17),0)))</f>
        <v/>
      </c>
      <c r="R134" s="18" t="inlineStr">
        <is>
          <t>data/building_templates.yaml; max_level: gameplay/constants.py; formula: gameplay/models/manor.py</t>
        </is>
      </c>
    </row>
    <row r="135" ht="25" customHeight="1">
      <c r="A135" s="17" t="inlineStr">
        <is>
          <t>granary</t>
        </is>
      </c>
      <c r="B135" s="18" t="inlineStr">
        <is>
          <t>粮仓</t>
        </is>
      </c>
      <c r="C135" s="18" t="inlineStr">
        <is>
          <t>仓储设施</t>
        </is>
      </c>
      <c r="D135" s="17" t="n">
        <v>15</v>
      </c>
      <c r="E135" s="24">
        <f>D135+1</f>
        <v/>
      </c>
      <c r="F135" s="38" t="n">
        <v>300</v>
      </c>
      <c r="G135" s="39" t="n">
        <v>1.2</v>
      </c>
      <c r="H135" s="38" t="n">
        <v>950</v>
      </c>
      <c r="I135" s="38" t="n">
        <v>0</v>
      </c>
      <c r="J135" s="39" t="n">
        <v>1.35</v>
      </c>
      <c r="K135" s="42">
        <f>ROUNDUP(F135*POWER(G135,D135),0)</f>
        <v/>
      </c>
      <c r="L135" s="40">
        <f>MAX(1,ROUNDDOWN(K135/'参数与公式'!$B$5,0))</f>
        <v/>
      </c>
      <c r="M135" s="40">
        <f>MAX(1,ROUNDDOWN(K135*(1-'参数与公式'!$B$14)/'参数与公式'!$B$5,0))</f>
        <v/>
      </c>
      <c r="N135" s="42">
        <f>IF(H135=0,0,ROUNDUP(H135*POWER(J135,D135),0))</f>
        <v/>
      </c>
      <c r="O135" s="42">
        <f>IF(I135=0,0,ROUNDUP(I135*POWER(J135,D135),0))</f>
        <v/>
      </c>
      <c r="P135" s="40">
        <f>IF(N135=0,0,MAX(1,ROUNDUP(N135*(1-'参数与公式'!$B$17),0)))</f>
        <v/>
      </c>
      <c r="Q135" s="40">
        <f>IF(O135=0,0,MAX(1,ROUNDUP(O135*(1-'参数与公式'!$B$17),0)))</f>
        <v/>
      </c>
      <c r="R135" s="18" t="inlineStr">
        <is>
          <t>data/building_templates.yaml; max_level: gameplay/constants.py; formula: gameplay/models/manor.py</t>
        </is>
      </c>
    </row>
    <row r="136" ht="25" customHeight="1">
      <c r="A136" s="17" t="inlineStr">
        <is>
          <t>granary</t>
        </is>
      </c>
      <c r="B136" s="18" t="inlineStr">
        <is>
          <t>粮仓</t>
        </is>
      </c>
      <c r="C136" s="18" t="inlineStr">
        <is>
          <t>仓储设施</t>
        </is>
      </c>
      <c r="D136" s="17" t="n">
        <v>16</v>
      </c>
      <c r="E136" s="24">
        <f>D136+1</f>
        <v/>
      </c>
      <c r="F136" s="38" t="n">
        <v>300</v>
      </c>
      <c r="G136" s="39" t="n">
        <v>1.2</v>
      </c>
      <c r="H136" s="38" t="n">
        <v>950</v>
      </c>
      <c r="I136" s="38" t="n">
        <v>0</v>
      </c>
      <c r="J136" s="39" t="n">
        <v>1.35</v>
      </c>
      <c r="K136" s="42">
        <f>ROUNDUP(F136*POWER(G136,D136),0)</f>
        <v/>
      </c>
      <c r="L136" s="40">
        <f>MAX(1,ROUNDDOWN(K136/'参数与公式'!$B$5,0))</f>
        <v/>
      </c>
      <c r="M136" s="40">
        <f>MAX(1,ROUNDDOWN(K136*(1-'参数与公式'!$B$14)/'参数与公式'!$B$5,0))</f>
        <v/>
      </c>
      <c r="N136" s="42">
        <f>IF(H136=0,0,ROUNDUP(H136*POWER(J136,D136),0))</f>
        <v/>
      </c>
      <c r="O136" s="42">
        <f>IF(I136=0,0,ROUNDUP(I136*POWER(J136,D136),0))</f>
        <v/>
      </c>
      <c r="P136" s="40">
        <f>IF(N136=0,0,MAX(1,ROUNDUP(N136*(1-'参数与公式'!$B$17),0)))</f>
        <v/>
      </c>
      <c r="Q136" s="40">
        <f>IF(O136=0,0,MAX(1,ROUNDUP(O136*(1-'参数与公式'!$B$17),0)))</f>
        <v/>
      </c>
      <c r="R136" s="18" t="inlineStr">
        <is>
          <t>data/building_templates.yaml; max_level: gameplay/constants.py; formula: gameplay/models/manor.py</t>
        </is>
      </c>
    </row>
    <row r="137" ht="25" customHeight="1">
      <c r="A137" s="17" t="inlineStr">
        <is>
          <t>granary</t>
        </is>
      </c>
      <c r="B137" s="18" t="inlineStr">
        <is>
          <t>粮仓</t>
        </is>
      </c>
      <c r="C137" s="18" t="inlineStr">
        <is>
          <t>仓储设施</t>
        </is>
      </c>
      <c r="D137" s="17" t="n">
        <v>17</v>
      </c>
      <c r="E137" s="24">
        <f>D137+1</f>
        <v/>
      </c>
      <c r="F137" s="38" t="n">
        <v>300</v>
      </c>
      <c r="G137" s="39" t="n">
        <v>1.2</v>
      </c>
      <c r="H137" s="38" t="n">
        <v>950</v>
      </c>
      <c r="I137" s="38" t="n">
        <v>0</v>
      </c>
      <c r="J137" s="39" t="n">
        <v>1.35</v>
      </c>
      <c r="K137" s="42">
        <f>ROUNDUP(F137*POWER(G137,D137),0)</f>
        <v/>
      </c>
      <c r="L137" s="40">
        <f>MAX(1,ROUNDDOWN(K137/'参数与公式'!$B$5,0))</f>
        <v/>
      </c>
      <c r="M137" s="40">
        <f>MAX(1,ROUNDDOWN(K137*(1-'参数与公式'!$B$14)/'参数与公式'!$B$5,0))</f>
        <v/>
      </c>
      <c r="N137" s="42">
        <f>IF(H137=0,0,ROUNDUP(H137*POWER(J137,D137),0))</f>
        <v/>
      </c>
      <c r="O137" s="42">
        <f>IF(I137=0,0,ROUNDUP(I137*POWER(J137,D137),0))</f>
        <v/>
      </c>
      <c r="P137" s="40">
        <f>IF(N137=0,0,MAX(1,ROUNDUP(N137*(1-'参数与公式'!$B$17),0)))</f>
        <v/>
      </c>
      <c r="Q137" s="40">
        <f>IF(O137=0,0,MAX(1,ROUNDUP(O137*(1-'参数与公式'!$B$17),0)))</f>
        <v/>
      </c>
      <c r="R137" s="18" t="inlineStr">
        <is>
          <t>data/building_templates.yaml; max_level: gameplay/constants.py; formula: gameplay/models/manor.py</t>
        </is>
      </c>
    </row>
    <row r="138" ht="25" customHeight="1">
      <c r="A138" s="17" t="inlineStr">
        <is>
          <t>granary</t>
        </is>
      </c>
      <c r="B138" s="18" t="inlineStr">
        <is>
          <t>粮仓</t>
        </is>
      </c>
      <c r="C138" s="18" t="inlineStr">
        <is>
          <t>仓储设施</t>
        </is>
      </c>
      <c r="D138" s="17" t="n">
        <v>18</v>
      </c>
      <c r="E138" s="24">
        <f>D138+1</f>
        <v/>
      </c>
      <c r="F138" s="38" t="n">
        <v>300</v>
      </c>
      <c r="G138" s="39" t="n">
        <v>1.2</v>
      </c>
      <c r="H138" s="38" t="n">
        <v>950</v>
      </c>
      <c r="I138" s="38" t="n">
        <v>0</v>
      </c>
      <c r="J138" s="39" t="n">
        <v>1.35</v>
      </c>
      <c r="K138" s="42">
        <f>ROUNDUP(F138*POWER(G138,D138),0)</f>
        <v/>
      </c>
      <c r="L138" s="40">
        <f>MAX(1,ROUNDDOWN(K138/'参数与公式'!$B$5,0))</f>
        <v/>
      </c>
      <c r="M138" s="40">
        <f>MAX(1,ROUNDDOWN(K138*(1-'参数与公式'!$B$14)/'参数与公式'!$B$5,0))</f>
        <v/>
      </c>
      <c r="N138" s="42">
        <f>IF(H138=0,0,ROUNDUP(H138*POWER(J138,D138),0))</f>
        <v/>
      </c>
      <c r="O138" s="42">
        <f>IF(I138=0,0,ROUNDUP(I138*POWER(J138,D138),0))</f>
        <v/>
      </c>
      <c r="P138" s="40">
        <f>IF(N138=0,0,MAX(1,ROUNDUP(N138*(1-'参数与公式'!$B$17),0)))</f>
        <v/>
      </c>
      <c r="Q138" s="40">
        <f>IF(O138=0,0,MAX(1,ROUNDUP(O138*(1-'参数与公式'!$B$17),0)))</f>
        <v/>
      </c>
      <c r="R138" s="18" t="inlineStr">
        <is>
          <t>data/building_templates.yaml; max_level: gameplay/constants.py; formula: gameplay/models/manor.py</t>
        </is>
      </c>
    </row>
    <row r="139" ht="25" customHeight="1">
      <c r="A139" s="17" t="inlineStr">
        <is>
          <t>granary</t>
        </is>
      </c>
      <c r="B139" s="18" t="inlineStr">
        <is>
          <t>粮仓</t>
        </is>
      </c>
      <c r="C139" s="18" t="inlineStr">
        <is>
          <t>仓储设施</t>
        </is>
      </c>
      <c r="D139" s="17" t="n">
        <v>19</v>
      </c>
      <c r="E139" s="24">
        <f>D139+1</f>
        <v/>
      </c>
      <c r="F139" s="38" t="n">
        <v>300</v>
      </c>
      <c r="G139" s="39" t="n">
        <v>1.2</v>
      </c>
      <c r="H139" s="38" t="n">
        <v>950</v>
      </c>
      <c r="I139" s="38" t="n">
        <v>0</v>
      </c>
      <c r="J139" s="39" t="n">
        <v>1.35</v>
      </c>
      <c r="K139" s="42">
        <f>ROUNDUP(F139*POWER(G139,D139),0)</f>
        <v/>
      </c>
      <c r="L139" s="40">
        <f>MAX(1,ROUNDDOWN(K139/'参数与公式'!$B$5,0))</f>
        <v/>
      </c>
      <c r="M139" s="40">
        <f>MAX(1,ROUNDDOWN(K139*(1-'参数与公式'!$B$14)/'参数与公式'!$B$5,0))</f>
        <v/>
      </c>
      <c r="N139" s="42">
        <f>IF(H139=0,0,ROUNDUP(H139*POWER(J139,D139),0))</f>
        <v/>
      </c>
      <c r="O139" s="42">
        <f>IF(I139=0,0,ROUNDUP(I139*POWER(J139,D139),0))</f>
        <v/>
      </c>
      <c r="P139" s="40">
        <f>IF(N139=0,0,MAX(1,ROUNDUP(N139*(1-'参数与公式'!$B$17),0)))</f>
        <v/>
      </c>
      <c r="Q139" s="40">
        <f>IF(O139=0,0,MAX(1,ROUNDUP(O139*(1-'参数与公式'!$B$17),0)))</f>
        <v/>
      </c>
      <c r="R139" s="18" t="inlineStr">
        <is>
          <t>data/building_templates.yaml; max_level: gameplay/constants.py; formula: gameplay/models/manor.py</t>
        </is>
      </c>
    </row>
    <row r="140" ht="25" customHeight="1">
      <c r="A140" s="17" t="inlineStr">
        <is>
          <t>silver_vault</t>
        </is>
      </c>
      <c r="B140" s="18" t="inlineStr">
        <is>
          <t>银库</t>
        </is>
      </c>
      <c r="C140" s="18" t="inlineStr">
        <is>
          <t>仓储设施</t>
        </is>
      </c>
      <c r="D140" s="17" t="n">
        <v>1</v>
      </c>
      <c r="E140" s="24">
        <f>D140+1</f>
        <v/>
      </c>
      <c r="F140" s="38" t="n">
        <v>300</v>
      </c>
      <c r="G140" s="39" t="n">
        <v>1.2</v>
      </c>
      <c r="H140" s="38" t="n">
        <v>1100</v>
      </c>
      <c r="I140" s="38" t="n">
        <v>0</v>
      </c>
      <c r="J140" s="39" t="n">
        <v>1.35</v>
      </c>
      <c r="K140" s="42">
        <f>ROUNDUP(F140*POWER(G140,D140),0)</f>
        <v/>
      </c>
      <c r="L140" s="40">
        <f>MAX(1,ROUNDDOWN(K140/'参数与公式'!$B$5,0))</f>
        <v/>
      </c>
      <c r="M140" s="40">
        <f>MAX(1,ROUNDDOWN(K140*(1-'参数与公式'!$B$14)/'参数与公式'!$B$5,0))</f>
        <v/>
      </c>
      <c r="N140" s="42">
        <f>IF(H140=0,0,ROUNDUP(H140*POWER(J140,D140),0))</f>
        <v/>
      </c>
      <c r="O140" s="42">
        <f>IF(I140=0,0,ROUNDUP(I140*POWER(J140,D140),0))</f>
        <v/>
      </c>
      <c r="P140" s="40">
        <f>IF(N140=0,0,MAX(1,ROUNDUP(N140*(1-'参数与公式'!$B$17),0)))</f>
        <v/>
      </c>
      <c r="Q140" s="40">
        <f>IF(O140=0,0,MAX(1,ROUNDUP(O140*(1-'参数与公式'!$B$17),0)))</f>
        <v/>
      </c>
      <c r="R140" s="18" t="inlineStr">
        <is>
          <t>data/building_templates.yaml; max_level: gameplay/constants.py; formula: gameplay/models/manor.py</t>
        </is>
      </c>
    </row>
    <row r="141" ht="25" customHeight="1">
      <c r="A141" s="17" t="inlineStr">
        <is>
          <t>silver_vault</t>
        </is>
      </c>
      <c r="B141" s="18" t="inlineStr">
        <is>
          <t>银库</t>
        </is>
      </c>
      <c r="C141" s="18" t="inlineStr">
        <is>
          <t>仓储设施</t>
        </is>
      </c>
      <c r="D141" s="17" t="n">
        <v>2</v>
      </c>
      <c r="E141" s="24">
        <f>D141+1</f>
        <v/>
      </c>
      <c r="F141" s="38" t="n">
        <v>300</v>
      </c>
      <c r="G141" s="39" t="n">
        <v>1.2</v>
      </c>
      <c r="H141" s="38" t="n">
        <v>1100</v>
      </c>
      <c r="I141" s="38" t="n">
        <v>0</v>
      </c>
      <c r="J141" s="39" t="n">
        <v>1.35</v>
      </c>
      <c r="K141" s="42">
        <f>ROUNDUP(F141*POWER(G141,D141),0)</f>
        <v/>
      </c>
      <c r="L141" s="40">
        <f>MAX(1,ROUNDDOWN(K141/'参数与公式'!$B$5,0))</f>
        <v/>
      </c>
      <c r="M141" s="40">
        <f>MAX(1,ROUNDDOWN(K141*(1-'参数与公式'!$B$14)/'参数与公式'!$B$5,0))</f>
        <v/>
      </c>
      <c r="N141" s="42">
        <f>IF(H141=0,0,ROUNDUP(H141*POWER(J141,D141),0))</f>
        <v/>
      </c>
      <c r="O141" s="42">
        <f>IF(I141=0,0,ROUNDUP(I141*POWER(J141,D141),0))</f>
        <v/>
      </c>
      <c r="P141" s="40">
        <f>IF(N141=0,0,MAX(1,ROUNDUP(N141*(1-'参数与公式'!$B$17),0)))</f>
        <v/>
      </c>
      <c r="Q141" s="40">
        <f>IF(O141=0,0,MAX(1,ROUNDUP(O141*(1-'参数与公式'!$B$17),0)))</f>
        <v/>
      </c>
      <c r="R141" s="18" t="inlineStr">
        <is>
          <t>data/building_templates.yaml; max_level: gameplay/constants.py; formula: gameplay/models/manor.py</t>
        </is>
      </c>
    </row>
    <row r="142" ht="25" customHeight="1">
      <c r="A142" s="17" t="inlineStr">
        <is>
          <t>silver_vault</t>
        </is>
      </c>
      <c r="B142" s="18" t="inlineStr">
        <is>
          <t>银库</t>
        </is>
      </c>
      <c r="C142" s="18" t="inlineStr">
        <is>
          <t>仓储设施</t>
        </is>
      </c>
      <c r="D142" s="17" t="n">
        <v>3</v>
      </c>
      <c r="E142" s="24">
        <f>D142+1</f>
        <v/>
      </c>
      <c r="F142" s="38" t="n">
        <v>300</v>
      </c>
      <c r="G142" s="39" t="n">
        <v>1.2</v>
      </c>
      <c r="H142" s="38" t="n">
        <v>1100</v>
      </c>
      <c r="I142" s="38" t="n">
        <v>0</v>
      </c>
      <c r="J142" s="39" t="n">
        <v>1.35</v>
      </c>
      <c r="K142" s="42">
        <f>ROUNDUP(F142*POWER(G142,D142),0)</f>
        <v/>
      </c>
      <c r="L142" s="40">
        <f>MAX(1,ROUNDDOWN(K142/'参数与公式'!$B$5,0))</f>
        <v/>
      </c>
      <c r="M142" s="40">
        <f>MAX(1,ROUNDDOWN(K142*(1-'参数与公式'!$B$14)/'参数与公式'!$B$5,0))</f>
        <v/>
      </c>
      <c r="N142" s="42">
        <f>IF(H142=0,0,ROUNDUP(H142*POWER(J142,D142),0))</f>
        <v/>
      </c>
      <c r="O142" s="42">
        <f>IF(I142=0,0,ROUNDUP(I142*POWER(J142,D142),0))</f>
        <v/>
      </c>
      <c r="P142" s="40">
        <f>IF(N142=0,0,MAX(1,ROUNDUP(N142*(1-'参数与公式'!$B$17),0)))</f>
        <v/>
      </c>
      <c r="Q142" s="40">
        <f>IF(O142=0,0,MAX(1,ROUNDUP(O142*(1-'参数与公式'!$B$17),0)))</f>
        <v/>
      </c>
      <c r="R142" s="18" t="inlineStr">
        <is>
          <t>data/building_templates.yaml; max_level: gameplay/constants.py; formula: gameplay/models/manor.py</t>
        </is>
      </c>
    </row>
    <row r="143" ht="25" customHeight="1">
      <c r="A143" s="17" t="inlineStr">
        <is>
          <t>silver_vault</t>
        </is>
      </c>
      <c r="B143" s="18" t="inlineStr">
        <is>
          <t>银库</t>
        </is>
      </c>
      <c r="C143" s="18" t="inlineStr">
        <is>
          <t>仓储设施</t>
        </is>
      </c>
      <c r="D143" s="17" t="n">
        <v>4</v>
      </c>
      <c r="E143" s="24">
        <f>D143+1</f>
        <v/>
      </c>
      <c r="F143" s="38" t="n">
        <v>300</v>
      </c>
      <c r="G143" s="39" t="n">
        <v>1.2</v>
      </c>
      <c r="H143" s="38" t="n">
        <v>1100</v>
      </c>
      <c r="I143" s="38" t="n">
        <v>0</v>
      </c>
      <c r="J143" s="39" t="n">
        <v>1.35</v>
      </c>
      <c r="K143" s="42">
        <f>ROUNDUP(F143*POWER(G143,D143),0)</f>
        <v/>
      </c>
      <c r="L143" s="40">
        <f>MAX(1,ROUNDDOWN(K143/'参数与公式'!$B$5,0))</f>
        <v/>
      </c>
      <c r="M143" s="40">
        <f>MAX(1,ROUNDDOWN(K143*(1-'参数与公式'!$B$14)/'参数与公式'!$B$5,0))</f>
        <v/>
      </c>
      <c r="N143" s="42">
        <f>IF(H143=0,0,ROUNDUP(H143*POWER(J143,D143),0))</f>
        <v/>
      </c>
      <c r="O143" s="42">
        <f>IF(I143=0,0,ROUNDUP(I143*POWER(J143,D143),0))</f>
        <v/>
      </c>
      <c r="P143" s="40">
        <f>IF(N143=0,0,MAX(1,ROUNDUP(N143*(1-'参数与公式'!$B$17),0)))</f>
        <v/>
      </c>
      <c r="Q143" s="40">
        <f>IF(O143=0,0,MAX(1,ROUNDUP(O143*(1-'参数与公式'!$B$17),0)))</f>
        <v/>
      </c>
      <c r="R143" s="18" t="inlineStr">
        <is>
          <t>data/building_templates.yaml; max_level: gameplay/constants.py; formula: gameplay/models/manor.py</t>
        </is>
      </c>
    </row>
    <row r="144" ht="25" customHeight="1">
      <c r="A144" s="17" t="inlineStr">
        <is>
          <t>silver_vault</t>
        </is>
      </c>
      <c r="B144" s="18" t="inlineStr">
        <is>
          <t>银库</t>
        </is>
      </c>
      <c r="C144" s="18" t="inlineStr">
        <is>
          <t>仓储设施</t>
        </is>
      </c>
      <c r="D144" s="17" t="n">
        <v>5</v>
      </c>
      <c r="E144" s="24">
        <f>D144+1</f>
        <v/>
      </c>
      <c r="F144" s="38" t="n">
        <v>300</v>
      </c>
      <c r="G144" s="39" t="n">
        <v>1.2</v>
      </c>
      <c r="H144" s="38" t="n">
        <v>1100</v>
      </c>
      <c r="I144" s="38" t="n">
        <v>0</v>
      </c>
      <c r="J144" s="39" t="n">
        <v>1.35</v>
      </c>
      <c r="K144" s="42">
        <f>ROUNDUP(F144*POWER(G144,D144),0)</f>
        <v/>
      </c>
      <c r="L144" s="40">
        <f>MAX(1,ROUNDDOWN(K144/'参数与公式'!$B$5,0))</f>
        <v/>
      </c>
      <c r="M144" s="40">
        <f>MAX(1,ROUNDDOWN(K144*(1-'参数与公式'!$B$14)/'参数与公式'!$B$5,0))</f>
        <v/>
      </c>
      <c r="N144" s="42">
        <f>IF(H144=0,0,ROUNDUP(H144*POWER(J144,D144),0))</f>
        <v/>
      </c>
      <c r="O144" s="42">
        <f>IF(I144=0,0,ROUNDUP(I144*POWER(J144,D144),0))</f>
        <v/>
      </c>
      <c r="P144" s="40">
        <f>IF(N144=0,0,MAX(1,ROUNDUP(N144*(1-'参数与公式'!$B$17),0)))</f>
        <v/>
      </c>
      <c r="Q144" s="40">
        <f>IF(O144=0,0,MAX(1,ROUNDUP(O144*(1-'参数与公式'!$B$17),0)))</f>
        <v/>
      </c>
      <c r="R144" s="18" t="inlineStr">
        <is>
          <t>data/building_templates.yaml; max_level: gameplay/constants.py; formula: gameplay/models/manor.py</t>
        </is>
      </c>
    </row>
    <row r="145" ht="25" customHeight="1">
      <c r="A145" s="17" t="inlineStr">
        <is>
          <t>silver_vault</t>
        </is>
      </c>
      <c r="B145" s="18" t="inlineStr">
        <is>
          <t>银库</t>
        </is>
      </c>
      <c r="C145" s="18" t="inlineStr">
        <is>
          <t>仓储设施</t>
        </is>
      </c>
      <c r="D145" s="17" t="n">
        <v>6</v>
      </c>
      <c r="E145" s="24">
        <f>D145+1</f>
        <v/>
      </c>
      <c r="F145" s="38" t="n">
        <v>300</v>
      </c>
      <c r="G145" s="39" t="n">
        <v>1.2</v>
      </c>
      <c r="H145" s="38" t="n">
        <v>1100</v>
      </c>
      <c r="I145" s="38" t="n">
        <v>0</v>
      </c>
      <c r="J145" s="39" t="n">
        <v>1.35</v>
      </c>
      <c r="K145" s="42">
        <f>ROUNDUP(F145*POWER(G145,D145),0)</f>
        <v/>
      </c>
      <c r="L145" s="40">
        <f>MAX(1,ROUNDDOWN(K145/'参数与公式'!$B$5,0))</f>
        <v/>
      </c>
      <c r="M145" s="40">
        <f>MAX(1,ROUNDDOWN(K145*(1-'参数与公式'!$B$14)/'参数与公式'!$B$5,0))</f>
        <v/>
      </c>
      <c r="N145" s="42">
        <f>IF(H145=0,0,ROUNDUP(H145*POWER(J145,D145),0))</f>
        <v/>
      </c>
      <c r="O145" s="42">
        <f>IF(I145=0,0,ROUNDUP(I145*POWER(J145,D145),0))</f>
        <v/>
      </c>
      <c r="P145" s="40">
        <f>IF(N145=0,0,MAX(1,ROUNDUP(N145*(1-'参数与公式'!$B$17),0)))</f>
        <v/>
      </c>
      <c r="Q145" s="40">
        <f>IF(O145=0,0,MAX(1,ROUNDUP(O145*(1-'参数与公式'!$B$17),0)))</f>
        <v/>
      </c>
      <c r="R145" s="18" t="inlineStr">
        <is>
          <t>data/building_templates.yaml; max_level: gameplay/constants.py; formula: gameplay/models/manor.py</t>
        </is>
      </c>
    </row>
    <row r="146" ht="25" customHeight="1">
      <c r="A146" s="17" t="inlineStr">
        <is>
          <t>silver_vault</t>
        </is>
      </c>
      <c r="B146" s="18" t="inlineStr">
        <is>
          <t>银库</t>
        </is>
      </c>
      <c r="C146" s="18" t="inlineStr">
        <is>
          <t>仓储设施</t>
        </is>
      </c>
      <c r="D146" s="17" t="n">
        <v>7</v>
      </c>
      <c r="E146" s="24">
        <f>D146+1</f>
        <v/>
      </c>
      <c r="F146" s="38" t="n">
        <v>300</v>
      </c>
      <c r="G146" s="39" t="n">
        <v>1.2</v>
      </c>
      <c r="H146" s="38" t="n">
        <v>1100</v>
      </c>
      <c r="I146" s="38" t="n">
        <v>0</v>
      </c>
      <c r="J146" s="39" t="n">
        <v>1.35</v>
      </c>
      <c r="K146" s="42">
        <f>ROUNDUP(F146*POWER(G146,D146),0)</f>
        <v/>
      </c>
      <c r="L146" s="40">
        <f>MAX(1,ROUNDDOWN(K146/'参数与公式'!$B$5,0))</f>
        <v/>
      </c>
      <c r="M146" s="40">
        <f>MAX(1,ROUNDDOWN(K146*(1-'参数与公式'!$B$14)/'参数与公式'!$B$5,0))</f>
        <v/>
      </c>
      <c r="N146" s="42">
        <f>IF(H146=0,0,ROUNDUP(H146*POWER(J146,D146),0))</f>
        <v/>
      </c>
      <c r="O146" s="42">
        <f>IF(I146=0,0,ROUNDUP(I146*POWER(J146,D146),0))</f>
        <v/>
      </c>
      <c r="P146" s="40">
        <f>IF(N146=0,0,MAX(1,ROUNDUP(N146*(1-'参数与公式'!$B$17),0)))</f>
        <v/>
      </c>
      <c r="Q146" s="40">
        <f>IF(O146=0,0,MAX(1,ROUNDUP(O146*(1-'参数与公式'!$B$17),0)))</f>
        <v/>
      </c>
      <c r="R146" s="18" t="inlineStr">
        <is>
          <t>data/building_templates.yaml; max_level: gameplay/constants.py; formula: gameplay/models/manor.py</t>
        </is>
      </c>
    </row>
    <row r="147" ht="25" customHeight="1">
      <c r="A147" s="17" t="inlineStr">
        <is>
          <t>silver_vault</t>
        </is>
      </c>
      <c r="B147" s="18" t="inlineStr">
        <is>
          <t>银库</t>
        </is>
      </c>
      <c r="C147" s="18" t="inlineStr">
        <is>
          <t>仓储设施</t>
        </is>
      </c>
      <c r="D147" s="17" t="n">
        <v>8</v>
      </c>
      <c r="E147" s="24">
        <f>D147+1</f>
        <v/>
      </c>
      <c r="F147" s="38" t="n">
        <v>300</v>
      </c>
      <c r="G147" s="39" t="n">
        <v>1.2</v>
      </c>
      <c r="H147" s="38" t="n">
        <v>1100</v>
      </c>
      <c r="I147" s="38" t="n">
        <v>0</v>
      </c>
      <c r="J147" s="39" t="n">
        <v>1.35</v>
      </c>
      <c r="K147" s="42">
        <f>ROUNDUP(F147*POWER(G147,D147),0)</f>
        <v/>
      </c>
      <c r="L147" s="40">
        <f>MAX(1,ROUNDDOWN(K147/'参数与公式'!$B$5,0))</f>
        <v/>
      </c>
      <c r="M147" s="40">
        <f>MAX(1,ROUNDDOWN(K147*(1-'参数与公式'!$B$14)/'参数与公式'!$B$5,0))</f>
        <v/>
      </c>
      <c r="N147" s="42">
        <f>IF(H147=0,0,ROUNDUP(H147*POWER(J147,D147),0))</f>
        <v/>
      </c>
      <c r="O147" s="42">
        <f>IF(I147=0,0,ROUNDUP(I147*POWER(J147,D147),0))</f>
        <v/>
      </c>
      <c r="P147" s="40">
        <f>IF(N147=0,0,MAX(1,ROUNDUP(N147*(1-'参数与公式'!$B$17),0)))</f>
        <v/>
      </c>
      <c r="Q147" s="40">
        <f>IF(O147=0,0,MAX(1,ROUNDUP(O147*(1-'参数与公式'!$B$17),0)))</f>
        <v/>
      </c>
      <c r="R147" s="18" t="inlineStr">
        <is>
          <t>data/building_templates.yaml; max_level: gameplay/constants.py; formula: gameplay/models/manor.py</t>
        </is>
      </c>
    </row>
    <row r="148" ht="25" customHeight="1">
      <c r="A148" s="17" t="inlineStr">
        <is>
          <t>silver_vault</t>
        </is>
      </c>
      <c r="B148" s="18" t="inlineStr">
        <is>
          <t>银库</t>
        </is>
      </c>
      <c r="C148" s="18" t="inlineStr">
        <is>
          <t>仓储设施</t>
        </is>
      </c>
      <c r="D148" s="17" t="n">
        <v>9</v>
      </c>
      <c r="E148" s="24">
        <f>D148+1</f>
        <v/>
      </c>
      <c r="F148" s="38" t="n">
        <v>300</v>
      </c>
      <c r="G148" s="39" t="n">
        <v>1.2</v>
      </c>
      <c r="H148" s="38" t="n">
        <v>1100</v>
      </c>
      <c r="I148" s="38" t="n">
        <v>0</v>
      </c>
      <c r="J148" s="39" t="n">
        <v>1.35</v>
      </c>
      <c r="K148" s="42">
        <f>ROUNDUP(F148*POWER(G148,D148),0)</f>
        <v/>
      </c>
      <c r="L148" s="40">
        <f>MAX(1,ROUNDDOWN(K148/'参数与公式'!$B$5,0))</f>
        <v/>
      </c>
      <c r="M148" s="40">
        <f>MAX(1,ROUNDDOWN(K148*(1-'参数与公式'!$B$14)/'参数与公式'!$B$5,0))</f>
        <v/>
      </c>
      <c r="N148" s="42">
        <f>IF(H148=0,0,ROUNDUP(H148*POWER(J148,D148),0))</f>
        <v/>
      </c>
      <c r="O148" s="42">
        <f>IF(I148=0,0,ROUNDUP(I148*POWER(J148,D148),0))</f>
        <v/>
      </c>
      <c r="P148" s="40">
        <f>IF(N148=0,0,MAX(1,ROUNDUP(N148*(1-'参数与公式'!$B$17),0)))</f>
        <v/>
      </c>
      <c r="Q148" s="40">
        <f>IF(O148=0,0,MAX(1,ROUNDUP(O148*(1-'参数与公式'!$B$17),0)))</f>
        <v/>
      </c>
      <c r="R148" s="18" t="inlineStr">
        <is>
          <t>data/building_templates.yaml; max_level: gameplay/constants.py; formula: gameplay/models/manor.py</t>
        </is>
      </c>
    </row>
    <row r="149" ht="25" customHeight="1">
      <c r="A149" s="17" t="inlineStr">
        <is>
          <t>silver_vault</t>
        </is>
      </c>
      <c r="B149" s="18" t="inlineStr">
        <is>
          <t>银库</t>
        </is>
      </c>
      <c r="C149" s="18" t="inlineStr">
        <is>
          <t>仓储设施</t>
        </is>
      </c>
      <c r="D149" s="17" t="n">
        <v>10</v>
      </c>
      <c r="E149" s="24">
        <f>D149+1</f>
        <v/>
      </c>
      <c r="F149" s="38" t="n">
        <v>300</v>
      </c>
      <c r="G149" s="39" t="n">
        <v>1.2</v>
      </c>
      <c r="H149" s="38" t="n">
        <v>1100</v>
      </c>
      <c r="I149" s="38" t="n">
        <v>0</v>
      </c>
      <c r="J149" s="39" t="n">
        <v>1.35</v>
      </c>
      <c r="K149" s="42">
        <f>ROUNDUP(F149*POWER(G149,D149),0)</f>
        <v/>
      </c>
      <c r="L149" s="40">
        <f>MAX(1,ROUNDDOWN(K149/'参数与公式'!$B$5,0))</f>
        <v/>
      </c>
      <c r="M149" s="40">
        <f>MAX(1,ROUNDDOWN(K149*(1-'参数与公式'!$B$14)/'参数与公式'!$B$5,0))</f>
        <v/>
      </c>
      <c r="N149" s="42">
        <f>IF(H149=0,0,ROUNDUP(H149*POWER(J149,D149),0))</f>
        <v/>
      </c>
      <c r="O149" s="42">
        <f>IF(I149=0,0,ROUNDUP(I149*POWER(J149,D149),0))</f>
        <v/>
      </c>
      <c r="P149" s="40">
        <f>IF(N149=0,0,MAX(1,ROUNDUP(N149*(1-'参数与公式'!$B$17),0)))</f>
        <v/>
      </c>
      <c r="Q149" s="40">
        <f>IF(O149=0,0,MAX(1,ROUNDUP(O149*(1-'参数与公式'!$B$17),0)))</f>
        <v/>
      </c>
      <c r="R149" s="18" t="inlineStr">
        <is>
          <t>data/building_templates.yaml; max_level: gameplay/constants.py; formula: gameplay/models/manor.py</t>
        </is>
      </c>
    </row>
    <row r="150" ht="25" customHeight="1">
      <c r="A150" s="17" t="inlineStr">
        <is>
          <t>silver_vault</t>
        </is>
      </c>
      <c r="B150" s="18" t="inlineStr">
        <is>
          <t>银库</t>
        </is>
      </c>
      <c r="C150" s="18" t="inlineStr">
        <is>
          <t>仓储设施</t>
        </is>
      </c>
      <c r="D150" s="17" t="n">
        <v>11</v>
      </c>
      <c r="E150" s="24">
        <f>D150+1</f>
        <v/>
      </c>
      <c r="F150" s="38" t="n">
        <v>300</v>
      </c>
      <c r="G150" s="39" t="n">
        <v>1.2</v>
      </c>
      <c r="H150" s="38" t="n">
        <v>1100</v>
      </c>
      <c r="I150" s="38" t="n">
        <v>0</v>
      </c>
      <c r="J150" s="39" t="n">
        <v>1.35</v>
      </c>
      <c r="K150" s="42">
        <f>ROUNDUP(F150*POWER(G150,D150),0)</f>
        <v/>
      </c>
      <c r="L150" s="40">
        <f>MAX(1,ROUNDDOWN(K150/'参数与公式'!$B$5,0))</f>
        <v/>
      </c>
      <c r="M150" s="40">
        <f>MAX(1,ROUNDDOWN(K150*(1-'参数与公式'!$B$14)/'参数与公式'!$B$5,0))</f>
        <v/>
      </c>
      <c r="N150" s="42">
        <f>IF(H150=0,0,ROUNDUP(H150*POWER(J150,D150),0))</f>
        <v/>
      </c>
      <c r="O150" s="42">
        <f>IF(I150=0,0,ROUNDUP(I150*POWER(J150,D150),0))</f>
        <v/>
      </c>
      <c r="P150" s="40">
        <f>IF(N150=0,0,MAX(1,ROUNDUP(N150*(1-'参数与公式'!$B$17),0)))</f>
        <v/>
      </c>
      <c r="Q150" s="40">
        <f>IF(O150=0,0,MAX(1,ROUNDUP(O150*(1-'参数与公式'!$B$17),0)))</f>
        <v/>
      </c>
      <c r="R150" s="18" t="inlineStr">
        <is>
          <t>data/building_templates.yaml; max_level: gameplay/constants.py; formula: gameplay/models/manor.py</t>
        </is>
      </c>
    </row>
    <row r="151" ht="25" customHeight="1">
      <c r="A151" s="17" t="inlineStr">
        <is>
          <t>silver_vault</t>
        </is>
      </c>
      <c r="B151" s="18" t="inlineStr">
        <is>
          <t>银库</t>
        </is>
      </c>
      <c r="C151" s="18" t="inlineStr">
        <is>
          <t>仓储设施</t>
        </is>
      </c>
      <c r="D151" s="17" t="n">
        <v>12</v>
      </c>
      <c r="E151" s="24">
        <f>D151+1</f>
        <v/>
      </c>
      <c r="F151" s="38" t="n">
        <v>300</v>
      </c>
      <c r="G151" s="39" t="n">
        <v>1.2</v>
      </c>
      <c r="H151" s="38" t="n">
        <v>1100</v>
      </c>
      <c r="I151" s="38" t="n">
        <v>0</v>
      </c>
      <c r="J151" s="39" t="n">
        <v>1.35</v>
      </c>
      <c r="K151" s="42">
        <f>ROUNDUP(F151*POWER(G151,D151),0)</f>
        <v/>
      </c>
      <c r="L151" s="40">
        <f>MAX(1,ROUNDDOWN(K151/'参数与公式'!$B$5,0))</f>
        <v/>
      </c>
      <c r="M151" s="40">
        <f>MAX(1,ROUNDDOWN(K151*(1-'参数与公式'!$B$14)/'参数与公式'!$B$5,0))</f>
        <v/>
      </c>
      <c r="N151" s="42">
        <f>IF(H151=0,0,ROUNDUP(H151*POWER(J151,D151),0))</f>
        <v/>
      </c>
      <c r="O151" s="42">
        <f>IF(I151=0,0,ROUNDUP(I151*POWER(J151,D151),0))</f>
        <v/>
      </c>
      <c r="P151" s="40">
        <f>IF(N151=0,0,MAX(1,ROUNDUP(N151*(1-'参数与公式'!$B$17),0)))</f>
        <v/>
      </c>
      <c r="Q151" s="40">
        <f>IF(O151=0,0,MAX(1,ROUNDUP(O151*(1-'参数与公式'!$B$17),0)))</f>
        <v/>
      </c>
      <c r="R151" s="18" t="inlineStr">
        <is>
          <t>data/building_templates.yaml; max_level: gameplay/constants.py; formula: gameplay/models/manor.py</t>
        </is>
      </c>
    </row>
    <row r="152" ht="25" customHeight="1">
      <c r="A152" s="17" t="inlineStr">
        <is>
          <t>silver_vault</t>
        </is>
      </c>
      <c r="B152" s="18" t="inlineStr">
        <is>
          <t>银库</t>
        </is>
      </c>
      <c r="C152" s="18" t="inlineStr">
        <is>
          <t>仓储设施</t>
        </is>
      </c>
      <c r="D152" s="17" t="n">
        <v>13</v>
      </c>
      <c r="E152" s="24">
        <f>D152+1</f>
        <v/>
      </c>
      <c r="F152" s="38" t="n">
        <v>300</v>
      </c>
      <c r="G152" s="39" t="n">
        <v>1.2</v>
      </c>
      <c r="H152" s="38" t="n">
        <v>1100</v>
      </c>
      <c r="I152" s="38" t="n">
        <v>0</v>
      </c>
      <c r="J152" s="39" t="n">
        <v>1.35</v>
      </c>
      <c r="K152" s="42">
        <f>ROUNDUP(F152*POWER(G152,D152),0)</f>
        <v/>
      </c>
      <c r="L152" s="40">
        <f>MAX(1,ROUNDDOWN(K152/'参数与公式'!$B$5,0))</f>
        <v/>
      </c>
      <c r="M152" s="40">
        <f>MAX(1,ROUNDDOWN(K152*(1-'参数与公式'!$B$14)/'参数与公式'!$B$5,0))</f>
        <v/>
      </c>
      <c r="N152" s="42">
        <f>IF(H152=0,0,ROUNDUP(H152*POWER(J152,D152),0))</f>
        <v/>
      </c>
      <c r="O152" s="42">
        <f>IF(I152=0,0,ROUNDUP(I152*POWER(J152,D152),0))</f>
        <v/>
      </c>
      <c r="P152" s="40">
        <f>IF(N152=0,0,MAX(1,ROUNDUP(N152*(1-'参数与公式'!$B$17),0)))</f>
        <v/>
      </c>
      <c r="Q152" s="40">
        <f>IF(O152=0,0,MAX(1,ROUNDUP(O152*(1-'参数与公式'!$B$17),0)))</f>
        <v/>
      </c>
      <c r="R152" s="18" t="inlineStr">
        <is>
          <t>data/building_templates.yaml; max_level: gameplay/constants.py; formula: gameplay/models/manor.py</t>
        </is>
      </c>
    </row>
    <row r="153" ht="25" customHeight="1">
      <c r="A153" s="17" t="inlineStr">
        <is>
          <t>silver_vault</t>
        </is>
      </c>
      <c r="B153" s="18" t="inlineStr">
        <is>
          <t>银库</t>
        </is>
      </c>
      <c r="C153" s="18" t="inlineStr">
        <is>
          <t>仓储设施</t>
        </is>
      </c>
      <c r="D153" s="17" t="n">
        <v>14</v>
      </c>
      <c r="E153" s="24">
        <f>D153+1</f>
        <v/>
      </c>
      <c r="F153" s="38" t="n">
        <v>300</v>
      </c>
      <c r="G153" s="39" t="n">
        <v>1.2</v>
      </c>
      <c r="H153" s="38" t="n">
        <v>1100</v>
      </c>
      <c r="I153" s="38" t="n">
        <v>0</v>
      </c>
      <c r="J153" s="39" t="n">
        <v>1.35</v>
      </c>
      <c r="K153" s="42">
        <f>ROUNDUP(F153*POWER(G153,D153),0)</f>
        <v/>
      </c>
      <c r="L153" s="40">
        <f>MAX(1,ROUNDDOWN(K153/'参数与公式'!$B$5,0))</f>
        <v/>
      </c>
      <c r="M153" s="40">
        <f>MAX(1,ROUNDDOWN(K153*(1-'参数与公式'!$B$14)/'参数与公式'!$B$5,0))</f>
        <v/>
      </c>
      <c r="N153" s="42">
        <f>IF(H153=0,0,ROUNDUP(H153*POWER(J153,D153),0))</f>
        <v/>
      </c>
      <c r="O153" s="42">
        <f>IF(I153=0,0,ROUNDUP(I153*POWER(J153,D153),0))</f>
        <v/>
      </c>
      <c r="P153" s="40">
        <f>IF(N153=0,0,MAX(1,ROUNDUP(N153*(1-'参数与公式'!$B$17),0)))</f>
        <v/>
      </c>
      <c r="Q153" s="40">
        <f>IF(O153=0,0,MAX(1,ROUNDUP(O153*(1-'参数与公式'!$B$17),0)))</f>
        <v/>
      </c>
      <c r="R153" s="18" t="inlineStr">
        <is>
          <t>data/building_templates.yaml; max_level: gameplay/constants.py; formula: gameplay/models/manor.py</t>
        </is>
      </c>
    </row>
    <row r="154" ht="25" customHeight="1">
      <c r="A154" s="17" t="inlineStr">
        <is>
          <t>silver_vault</t>
        </is>
      </c>
      <c r="B154" s="18" t="inlineStr">
        <is>
          <t>银库</t>
        </is>
      </c>
      <c r="C154" s="18" t="inlineStr">
        <is>
          <t>仓储设施</t>
        </is>
      </c>
      <c r="D154" s="17" t="n">
        <v>15</v>
      </c>
      <c r="E154" s="24">
        <f>D154+1</f>
        <v/>
      </c>
      <c r="F154" s="38" t="n">
        <v>300</v>
      </c>
      <c r="G154" s="39" t="n">
        <v>1.2</v>
      </c>
      <c r="H154" s="38" t="n">
        <v>1100</v>
      </c>
      <c r="I154" s="38" t="n">
        <v>0</v>
      </c>
      <c r="J154" s="39" t="n">
        <v>1.35</v>
      </c>
      <c r="K154" s="42">
        <f>ROUNDUP(F154*POWER(G154,D154),0)</f>
        <v/>
      </c>
      <c r="L154" s="40">
        <f>MAX(1,ROUNDDOWN(K154/'参数与公式'!$B$5,0))</f>
        <v/>
      </c>
      <c r="M154" s="40">
        <f>MAX(1,ROUNDDOWN(K154*(1-'参数与公式'!$B$14)/'参数与公式'!$B$5,0))</f>
        <v/>
      </c>
      <c r="N154" s="42">
        <f>IF(H154=0,0,ROUNDUP(H154*POWER(J154,D154),0))</f>
        <v/>
      </c>
      <c r="O154" s="42">
        <f>IF(I154=0,0,ROUNDUP(I154*POWER(J154,D154),0))</f>
        <v/>
      </c>
      <c r="P154" s="40">
        <f>IF(N154=0,0,MAX(1,ROUNDUP(N154*(1-'参数与公式'!$B$17),0)))</f>
        <v/>
      </c>
      <c r="Q154" s="40">
        <f>IF(O154=0,0,MAX(1,ROUNDUP(O154*(1-'参数与公式'!$B$17),0)))</f>
        <v/>
      </c>
      <c r="R154" s="18" t="inlineStr">
        <is>
          <t>data/building_templates.yaml; max_level: gameplay/constants.py; formula: gameplay/models/manor.py</t>
        </is>
      </c>
    </row>
    <row r="155" ht="25" customHeight="1">
      <c r="A155" s="17" t="inlineStr">
        <is>
          <t>silver_vault</t>
        </is>
      </c>
      <c r="B155" s="18" t="inlineStr">
        <is>
          <t>银库</t>
        </is>
      </c>
      <c r="C155" s="18" t="inlineStr">
        <is>
          <t>仓储设施</t>
        </is>
      </c>
      <c r="D155" s="17" t="n">
        <v>16</v>
      </c>
      <c r="E155" s="24">
        <f>D155+1</f>
        <v/>
      </c>
      <c r="F155" s="38" t="n">
        <v>300</v>
      </c>
      <c r="G155" s="39" t="n">
        <v>1.2</v>
      </c>
      <c r="H155" s="38" t="n">
        <v>1100</v>
      </c>
      <c r="I155" s="38" t="n">
        <v>0</v>
      </c>
      <c r="J155" s="39" t="n">
        <v>1.35</v>
      </c>
      <c r="K155" s="42">
        <f>ROUNDUP(F155*POWER(G155,D155),0)</f>
        <v/>
      </c>
      <c r="L155" s="40">
        <f>MAX(1,ROUNDDOWN(K155/'参数与公式'!$B$5,0))</f>
        <v/>
      </c>
      <c r="M155" s="40">
        <f>MAX(1,ROUNDDOWN(K155*(1-'参数与公式'!$B$14)/'参数与公式'!$B$5,0))</f>
        <v/>
      </c>
      <c r="N155" s="42">
        <f>IF(H155=0,0,ROUNDUP(H155*POWER(J155,D155),0))</f>
        <v/>
      </c>
      <c r="O155" s="42">
        <f>IF(I155=0,0,ROUNDUP(I155*POWER(J155,D155),0))</f>
        <v/>
      </c>
      <c r="P155" s="40">
        <f>IF(N155=0,0,MAX(1,ROUNDUP(N155*(1-'参数与公式'!$B$17),0)))</f>
        <v/>
      </c>
      <c r="Q155" s="40">
        <f>IF(O155=0,0,MAX(1,ROUNDUP(O155*(1-'参数与公式'!$B$17),0)))</f>
        <v/>
      </c>
      <c r="R155" s="18" t="inlineStr">
        <is>
          <t>data/building_templates.yaml; max_level: gameplay/constants.py; formula: gameplay/models/manor.py</t>
        </is>
      </c>
    </row>
    <row r="156" ht="25" customHeight="1">
      <c r="A156" s="17" t="inlineStr">
        <is>
          <t>silver_vault</t>
        </is>
      </c>
      <c r="B156" s="18" t="inlineStr">
        <is>
          <t>银库</t>
        </is>
      </c>
      <c r="C156" s="18" t="inlineStr">
        <is>
          <t>仓储设施</t>
        </is>
      </c>
      <c r="D156" s="17" t="n">
        <v>17</v>
      </c>
      <c r="E156" s="24">
        <f>D156+1</f>
        <v/>
      </c>
      <c r="F156" s="38" t="n">
        <v>300</v>
      </c>
      <c r="G156" s="39" t="n">
        <v>1.2</v>
      </c>
      <c r="H156" s="38" t="n">
        <v>1100</v>
      </c>
      <c r="I156" s="38" t="n">
        <v>0</v>
      </c>
      <c r="J156" s="39" t="n">
        <v>1.35</v>
      </c>
      <c r="K156" s="42">
        <f>ROUNDUP(F156*POWER(G156,D156),0)</f>
        <v/>
      </c>
      <c r="L156" s="40">
        <f>MAX(1,ROUNDDOWN(K156/'参数与公式'!$B$5,0))</f>
        <v/>
      </c>
      <c r="M156" s="40">
        <f>MAX(1,ROUNDDOWN(K156*(1-'参数与公式'!$B$14)/'参数与公式'!$B$5,0))</f>
        <v/>
      </c>
      <c r="N156" s="42">
        <f>IF(H156=0,0,ROUNDUP(H156*POWER(J156,D156),0))</f>
        <v/>
      </c>
      <c r="O156" s="42">
        <f>IF(I156=0,0,ROUNDUP(I156*POWER(J156,D156),0))</f>
        <v/>
      </c>
      <c r="P156" s="40">
        <f>IF(N156=0,0,MAX(1,ROUNDUP(N156*(1-'参数与公式'!$B$17),0)))</f>
        <v/>
      </c>
      <c r="Q156" s="40">
        <f>IF(O156=0,0,MAX(1,ROUNDUP(O156*(1-'参数与公式'!$B$17),0)))</f>
        <v/>
      </c>
      <c r="R156" s="18" t="inlineStr">
        <is>
          <t>data/building_templates.yaml; max_level: gameplay/constants.py; formula: gameplay/models/manor.py</t>
        </is>
      </c>
    </row>
    <row r="157" ht="25" customHeight="1">
      <c r="A157" s="17" t="inlineStr">
        <is>
          <t>silver_vault</t>
        </is>
      </c>
      <c r="B157" s="18" t="inlineStr">
        <is>
          <t>银库</t>
        </is>
      </c>
      <c r="C157" s="18" t="inlineStr">
        <is>
          <t>仓储设施</t>
        </is>
      </c>
      <c r="D157" s="17" t="n">
        <v>18</v>
      </c>
      <c r="E157" s="24">
        <f>D157+1</f>
        <v/>
      </c>
      <c r="F157" s="38" t="n">
        <v>300</v>
      </c>
      <c r="G157" s="39" t="n">
        <v>1.2</v>
      </c>
      <c r="H157" s="38" t="n">
        <v>1100</v>
      </c>
      <c r="I157" s="38" t="n">
        <v>0</v>
      </c>
      <c r="J157" s="39" t="n">
        <v>1.35</v>
      </c>
      <c r="K157" s="42">
        <f>ROUNDUP(F157*POWER(G157,D157),0)</f>
        <v/>
      </c>
      <c r="L157" s="40">
        <f>MAX(1,ROUNDDOWN(K157/'参数与公式'!$B$5,0))</f>
        <v/>
      </c>
      <c r="M157" s="40">
        <f>MAX(1,ROUNDDOWN(K157*(1-'参数与公式'!$B$14)/'参数与公式'!$B$5,0))</f>
        <v/>
      </c>
      <c r="N157" s="42">
        <f>IF(H157=0,0,ROUNDUP(H157*POWER(J157,D157),0))</f>
        <v/>
      </c>
      <c r="O157" s="42">
        <f>IF(I157=0,0,ROUNDUP(I157*POWER(J157,D157),0))</f>
        <v/>
      </c>
      <c r="P157" s="40">
        <f>IF(N157=0,0,MAX(1,ROUNDUP(N157*(1-'参数与公式'!$B$17),0)))</f>
        <v/>
      </c>
      <c r="Q157" s="40">
        <f>IF(O157=0,0,MAX(1,ROUNDUP(O157*(1-'参数与公式'!$B$17),0)))</f>
        <v/>
      </c>
      <c r="R157" s="18" t="inlineStr">
        <is>
          <t>data/building_templates.yaml; max_level: gameplay/constants.py; formula: gameplay/models/manor.py</t>
        </is>
      </c>
    </row>
    <row r="158" ht="25" customHeight="1">
      <c r="A158" s="17" t="inlineStr">
        <is>
          <t>silver_vault</t>
        </is>
      </c>
      <c r="B158" s="18" t="inlineStr">
        <is>
          <t>银库</t>
        </is>
      </c>
      <c r="C158" s="18" t="inlineStr">
        <is>
          <t>仓储设施</t>
        </is>
      </c>
      <c r="D158" s="17" t="n">
        <v>19</v>
      </c>
      <c r="E158" s="24">
        <f>D158+1</f>
        <v/>
      </c>
      <c r="F158" s="38" t="n">
        <v>300</v>
      </c>
      <c r="G158" s="39" t="n">
        <v>1.2</v>
      </c>
      <c r="H158" s="38" t="n">
        <v>1100</v>
      </c>
      <c r="I158" s="38" t="n">
        <v>0</v>
      </c>
      <c r="J158" s="39" t="n">
        <v>1.35</v>
      </c>
      <c r="K158" s="42">
        <f>ROUNDUP(F158*POWER(G158,D158),0)</f>
        <v/>
      </c>
      <c r="L158" s="40">
        <f>MAX(1,ROUNDDOWN(K158/'参数与公式'!$B$5,0))</f>
        <v/>
      </c>
      <c r="M158" s="40">
        <f>MAX(1,ROUNDDOWN(K158*(1-'参数与公式'!$B$14)/'参数与公式'!$B$5,0))</f>
        <v/>
      </c>
      <c r="N158" s="42">
        <f>IF(H158=0,0,ROUNDUP(H158*POWER(J158,D158),0))</f>
        <v/>
      </c>
      <c r="O158" s="42">
        <f>IF(I158=0,0,ROUNDUP(I158*POWER(J158,D158),0))</f>
        <v/>
      </c>
      <c r="P158" s="40">
        <f>IF(N158=0,0,MAX(1,ROUNDUP(N158*(1-'参数与公式'!$B$17),0)))</f>
        <v/>
      </c>
      <c r="Q158" s="40">
        <f>IF(O158=0,0,MAX(1,ROUNDUP(O158*(1-'参数与公式'!$B$17),0)))</f>
        <v/>
      </c>
      <c r="R158" s="18" t="inlineStr">
        <is>
          <t>data/building_templates.yaml; max_level: gameplay/constants.py; formula: gameplay/models/manor.py</t>
        </is>
      </c>
    </row>
    <row r="159" ht="25" customHeight="1">
      <c r="A159" s="17" t="inlineStr">
        <is>
          <t>silver_vault</t>
        </is>
      </c>
      <c r="B159" s="18" t="inlineStr">
        <is>
          <t>银库</t>
        </is>
      </c>
      <c r="C159" s="18" t="inlineStr">
        <is>
          <t>仓储设施</t>
        </is>
      </c>
      <c r="D159" s="17" t="n">
        <v>20</v>
      </c>
      <c r="E159" s="24">
        <f>D159+1</f>
        <v/>
      </c>
      <c r="F159" s="38" t="n">
        <v>300</v>
      </c>
      <c r="G159" s="39" t="n">
        <v>1.2</v>
      </c>
      <c r="H159" s="38" t="n">
        <v>1100</v>
      </c>
      <c r="I159" s="38" t="n">
        <v>0</v>
      </c>
      <c r="J159" s="39" t="n">
        <v>1.35</v>
      </c>
      <c r="K159" s="42">
        <f>ROUNDUP(F159*POWER(G159,D159),0)</f>
        <v/>
      </c>
      <c r="L159" s="40">
        <f>MAX(1,ROUNDDOWN(K159/'参数与公式'!$B$5,0))</f>
        <v/>
      </c>
      <c r="M159" s="40">
        <f>MAX(1,ROUNDDOWN(K159*(1-'参数与公式'!$B$14)/'参数与公式'!$B$5,0))</f>
        <v/>
      </c>
      <c r="N159" s="42">
        <f>IF(H159=0,0,ROUNDUP(H159*POWER(J159,D159),0))</f>
        <v/>
      </c>
      <c r="O159" s="42">
        <f>IF(I159=0,0,ROUNDUP(I159*POWER(J159,D159),0))</f>
        <v/>
      </c>
      <c r="P159" s="40">
        <f>IF(N159=0,0,MAX(1,ROUNDUP(N159*(1-'参数与公式'!$B$17),0)))</f>
        <v/>
      </c>
      <c r="Q159" s="40">
        <f>IF(O159=0,0,MAX(1,ROUNDUP(O159*(1-'参数与公式'!$B$17),0)))</f>
        <v/>
      </c>
      <c r="R159" s="18" t="inlineStr">
        <is>
          <t>data/building_templates.yaml; max_level: gameplay/constants.py; formula: gameplay/models/manor.py</t>
        </is>
      </c>
    </row>
    <row r="160" ht="25" customHeight="1">
      <c r="A160" s="17" t="inlineStr">
        <is>
          <t>silver_vault</t>
        </is>
      </c>
      <c r="B160" s="18" t="inlineStr">
        <is>
          <t>银库</t>
        </is>
      </c>
      <c r="C160" s="18" t="inlineStr">
        <is>
          <t>仓储设施</t>
        </is>
      </c>
      <c r="D160" s="17" t="n">
        <v>21</v>
      </c>
      <c r="E160" s="24">
        <f>D160+1</f>
        <v/>
      </c>
      <c r="F160" s="38" t="n">
        <v>300</v>
      </c>
      <c r="G160" s="39" t="n">
        <v>1.2</v>
      </c>
      <c r="H160" s="38" t="n">
        <v>1100</v>
      </c>
      <c r="I160" s="38" t="n">
        <v>0</v>
      </c>
      <c r="J160" s="39" t="n">
        <v>1.35</v>
      </c>
      <c r="K160" s="42">
        <f>ROUNDUP(F160*POWER(G160,D160),0)</f>
        <v/>
      </c>
      <c r="L160" s="40">
        <f>MAX(1,ROUNDDOWN(K160/'参数与公式'!$B$5,0))</f>
        <v/>
      </c>
      <c r="M160" s="40">
        <f>MAX(1,ROUNDDOWN(K160*(1-'参数与公式'!$B$14)/'参数与公式'!$B$5,0))</f>
        <v/>
      </c>
      <c r="N160" s="42">
        <f>IF(H160=0,0,ROUNDUP(H160*POWER(J160,D160),0))</f>
        <v/>
      </c>
      <c r="O160" s="42">
        <f>IF(I160=0,0,ROUNDUP(I160*POWER(J160,D160),0))</f>
        <v/>
      </c>
      <c r="P160" s="40">
        <f>IF(N160=0,0,MAX(1,ROUNDUP(N160*(1-'参数与公式'!$B$17),0)))</f>
        <v/>
      </c>
      <c r="Q160" s="40">
        <f>IF(O160=0,0,MAX(1,ROUNDUP(O160*(1-'参数与公式'!$B$17),0)))</f>
        <v/>
      </c>
      <c r="R160" s="18" t="inlineStr">
        <is>
          <t>data/building_templates.yaml; max_level: gameplay/constants.py; formula: gameplay/models/manor.py</t>
        </is>
      </c>
    </row>
    <row r="161" ht="25" customHeight="1">
      <c r="A161" s="17" t="inlineStr">
        <is>
          <t>silver_vault</t>
        </is>
      </c>
      <c r="B161" s="18" t="inlineStr">
        <is>
          <t>银库</t>
        </is>
      </c>
      <c r="C161" s="18" t="inlineStr">
        <is>
          <t>仓储设施</t>
        </is>
      </c>
      <c r="D161" s="17" t="n">
        <v>22</v>
      </c>
      <c r="E161" s="24">
        <f>D161+1</f>
        <v/>
      </c>
      <c r="F161" s="38" t="n">
        <v>300</v>
      </c>
      <c r="G161" s="39" t="n">
        <v>1.2</v>
      </c>
      <c r="H161" s="38" t="n">
        <v>1100</v>
      </c>
      <c r="I161" s="38" t="n">
        <v>0</v>
      </c>
      <c r="J161" s="39" t="n">
        <v>1.35</v>
      </c>
      <c r="K161" s="42">
        <f>ROUNDUP(F161*POWER(G161,D161),0)</f>
        <v/>
      </c>
      <c r="L161" s="40">
        <f>MAX(1,ROUNDDOWN(K161/'参数与公式'!$B$5,0))</f>
        <v/>
      </c>
      <c r="M161" s="40">
        <f>MAX(1,ROUNDDOWN(K161*(1-'参数与公式'!$B$14)/'参数与公式'!$B$5,0))</f>
        <v/>
      </c>
      <c r="N161" s="42">
        <f>IF(H161=0,0,ROUNDUP(H161*POWER(J161,D161),0))</f>
        <v/>
      </c>
      <c r="O161" s="42">
        <f>IF(I161=0,0,ROUNDUP(I161*POWER(J161,D161),0))</f>
        <v/>
      </c>
      <c r="P161" s="40">
        <f>IF(N161=0,0,MAX(1,ROUNDUP(N161*(1-'参数与公式'!$B$17),0)))</f>
        <v/>
      </c>
      <c r="Q161" s="40">
        <f>IF(O161=0,0,MAX(1,ROUNDUP(O161*(1-'参数与公式'!$B$17),0)))</f>
        <v/>
      </c>
      <c r="R161" s="18" t="inlineStr">
        <is>
          <t>data/building_templates.yaml; max_level: gameplay/constants.py; formula: gameplay/models/manor.py</t>
        </is>
      </c>
    </row>
    <row r="162" ht="25" customHeight="1">
      <c r="A162" s="17" t="inlineStr">
        <is>
          <t>silver_vault</t>
        </is>
      </c>
      <c r="B162" s="18" t="inlineStr">
        <is>
          <t>银库</t>
        </is>
      </c>
      <c r="C162" s="18" t="inlineStr">
        <is>
          <t>仓储设施</t>
        </is>
      </c>
      <c r="D162" s="17" t="n">
        <v>23</v>
      </c>
      <c r="E162" s="24">
        <f>D162+1</f>
        <v/>
      </c>
      <c r="F162" s="38" t="n">
        <v>300</v>
      </c>
      <c r="G162" s="39" t="n">
        <v>1.2</v>
      </c>
      <c r="H162" s="38" t="n">
        <v>1100</v>
      </c>
      <c r="I162" s="38" t="n">
        <v>0</v>
      </c>
      <c r="J162" s="39" t="n">
        <v>1.35</v>
      </c>
      <c r="K162" s="42">
        <f>ROUNDUP(F162*POWER(G162,D162),0)</f>
        <v/>
      </c>
      <c r="L162" s="40">
        <f>MAX(1,ROUNDDOWN(K162/'参数与公式'!$B$5,0))</f>
        <v/>
      </c>
      <c r="M162" s="40">
        <f>MAX(1,ROUNDDOWN(K162*(1-'参数与公式'!$B$14)/'参数与公式'!$B$5,0))</f>
        <v/>
      </c>
      <c r="N162" s="42">
        <f>IF(H162=0,0,ROUNDUP(H162*POWER(J162,D162),0))</f>
        <v/>
      </c>
      <c r="O162" s="42">
        <f>IF(I162=0,0,ROUNDUP(I162*POWER(J162,D162),0))</f>
        <v/>
      </c>
      <c r="P162" s="40">
        <f>IF(N162=0,0,MAX(1,ROUNDUP(N162*(1-'参数与公式'!$B$17),0)))</f>
        <v/>
      </c>
      <c r="Q162" s="40">
        <f>IF(O162=0,0,MAX(1,ROUNDUP(O162*(1-'参数与公式'!$B$17),0)))</f>
        <v/>
      </c>
      <c r="R162" s="18" t="inlineStr">
        <is>
          <t>data/building_templates.yaml; max_level: gameplay/constants.py; formula: gameplay/models/manor.py</t>
        </is>
      </c>
    </row>
    <row r="163" ht="25" customHeight="1">
      <c r="A163" s="17" t="inlineStr">
        <is>
          <t>silver_vault</t>
        </is>
      </c>
      <c r="B163" s="18" t="inlineStr">
        <is>
          <t>银库</t>
        </is>
      </c>
      <c r="C163" s="18" t="inlineStr">
        <is>
          <t>仓储设施</t>
        </is>
      </c>
      <c r="D163" s="17" t="n">
        <v>24</v>
      </c>
      <c r="E163" s="24">
        <f>D163+1</f>
        <v/>
      </c>
      <c r="F163" s="38" t="n">
        <v>300</v>
      </c>
      <c r="G163" s="39" t="n">
        <v>1.2</v>
      </c>
      <c r="H163" s="38" t="n">
        <v>1100</v>
      </c>
      <c r="I163" s="38" t="n">
        <v>0</v>
      </c>
      <c r="J163" s="39" t="n">
        <v>1.35</v>
      </c>
      <c r="K163" s="42">
        <f>ROUNDUP(F163*POWER(G163,D163),0)</f>
        <v/>
      </c>
      <c r="L163" s="40">
        <f>MAX(1,ROUNDDOWN(K163/'参数与公式'!$B$5,0))</f>
        <v/>
      </c>
      <c r="M163" s="40">
        <f>MAX(1,ROUNDDOWN(K163*(1-'参数与公式'!$B$14)/'参数与公式'!$B$5,0))</f>
        <v/>
      </c>
      <c r="N163" s="42">
        <f>IF(H163=0,0,ROUNDUP(H163*POWER(J163,D163),0))</f>
        <v/>
      </c>
      <c r="O163" s="42">
        <f>IF(I163=0,0,ROUNDUP(I163*POWER(J163,D163),0))</f>
        <v/>
      </c>
      <c r="P163" s="40">
        <f>IF(N163=0,0,MAX(1,ROUNDUP(N163*(1-'参数与公式'!$B$17),0)))</f>
        <v/>
      </c>
      <c r="Q163" s="40">
        <f>IF(O163=0,0,MAX(1,ROUNDUP(O163*(1-'参数与公式'!$B$17),0)))</f>
        <v/>
      </c>
      <c r="R163" s="18" t="inlineStr">
        <is>
          <t>data/building_templates.yaml; max_level: gameplay/constants.py; formula: gameplay/models/manor.py</t>
        </is>
      </c>
    </row>
    <row r="164" ht="25" customHeight="1">
      <c r="A164" s="17" t="inlineStr">
        <is>
          <t>silver_vault</t>
        </is>
      </c>
      <c r="B164" s="18" t="inlineStr">
        <is>
          <t>银库</t>
        </is>
      </c>
      <c r="C164" s="18" t="inlineStr">
        <is>
          <t>仓储设施</t>
        </is>
      </c>
      <c r="D164" s="17" t="n">
        <v>25</v>
      </c>
      <c r="E164" s="24">
        <f>D164+1</f>
        <v/>
      </c>
      <c r="F164" s="38" t="n">
        <v>300</v>
      </c>
      <c r="G164" s="39" t="n">
        <v>1.2</v>
      </c>
      <c r="H164" s="38" t="n">
        <v>1100</v>
      </c>
      <c r="I164" s="38" t="n">
        <v>0</v>
      </c>
      <c r="J164" s="39" t="n">
        <v>1.35</v>
      </c>
      <c r="K164" s="42">
        <f>ROUNDUP(F164*POWER(G164,D164),0)</f>
        <v/>
      </c>
      <c r="L164" s="40">
        <f>MAX(1,ROUNDDOWN(K164/'参数与公式'!$B$5,0))</f>
        <v/>
      </c>
      <c r="M164" s="40">
        <f>MAX(1,ROUNDDOWN(K164*(1-'参数与公式'!$B$14)/'参数与公式'!$B$5,0))</f>
        <v/>
      </c>
      <c r="N164" s="42">
        <f>IF(H164=0,0,ROUNDUP(H164*POWER(J164,D164),0))</f>
        <v/>
      </c>
      <c r="O164" s="42">
        <f>IF(I164=0,0,ROUNDUP(I164*POWER(J164,D164),0))</f>
        <v/>
      </c>
      <c r="P164" s="40">
        <f>IF(N164=0,0,MAX(1,ROUNDUP(N164*(1-'参数与公式'!$B$17),0)))</f>
        <v/>
      </c>
      <c r="Q164" s="40">
        <f>IF(O164=0,0,MAX(1,ROUNDUP(O164*(1-'参数与公式'!$B$17),0)))</f>
        <v/>
      </c>
      <c r="R164" s="18" t="inlineStr">
        <is>
          <t>data/building_templates.yaml; max_level: gameplay/constants.py; formula: gameplay/models/manor.py</t>
        </is>
      </c>
    </row>
    <row r="165" ht="25" customHeight="1">
      <c r="A165" s="17" t="inlineStr">
        <is>
          <t>silver_vault</t>
        </is>
      </c>
      <c r="B165" s="18" t="inlineStr">
        <is>
          <t>银库</t>
        </is>
      </c>
      <c r="C165" s="18" t="inlineStr">
        <is>
          <t>仓储设施</t>
        </is>
      </c>
      <c r="D165" s="17" t="n">
        <v>26</v>
      </c>
      <c r="E165" s="24">
        <f>D165+1</f>
        <v/>
      </c>
      <c r="F165" s="38" t="n">
        <v>300</v>
      </c>
      <c r="G165" s="39" t="n">
        <v>1.2</v>
      </c>
      <c r="H165" s="38" t="n">
        <v>1100</v>
      </c>
      <c r="I165" s="38" t="n">
        <v>0</v>
      </c>
      <c r="J165" s="39" t="n">
        <v>1.35</v>
      </c>
      <c r="K165" s="42">
        <f>ROUNDUP(F165*POWER(G165,D165),0)</f>
        <v/>
      </c>
      <c r="L165" s="40">
        <f>MAX(1,ROUNDDOWN(K165/'参数与公式'!$B$5,0))</f>
        <v/>
      </c>
      <c r="M165" s="40">
        <f>MAX(1,ROUNDDOWN(K165*(1-'参数与公式'!$B$14)/'参数与公式'!$B$5,0))</f>
        <v/>
      </c>
      <c r="N165" s="42">
        <f>IF(H165=0,0,ROUNDUP(H165*POWER(J165,D165),0))</f>
        <v/>
      </c>
      <c r="O165" s="42">
        <f>IF(I165=0,0,ROUNDUP(I165*POWER(J165,D165),0))</f>
        <v/>
      </c>
      <c r="P165" s="40">
        <f>IF(N165=0,0,MAX(1,ROUNDUP(N165*(1-'参数与公式'!$B$17),0)))</f>
        <v/>
      </c>
      <c r="Q165" s="40">
        <f>IF(O165=0,0,MAX(1,ROUNDUP(O165*(1-'参数与公式'!$B$17),0)))</f>
        <v/>
      </c>
      <c r="R165" s="18" t="inlineStr">
        <is>
          <t>data/building_templates.yaml; max_level: gameplay/constants.py; formula: gameplay/models/manor.py</t>
        </is>
      </c>
    </row>
    <row r="166" ht="25" customHeight="1">
      <c r="A166" s="17" t="inlineStr">
        <is>
          <t>silver_vault</t>
        </is>
      </c>
      <c r="B166" s="18" t="inlineStr">
        <is>
          <t>银库</t>
        </is>
      </c>
      <c r="C166" s="18" t="inlineStr">
        <is>
          <t>仓储设施</t>
        </is>
      </c>
      <c r="D166" s="17" t="n">
        <v>27</v>
      </c>
      <c r="E166" s="24">
        <f>D166+1</f>
        <v/>
      </c>
      <c r="F166" s="38" t="n">
        <v>300</v>
      </c>
      <c r="G166" s="39" t="n">
        <v>1.2</v>
      </c>
      <c r="H166" s="38" t="n">
        <v>1100</v>
      </c>
      <c r="I166" s="38" t="n">
        <v>0</v>
      </c>
      <c r="J166" s="39" t="n">
        <v>1.35</v>
      </c>
      <c r="K166" s="42">
        <f>ROUNDUP(F166*POWER(G166,D166),0)</f>
        <v/>
      </c>
      <c r="L166" s="40">
        <f>MAX(1,ROUNDDOWN(K166/'参数与公式'!$B$5,0))</f>
        <v/>
      </c>
      <c r="M166" s="40">
        <f>MAX(1,ROUNDDOWN(K166*(1-'参数与公式'!$B$14)/'参数与公式'!$B$5,0))</f>
        <v/>
      </c>
      <c r="N166" s="42">
        <f>IF(H166=0,0,ROUNDUP(H166*POWER(J166,D166),0))</f>
        <v/>
      </c>
      <c r="O166" s="42">
        <f>IF(I166=0,0,ROUNDUP(I166*POWER(J166,D166),0))</f>
        <v/>
      </c>
      <c r="P166" s="40">
        <f>IF(N166=0,0,MAX(1,ROUNDUP(N166*(1-'参数与公式'!$B$17),0)))</f>
        <v/>
      </c>
      <c r="Q166" s="40">
        <f>IF(O166=0,0,MAX(1,ROUNDUP(O166*(1-'参数与公式'!$B$17),0)))</f>
        <v/>
      </c>
      <c r="R166" s="18" t="inlineStr">
        <is>
          <t>data/building_templates.yaml; max_level: gameplay/constants.py; formula: gameplay/models/manor.py</t>
        </is>
      </c>
    </row>
    <row r="167" ht="25" customHeight="1">
      <c r="A167" s="17" t="inlineStr">
        <is>
          <t>silver_vault</t>
        </is>
      </c>
      <c r="B167" s="18" t="inlineStr">
        <is>
          <t>银库</t>
        </is>
      </c>
      <c r="C167" s="18" t="inlineStr">
        <is>
          <t>仓储设施</t>
        </is>
      </c>
      <c r="D167" s="17" t="n">
        <v>28</v>
      </c>
      <c r="E167" s="24">
        <f>D167+1</f>
        <v/>
      </c>
      <c r="F167" s="38" t="n">
        <v>300</v>
      </c>
      <c r="G167" s="39" t="n">
        <v>1.2</v>
      </c>
      <c r="H167" s="38" t="n">
        <v>1100</v>
      </c>
      <c r="I167" s="38" t="n">
        <v>0</v>
      </c>
      <c r="J167" s="39" t="n">
        <v>1.35</v>
      </c>
      <c r="K167" s="42">
        <f>ROUNDUP(F167*POWER(G167,D167),0)</f>
        <v/>
      </c>
      <c r="L167" s="40">
        <f>MAX(1,ROUNDDOWN(K167/'参数与公式'!$B$5,0))</f>
        <v/>
      </c>
      <c r="M167" s="40">
        <f>MAX(1,ROUNDDOWN(K167*(1-'参数与公式'!$B$14)/'参数与公式'!$B$5,0))</f>
        <v/>
      </c>
      <c r="N167" s="42">
        <f>IF(H167=0,0,ROUNDUP(H167*POWER(J167,D167),0))</f>
        <v/>
      </c>
      <c r="O167" s="42">
        <f>IF(I167=0,0,ROUNDUP(I167*POWER(J167,D167),0))</f>
        <v/>
      </c>
      <c r="P167" s="40">
        <f>IF(N167=0,0,MAX(1,ROUNDUP(N167*(1-'参数与公式'!$B$17),0)))</f>
        <v/>
      </c>
      <c r="Q167" s="40">
        <f>IF(O167=0,0,MAX(1,ROUNDUP(O167*(1-'参数与公式'!$B$17),0)))</f>
        <v/>
      </c>
      <c r="R167" s="18" t="inlineStr">
        <is>
          <t>data/building_templates.yaml; max_level: gameplay/constants.py; formula: gameplay/models/manor.py</t>
        </is>
      </c>
    </row>
    <row r="168" ht="25" customHeight="1">
      <c r="A168" s="17" t="inlineStr">
        <is>
          <t>silver_vault</t>
        </is>
      </c>
      <c r="B168" s="18" t="inlineStr">
        <is>
          <t>银库</t>
        </is>
      </c>
      <c r="C168" s="18" t="inlineStr">
        <is>
          <t>仓储设施</t>
        </is>
      </c>
      <c r="D168" s="17" t="n">
        <v>29</v>
      </c>
      <c r="E168" s="24">
        <f>D168+1</f>
        <v/>
      </c>
      <c r="F168" s="38" t="n">
        <v>300</v>
      </c>
      <c r="G168" s="39" t="n">
        <v>1.2</v>
      </c>
      <c r="H168" s="38" t="n">
        <v>1100</v>
      </c>
      <c r="I168" s="38" t="n">
        <v>0</v>
      </c>
      <c r="J168" s="39" t="n">
        <v>1.35</v>
      </c>
      <c r="K168" s="42">
        <f>ROUNDUP(F168*POWER(G168,D168),0)</f>
        <v/>
      </c>
      <c r="L168" s="40">
        <f>MAX(1,ROUNDDOWN(K168/'参数与公式'!$B$5,0))</f>
        <v/>
      </c>
      <c r="M168" s="40">
        <f>MAX(1,ROUNDDOWN(K168*(1-'参数与公式'!$B$14)/'参数与公式'!$B$5,0))</f>
        <v/>
      </c>
      <c r="N168" s="42">
        <f>IF(H168=0,0,ROUNDUP(H168*POWER(J168,D168),0))</f>
        <v/>
      </c>
      <c r="O168" s="42">
        <f>IF(I168=0,0,ROUNDUP(I168*POWER(J168,D168),0))</f>
        <v/>
      </c>
      <c r="P168" s="40">
        <f>IF(N168=0,0,MAX(1,ROUNDUP(N168*(1-'参数与公式'!$B$17),0)))</f>
        <v/>
      </c>
      <c r="Q168" s="40">
        <f>IF(O168=0,0,MAX(1,ROUNDUP(O168*(1-'参数与公式'!$B$17),0)))</f>
        <v/>
      </c>
      <c r="R168" s="18" t="inlineStr">
        <is>
          <t>data/building_templates.yaml; max_level: gameplay/constants.py; formula: gameplay/models/manor.py</t>
        </is>
      </c>
    </row>
    <row r="169" ht="25" customHeight="1">
      <c r="A169" s="17" t="inlineStr">
        <is>
          <t>treasury</t>
        </is>
      </c>
      <c r="B169" s="18" t="inlineStr">
        <is>
          <t>藏宝阁</t>
        </is>
      </c>
      <c r="C169" s="18" t="inlineStr">
        <is>
          <t>仓储设施</t>
        </is>
      </c>
      <c r="D169" s="17" t="n">
        <v>1</v>
      </c>
      <c r="E169" s="24">
        <f>D169+1</f>
        <v/>
      </c>
      <c r="F169" s="38" t="n">
        <v>600</v>
      </c>
      <c r="G169" s="39" t="n">
        <v>1.3</v>
      </c>
      <c r="H169" s="38" t="n">
        <v>7500</v>
      </c>
      <c r="I169" s="38" t="n">
        <v>0</v>
      </c>
      <c r="J169" s="39" t="n">
        <v>1.4</v>
      </c>
      <c r="K169" s="42">
        <f>ROUNDUP(F169*POWER(G169,D169),0)</f>
        <v/>
      </c>
      <c r="L169" s="40">
        <f>MAX(1,ROUNDDOWN(K169/'参数与公式'!$B$5,0))</f>
        <v/>
      </c>
      <c r="M169" s="40">
        <f>MAX(1,ROUNDDOWN(K169*(1-'参数与公式'!$B$14)/'参数与公式'!$B$5,0))</f>
        <v/>
      </c>
      <c r="N169" s="42">
        <f>IF(H169=0,0,ROUNDUP(H169*POWER(J169,D169),0))</f>
        <v/>
      </c>
      <c r="O169" s="42">
        <f>IF(I169=0,0,ROUNDUP(I169*POWER(J169,D169),0))</f>
        <v/>
      </c>
      <c r="P169" s="40">
        <f>IF(N169=0,0,MAX(1,ROUNDUP(N169*(1-'参数与公式'!$B$17),0)))</f>
        <v/>
      </c>
      <c r="Q169" s="40">
        <f>IF(O169=0,0,MAX(1,ROUNDUP(O169*(1-'参数与公式'!$B$17),0)))</f>
        <v/>
      </c>
      <c r="R169" s="18" t="inlineStr">
        <is>
          <t>data/building_templates.yaml; max_level: gameplay/constants.py; formula: gameplay/models/manor.py</t>
        </is>
      </c>
    </row>
    <row r="170" ht="25" customHeight="1">
      <c r="A170" s="17" t="inlineStr">
        <is>
          <t>treasury</t>
        </is>
      </c>
      <c r="B170" s="18" t="inlineStr">
        <is>
          <t>藏宝阁</t>
        </is>
      </c>
      <c r="C170" s="18" t="inlineStr">
        <is>
          <t>仓储设施</t>
        </is>
      </c>
      <c r="D170" s="17" t="n">
        <v>2</v>
      </c>
      <c r="E170" s="24">
        <f>D170+1</f>
        <v/>
      </c>
      <c r="F170" s="38" t="n">
        <v>600</v>
      </c>
      <c r="G170" s="39" t="n">
        <v>1.3</v>
      </c>
      <c r="H170" s="38" t="n">
        <v>7500</v>
      </c>
      <c r="I170" s="38" t="n">
        <v>0</v>
      </c>
      <c r="J170" s="39" t="n">
        <v>1.4</v>
      </c>
      <c r="K170" s="42">
        <f>ROUNDUP(F170*POWER(G170,D170),0)</f>
        <v/>
      </c>
      <c r="L170" s="40">
        <f>MAX(1,ROUNDDOWN(K170/'参数与公式'!$B$5,0))</f>
        <v/>
      </c>
      <c r="M170" s="40">
        <f>MAX(1,ROUNDDOWN(K170*(1-'参数与公式'!$B$14)/'参数与公式'!$B$5,0))</f>
        <v/>
      </c>
      <c r="N170" s="42">
        <f>IF(H170=0,0,ROUNDUP(H170*POWER(J170,D170),0))</f>
        <v/>
      </c>
      <c r="O170" s="42">
        <f>IF(I170=0,0,ROUNDUP(I170*POWER(J170,D170),0))</f>
        <v/>
      </c>
      <c r="P170" s="40">
        <f>IF(N170=0,0,MAX(1,ROUNDUP(N170*(1-'参数与公式'!$B$17),0)))</f>
        <v/>
      </c>
      <c r="Q170" s="40">
        <f>IF(O170=0,0,MAX(1,ROUNDUP(O170*(1-'参数与公式'!$B$17),0)))</f>
        <v/>
      </c>
      <c r="R170" s="18" t="inlineStr">
        <is>
          <t>data/building_templates.yaml; max_level: gameplay/constants.py; formula: gameplay/models/manor.py</t>
        </is>
      </c>
    </row>
    <row r="171" ht="25" customHeight="1">
      <c r="A171" s="17" t="inlineStr">
        <is>
          <t>treasury</t>
        </is>
      </c>
      <c r="B171" s="18" t="inlineStr">
        <is>
          <t>藏宝阁</t>
        </is>
      </c>
      <c r="C171" s="18" t="inlineStr">
        <is>
          <t>仓储设施</t>
        </is>
      </c>
      <c r="D171" s="17" t="n">
        <v>3</v>
      </c>
      <c r="E171" s="24">
        <f>D171+1</f>
        <v/>
      </c>
      <c r="F171" s="38" t="n">
        <v>600</v>
      </c>
      <c r="G171" s="39" t="n">
        <v>1.3</v>
      </c>
      <c r="H171" s="38" t="n">
        <v>7500</v>
      </c>
      <c r="I171" s="38" t="n">
        <v>0</v>
      </c>
      <c r="J171" s="39" t="n">
        <v>1.4</v>
      </c>
      <c r="K171" s="42">
        <f>ROUNDUP(F171*POWER(G171,D171),0)</f>
        <v/>
      </c>
      <c r="L171" s="40">
        <f>MAX(1,ROUNDDOWN(K171/'参数与公式'!$B$5,0))</f>
        <v/>
      </c>
      <c r="M171" s="40">
        <f>MAX(1,ROUNDDOWN(K171*(1-'参数与公式'!$B$14)/'参数与公式'!$B$5,0))</f>
        <v/>
      </c>
      <c r="N171" s="42">
        <f>IF(H171=0,0,ROUNDUP(H171*POWER(J171,D171),0))</f>
        <v/>
      </c>
      <c r="O171" s="42">
        <f>IF(I171=0,0,ROUNDUP(I171*POWER(J171,D171),0))</f>
        <v/>
      </c>
      <c r="P171" s="40">
        <f>IF(N171=0,0,MAX(1,ROUNDUP(N171*(1-'参数与公式'!$B$17),0)))</f>
        <v/>
      </c>
      <c r="Q171" s="40">
        <f>IF(O171=0,0,MAX(1,ROUNDUP(O171*(1-'参数与公式'!$B$17),0)))</f>
        <v/>
      </c>
      <c r="R171" s="18" t="inlineStr">
        <is>
          <t>data/building_templates.yaml; max_level: gameplay/constants.py; formula: gameplay/models/manor.py</t>
        </is>
      </c>
    </row>
    <row r="172" ht="25" customHeight="1">
      <c r="A172" s="17" t="inlineStr">
        <is>
          <t>treasury</t>
        </is>
      </c>
      <c r="B172" s="18" t="inlineStr">
        <is>
          <t>藏宝阁</t>
        </is>
      </c>
      <c r="C172" s="18" t="inlineStr">
        <is>
          <t>仓储设施</t>
        </is>
      </c>
      <c r="D172" s="17" t="n">
        <v>4</v>
      </c>
      <c r="E172" s="24">
        <f>D172+1</f>
        <v/>
      </c>
      <c r="F172" s="38" t="n">
        <v>600</v>
      </c>
      <c r="G172" s="39" t="n">
        <v>1.3</v>
      </c>
      <c r="H172" s="38" t="n">
        <v>7500</v>
      </c>
      <c r="I172" s="38" t="n">
        <v>0</v>
      </c>
      <c r="J172" s="39" t="n">
        <v>1.4</v>
      </c>
      <c r="K172" s="42">
        <f>ROUNDUP(F172*POWER(G172,D172),0)</f>
        <v/>
      </c>
      <c r="L172" s="40">
        <f>MAX(1,ROUNDDOWN(K172/'参数与公式'!$B$5,0))</f>
        <v/>
      </c>
      <c r="M172" s="40">
        <f>MAX(1,ROUNDDOWN(K172*(1-'参数与公式'!$B$14)/'参数与公式'!$B$5,0))</f>
        <v/>
      </c>
      <c r="N172" s="42">
        <f>IF(H172=0,0,ROUNDUP(H172*POWER(J172,D172),0))</f>
        <v/>
      </c>
      <c r="O172" s="42">
        <f>IF(I172=0,0,ROUNDUP(I172*POWER(J172,D172),0))</f>
        <v/>
      </c>
      <c r="P172" s="40">
        <f>IF(N172=0,0,MAX(1,ROUNDUP(N172*(1-'参数与公式'!$B$17),0)))</f>
        <v/>
      </c>
      <c r="Q172" s="40">
        <f>IF(O172=0,0,MAX(1,ROUNDUP(O172*(1-'参数与公式'!$B$17),0)))</f>
        <v/>
      </c>
      <c r="R172" s="18" t="inlineStr">
        <is>
          <t>data/building_templates.yaml; max_level: gameplay/constants.py; formula: gameplay/models/manor.py</t>
        </is>
      </c>
    </row>
    <row r="173" ht="25" customHeight="1">
      <c r="A173" s="17" t="inlineStr">
        <is>
          <t>treasury</t>
        </is>
      </c>
      <c r="B173" s="18" t="inlineStr">
        <is>
          <t>藏宝阁</t>
        </is>
      </c>
      <c r="C173" s="18" t="inlineStr">
        <is>
          <t>仓储设施</t>
        </is>
      </c>
      <c r="D173" s="17" t="n">
        <v>5</v>
      </c>
      <c r="E173" s="24">
        <f>D173+1</f>
        <v/>
      </c>
      <c r="F173" s="38" t="n">
        <v>600</v>
      </c>
      <c r="G173" s="39" t="n">
        <v>1.3</v>
      </c>
      <c r="H173" s="38" t="n">
        <v>7500</v>
      </c>
      <c r="I173" s="38" t="n">
        <v>0</v>
      </c>
      <c r="J173" s="39" t="n">
        <v>1.4</v>
      </c>
      <c r="K173" s="42">
        <f>ROUNDUP(F173*POWER(G173,D173),0)</f>
        <v/>
      </c>
      <c r="L173" s="40">
        <f>MAX(1,ROUNDDOWN(K173/'参数与公式'!$B$5,0))</f>
        <v/>
      </c>
      <c r="M173" s="40">
        <f>MAX(1,ROUNDDOWN(K173*(1-'参数与公式'!$B$14)/'参数与公式'!$B$5,0))</f>
        <v/>
      </c>
      <c r="N173" s="42">
        <f>IF(H173=0,0,ROUNDUP(H173*POWER(J173,D173),0))</f>
        <v/>
      </c>
      <c r="O173" s="42">
        <f>IF(I173=0,0,ROUNDUP(I173*POWER(J173,D173),0))</f>
        <v/>
      </c>
      <c r="P173" s="40">
        <f>IF(N173=0,0,MAX(1,ROUNDUP(N173*(1-'参数与公式'!$B$17),0)))</f>
        <v/>
      </c>
      <c r="Q173" s="40">
        <f>IF(O173=0,0,MAX(1,ROUNDUP(O173*(1-'参数与公式'!$B$17),0)))</f>
        <v/>
      </c>
      <c r="R173" s="18" t="inlineStr">
        <is>
          <t>data/building_templates.yaml; max_level: gameplay/constants.py; formula: gameplay/models/manor.py</t>
        </is>
      </c>
    </row>
    <row r="174" ht="25" customHeight="1">
      <c r="A174" s="17" t="inlineStr">
        <is>
          <t>treasury</t>
        </is>
      </c>
      <c r="B174" s="18" t="inlineStr">
        <is>
          <t>藏宝阁</t>
        </is>
      </c>
      <c r="C174" s="18" t="inlineStr">
        <is>
          <t>仓储设施</t>
        </is>
      </c>
      <c r="D174" s="17" t="n">
        <v>6</v>
      </c>
      <c r="E174" s="24">
        <f>D174+1</f>
        <v/>
      </c>
      <c r="F174" s="38" t="n">
        <v>600</v>
      </c>
      <c r="G174" s="39" t="n">
        <v>1.3</v>
      </c>
      <c r="H174" s="38" t="n">
        <v>7500</v>
      </c>
      <c r="I174" s="38" t="n">
        <v>0</v>
      </c>
      <c r="J174" s="39" t="n">
        <v>1.4</v>
      </c>
      <c r="K174" s="42">
        <f>ROUNDUP(F174*POWER(G174,D174),0)</f>
        <v/>
      </c>
      <c r="L174" s="40">
        <f>MAX(1,ROUNDDOWN(K174/'参数与公式'!$B$5,0))</f>
        <v/>
      </c>
      <c r="M174" s="40">
        <f>MAX(1,ROUNDDOWN(K174*(1-'参数与公式'!$B$14)/'参数与公式'!$B$5,0))</f>
        <v/>
      </c>
      <c r="N174" s="42">
        <f>IF(H174=0,0,ROUNDUP(H174*POWER(J174,D174),0))</f>
        <v/>
      </c>
      <c r="O174" s="42">
        <f>IF(I174=0,0,ROUNDUP(I174*POWER(J174,D174),0))</f>
        <v/>
      </c>
      <c r="P174" s="40">
        <f>IF(N174=0,0,MAX(1,ROUNDUP(N174*(1-'参数与公式'!$B$17),0)))</f>
        <v/>
      </c>
      <c r="Q174" s="40">
        <f>IF(O174=0,0,MAX(1,ROUNDUP(O174*(1-'参数与公式'!$B$17),0)))</f>
        <v/>
      </c>
      <c r="R174" s="18" t="inlineStr">
        <is>
          <t>data/building_templates.yaml; max_level: gameplay/constants.py; formula: gameplay/models/manor.py</t>
        </is>
      </c>
    </row>
    <row r="175" ht="25" customHeight="1">
      <c r="A175" s="17" t="inlineStr">
        <is>
          <t>treasury</t>
        </is>
      </c>
      <c r="B175" s="18" t="inlineStr">
        <is>
          <t>藏宝阁</t>
        </is>
      </c>
      <c r="C175" s="18" t="inlineStr">
        <is>
          <t>仓储设施</t>
        </is>
      </c>
      <c r="D175" s="17" t="n">
        <v>7</v>
      </c>
      <c r="E175" s="24">
        <f>D175+1</f>
        <v/>
      </c>
      <c r="F175" s="38" t="n">
        <v>600</v>
      </c>
      <c r="G175" s="39" t="n">
        <v>1.3</v>
      </c>
      <c r="H175" s="38" t="n">
        <v>7500</v>
      </c>
      <c r="I175" s="38" t="n">
        <v>0</v>
      </c>
      <c r="J175" s="39" t="n">
        <v>1.4</v>
      </c>
      <c r="K175" s="42">
        <f>ROUNDUP(F175*POWER(G175,D175),0)</f>
        <v/>
      </c>
      <c r="L175" s="40">
        <f>MAX(1,ROUNDDOWN(K175/'参数与公式'!$B$5,0))</f>
        <v/>
      </c>
      <c r="M175" s="40">
        <f>MAX(1,ROUNDDOWN(K175*(1-'参数与公式'!$B$14)/'参数与公式'!$B$5,0))</f>
        <v/>
      </c>
      <c r="N175" s="42">
        <f>IF(H175=0,0,ROUNDUP(H175*POWER(J175,D175),0))</f>
        <v/>
      </c>
      <c r="O175" s="42">
        <f>IF(I175=0,0,ROUNDUP(I175*POWER(J175,D175),0))</f>
        <v/>
      </c>
      <c r="P175" s="40">
        <f>IF(N175=0,0,MAX(1,ROUNDUP(N175*(1-'参数与公式'!$B$17),0)))</f>
        <v/>
      </c>
      <c r="Q175" s="40">
        <f>IF(O175=0,0,MAX(1,ROUNDUP(O175*(1-'参数与公式'!$B$17),0)))</f>
        <v/>
      </c>
      <c r="R175" s="18" t="inlineStr">
        <is>
          <t>data/building_templates.yaml; max_level: gameplay/constants.py; formula: gameplay/models/manor.py</t>
        </is>
      </c>
    </row>
    <row r="176" ht="25" customHeight="1">
      <c r="A176" s="17" t="inlineStr">
        <is>
          <t>treasury</t>
        </is>
      </c>
      <c r="B176" s="18" t="inlineStr">
        <is>
          <t>藏宝阁</t>
        </is>
      </c>
      <c r="C176" s="18" t="inlineStr">
        <is>
          <t>仓储设施</t>
        </is>
      </c>
      <c r="D176" s="17" t="n">
        <v>8</v>
      </c>
      <c r="E176" s="24">
        <f>D176+1</f>
        <v/>
      </c>
      <c r="F176" s="38" t="n">
        <v>600</v>
      </c>
      <c r="G176" s="39" t="n">
        <v>1.3</v>
      </c>
      <c r="H176" s="38" t="n">
        <v>7500</v>
      </c>
      <c r="I176" s="38" t="n">
        <v>0</v>
      </c>
      <c r="J176" s="39" t="n">
        <v>1.4</v>
      </c>
      <c r="K176" s="42">
        <f>ROUNDUP(F176*POWER(G176,D176),0)</f>
        <v/>
      </c>
      <c r="L176" s="40">
        <f>MAX(1,ROUNDDOWN(K176/'参数与公式'!$B$5,0))</f>
        <v/>
      </c>
      <c r="M176" s="40">
        <f>MAX(1,ROUNDDOWN(K176*(1-'参数与公式'!$B$14)/'参数与公式'!$B$5,0))</f>
        <v/>
      </c>
      <c r="N176" s="42">
        <f>IF(H176=0,0,ROUNDUP(H176*POWER(J176,D176),0))</f>
        <v/>
      </c>
      <c r="O176" s="42">
        <f>IF(I176=0,0,ROUNDUP(I176*POWER(J176,D176),0))</f>
        <v/>
      </c>
      <c r="P176" s="40">
        <f>IF(N176=0,0,MAX(1,ROUNDUP(N176*(1-'参数与公式'!$B$17),0)))</f>
        <v/>
      </c>
      <c r="Q176" s="40">
        <f>IF(O176=0,0,MAX(1,ROUNDUP(O176*(1-'参数与公式'!$B$17),0)))</f>
        <v/>
      </c>
      <c r="R176" s="18" t="inlineStr">
        <is>
          <t>data/building_templates.yaml; max_level: gameplay/constants.py; formula: gameplay/models/manor.py</t>
        </is>
      </c>
    </row>
    <row r="177" ht="25" customHeight="1">
      <c r="A177" s="17" t="inlineStr">
        <is>
          <t>treasury</t>
        </is>
      </c>
      <c r="B177" s="18" t="inlineStr">
        <is>
          <t>藏宝阁</t>
        </is>
      </c>
      <c r="C177" s="18" t="inlineStr">
        <is>
          <t>仓储设施</t>
        </is>
      </c>
      <c r="D177" s="17" t="n">
        <v>9</v>
      </c>
      <c r="E177" s="24">
        <f>D177+1</f>
        <v/>
      </c>
      <c r="F177" s="38" t="n">
        <v>600</v>
      </c>
      <c r="G177" s="39" t="n">
        <v>1.3</v>
      </c>
      <c r="H177" s="38" t="n">
        <v>7500</v>
      </c>
      <c r="I177" s="38" t="n">
        <v>0</v>
      </c>
      <c r="J177" s="39" t="n">
        <v>1.4</v>
      </c>
      <c r="K177" s="42">
        <f>ROUNDUP(F177*POWER(G177,D177),0)</f>
        <v/>
      </c>
      <c r="L177" s="40">
        <f>MAX(1,ROUNDDOWN(K177/'参数与公式'!$B$5,0))</f>
        <v/>
      </c>
      <c r="M177" s="40">
        <f>MAX(1,ROUNDDOWN(K177*(1-'参数与公式'!$B$14)/'参数与公式'!$B$5,0))</f>
        <v/>
      </c>
      <c r="N177" s="42">
        <f>IF(H177=0,0,ROUNDUP(H177*POWER(J177,D177),0))</f>
        <v/>
      </c>
      <c r="O177" s="42">
        <f>IF(I177=0,0,ROUNDUP(I177*POWER(J177,D177),0))</f>
        <v/>
      </c>
      <c r="P177" s="40">
        <f>IF(N177=0,0,MAX(1,ROUNDUP(N177*(1-'参数与公式'!$B$17),0)))</f>
        <v/>
      </c>
      <c r="Q177" s="40">
        <f>IF(O177=0,0,MAX(1,ROUNDUP(O177*(1-'参数与公式'!$B$17),0)))</f>
        <v/>
      </c>
      <c r="R177" s="18" t="inlineStr">
        <is>
          <t>data/building_templates.yaml; max_level: gameplay/constants.py; formula: gameplay/models/manor.py</t>
        </is>
      </c>
    </row>
    <row r="178" ht="25" customHeight="1">
      <c r="A178" s="17" t="inlineStr">
        <is>
          <t>treasury</t>
        </is>
      </c>
      <c r="B178" s="18" t="inlineStr">
        <is>
          <t>藏宝阁</t>
        </is>
      </c>
      <c r="C178" s="18" t="inlineStr">
        <is>
          <t>仓储设施</t>
        </is>
      </c>
      <c r="D178" s="17" t="n">
        <v>10</v>
      </c>
      <c r="E178" s="24">
        <f>D178+1</f>
        <v/>
      </c>
      <c r="F178" s="38" t="n">
        <v>600</v>
      </c>
      <c r="G178" s="39" t="n">
        <v>1.3</v>
      </c>
      <c r="H178" s="38" t="n">
        <v>7500</v>
      </c>
      <c r="I178" s="38" t="n">
        <v>0</v>
      </c>
      <c r="J178" s="39" t="n">
        <v>1.4</v>
      </c>
      <c r="K178" s="42">
        <f>ROUNDUP(F178*POWER(G178,D178),0)</f>
        <v/>
      </c>
      <c r="L178" s="40">
        <f>MAX(1,ROUNDDOWN(K178/'参数与公式'!$B$5,0))</f>
        <v/>
      </c>
      <c r="M178" s="40">
        <f>MAX(1,ROUNDDOWN(K178*(1-'参数与公式'!$B$14)/'参数与公式'!$B$5,0))</f>
        <v/>
      </c>
      <c r="N178" s="42">
        <f>IF(H178=0,0,ROUNDUP(H178*POWER(J178,D178),0))</f>
        <v/>
      </c>
      <c r="O178" s="42">
        <f>IF(I178=0,0,ROUNDUP(I178*POWER(J178,D178),0))</f>
        <v/>
      </c>
      <c r="P178" s="40">
        <f>IF(N178=0,0,MAX(1,ROUNDUP(N178*(1-'参数与公式'!$B$17),0)))</f>
        <v/>
      </c>
      <c r="Q178" s="40">
        <f>IF(O178=0,0,MAX(1,ROUNDUP(O178*(1-'参数与公式'!$B$17),0)))</f>
        <v/>
      </c>
      <c r="R178" s="18" t="inlineStr">
        <is>
          <t>data/building_templates.yaml; max_level: gameplay/constants.py; formula: gameplay/models/manor.py</t>
        </is>
      </c>
    </row>
    <row r="179" ht="25" customHeight="1">
      <c r="A179" s="17" t="inlineStr">
        <is>
          <t>treasury</t>
        </is>
      </c>
      <c r="B179" s="18" t="inlineStr">
        <is>
          <t>藏宝阁</t>
        </is>
      </c>
      <c r="C179" s="18" t="inlineStr">
        <is>
          <t>仓储设施</t>
        </is>
      </c>
      <c r="D179" s="17" t="n">
        <v>11</v>
      </c>
      <c r="E179" s="24">
        <f>D179+1</f>
        <v/>
      </c>
      <c r="F179" s="38" t="n">
        <v>600</v>
      </c>
      <c r="G179" s="39" t="n">
        <v>1.3</v>
      </c>
      <c r="H179" s="38" t="n">
        <v>7500</v>
      </c>
      <c r="I179" s="38" t="n">
        <v>0</v>
      </c>
      <c r="J179" s="39" t="n">
        <v>1.4</v>
      </c>
      <c r="K179" s="42">
        <f>ROUNDUP(F179*POWER(G179,D179),0)</f>
        <v/>
      </c>
      <c r="L179" s="40">
        <f>MAX(1,ROUNDDOWN(K179/'参数与公式'!$B$5,0))</f>
        <v/>
      </c>
      <c r="M179" s="40">
        <f>MAX(1,ROUNDDOWN(K179*(1-'参数与公式'!$B$14)/'参数与公式'!$B$5,0))</f>
        <v/>
      </c>
      <c r="N179" s="42">
        <f>IF(H179=0,0,ROUNDUP(H179*POWER(J179,D179),0))</f>
        <v/>
      </c>
      <c r="O179" s="42">
        <f>IF(I179=0,0,ROUNDUP(I179*POWER(J179,D179),0))</f>
        <v/>
      </c>
      <c r="P179" s="40">
        <f>IF(N179=0,0,MAX(1,ROUNDUP(N179*(1-'参数与公式'!$B$17),0)))</f>
        <v/>
      </c>
      <c r="Q179" s="40">
        <f>IF(O179=0,0,MAX(1,ROUNDUP(O179*(1-'参数与公式'!$B$17),0)))</f>
        <v/>
      </c>
      <c r="R179" s="18" t="inlineStr">
        <is>
          <t>data/building_templates.yaml; max_level: gameplay/constants.py; formula: gameplay/models/manor.py</t>
        </is>
      </c>
    </row>
    <row r="180" ht="25" customHeight="1">
      <c r="A180" s="17" t="inlineStr">
        <is>
          <t>treasury</t>
        </is>
      </c>
      <c r="B180" s="18" t="inlineStr">
        <is>
          <t>藏宝阁</t>
        </is>
      </c>
      <c r="C180" s="18" t="inlineStr">
        <is>
          <t>仓储设施</t>
        </is>
      </c>
      <c r="D180" s="17" t="n">
        <v>12</v>
      </c>
      <c r="E180" s="24">
        <f>D180+1</f>
        <v/>
      </c>
      <c r="F180" s="38" t="n">
        <v>600</v>
      </c>
      <c r="G180" s="39" t="n">
        <v>1.3</v>
      </c>
      <c r="H180" s="38" t="n">
        <v>7500</v>
      </c>
      <c r="I180" s="38" t="n">
        <v>0</v>
      </c>
      <c r="J180" s="39" t="n">
        <v>1.4</v>
      </c>
      <c r="K180" s="42">
        <f>ROUNDUP(F180*POWER(G180,D180),0)</f>
        <v/>
      </c>
      <c r="L180" s="40">
        <f>MAX(1,ROUNDDOWN(K180/'参数与公式'!$B$5,0))</f>
        <v/>
      </c>
      <c r="M180" s="40">
        <f>MAX(1,ROUNDDOWN(K180*(1-'参数与公式'!$B$14)/'参数与公式'!$B$5,0))</f>
        <v/>
      </c>
      <c r="N180" s="42">
        <f>IF(H180=0,0,ROUNDUP(H180*POWER(J180,D180),0))</f>
        <v/>
      </c>
      <c r="O180" s="42">
        <f>IF(I180=0,0,ROUNDUP(I180*POWER(J180,D180),0))</f>
        <v/>
      </c>
      <c r="P180" s="40">
        <f>IF(N180=0,0,MAX(1,ROUNDUP(N180*(1-'参数与公式'!$B$17),0)))</f>
        <v/>
      </c>
      <c r="Q180" s="40">
        <f>IF(O180=0,0,MAX(1,ROUNDUP(O180*(1-'参数与公式'!$B$17),0)))</f>
        <v/>
      </c>
      <c r="R180" s="18" t="inlineStr">
        <is>
          <t>data/building_templates.yaml; max_level: gameplay/constants.py; formula: gameplay/models/manor.py</t>
        </is>
      </c>
    </row>
    <row r="181" ht="25" customHeight="1">
      <c r="A181" s="17" t="inlineStr">
        <is>
          <t>treasury</t>
        </is>
      </c>
      <c r="B181" s="18" t="inlineStr">
        <is>
          <t>藏宝阁</t>
        </is>
      </c>
      <c r="C181" s="18" t="inlineStr">
        <is>
          <t>仓储设施</t>
        </is>
      </c>
      <c r="D181" s="17" t="n">
        <v>13</v>
      </c>
      <c r="E181" s="24">
        <f>D181+1</f>
        <v/>
      </c>
      <c r="F181" s="38" t="n">
        <v>600</v>
      </c>
      <c r="G181" s="39" t="n">
        <v>1.3</v>
      </c>
      <c r="H181" s="38" t="n">
        <v>7500</v>
      </c>
      <c r="I181" s="38" t="n">
        <v>0</v>
      </c>
      <c r="J181" s="39" t="n">
        <v>1.4</v>
      </c>
      <c r="K181" s="42">
        <f>ROUNDUP(F181*POWER(G181,D181),0)</f>
        <v/>
      </c>
      <c r="L181" s="40">
        <f>MAX(1,ROUNDDOWN(K181/'参数与公式'!$B$5,0))</f>
        <v/>
      </c>
      <c r="M181" s="40">
        <f>MAX(1,ROUNDDOWN(K181*(1-'参数与公式'!$B$14)/'参数与公式'!$B$5,0))</f>
        <v/>
      </c>
      <c r="N181" s="42">
        <f>IF(H181=0,0,ROUNDUP(H181*POWER(J181,D181),0))</f>
        <v/>
      </c>
      <c r="O181" s="42">
        <f>IF(I181=0,0,ROUNDUP(I181*POWER(J181,D181),0))</f>
        <v/>
      </c>
      <c r="P181" s="40">
        <f>IF(N181=0,0,MAX(1,ROUNDUP(N181*(1-'参数与公式'!$B$17),0)))</f>
        <v/>
      </c>
      <c r="Q181" s="40">
        <f>IF(O181=0,0,MAX(1,ROUNDUP(O181*(1-'参数与公式'!$B$17),0)))</f>
        <v/>
      </c>
      <c r="R181" s="18" t="inlineStr">
        <is>
          <t>data/building_templates.yaml; max_level: gameplay/constants.py; formula: gameplay/models/manor.py</t>
        </is>
      </c>
    </row>
    <row r="182" ht="25" customHeight="1">
      <c r="A182" s="17" t="inlineStr">
        <is>
          <t>treasury</t>
        </is>
      </c>
      <c r="B182" s="18" t="inlineStr">
        <is>
          <t>藏宝阁</t>
        </is>
      </c>
      <c r="C182" s="18" t="inlineStr">
        <is>
          <t>仓储设施</t>
        </is>
      </c>
      <c r="D182" s="17" t="n">
        <v>14</v>
      </c>
      <c r="E182" s="24">
        <f>D182+1</f>
        <v/>
      </c>
      <c r="F182" s="38" t="n">
        <v>600</v>
      </c>
      <c r="G182" s="39" t="n">
        <v>1.3</v>
      </c>
      <c r="H182" s="38" t="n">
        <v>7500</v>
      </c>
      <c r="I182" s="38" t="n">
        <v>0</v>
      </c>
      <c r="J182" s="39" t="n">
        <v>1.4</v>
      </c>
      <c r="K182" s="42">
        <f>ROUNDUP(F182*POWER(G182,D182),0)</f>
        <v/>
      </c>
      <c r="L182" s="40">
        <f>MAX(1,ROUNDDOWN(K182/'参数与公式'!$B$5,0))</f>
        <v/>
      </c>
      <c r="M182" s="40">
        <f>MAX(1,ROUNDDOWN(K182*(1-'参数与公式'!$B$14)/'参数与公式'!$B$5,0))</f>
        <v/>
      </c>
      <c r="N182" s="42">
        <f>IF(H182=0,0,ROUNDUP(H182*POWER(J182,D182),0))</f>
        <v/>
      </c>
      <c r="O182" s="42">
        <f>IF(I182=0,0,ROUNDUP(I182*POWER(J182,D182),0))</f>
        <v/>
      </c>
      <c r="P182" s="40">
        <f>IF(N182=0,0,MAX(1,ROUNDUP(N182*(1-'参数与公式'!$B$17),0)))</f>
        <v/>
      </c>
      <c r="Q182" s="40">
        <f>IF(O182=0,0,MAX(1,ROUNDUP(O182*(1-'参数与公式'!$B$17),0)))</f>
        <v/>
      </c>
      <c r="R182" s="18" t="inlineStr">
        <is>
          <t>data/building_templates.yaml; max_level: gameplay/constants.py; formula: gameplay/models/manor.py</t>
        </is>
      </c>
    </row>
    <row r="183" ht="25" customHeight="1">
      <c r="A183" s="17" t="inlineStr">
        <is>
          <t>treasury</t>
        </is>
      </c>
      <c r="B183" s="18" t="inlineStr">
        <is>
          <t>藏宝阁</t>
        </is>
      </c>
      <c r="C183" s="18" t="inlineStr">
        <is>
          <t>仓储设施</t>
        </is>
      </c>
      <c r="D183" s="17" t="n">
        <v>15</v>
      </c>
      <c r="E183" s="24">
        <f>D183+1</f>
        <v/>
      </c>
      <c r="F183" s="38" t="n">
        <v>600</v>
      </c>
      <c r="G183" s="39" t="n">
        <v>1.3</v>
      </c>
      <c r="H183" s="38" t="n">
        <v>7500</v>
      </c>
      <c r="I183" s="38" t="n">
        <v>0</v>
      </c>
      <c r="J183" s="39" t="n">
        <v>1.4</v>
      </c>
      <c r="K183" s="42">
        <f>ROUNDUP(F183*POWER(G183,D183),0)</f>
        <v/>
      </c>
      <c r="L183" s="40">
        <f>MAX(1,ROUNDDOWN(K183/'参数与公式'!$B$5,0))</f>
        <v/>
      </c>
      <c r="M183" s="40">
        <f>MAX(1,ROUNDDOWN(K183*(1-'参数与公式'!$B$14)/'参数与公式'!$B$5,0))</f>
        <v/>
      </c>
      <c r="N183" s="42">
        <f>IF(H183=0,0,ROUNDUP(H183*POWER(J183,D183),0))</f>
        <v/>
      </c>
      <c r="O183" s="42">
        <f>IF(I183=0,0,ROUNDUP(I183*POWER(J183,D183),0))</f>
        <v/>
      </c>
      <c r="P183" s="40">
        <f>IF(N183=0,0,MAX(1,ROUNDUP(N183*(1-'参数与公式'!$B$17),0)))</f>
        <v/>
      </c>
      <c r="Q183" s="40">
        <f>IF(O183=0,0,MAX(1,ROUNDUP(O183*(1-'参数与公式'!$B$17),0)))</f>
        <v/>
      </c>
      <c r="R183" s="18" t="inlineStr">
        <is>
          <t>data/building_templates.yaml; max_level: gameplay/constants.py; formula: gameplay/models/manor.py</t>
        </is>
      </c>
    </row>
    <row r="184" ht="25" customHeight="1">
      <c r="A184" s="17" t="inlineStr">
        <is>
          <t>treasury</t>
        </is>
      </c>
      <c r="B184" s="18" t="inlineStr">
        <is>
          <t>藏宝阁</t>
        </is>
      </c>
      <c r="C184" s="18" t="inlineStr">
        <is>
          <t>仓储设施</t>
        </is>
      </c>
      <c r="D184" s="17" t="n">
        <v>16</v>
      </c>
      <c r="E184" s="24">
        <f>D184+1</f>
        <v/>
      </c>
      <c r="F184" s="38" t="n">
        <v>600</v>
      </c>
      <c r="G184" s="39" t="n">
        <v>1.3</v>
      </c>
      <c r="H184" s="38" t="n">
        <v>7500</v>
      </c>
      <c r="I184" s="38" t="n">
        <v>0</v>
      </c>
      <c r="J184" s="39" t="n">
        <v>1.4</v>
      </c>
      <c r="K184" s="42">
        <f>ROUNDUP(F184*POWER(G184,D184),0)</f>
        <v/>
      </c>
      <c r="L184" s="40">
        <f>MAX(1,ROUNDDOWN(K184/'参数与公式'!$B$5,0))</f>
        <v/>
      </c>
      <c r="M184" s="40">
        <f>MAX(1,ROUNDDOWN(K184*(1-'参数与公式'!$B$14)/'参数与公式'!$B$5,0))</f>
        <v/>
      </c>
      <c r="N184" s="42">
        <f>IF(H184=0,0,ROUNDUP(H184*POWER(J184,D184),0))</f>
        <v/>
      </c>
      <c r="O184" s="42">
        <f>IF(I184=0,0,ROUNDUP(I184*POWER(J184,D184),0))</f>
        <v/>
      </c>
      <c r="P184" s="40">
        <f>IF(N184=0,0,MAX(1,ROUNDUP(N184*(1-'参数与公式'!$B$17),0)))</f>
        <v/>
      </c>
      <c r="Q184" s="40">
        <f>IF(O184=0,0,MAX(1,ROUNDUP(O184*(1-'参数与公式'!$B$17),0)))</f>
        <v/>
      </c>
      <c r="R184" s="18" t="inlineStr">
        <is>
          <t>data/building_templates.yaml; max_level: gameplay/constants.py; formula: gameplay/models/manor.py</t>
        </is>
      </c>
    </row>
    <row r="185" ht="25" customHeight="1">
      <c r="A185" s="17" t="inlineStr">
        <is>
          <t>treasury</t>
        </is>
      </c>
      <c r="B185" s="18" t="inlineStr">
        <is>
          <t>藏宝阁</t>
        </is>
      </c>
      <c r="C185" s="18" t="inlineStr">
        <is>
          <t>仓储设施</t>
        </is>
      </c>
      <c r="D185" s="17" t="n">
        <v>17</v>
      </c>
      <c r="E185" s="24">
        <f>D185+1</f>
        <v/>
      </c>
      <c r="F185" s="38" t="n">
        <v>600</v>
      </c>
      <c r="G185" s="39" t="n">
        <v>1.3</v>
      </c>
      <c r="H185" s="38" t="n">
        <v>7500</v>
      </c>
      <c r="I185" s="38" t="n">
        <v>0</v>
      </c>
      <c r="J185" s="39" t="n">
        <v>1.4</v>
      </c>
      <c r="K185" s="42">
        <f>ROUNDUP(F185*POWER(G185,D185),0)</f>
        <v/>
      </c>
      <c r="L185" s="40">
        <f>MAX(1,ROUNDDOWN(K185/'参数与公式'!$B$5,0))</f>
        <v/>
      </c>
      <c r="M185" s="40">
        <f>MAX(1,ROUNDDOWN(K185*(1-'参数与公式'!$B$14)/'参数与公式'!$B$5,0))</f>
        <v/>
      </c>
      <c r="N185" s="42">
        <f>IF(H185=0,0,ROUNDUP(H185*POWER(J185,D185),0))</f>
        <v/>
      </c>
      <c r="O185" s="42">
        <f>IF(I185=0,0,ROUNDUP(I185*POWER(J185,D185),0))</f>
        <v/>
      </c>
      <c r="P185" s="40">
        <f>IF(N185=0,0,MAX(1,ROUNDUP(N185*(1-'参数与公式'!$B$17),0)))</f>
        <v/>
      </c>
      <c r="Q185" s="40">
        <f>IF(O185=0,0,MAX(1,ROUNDUP(O185*(1-'参数与公式'!$B$17),0)))</f>
        <v/>
      </c>
      <c r="R185" s="18" t="inlineStr">
        <is>
          <t>data/building_templates.yaml; max_level: gameplay/constants.py; formula: gameplay/models/manor.py</t>
        </is>
      </c>
    </row>
    <row r="186" ht="25" customHeight="1">
      <c r="A186" s="17" t="inlineStr">
        <is>
          <t>treasury</t>
        </is>
      </c>
      <c r="B186" s="18" t="inlineStr">
        <is>
          <t>藏宝阁</t>
        </is>
      </c>
      <c r="C186" s="18" t="inlineStr">
        <is>
          <t>仓储设施</t>
        </is>
      </c>
      <c r="D186" s="17" t="n">
        <v>18</v>
      </c>
      <c r="E186" s="24">
        <f>D186+1</f>
        <v/>
      </c>
      <c r="F186" s="38" t="n">
        <v>600</v>
      </c>
      <c r="G186" s="39" t="n">
        <v>1.3</v>
      </c>
      <c r="H186" s="38" t="n">
        <v>7500</v>
      </c>
      <c r="I186" s="38" t="n">
        <v>0</v>
      </c>
      <c r="J186" s="39" t="n">
        <v>1.4</v>
      </c>
      <c r="K186" s="42">
        <f>ROUNDUP(F186*POWER(G186,D186),0)</f>
        <v/>
      </c>
      <c r="L186" s="40">
        <f>MAX(1,ROUNDDOWN(K186/'参数与公式'!$B$5,0))</f>
        <v/>
      </c>
      <c r="M186" s="40">
        <f>MAX(1,ROUNDDOWN(K186*(1-'参数与公式'!$B$14)/'参数与公式'!$B$5,0))</f>
        <v/>
      </c>
      <c r="N186" s="42">
        <f>IF(H186=0,0,ROUNDUP(H186*POWER(J186,D186),0))</f>
        <v/>
      </c>
      <c r="O186" s="42">
        <f>IF(I186=0,0,ROUNDUP(I186*POWER(J186,D186),0))</f>
        <v/>
      </c>
      <c r="P186" s="40">
        <f>IF(N186=0,0,MAX(1,ROUNDUP(N186*(1-'参数与公式'!$B$17),0)))</f>
        <v/>
      </c>
      <c r="Q186" s="40">
        <f>IF(O186=0,0,MAX(1,ROUNDUP(O186*(1-'参数与公式'!$B$17),0)))</f>
        <v/>
      </c>
      <c r="R186" s="18" t="inlineStr">
        <is>
          <t>data/building_templates.yaml; max_level: gameplay/constants.py; formula: gameplay/models/manor.py</t>
        </is>
      </c>
    </row>
    <row r="187" ht="25" customHeight="1">
      <c r="A187" s="17" t="inlineStr">
        <is>
          <t>treasury</t>
        </is>
      </c>
      <c r="B187" s="18" t="inlineStr">
        <is>
          <t>藏宝阁</t>
        </is>
      </c>
      <c r="C187" s="18" t="inlineStr">
        <is>
          <t>仓储设施</t>
        </is>
      </c>
      <c r="D187" s="17" t="n">
        <v>19</v>
      </c>
      <c r="E187" s="24">
        <f>D187+1</f>
        <v/>
      </c>
      <c r="F187" s="38" t="n">
        <v>600</v>
      </c>
      <c r="G187" s="39" t="n">
        <v>1.3</v>
      </c>
      <c r="H187" s="38" t="n">
        <v>7500</v>
      </c>
      <c r="I187" s="38" t="n">
        <v>0</v>
      </c>
      <c r="J187" s="39" t="n">
        <v>1.4</v>
      </c>
      <c r="K187" s="42">
        <f>ROUNDUP(F187*POWER(G187,D187),0)</f>
        <v/>
      </c>
      <c r="L187" s="40">
        <f>MAX(1,ROUNDDOWN(K187/'参数与公式'!$B$5,0))</f>
        <v/>
      </c>
      <c r="M187" s="40">
        <f>MAX(1,ROUNDDOWN(K187*(1-'参数与公式'!$B$14)/'参数与公式'!$B$5,0))</f>
        <v/>
      </c>
      <c r="N187" s="42">
        <f>IF(H187=0,0,ROUNDUP(H187*POWER(J187,D187),0))</f>
        <v/>
      </c>
      <c r="O187" s="42">
        <f>IF(I187=0,0,ROUNDUP(I187*POWER(J187,D187),0))</f>
        <v/>
      </c>
      <c r="P187" s="40">
        <f>IF(N187=0,0,MAX(1,ROUNDUP(N187*(1-'参数与公式'!$B$17),0)))</f>
        <v/>
      </c>
      <c r="Q187" s="40">
        <f>IF(O187=0,0,MAX(1,ROUNDUP(O187*(1-'参数与公式'!$B$17),0)))</f>
        <v/>
      </c>
      <c r="R187" s="18" t="inlineStr">
        <is>
          <t>data/building_templates.yaml; max_level: gameplay/constants.py; formula: gameplay/models/manor.py</t>
        </is>
      </c>
    </row>
    <row r="188" ht="25" customHeight="1">
      <c r="A188" s="17" t="inlineStr">
        <is>
          <t>ranch</t>
        </is>
      </c>
      <c r="B188" s="18" t="inlineStr">
        <is>
          <t>畜牧场</t>
        </is>
      </c>
      <c r="C188" s="18" t="inlineStr">
        <is>
          <t>生产加工</t>
        </is>
      </c>
      <c r="D188" s="17" t="n">
        <v>1</v>
      </c>
      <c r="E188" s="24">
        <f>D188+1</f>
        <v/>
      </c>
      <c r="F188" s="38" t="n">
        <v>300</v>
      </c>
      <c r="G188" s="39" t="n">
        <v>1.25</v>
      </c>
      <c r="H188" s="38" t="n">
        <v>800</v>
      </c>
      <c r="I188" s="38" t="n">
        <v>0</v>
      </c>
      <c r="J188" s="39" t="n">
        <v>1.35</v>
      </c>
      <c r="K188" s="42">
        <f>ROUNDUP(F188*POWER(G188,D188),0)</f>
        <v/>
      </c>
      <c r="L188" s="40">
        <f>MAX(1,ROUNDDOWN(K188/'参数与公式'!$B$5,0))</f>
        <v/>
      </c>
      <c r="M188" s="40">
        <f>MAX(1,ROUNDDOWN(K188*(1-'参数与公式'!$B$14)/'参数与公式'!$B$5,0))</f>
        <v/>
      </c>
      <c r="N188" s="42">
        <f>IF(H188=0,0,ROUNDUP(H188*POWER(J188,D188),0))</f>
        <v/>
      </c>
      <c r="O188" s="42">
        <f>IF(I188=0,0,ROUNDUP(I188*POWER(J188,D188),0))</f>
        <v/>
      </c>
      <c r="P188" s="40">
        <f>IF(N188=0,0,MAX(1,ROUNDUP(N188*(1-'参数与公式'!$B$17),0)))</f>
        <v/>
      </c>
      <c r="Q188" s="40">
        <f>IF(O188=0,0,MAX(1,ROUNDUP(O188*(1-'参数与公式'!$B$17),0)))</f>
        <v/>
      </c>
      <c r="R188" s="18" t="inlineStr">
        <is>
          <t>data/building_templates.yaml; max_level: gameplay/constants.py; formula: gameplay/models/manor.py</t>
        </is>
      </c>
    </row>
    <row r="189" ht="25" customHeight="1">
      <c r="A189" s="17" t="inlineStr">
        <is>
          <t>ranch</t>
        </is>
      </c>
      <c r="B189" s="18" t="inlineStr">
        <is>
          <t>畜牧场</t>
        </is>
      </c>
      <c r="C189" s="18" t="inlineStr">
        <is>
          <t>生产加工</t>
        </is>
      </c>
      <c r="D189" s="17" t="n">
        <v>2</v>
      </c>
      <c r="E189" s="24">
        <f>D189+1</f>
        <v/>
      </c>
      <c r="F189" s="38" t="n">
        <v>300</v>
      </c>
      <c r="G189" s="39" t="n">
        <v>1.25</v>
      </c>
      <c r="H189" s="38" t="n">
        <v>800</v>
      </c>
      <c r="I189" s="38" t="n">
        <v>0</v>
      </c>
      <c r="J189" s="39" t="n">
        <v>1.35</v>
      </c>
      <c r="K189" s="42">
        <f>ROUNDUP(F189*POWER(G189,D189),0)</f>
        <v/>
      </c>
      <c r="L189" s="40">
        <f>MAX(1,ROUNDDOWN(K189/'参数与公式'!$B$5,0))</f>
        <v/>
      </c>
      <c r="M189" s="40">
        <f>MAX(1,ROUNDDOWN(K189*(1-'参数与公式'!$B$14)/'参数与公式'!$B$5,0))</f>
        <v/>
      </c>
      <c r="N189" s="42">
        <f>IF(H189=0,0,ROUNDUP(H189*POWER(J189,D189),0))</f>
        <v/>
      </c>
      <c r="O189" s="42">
        <f>IF(I189=0,0,ROUNDUP(I189*POWER(J189,D189),0))</f>
        <v/>
      </c>
      <c r="P189" s="40">
        <f>IF(N189=0,0,MAX(1,ROUNDUP(N189*(1-'参数与公式'!$B$17),0)))</f>
        <v/>
      </c>
      <c r="Q189" s="40">
        <f>IF(O189=0,0,MAX(1,ROUNDUP(O189*(1-'参数与公式'!$B$17),0)))</f>
        <v/>
      </c>
      <c r="R189" s="18" t="inlineStr">
        <is>
          <t>data/building_templates.yaml; max_level: gameplay/constants.py; formula: gameplay/models/manor.py</t>
        </is>
      </c>
    </row>
    <row r="190" ht="25" customHeight="1">
      <c r="A190" s="17" t="inlineStr">
        <is>
          <t>ranch</t>
        </is>
      </c>
      <c r="B190" s="18" t="inlineStr">
        <is>
          <t>畜牧场</t>
        </is>
      </c>
      <c r="C190" s="18" t="inlineStr">
        <is>
          <t>生产加工</t>
        </is>
      </c>
      <c r="D190" s="17" t="n">
        <v>3</v>
      </c>
      <c r="E190" s="24">
        <f>D190+1</f>
        <v/>
      </c>
      <c r="F190" s="38" t="n">
        <v>300</v>
      </c>
      <c r="G190" s="39" t="n">
        <v>1.25</v>
      </c>
      <c r="H190" s="38" t="n">
        <v>800</v>
      </c>
      <c r="I190" s="38" t="n">
        <v>0</v>
      </c>
      <c r="J190" s="39" t="n">
        <v>1.35</v>
      </c>
      <c r="K190" s="42">
        <f>ROUNDUP(F190*POWER(G190,D190),0)</f>
        <v/>
      </c>
      <c r="L190" s="40">
        <f>MAX(1,ROUNDDOWN(K190/'参数与公式'!$B$5,0))</f>
        <v/>
      </c>
      <c r="M190" s="40">
        <f>MAX(1,ROUNDDOWN(K190*(1-'参数与公式'!$B$14)/'参数与公式'!$B$5,0))</f>
        <v/>
      </c>
      <c r="N190" s="42">
        <f>IF(H190=0,0,ROUNDUP(H190*POWER(J190,D190),0))</f>
        <v/>
      </c>
      <c r="O190" s="42">
        <f>IF(I190=0,0,ROUNDUP(I190*POWER(J190,D190),0))</f>
        <v/>
      </c>
      <c r="P190" s="40">
        <f>IF(N190=0,0,MAX(1,ROUNDUP(N190*(1-'参数与公式'!$B$17),0)))</f>
        <v/>
      </c>
      <c r="Q190" s="40">
        <f>IF(O190=0,0,MAX(1,ROUNDUP(O190*(1-'参数与公式'!$B$17),0)))</f>
        <v/>
      </c>
      <c r="R190" s="18" t="inlineStr">
        <is>
          <t>data/building_templates.yaml; max_level: gameplay/constants.py; formula: gameplay/models/manor.py</t>
        </is>
      </c>
    </row>
    <row r="191" ht="25" customHeight="1">
      <c r="A191" s="17" t="inlineStr">
        <is>
          <t>ranch</t>
        </is>
      </c>
      <c r="B191" s="18" t="inlineStr">
        <is>
          <t>畜牧场</t>
        </is>
      </c>
      <c r="C191" s="18" t="inlineStr">
        <is>
          <t>生产加工</t>
        </is>
      </c>
      <c r="D191" s="17" t="n">
        <v>4</v>
      </c>
      <c r="E191" s="24">
        <f>D191+1</f>
        <v/>
      </c>
      <c r="F191" s="38" t="n">
        <v>300</v>
      </c>
      <c r="G191" s="39" t="n">
        <v>1.25</v>
      </c>
      <c r="H191" s="38" t="n">
        <v>800</v>
      </c>
      <c r="I191" s="38" t="n">
        <v>0</v>
      </c>
      <c r="J191" s="39" t="n">
        <v>1.35</v>
      </c>
      <c r="K191" s="42">
        <f>ROUNDUP(F191*POWER(G191,D191),0)</f>
        <v/>
      </c>
      <c r="L191" s="40">
        <f>MAX(1,ROUNDDOWN(K191/'参数与公式'!$B$5,0))</f>
        <v/>
      </c>
      <c r="M191" s="40">
        <f>MAX(1,ROUNDDOWN(K191*(1-'参数与公式'!$B$14)/'参数与公式'!$B$5,0))</f>
        <v/>
      </c>
      <c r="N191" s="42">
        <f>IF(H191=0,0,ROUNDUP(H191*POWER(J191,D191),0))</f>
        <v/>
      </c>
      <c r="O191" s="42">
        <f>IF(I191=0,0,ROUNDUP(I191*POWER(J191,D191),0))</f>
        <v/>
      </c>
      <c r="P191" s="40">
        <f>IF(N191=0,0,MAX(1,ROUNDUP(N191*(1-'参数与公式'!$B$17),0)))</f>
        <v/>
      </c>
      <c r="Q191" s="40">
        <f>IF(O191=0,0,MAX(1,ROUNDUP(O191*(1-'参数与公式'!$B$17),0)))</f>
        <v/>
      </c>
      <c r="R191" s="18" t="inlineStr">
        <is>
          <t>data/building_templates.yaml; max_level: gameplay/constants.py; formula: gameplay/models/manor.py</t>
        </is>
      </c>
    </row>
    <row r="192" ht="25" customHeight="1">
      <c r="A192" s="17" t="inlineStr">
        <is>
          <t>ranch</t>
        </is>
      </c>
      <c r="B192" s="18" t="inlineStr">
        <is>
          <t>畜牧场</t>
        </is>
      </c>
      <c r="C192" s="18" t="inlineStr">
        <is>
          <t>生产加工</t>
        </is>
      </c>
      <c r="D192" s="17" t="n">
        <v>5</v>
      </c>
      <c r="E192" s="24">
        <f>D192+1</f>
        <v/>
      </c>
      <c r="F192" s="38" t="n">
        <v>300</v>
      </c>
      <c r="G192" s="39" t="n">
        <v>1.25</v>
      </c>
      <c r="H192" s="38" t="n">
        <v>800</v>
      </c>
      <c r="I192" s="38" t="n">
        <v>0</v>
      </c>
      <c r="J192" s="39" t="n">
        <v>1.35</v>
      </c>
      <c r="K192" s="42">
        <f>ROUNDUP(F192*POWER(G192,D192),0)</f>
        <v/>
      </c>
      <c r="L192" s="40">
        <f>MAX(1,ROUNDDOWN(K192/'参数与公式'!$B$5,0))</f>
        <v/>
      </c>
      <c r="M192" s="40">
        <f>MAX(1,ROUNDDOWN(K192*(1-'参数与公式'!$B$14)/'参数与公式'!$B$5,0))</f>
        <v/>
      </c>
      <c r="N192" s="42">
        <f>IF(H192=0,0,ROUNDUP(H192*POWER(J192,D192),0))</f>
        <v/>
      </c>
      <c r="O192" s="42">
        <f>IF(I192=0,0,ROUNDUP(I192*POWER(J192,D192),0))</f>
        <v/>
      </c>
      <c r="P192" s="40">
        <f>IF(N192=0,0,MAX(1,ROUNDUP(N192*(1-'参数与公式'!$B$17),0)))</f>
        <v/>
      </c>
      <c r="Q192" s="40">
        <f>IF(O192=0,0,MAX(1,ROUNDUP(O192*(1-'参数与公式'!$B$17),0)))</f>
        <v/>
      </c>
      <c r="R192" s="18" t="inlineStr">
        <is>
          <t>data/building_templates.yaml; max_level: gameplay/constants.py; formula: gameplay/models/manor.py</t>
        </is>
      </c>
    </row>
    <row r="193" ht="25" customHeight="1">
      <c r="A193" s="17" t="inlineStr">
        <is>
          <t>ranch</t>
        </is>
      </c>
      <c r="B193" s="18" t="inlineStr">
        <is>
          <t>畜牧场</t>
        </is>
      </c>
      <c r="C193" s="18" t="inlineStr">
        <is>
          <t>生产加工</t>
        </is>
      </c>
      <c r="D193" s="17" t="n">
        <v>6</v>
      </c>
      <c r="E193" s="24">
        <f>D193+1</f>
        <v/>
      </c>
      <c r="F193" s="38" t="n">
        <v>300</v>
      </c>
      <c r="G193" s="39" t="n">
        <v>1.25</v>
      </c>
      <c r="H193" s="38" t="n">
        <v>800</v>
      </c>
      <c r="I193" s="38" t="n">
        <v>0</v>
      </c>
      <c r="J193" s="39" t="n">
        <v>1.35</v>
      </c>
      <c r="K193" s="42">
        <f>ROUNDUP(F193*POWER(G193,D193),0)</f>
        <v/>
      </c>
      <c r="L193" s="40">
        <f>MAX(1,ROUNDDOWN(K193/'参数与公式'!$B$5,0))</f>
        <v/>
      </c>
      <c r="M193" s="40">
        <f>MAX(1,ROUNDDOWN(K193*(1-'参数与公式'!$B$14)/'参数与公式'!$B$5,0))</f>
        <v/>
      </c>
      <c r="N193" s="42">
        <f>IF(H193=0,0,ROUNDUP(H193*POWER(J193,D193),0))</f>
        <v/>
      </c>
      <c r="O193" s="42">
        <f>IF(I193=0,0,ROUNDUP(I193*POWER(J193,D193),0))</f>
        <v/>
      </c>
      <c r="P193" s="40">
        <f>IF(N193=0,0,MAX(1,ROUNDUP(N193*(1-'参数与公式'!$B$17),0)))</f>
        <v/>
      </c>
      <c r="Q193" s="40">
        <f>IF(O193=0,0,MAX(1,ROUNDUP(O193*(1-'参数与公式'!$B$17),0)))</f>
        <v/>
      </c>
      <c r="R193" s="18" t="inlineStr">
        <is>
          <t>data/building_templates.yaml; max_level: gameplay/constants.py; formula: gameplay/models/manor.py</t>
        </is>
      </c>
    </row>
    <row r="194" ht="25" customHeight="1">
      <c r="A194" s="17" t="inlineStr">
        <is>
          <t>ranch</t>
        </is>
      </c>
      <c r="B194" s="18" t="inlineStr">
        <is>
          <t>畜牧场</t>
        </is>
      </c>
      <c r="C194" s="18" t="inlineStr">
        <is>
          <t>生产加工</t>
        </is>
      </c>
      <c r="D194" s="17" t="n">
        <v>7</v>
      </c>
      <c r="E194" s="24">
        <f>D194+1</f>
        <v/>
      </c>
      <c r="F194" s="38" t="n">
        <v>300</v>
      </c>
      <c r="G194" s="39" t="n">
        <v>1.25</v>
      </c>
      <c r="H194" s="38" t="n">
        <v>800</v>
      </c>
      <c r="I194" s="38" t="n">
        <v>0</v>
      </c>
      <c r="J194" s="39" t="n">
        <v>1.35</v>
      </c>
      <c r="K194" s="42">
        <f>ROUNDUP(F194*POWER(G194,D194),0)</f>
        <v/>
      </c>
      <c r="L194" s="40">
        <f>MAX(1,ROUNDDOWN(K194/'参数与公式'!$B$5,0))</f>
        <v/>
      </c>
      <c r="M194" s="40">
        <f>MAX(1,ROUNDDOWN(K194*(1-'参数与公式'!$B$14)/'参数与公式'!$B$5,0))</f>
        <v/>
      </c>
      <c r="N194" s="42">
        <f>IF(H194=0,0,ROUNDUP(H194*POWER(J194,D194),0))</f>
        <v/>
      </c>
      <c r="O194" s="42">
        <f>IF(I194=0,0,ROUNDUP(I194*POWER(J194,D194),0))</f>
        <v/>
      </c>
      <c r="P194" s="40">
        <f>IF(N194=0,0,MAX(1,ROUNDUP(N194*(1-'参数与公式'!$B$17),0)))</f>
        <v/>
      </c>
      <c r="Q194" s="40">
        <f>IF(O194=0,0,MAX(1,ROUNDUP(O194*(1-'参数与公式'!$B$17),0)))</f>
        <v/>
      </c>
      <c r="R194" s="18" t="inlineStr">
        <is>
          <t>data/building_templates.yaml; max_level: gameplay/constants.py; formula: gameplay/models/manor.py</t>
        </is>
      </c>
    </row>
    <row r="195" ht="25" customHeight="1">
      <c r="A195" s="17" t="inlineStr">
        <is>
          <t>ranch</t>
        </is>
      </c>
      <c r="B195" s="18" t="inlineStr">
        <is>
          <t>畜牧场</t>
        </is>
      </c>
      <c r="C195" s="18" t="inlineStr">
        <is>
          <t>生产加工</t>
        </is>
      </c>
      <c r="D195" s="17" t="n">
        <v>8</v>
      </c>
      <c r="E195" s="24">
        <f>D195+1</f>
        <v/>
      </c>
      <c r="F195" s="38" t="n">
        <v>300</v>
      </c>
      <c r="G195" s="39" t="n">
        <v>1.25</v>
      </c>
      <c r="H195" s="38" t="n">
        <v>800</v>
      </c>
      <c r="I195" s="38" t="n">
        <v>0</v>
      </c>
      <c r="J195" s="39" t="n">
        <v>1.35</v>
      </c>
      <c r="K195" s="42">
        <f>ROUNDUP(F195*POWER(G195,D195),0)</f>
        <v/>
      </c>
      <c r="L195" s="40">
        <f>MAX(1,ROUNDDOWN(K195/'参数与公式'!$B$5,0))</f>
        <v/>
      </c>
      <c r="M195" s="40">
        <f>MAX(1,ROUNDDOWN(K195*(1-'参数与公式'!$B$14)/'参数与公式'!$B$5,0))</f>
        <v/>
      </c>
      <c r="N195" s="42">
        <f>IF(H195=0,0,ROUNDUP(H195*POWER(J195,D195),0))</f>
        <v/>
      </c>
      <c r="O195" s="42">
        <f>IF(I195=0,0,ROUNDUP(I195*POWER(J195,D195),0))</f>
        <v/>
      </c>
      <c r="P195" s="40">
        <f>IF(N195=0,0,MAX(1,ROUNDUP(N195*(1-'参数与公式'!$B$17),0)))</f>
        <v/>
      </c>
      <c r="Q195" s="40">
        <f>IF(O195=0,0,MAX(1,ROUNDUP(O195*(1-'参数与公式'!$B$17),0)))</f>
        <v/>
      </c>
      <c r="R195" s="18" t="inlineStr">
        <is>
          <t>data/building_templates.yaml; max_level: gameplay/constants.py; formula: gameplay/models/manor.py</t>
        </is>
      </c>
    </row>
    <row r="196" ht="25" customHeight="1">
      <c r="A196" s="17" t="inlineStr">
        <is>
          <t>ranch</t>
        </is>
      </c>
      <c r="B196" s="18" t="inlineStr">
        <is>
          <t>畜牧场</t>
        </is>
      </c>
      <c r="C196" s="18" t="inlineStr">
        <is>
          <t>生产加工</t>
        </is>
      </c>
      <c r="D196" s="17" t="n">
        <v>9</v>
      </c>
      <c r="E196" s="24">
        <f>D196+1</f>
        <v/>
      </c>
      <c r="F196" s="38" t="n">
        <v>300</v>
      </c>
      <c r="G196" s="39" t="n">
        <v>1.25</v>
      </c>
      <c r="H196" s="38" t="n">
        <v>800</v>
      </c>
      <c r="I196" s="38" t="n">
        <v>0</v>
      </c>
      <c r="J196" s="39" t="n">
        <v>1.35</v>
      </c>
      <c r="K196" s="42">
        <f>ROUNDUP(F196*POWER(G196,D196),0)</f>
        <v/>
      </c>
      <c r="L196" s="40">
        <f>MAX(1,ROUNDDOWN(K196/'参数与公式'!$B$5,0))</f>
        <v/>
      </c>
      <c r="M196" s="40">
        <f>MAX(1,ROUNDDOWN(K196*(1-'参数与公式'!$B$14)/'参数与公式'!$B$5,0))</f>
        <v/>
      </c>
      <c r="N196" s="42">
        <f>IF(H196=0,0,ROUNDUP(H196*POWER(J196,D196),0))</f>
        <v/>
      </c>
      <c r="O196" s="42">
        <f>IF(I196=0,0,ROUNDUP(I196*POWER(J196,D196),0))</f>
        <v/>
      </c>
      <c r="P196" s="40">
        <f>IF(N196=0,0,MAX(1,ROUNDUP(N196*(1-'参数与公式'!$B$17),0)))</f>
        <v/>
      </c>
      <c r="Q196" s="40">
        <f>IF(O196=0,0,MAX(1,ROUNDUP(O196*(1-'参数与公式'!$B$17),0)))</f>
        <v/>
      </c>
      <c r="R196" s="18" t="inlineStr">
        <is>
          <t>data/building_templates.yaml; max_level: gameplay/constants.py; formula: gameplay/models/manor.py</t>
        </is>
      </c>
    </row>
    <row r="197" ht="25" customHeight="1">
      <c r="A197" s="17" t="inlineStr">
        <is>
          <t>smithy</t>
        </is>
      </c>
      <c r="B197" s="18" t="inlineStr">
        <is>
          <t>冶炼坊</t>
        </is>
      </c>
      <c r="C197" s="18" t="inlineStr">
        <is>
          <t>生产加工</t>
        </is>
      </c>
      <c r="D197" s="17" t="n">
        <v>1</v>
      </c>
      <c r="E197" s="24">
        <f>D197+1</f>
        <v/>
      </c>
      <c r="F197" s="38" t="n">
        <v>300</v>
      </c>
      <c r="G197" s="39" t="n">
        <v>1.25</v>
      </c>
      <c r="H197" s="38" t="n">
        <v>1000</v>
      </c>
      <c r="I197" s="38" t="n">
        <v>0</v>
      </c>
      <c r="J197" s="39" t="n">
        <v>1.35</v>
      </c>
      <c r="K197" s="42">
        <f>ROUNDUP(F197*POWER(G197,D197),0)</f>
        <v/>
      </c>
      <c r="L197" s="40">
        <f>MAX(1,ROUNDDOWN(K197/'参数与公式'!$B$5,0))</f>
        <v/>
      </c>
      <c r="M197" s="40">
        <f>MAX(1,ROUNDDOWN(K197*(1-'参数与公式'!$B$14)/'参数与公式'!$B$5,0))</f>
        <v/>
      </c>
      <c r="N197" s="42">
        <f>IF(H197=0,0,ROUNDUP(H197*POWER(J197,D197),0))</f>
        <v/>
      </c>
      <c r="O197" s="42">
        <f>IF(I197=0,0,ROUNDUP(I197*POWER(J197,D197),0))</f>
        <v/>
      </c>
      <c r="P197" s="40">
        <f>IF(N197=0,0,MAX(1,ROUNDUP(N197*(1-'参数与公式'!$B$17),0)))</f>
        <v/>
      </c>
      <c r="Q197" s="40">
        <f>IF(O197=0,0,MAX(1,ROUNDUP(O197*(1-'参数与公式'!$B$17),0)))</f>
        <v/>
      </c>
      <c r="R197" s="18" t="inlineStr">
        <is>
          <t>data/building_templates.yaml; max_level: gameplay/constants.py; formula: gameplay/models/manor.py</t>
        </is>
      </c>
    </row>
    <row r="198" ht="25" customHeight="1">
      <c r="A198" s="17" t="inlineStr">
        <is>
          <t>smithy</t>
        </is>
      </c>
      <c r="B198" s="18" t="inlineStr">
        <is>
          <t>冶炼坊</t>
        </is>
      </c>
      <c r="C198" s="18" t="inlineStr">
        <is>
          <t>生产加工</t>
        </is>
      </c>
      <c r="D198" s="17" t="n">
        <v>2</v>
      </c>
      <c r="E198" s="24">
        <f>D198+1</f>
        <v/>
      </c>
      <c r="F198" s="38" t="n">
        <v>300</v>
      </c>
      <c r="G198" s="39" t="n">
        <v>1.25</v>
      </c>
      <c r="H198" s="38" t="n">
        <v>1000</v>
      </c>
      <c r="I198" s="38" t="n">
        <v>0</v>
      </c>
      <c r="J198" s="39" t="n">
        <v>1.35</v>
      </c>
      <c r="K198" s="42">
        <f>ROUNDUP(F198*POWER(G198,D198),0)</f>
        <v/>
      </c>
      <c r="L198" s="40">
        <f>MAX(1,ROUNDDOWN(K198/'参数与公式'!$B$5,0))</f>
        <v/>
      </c>
      <c r="M198" s="40">
        <f>MAX(1,ROUNDDOWN(K198*(1-'参数与公式'!$B$14)/'参数与公式'!$B$5,0))</f>
        <v/>
      </c>
      <c r="N198" s="42">
        <f>IF(H198=0,0,ROUNDUP(H198*POWER(J198,D198),0))</f>
        <v/>
      </c>
      <c r="O198" s="42">
        <f>IF(I198=0,0,ROUNDUP(I198*POWER(J198,D198),0))</f>
        <v/>
      </c>
      <c r="P198" s="40">
        <f>IF(N198=0,0,MAX(1,ROUNDUP(N198*(1-'参数与公式'!$B$17),0)))</f>
        <v/>
      </c>
      <c r="Q198" s="40">
        <f>IF(O198=0,0,MAX(1,ROUNDUP(O198*(1-'参数与公式'!$B$17),0)))</f>
        <v/>
      </c>
      <c r="R198" s="18" t="inlineStr">
        <is>
          <t>data/building_templates.yaml; max_level: gameplay/constants.py; formula: gameplay/models/manor.py</t>
        </is>
      </c>
    </row>
    <row r="199" ht="25" customHeight="1">
      <c r="A199" s="17" t="inlineStr">
        <is>
          <t>smithy</t>
        </is>
      </c>
      <c r="B199" s="18" t="inlineStr">
        <is>
          <t>冶炼坊</t>
        </is>
      </c>
      <c r="C199" s="18" t="inlineStr">
        <is>
          <t>生产加工</t>
        </is>
      </c>
      <c r="D199" s="17" t="n">
        <v>3</v>
      </c>
      <c r="E199" s="24">
        <f>D199+1</f>
        <v/>
      </c>
      <c r="F199" s="38" t="n">
        <v>300</v>
      </c>
      <c r="G199" s="39" t="n">
        <v>1.25</v>
      </c>
      <c r="H199" s="38" t="n">
        <v>1000</v>
      </c>
      <c r="I199" s="38" t="n">
        <v>0</v>
      </c>
      <c r="J199" s="39" t="n">
        <v>1.35</v>
      </c>
      <c r="K199" s="42">
        <f>ROUNDUP(F199*POWER(G199,D199),0)</f>
        <v/>
      </c>
      <c r="L199" s="40">
        <f>MAX(1,ROUNDDOWN(K199/'参数与公式'!$B$5,0))</f>
        <v/>
      </c>
      <c r="M199" s="40">
        <f>MAX(1,ROUNDDOWN(K199*(1-'参数与公式'!$B$14)/'参数与公式'!$B$5,0))</f>
        <v/>
      </c>
      <c r="N199" s="42">
        <f>IF(H199=0,0,ROUNDUP(H199*POWER(J199,D199),0))</f>
        <v/>
      </c>
      <c r="O199" s="42">
        <f>IF(I199=0,0,ROUNDUP(I199*POWER(J199,D199),0))</f>
        <v/>
      </c>
      <c r="P199" s="40">
        <f>IF(N199=0,0,MAX(1,ROUNDUP(N199*(1-'参数与公式'!$B$17),0)))</f>
        <v/>
      </c>
      <c r="Q199" s="40">
        <f>IF(O199=0,0,MAX(1,ROUNDUP(O199*(1-'参数与公式'!$B$17),0)))</f>
        <v/>
      </c>
      <c r="R199" s="18" t="inlineStr">
        <is>
          <t>data/building_templates.yaml; max_level: gameplay/constants.py; formula: gameplay/models/manor.py</t>
        </is>
      </c>
    </row>
    <row r="200" ht="25" customHeight="1">
      <c r="A200" s="17" t="inlineStr">
        <is>
          <t>smithy</t>
        </is>
      </c>
      <c r="B200" s="18" t="inlineStr">
        <is>
          <t>冶炼坊</t>
        </is>
      </c>
      <c r="C200" s="18" t="inlineStr">
        <is>
          <t>生产加工</t>
        </is>
      </c>
      <c r="D200" s="17" t="n">
        <v>4</v>
      </c>
      <c r="E200" s="24">
        <f>D200+1</f>
        <v/>
      </c>
      <c r="F200" s="38" t="n">
        <v>300</v>
      </c>
      <c r="G200" s="39" t="n">
        <v>1.25</v>
      </c>
      <c r="H200" s="38" t="n">
        <v>1000</v>
      </c>
      <c r="I200" s="38" t="n">
        <v>0</v>
      </c>
      <c r="J200" s="39" t="n">
        <v>1.35</v>
      </c>
      <c r="K200" s="42">
        <f>ROUNDUP(F200*POWER(G200,D200),0)</f>
        <v/>
      </c>
      <c r="L200" s="40">
        <f>MAX(1,ROUNDDOWN(K200/'参数与公式'!$B$5,0))</f>
        <v/>
      </c>
      <c r="M200" s="40">
        <f>MAX(1,ROUNDDOWN(K200*(1-'参数与公式'!$B$14)/'参数与公式'!$B$5,0))</f>
        <v/>
      </c>
      <c r="N200" s="42">
        <f>IF(H200=0,0,ROUNDUP(H200*POWER(J200,D200),0))</f>
        <v/>
      </c>
      <c r="O200" s="42">
        <f>IF(I200=0,0,ROUNDUP(I200*POWER(J200,D200),0))</f>
        <v/>
      </c>
      <c r="P200" s="40">
        <f>IF(N200=0,0,MAX(1,ROUNDUP(N200*(1-'参数与公式'!$B$17),0)))</f>
        <v/>
      </c>
      <c r="Q200" s="40">
        <f>IF(O200=0,0,MAX(1,ROUNDUP(O200*(1-'参数与公式'!$B$17),0)))</f>
        <v/>
      </c>
      <c r="R200" s="18" t="inlineStr">
        <is>
          <t>data/building_templates.yaml; max_level: gameplay/constants.py; formula: gameplay/models/manor.py</t>
        </is>
      </c>
    </row>
    <row r="201" ht="25" customHeight="1">
      <c r="A201" s="17" t="inlineStr">
        <is>
          <t>smithy</t>
        </is>
      </c>
      <c r="B201" s="18" t="inlineStr">
        <is>
          <t>冶炼坊</t>
        </is>
      </c>
      <c r="C201" s="18" t="inlineStr">
        <is>
          <t>生产加工</t>
        </is>
      </c>
      <c r="D201" s="17" t="n">
        <v>5</v>
      </c>
      <c r="E201" s="24">
        <f>D201+1</f>
        <v/>
      </c>
      <c r="F201" s="38" t="n">
        <v>300</v>
      </c>
      <c r="G201" s="39" t="n">
        <v>1.25</v>
      </c>
      <c r="H201" s="38" t="n">
        <v>1000</v>
      </c>
      <c r="I201" s="38" t="n">
        <v>0</v>
      </c>
      <c r="J201" s="39" t="n">
        <v>1.35</v>
      </c>
      <c r="K201" s="42">
        <f>ROUNDUP(F201*POWER(G201,D201),0)</f>
        <v/>
      </c>
      <c r="L201" s="40">
        <f>MAX(1,ROUNDDOWN(K201/'参数与公式'!$B$5,0))</f>
        <v/>
      </c>
      <c r="M201" s="40">
        <f>MAX(1,ROUNDDOWN(K201*(1-'参数与公式'!$B$14)/'参数与公式'!$B$5,0))</f>
        <v/>
      </c>
      <c r="N201" s="42">
        <f>IF(H201=0,0,ROUNDUP(H201*POWER(J201,D201),0))</f>
        <v/>
      </c>
      <c r="O201" s="42">
        <f>IF(I201=0,0,ROUNDUP(I201*POWER(J201,D201),0))</f>
        <v/>
      </c>
      <c r="P201" s="40">
        <f>IF(N201=0,0,MAX(1,ROUNDUP(N201*(1-'参数与公式'!$B$17),0)))</f>
        <v/>
      </c>
      <c r="Q201" s="40">
        <f>IF(O201=0,0,MAX(1,ROUNDUP(O201*(1-'参数与公式'!$B$17),0)))</f>
        <v/>
      </c>
      <c r="R201" s="18" t="inlineStr">
        <is>
          <t>data/building_templates.yaml; max_level: gameplay/constants.py; formula: gameplay/models/manor.py</t>
        </is>
      </c>
    </row>
    <row r="202" ht="25" customHeight="1">
      <c r="A202" s="17" t="inlineStr">
        <is>
          <t>smithy</t>
        </is>
      </c>
      <c r="B202" s="18" t="inlineStr">
        <is>
          <t>冶炼坊</t>
        </is>
      </c>
      <c r="C202" s="18" t="inlineStr">
        <is>
          <t>生产加工</t>
        </is>
      </c>
      <c r="D202" s="17" t="n">
        <v>6</v>
      </c>
      <c r="E202" s="24">
        <f>D202+1</f>
        <v/>
      </c>
      <c r="F202" s="38" t="n">
        <v>300</v>
      </c>
      <c r="G202" s="39" t="n">
        <v>1.25</v>
      </c>
      <c r="H202" s="38" t="n">
        <v>1000</v>
      </c>
      <c r="I202" s="38" t="n">
        <v>0</v>
      </c>
      <c r="J202" s="39" t="n">
        <v>1.35</v>
      </c>
      <c r="K202" s="42">
        <f>ROUNDUP(F202*POWER(G202,D202),0)</f>
        <v/>
      </c>
      <c r="L202" s="40">
        <f>MAX(1,ROUNDDOWN(K202/'参数与公式'!$B$5,0))</f>
        <v/>
      </c>
      <c r="M202" s="40">
        <f>MAX(1,ROUNDDOWN(K202*(1-'参数与公式'!$B$14)/'参数与公式'!$B$5,0))</f>
        <v/>
      </c>
      <c r="N202" s="42">
        <f>IF(H202=0,0,ROUNDUP(H202*POWER(J202,D202),0))</f>
        <v/>
      </c>
      <c r="O202" s="42">
        <f>IF(I202=0,0,ROUNDUP(I202*POWER(J202,D202),0))</f>
        <v/>
      </c>
      <c r="P202" s="40">
        <f>IF(N202=0,0,MAX(1,ROUNDUP(N202*(1-'参数与公式'!$B$17),0)))</f>
        <v/>
      </c>
      <c r="Q202" s="40">
        <f>IF(O202=0,0,MAX(1,ROUNDUP(O202*(1-'参数与公式'!$B$17),0)))</f>
        <v/>
      </c>
      <c r="R202" s="18" t="inlineStr">
        <is>
          <t>data/building_templates.yaml; max_level: gameplay/constants.py; formula: gameplay/models/manor.py</t>
        </is>
      </c>
    </row>
    <row r="203" ht="25" customHeight="1">
      <c r="A203" s="17" t="inlineStr">
        <is>
          <t>smithy</t>
        </is>
      </c>
      <c r="B203" s="18" t="inlineStr">
        <is>
          <t>冶炼坊</t>
        </is>
      </c>
      <c r="C203" s="18" t="inlineStr">
        <is>
          <t>生产加工</t>
        </is>
      </c>
      <c r="D203" s="17" t="n">
        <v>7</v>
      </c>
      <c r="E203" s="24">
        <f>D203+1</f>
        <v/>
      </c>
      <c r="F203" s="38" t="n">
        <v>300</v>
      </c>
      <c r="G203" s="39" t="n">
        <v>1.25</v>
      </c>
      <c r="H203" s="38" t="n">
        <v>1000</v>
      </c>
      <c r="I203" s="38" t="n">
        <v>0</v>
      </c>
      <c r="J203" s="39" t="n">
        <v>1.35</v>
      </c>
      <c r="K203" s="42">
        <f>ROUNDUP(F203*POWER(G203,D203),0)</f>
        <v/>
      </c>
      <c r="L203" s="40">
        <f>MAX(1,ROUNDDOWN(K203/'参数与公式'!$B$5,0))</f>
        <v/>
      </c>
      <c r="M203" s="40">
        <f>MAX(1,ROUNDDOWN(K203*(1-'参数与公式'!$B$14)/'参数与公式'!$B$5,0))</f>
        <v/>
      </c>
      <c r="N203" s="42">
        <f>IF(H203=0,0,ROUNDUP(H203*POWER(J203,D203),0))</f>
        <v/>
      </c>
      <c r="O203" s="42">
        <f>IF(I203=0,0,ROUNDUP(I203*POWER(J203,D203),0))</f>
        <v/>
      </c>
      <c r="P203" s="40">
        <f>IF(N203=0,0,MAX(1,ROUNDUP(N203*(1-'参数与公式'!$B$17),0)))</f>
        <v/>
      </c>
      <c r="Q203" s="40">
        <f>IF(O203=0,0,MAX(1,ROUNDUP(O203*(1-'参数与公式'!$B$17),0)))</f>
        <v/>
      </c>
      <c r="R203" s="18" t="inlineStr">
        <is>
          <t>data/building_templates.yaml; max_level: gameplay/constants.py; formula: gameplay/models/manor.py</t>
        </is>
      </c>
    </row>
    <row r="204" ht="25" customHeight="1">
      <c r="A204" s="17" t="inlineStr">
        <is>
          <t>smithy</t>
        </is>
      </c>
      <c r="B204" s="18" t="inlineStr">
        <is>
          <t>冶炼坊</t>
        </is>
      </c>
      <c r="C204" s="18" t="inlineStr">
        <is>
          <t>生产加工</t>
        </is>
      </c>
      <c r="D204" s="17" t="n">
        <v>8</v>
      </c>
      <c r="E204" s="24">
        <f>D204+1</f>
        <v/>
      </c>
      <c r="F204" s="38" t="n">
        <v>300</v>
      </c>
      <c r="G204" s="39" t="n">
        <v>1.25</v>
      </c>
      <c r="H204" s="38" t="n">
        <v>1000</v>
      </c>
      <c r="I204" s="38" t="n">
        <v>0</v>
      </c>
      <c r="J204" s="39" t="n">
        <v>1.35</v>
      </c>
      <c r="K204" s="42">
        <f>ROUNDUP(F204*POWER(G204,D204),0)</f>
        <v/>
      </c>
      <c r="L204" s="40">
        <f>MAX(1,ROUNDDOWN(K204/'参数与公式'!$B$5,0))</f>
        <v/>
      </c>
      <c r="M204" s="40">
        <f>MAX(1,ROUNDDOWN(K204*(1-'参数与公式'!$B$14)/'参数与公式'!$B$5,0))</f>
        <v/>
      </c>
      <c r="N204" s="42">
        <f>IF(H204=0,0,ROUNDUP(H204*POWER(J204,D204),0))</f>
        <v/>
      </c>
      <c r="O204" s="42">
        <f>IF(I204=0,0,ROUNDUP(I204*POWER(J204,D204),0))</f>
        <v/>
      </c>
      <c r="P204" s="40">
        <f>IF(N204=0,0,MAX(1,ROUNDUP(N204*(1-'参数与公式'!$B$17),0)))</f>
        <v/>
      </c>
      <c r="Q204" s="40">
        <f>IF(O204=0,0,MAX(1,ROUNDUP(O204*(1-'参数与公式'!$B$17),0)))</f>
        <v/>
      </c>
      <c r="R204" s="18" t="inlineStr">
        <is>
          <t>data/building_templates.yaml; max_level: gameplay/constants.py; formula: gameplay/models/manor.py</t>
        </is>
      </c>
    </row>
    <row r="205" ht="25" customHeight="1">
      <c r="A205" s="17" t="inlineStr">
        <is>
          <t>smithy</t>
        </is>
      </c>
      <c r="B205" s="18" t="inlineStr">
        <is>
          <t>冶炼坊</t>
        </is>
      </c>
      <c r="C205" s="18" t="inlineStr">
        <is>
          <t>生产加工</t>
        </is>
      </c>
      <c r="D205" s="17" t="n">
        <v>9</v>
      </c>
      <c r="E205" s="24">
        <f>D205+1</f>
        <v/>
      </c>
      <c r="F205" s="38" t="n">
        <v>300</v>
      </c>
      <c r="G205" s="39" t="n">
        <v>1.25</v>
      </c>
      <c r="H205" s="38" t="n">
        <v>1000</v>
      </c>
      <c r="I205" s="38" t="n">
        <v>0</v>
      </c>
      <c r="J205" s="39" t="n">
        <v>1.35</v>
      </c>
      <c r="K205" s="42">
        <f>ROUNDUP(F205*POWER(G205,D205),0)</f>
        <v/>
      </c>
      <c r="L205" s="40">
        <f>MAX(1,ROUNDDOWN(K205/'参数与公式'!$B$5,0))</f>
        <v/>
      </c>
      <c r="M205" s="40">
        <f>MAX(1,ROUNDDOWN(K205*(1-'参数与公式'!$B$14)/'参数与公式'!$B$5,0))</f>
        <v/>
      </c>
      <c r="N205" s="42">
        <f>IF(H205=0,0,ROUNDUP(H205*POWER(J205,D205),0))</f>
        <v/>
      </c>
      <c r="O205" s="42">
        <f>IF(I205=0,0,ROUNDUP(I205*POWER(J205,D205),0))</f>
        <v/>
      </c>
      <c r="P205" s="40">
        <f>IF(N205=0,0,MAX(1,ROUNDUP(N205*(1-'参数与公式'!$B$17),0)))</f>
        <v/>
      </c>
      <c r="Q205" s="40">
        <f>IF(O205=0,0,MAX(1,ROUNDUP(O205*(1-'参数与公式'!$B$17),0)))</f>
        <v/>
      </c>
      <c r="R205" s="18" t="inlineStr">
        <is>
          <t>data/building_templates.yaml; max_level: gameplay/constants.py; formula: gameplay/models/manor.py</t>
        </is>
      </c>
    </row>
    <row r="206" ht="25" customHeight="1">
      <c r="A206" s="17" t="inlineStr">
        <is>
          <t>stable</t>
        </is>
      </c>
      <c r="B206" s="18" t="inlineStr">
        <is>
          <t>马房</t>
        </is>
      </c>
      <c r="C206" s="18" t="inlineStr">
        <is>
          <t>生产加工</t>
        </is>
      </c>
      <c r="D206" s="17" t="n">
        <v>1</v>
      </c>
      <c r="E206" s="24">
        <f>D206+1</f>
        <v/>
      </c>
      <c r="F206" s="38" t="n">
        <v>300</v>
      </c>
      <c r="G206" s="39" t="n">
        <v>1.25</v>
      </c>
      <c r="H206" s="38" t="n">
        <v>980</v>
      </c>
      <c r="I206" s="38" t="n">
        <v>0</v>
      </c>
      <c r="J206" s="39" t="n">
        <v>1.35</v>
      </c>
      <c r="K206" s="42">
        <f>ROUNDUP(F206*POWER(G206,D206),0)</f>
        <v/>
      </c>
      <c r="L206" s="40">
        <f>MAX(1,ROUNDDOWN(K206/'参数与公式'!$B$5,0))</f>
        <v/>
      </c>
      <c r="M206" s="40">
        <f>MAX(1,ROUNDDOWN(K206*(1-'参数与公式'!$B$14)/'参数与公式'!$B$5,0))</f>
        <v/>
      </c>
      <c r="N206" s="42">
        <f>IF(H206=0,0,ROUNDUP(H206*POWER(J206,D206),0))</f>
        <v/>
      </c>
      <c r="O206" s="42">
        <f>IF(I206=0,0,ROUNDUP(I206*POWER(J206,D206),0))</f>
        <v/>
      </c>
      <c r="P206" s="40">
        <f>IF(N206=0,0,MAX(1,ROUNDUP(N206*(1-'参数与公式'!$B$17),0)))</f>
        <v/>
      </c>
      <c r="Q206" s="40">
        <f>IF(O206=0,0,MAX(1,ROUNDUP(O206*(1-'参数与公式'!$B$17),0)))</f>
        <v/>
      </c>
      <c r="R206" s="18" t="inlineStr">
        <is>
          <t>data/building_templates.yaml; max_level: gameplay/constants.py; formula: gameplay/models/manor.py</t>
        </is>
      </c>
    </row>
    <row r="207" ht="25" customHeight="1">
      <c r="A207" s="17" t="inlineStr">
        <is>
          <t>stable</t>
        </is>
      </c>
      <c r="B207" s="18" t="inlineStr">
        <is>
          <t>马房</t>
        </is>
      </c>
      <c r="C207" s="18" t="inlineStr">
        <is>
          <t>生产加工</t>
        </is>
      </c>
      <c r="D207" s="17" t="n">
        <v>2</v>
      </c>
      <c r="E207" s="24">
        <f>D207+1</f>
        <v/>
      </c>
      <c r="F207" s="38" t="n">
        <v>300</v>
      </c>
      <c r="G207" s="39" t="n">
        <v>1.25</v>
      </c>
      <c r="H207" s="38" t="n">
        <v>980</v>
      </c>
      <c r="I207" s="38" t="n">
        <v>0</v>
      </c>
      <c r="J207" s="39" t="n">
        <v>1.35</v>
      </c>
      <c r="K207" s="42">
        <f>ROUNDUP(F207*POWER(G207,D207),0)</f>
        <v/>
      </c>
      <c r="L207" s="40">
        <f>MAX(1,ROUNDDOWN(K207/'参数与公式'!$B$5,0))</f>
        <v/>
      </c>
      <c r="M207" s="40">
        <f>MAX(1,ROUNDDOWN(K207*(1-'参数与公式'!$B$14)/'参数与公式'!$B$5,0))</f>
        <v/>
      </c>
      <c r="N207" s="42">
        <f>IF(H207=0,0,ROUNDUP(H207*POWER(J207,D207),0))</f>
        <v/>
      </c>
      <c r="O207" s="42">
        <f>IF(I207=0,0,ROUNDUP(I207*POWER(J207,D207),0))</f>
        <v/>
      </c>
      <c r="P207" s="40">
        <f>IF(N207=0,0,MAX(1,ROUNDUP(N207*(1-'参数与公式'!$B$17),0)))</f>
        <v/>
      </c>
      <c r="Q207" s="40">
        <f>IF(O207=0,0,MAX(1,ROUNDUP(O207*(1-'参数与公式'!$B$17),0)))</f>
        <v/>
      </c>
      <c r="R207" s="18" t="inlineStr">
        <is>
          <t>data/building_templates.yaml; max_level: gameplay/constants.py; formula: gameplay/models/manor.py</t>
        </is>
      </c>
    </row>
    <row r="208" ht="25" customHeight="1">
      <c r="A208" s="17" t="inlineStr">
        <is>
          <t>stable</t>
        </is>
      </c>
      <c r="B208" s="18" t="inlineStr">
        <is>
          <t>马房</t>
        </is>
      </c>
      <c r="C208" s="18" t="inlineStr">
        <is>
          <t>生产加工</t>
        </is>
      </c>
      <c r="D208" s="17" t="n">
        <v>3</v>
      </c>
      <c r="E208" s="24">
        <f>D208+1</f>
        <v/>
      </c>
      <c r="F208" s="38" t="n">
        <v>300</v>
      </c>
      <c r="G208" s="39" t="n">
        <v>1.25</v>
      </c>
      <c r="H208" s="38" t="n">
        <v>980</v>
      </c>
      <c r="I208" s="38" t="n">
        <v>0</v>
      </c>
      <c r="J208" s="39" t="n">
        <v>1.35</v>
      </c>
      <c r="K208" s="42">
        <f>ROUNDUP(F208*POWER(G208,D208),0)</f>
        <v/>
      </c>
      <c r="L208" s="40">
        <f>MAX(1,ROUNDDOWN(K208/'参数与公式'!$B$5,0))</f>
        <v/>
      </c>
      <c r="M208" s="40">
        <f>MAX(1,ROUNDDOWN(K208*(1-'参数与公式'!$B$14)/'参数与公式'!$B$5,0))</f>
        <v/>
      </c>
      <c r="N208" s="42">
        <f>IF(H208=0,0,ROUNDUP(H208*POWER(J208,D208),0))</f>
        <v/>
      </c>
      <c r="O208" s="42">
        <f>IF(I208=0,0,ROUNDUP(I208*POWER(J208,D208),0))</f>
        <v/>
      </c>
      <c r="P208" s="40">
        <f>IF(N208=0,0,MAX(1,ROUNDUP(N208*(1-'参数与公式'!$B$17),0)))</f>
        <v/>
      </c>
      <c r="Q208" s="40">
        <f>IF(O208=0,0,MAX(1,ROUNDUP(O208*(1-'参数与公式'!$B$17),0)))</f>
        <v/>
      </c>
      <c r="R208" s="18" t="inlineStr">
        <is>
          <t>data/building_templates.yaml; max_level: gameplay/constants.py; formula: gameplay/models/manor.py</t>
        </is>
      </c>
    </row>
    <row r="209" ht="25" customHeight="1">
      <c r="A209" s="17" t="inlineStr">
        <is>
          <t>stable</t>
        </is>
      </c>
      <c r="B209" s="18" t="inlineStr">
        <is>
          <t>马房</t>
        </is>
      </c>
      <c r="C209" s="18" t="inlineStr">
        <is>
          <t>生产加工</t>
        </is>
      </c>
      <c r="D209" s="17" t="n">
        <v>4</v>
      </c>
      <c r="E209" s="24">
        <f>D209+1</f>
        <v/>
      </c>
      <c r="F209" s="38" t="n">
        <v>300</v>
      </c>
      <c r="G209" s="39" t="n">
        <v>1.25</v>
      </c>
      <c r="H209" s="38" t="n">
        <v>980</v>
      </c>
      <c r="I209" s="38" t="n">
        <v>0</v>
      </c>
      <c r="J209" s="39" t="n">
        <v>1.35</v>
      </c>
      <c r="K209" s="42">
        <f>ROUNDUP(F209*POWER(G209,D209),0)</f>
        <v/>
      </c>
      <c r="L209" s="40">
        <f>MAX(1,ROUNDDOWN(K209/'参数与公式'!$B$5,0))</f>
        <v/>
      </c>
      <c r="M209" s="40">
        <f>MAX(1,ROUNDDOWN(K209*(1-'参数与公式'!$B$14)/'参数与公式'!$B$5,0))</f>
        <v/>
      </c>
      <c r="N209" s="42">
        <f>IF(H209=0,0,ROUNDUP(H209*POWER(J209,D209),0))</f>
        <v/>
      </c>
      <c r="O209" s="42">
        <f>IF(I209=0,0,ROUNDUP(I209*POWER(J209,D209),0))</f>
        <v/>
      </c>
      <c r="P209" s="40">
        <f>IF(N209=0,0,MAX(1,ROUNDUP(N209*(1-'参数与公式'!$B$17),0)))</f>
        <v/>
      </c>
      <c r="Q209" s="40">
        <f>IF(O209=0,0,MAX(1,ROUNDUP(O209*(1-'参数与公式'!$B$17),0)))</f>
        <v/>
      </c>
      <c r="R209" s="18" t="inlineStr">
        <is>
          <t>data/building_templates.yaml; max_level: gameplay/constants.py; formula: gameplay/models/manor.py</t>
        </is>
      </c>
    </row>
    <row r="210" ht="25" customHeight="1">
      <c r="A210" s="17" t="inlineStr">
        <is>
          <t>stable</t>
        </is>
      </c>
      <c r="B210" s="18" t="inlineStr">
        <is>
          <t>马房</t>
        </is>
      </c>
      <c r="C210" s="18" t="inlineStr">
        <is>
          <t>生产加工</t>
        </is>
      </c>
      <c r="D210" s="17" t="n">
        <v>5</v>
      </c>
      <c r="E210" s="24">
        <f>D210+1</f>
        <v/>
      </c>
      <c r="F210" s="38" t="n">
        <v>300</v>
      </c>
      <c r="G210" s="39" t="n">
        <v>1.25</v>
      </c>
      <c r="H210" s="38" t="n">
        <v>980</v>
      </c>
      <c r="I210" s="38" t="n">
        <v>0</v>
      </c>
      <c r="J210" s="39" t="n">
        <v>1.35</v>
      </c>
      <c r="K210" s="42">
        <f>ROUNDUP(F210*POWER(G210,D210),0)</f>
        <v/>
      </c>
      <c r="L210" s="40">
        <f>MAX(1,ROUNDDOWN(K210/'参数与公式'!$B$5,0))</f>
        <v/>
      </c>
      <c r="M210" s="40">
        <f>MAX(1,ROUNDDOWN(K210*(1-'参数与公式'!$B$14)/'参数与公式'!$B$5,0))</f>
        <v/>
      </c>
      <c r="N210" s="42">
        <f>IF(H210=0,0,ROUNDUP(H210*POWER(J210,D210),0))</f>
        <v/>
      </c>
      <c r="O210" s="42">
        <f>IF(I210=0,0,ROUNDUP(I210*POWER(J210,D210),0))</f>
        <v/>
      </c>
      <c r="P210" s="40">
        <f>IF(N210=0,0,MAX(1,ROUNDUP(N210*(1-'参数与公式'!$B$17),0)))</f>
        <v/>
      </c>
      <c r="Q210" s="40">
        <f>IF(O210=0,0,MAX(1,ROUNDUP(O210*(1-'参数与公式'!$B$17),0)))</f>
        <v/>
      </c>
      <c r="R210" s="18" t="inlineStr">
        <is>
          <t>data/building_templates.yaml; max_level: gameplay/constants.py; formula: gameplay/models/manor.py</t>
        </is>
      </c>
    </row>
    <row r="211" ht="25" customHeight="1">
      <c r="A211" s="17" t="inlineStr">
        <is>
          <t>stable</t>
        </is>
      </c>
      <c r="B211" s="18" t="inlineStr">
        <is>
          <t>马房</t>
        </is>
      </c>
      <c r="C211" s="18" t="inlineStr">
        <is>
          <t>生产加工</t>
        </is>
      </c>
      <c r="D211" s="17" t="n">
        <v>6</v>
      </c>
      <c r="E211" s="24">
        <f>D211+1</f>
        <v/>
      </c>
      <c r="F211" s="38" t="n">
        <v>300</v>
      </c>
      <c r="G211" s="39" t="n">
        <v>1.25</v>
      </c>
      <c r="H211" s="38" t="n">
        <v>980</v>
      </c>
      <c r="I211" s="38" t="n">
        <v>0</v>
      </c>
      <c r="J211" s="39" t="n">
        <v>1.35</v>
      </c>
      <c r="K211" s="42">
        <f>ROUNDUP(F211*POWER(G211,D211),0)</f>
        <v/>
      </c>
      <c r="L211" s="40">
        <f>MAX(1,ROUNDDOWN(K211/'参数与公式'!$B$5,0))</f>
        <v/>
      </c>
      <c r="M211" s="40">
        <f>MAX(1,ROUNDDOWN(K211*(1-'参数与公式'!$B$14)/'参数与公式'!$B$5,0))</f>
        <v/>
      </c>
      <c r="N211" s="42">
        <f>IF(H211=0,0,ROUNDUP(H211*POWER(J211,D211),0))</f>
        <v/>
      </c>
      <c r="O211" s="42">
        <f>IF(I211=0,0,ROUNDUP(I211*POWER(J211,D211),0))</f>
        <v/>
      </c>
      <c r="P211" s="40">
        <f>IF(N211=0,0,MAX(1,ROUNDUP(N211*(1-'参数与公式'!$B$17),0)))</f>
        <v/>
      </c>
      <c r="Q211" s="40">
        <f>IF(O211=0,0,MAX(1,ROUNDUP(O211*(1-'参数与公式'!$B$17),0)))</f>
        <v/>
      </c>
      <c r="R211" s="18" t="inlineStr">
        <is>
          <t>data/building_templates.yaml; max_level: gameplay/constants.py; formula: gameplay/models/manor.py</t>
        </is>
      </c>
    </row>
    <row r="212" ht="25" customHeight="1">
      <c r="A212" s="17" t="inlineStr">
        <is>
          <t>stable</t>
        </is>
      </c>
      <c r="B212" s="18" t="inlineStr">
        <is>
          <t>马房</t>
        </is>
      </c>
      <c r="C212" s="18" t="inlineStr">
        <is>
          <t>生产加工</t>
        </is>
      </c>
      <c r="D212" s="17" t="n">
        <v>7</v>
      </c>
      <c r="E212" s="24">
        <f>D212+1</f>
        <v/>
      </c>
      <c r="F212" s="38" t="n">
        <v>300</v>
      </c>
      <c r="G212" s="39" t="n">
        <v>1.25</v>
      </c>
      <c r="H212" s="38" t="n">
        <v>980</v>
      </c>
      <c r="I212" s="38" t="n">
        <v>0</v>
      </c>
      <c r="J212" s="39" t="n">
        <v>1.35</v>
      </c>
      <c r="K212" s="42">
        <f>ROUNDUP(F212*POWER(G212,D212),0)</f>
        <v/>
      </c>
      <c r="L212" s="40">
        <f>MAX(1,ROUNDDOWN(K212/'参数与公式'!$B$5,0))</f>
        <v/>
      </c>
      <c r="M212" s="40">
        <f>MAX(1,ROUNDDOWN(K212*(1-'参数与公式'!$B$14)/'参数与公式'!$B$5,0))</f>
        <v/>
      </c>
      <c r="N212" s="42">
        <f>IF(H212=0,0,ROUNDUP(H212*POWER(J212,D212),0))</f>
        <v/>
      </c>
      <c r="O212" s="42">
        <f>IF(I212=0,0,ROUNDUP(I212*POWER(J212,D212),0))</f>
        <v/>
      </c>
      <c r="P212" s="40">
        <f>IF(N212=0,0,MAX(1,ROUNDUP(N212*(1-'参数与公式'!$B$17),0)))</f>
        <v/>
      </c>
      <c r="Q212" s="40">
        <f>IF(O212=0,0,MAX(1,ROUNDUP(O212*(1-'参数与公式'!$B$17),0)))</f>
        <v/>
      </c>
      <c r="R212" s="18" t="inlineStr">
        <is>
          <t>data/building_templates.yaml; max_level: gameplay/constants.py; formula: gameplay/models/manor.py</t>
        </is>
      </c>
    </row>
    <row r="213" ht="25" customHeight="1">
      <c r="A213" s="17" t="inlineStr">
        <is>
          <t>stable</t>
        </is>
      </c>
      <c r="B213" s="18" t="inlineStr">
        <is>
          <t>马房</t>
        </is>
      </c>
      <c r="C213" s="18" t="inlineStr">
        <is>
          <t>生产加工</t>
        </is>
      </c>
      <c r="D213" s="17" t="n">
        <v>8</v>
      </c>
      <c r="E213" s="24">
        <f>D213+1</f>
        <v/>
      </c>
      <c r="F213" s="38" t="n">
        <v>300</v>
      </c>
      <c r="G213" s="39" t="n">
        <v>1.25</v>
      </c>
      <c r="H213" s="38" t="n">
        <v>980</v>
      </c>
      <c r="I213" s="38" t="n">
        <v>0</v>
      </c>
      <c r="J213" s="39" t="n">
        <v>1.35</v>
      </c>
      <c r="K213" s="42">
        <f>ROUNDUP(F213*POWER(G213,D213),0)</f>
        <v/>
      </c>
      <c r="L213" s="40">
        <f>MAX(1,ROUNDDOWN(K213/'参数与公式'!$B$5,0))</f>
        <v/>
      </c>
      <c r="M213" s="40">
        <f>MAX(1,ROUNDDOWN(K213*(1-'参数与公式'!$B$14)/'参数与公式'!$B$5,0))</f>
        <v/>
      </c>
      <c r="N213" s="42">
        <f>IF(H213=0,0,ROUNDUP(H213*POWER(J213,D213),0))</f>
        <v/>
      </c>
      <c r="O213" s="42">
        <f>IF(I213=0,0,ROUNDUP(I213*POWER(J213,D213),0))</f>
        <v/>
      </c>
      <c r="P213" s="40">
        <f>IF(N213=0,0,MAX(1,ROUNDUP(N213*(1-'参数与公式'!$B$17),0)))</f>
        <v/>
      </c>
      <c r="Q213" s="40">
        <f>IF(O213=0,0,MAX(1,ROUNDUP(O213*(1-'参数与公式'!$B$17),0)))</f>
        <v/>
      </c>
      <c r="R213" s="18" t="inlineStr">
        <is>
          <t>data/building_templates.yaml; max_level: gameplay/constants.py; formula: gameplay/models/manor.py</t>
        </is>
      </c>
    </row>
    <row r="214" ht="25" customHeight="1">
      <c r="A214" s="17" t="inlineStr">
        <is>
          <t>stable</t>
        </is>
      </c>
      <c r="B214" s="18" t="inlineStr">
        <is>
          <t>马房</t>
        </is>
      </c>
      <c r="C214" s="18" t="inlineStr">
        <is>
          <t>生产加工</t>
        </is>
      </c>
      <c r="D214" s="17" t="n">
        <v>9</v>
      </c>
      <c r="E214" s="24">
        <f>D214+1</f>
        <v/>
      </c>
      <c r="F214" s="38" t="n">
        <v>300</v>
      </c>
      <c r="G214" s="39" t="n">
        <v>1.25</v>
      </c>
      <c r="H214" s="38" t="n">
        <v>980</v>
      </c>
      <c r="I214" s="38" t="n">
        <v>0</v>
      </c>
      <c r="J214" s="39" t="n">
        <v>1.35</v>
      </c>
      <c r="K214" s="42">
        <f>ROUNDUP(F214*POWER(G214,D214),0)</f>
        <v/>
      </c>
      <c r="L214" s="40">
        <f>MAX(1,ROUNDDOWN(K214/'参数与公式'!$B$5,0))</f>
        <v/>
      </c>
      <c r="M214" s="40">
        <f>MAX(1,ROUNDDOWN(K214*(1-'参数与公式'!$B$14)/'参数与公式'!$B$5,0))</f>
        <v/>
      </c>
      <c r="N214" s="42">
        <f>IF(H214=0,0,ROUNDUP(H214*POWER(J214,D214),0))</f>
        <v/>
      </c>
      <c r="O214" s="42">
        <f>IF(I214=0,0,ROUNDUP(I214*POWER(J214,D214),0))</f>
        <v/>
      </c>
      <c r="P214" s="40">
        <f>IF(N214=0,0,MAX(1,ROUNDUP(N214*(1-'参数与公式'!$B$17),0)))</f>
        <v/>
      </c>
      <c r="Q214" s="40">
        <f>IF(O214=0,0,MAX(1,ROUNDUP(O214*(1-'参数与公式'!$B$17),0)))</f>
        <v/>
      </c>
      <c r="R214" s="18" t="inlineStr">
        <is>
          <t>data/building_templates.yaml; max_level: gameplay/constants.py; formula: gameplay/models/manor.py</t>
        </is>
      </c>
    </row>
    <row r="215" ht="25" customHeight="1">
      <c r="A215" s="17" t="inlineStr">
        <is>
          <t>forge</t>
        </is>
      </c>
      <c r="B215" s="18" t="inlineStr">
        <is>
          <t>铁匠铺</t>
        </is>
      </c>
      <c r="C215" s="18" t="inlineStr">
        <is>
          <t>生产加工</t>
        </is>
      </c>
      <c r="D215" s="17" t="n">
        <v>1</v>
      </c>
      <c r="E215" s="24">
        <f>D215+1</f>
        <v/>
      </c>
      <c r="F215" s="38" t="n">
        <v>300</v>
      </c>
      <c r="G215" s="39" t="n">
        <v>1.25</v>
      </c>
      <c r="H215" s="38" t="n">
        <v>500</v>
      </c>
      <c r="I215" s="38" t="n">
        <v>500</v>
      </c>
      <c r="J215" s="39" t="n">
        <v>1.35</v>
      </c>
      <c r="K215" s="42">
        <f>ROUNDUP(F215*POWER(G215,D215),0)</f>
        <v/>
      </c>
      <c r="L215" s="40">
        <f>MAX(1,ROUNDDOWN(K215/'参数与公式'!$B$5,0))</f>
        <v/>
      </c>
      <c r="M215" s="40">
        <f>MAX(1,ROUNDDOWN(K215*(1-'参数与公式'!$B$14)/'参数与公式'!$B$5,0))</f>
        <v/>
      </c>
      <c r="N215" s="42">
        <f>IF(H215=0,0,ROUNDUP(H215*POWER(J215,D215),0))</f>
        <v/>
      </c>
      <c r="O215" s="42">
        <f>IF(I215=0,0,ROUNDUP(I215*POWER(J215,D215),0))</f>
        <v/>
      </c>
      <c r="P215" s="40">
        <f>IF(N215=0,0,MAX(1,ROUNDUP(N215*(1-'参数与公式'!$B$17),0)))</f>
        <v/>
      </c>
      <c r="Q215" s="40">
        <f>IF(O215=0,0,MAX(1,ROUNDUP(O215*(1-'参数与公式'!$B$17),0)))</f>
        <v/>
      </c>
      <c r="R215" s="18" t="inlineStr">
        <is>
          <t>data/building_templates.yaml; max_level: gameplay/constants.py; formula: gameplay/models/manor.py</t>
        </is>
      </c>
    </row>
    <row r="216" ht="25" customHeight="1">
      <c r="A216" s="17" t="inlineStr">
        <is>
          <t>forge</t>
        </is>
      </c>
      <c r="B216" s="18" t="inlineStr">
        <is>
          <t>铁匠铺</t>
        </is>
      </c>
      <c r="C216" s="18" t="inlineStr">
        <is>
          <t>生产加工</t>
        </is>
      </c>
      <c r="D216" s="17" t="n">
        <v>2</v>
      </c>
      <c r="E216" s="24">
        <f>D216+1</f>
        <v/>
      </c>
      <c r="F216" s="38" t="n">
        <v>300</v>
      </c>
      <c r="G216" s="39" t="n">
        <v>1.25</v>
      </c>
      <c r="H216" s="38" t="n">
        <v>500</v>
      </c>
      <c r="I216" s="38" t="n">
        <v>500</v>
      </c>
      <c r="J216" s="39" t="n">
        <v>1.35</v>
      </c>
      <c r="K216" s="42">
        <f>ROUNDUP(F216*POWER(G216,D216),0)</f>
        <v/>
      </c>
      <c r="L216" s="40">
        <f>MAX(1,ROUNDDOWN(K216/'参数与公式'!$B$5,0))</f>
        <v/>
      </c>
      <c r="M216" s="40">
        <f>MAX(1,ROUNDDOWN(K216*(1-'参数与公式'!$B$14)/'参数与公式'!$B$5,0))</f>
        <v/>
      </c>
      <c r="N216" s="42">
        <f>IF(H216=0,0,ROUNDUP(H216*POWER(J216,D216),0))</f>
        <v/>
      </c>
      <c r="O216" s="42">
        <f>IF(I216=0,0,ROUNDUP(I216*POWER(J216,D216),0))</f>
        <v/>
      </c>
      <c r="P216" s="40">
        <f>IF(N216=0,0,MAX(1,ROUNDUP(N216*(1-'参数与公式'!$B$17),0)))</f>
        <v/>
      </c>
      <c r="Q216" s="40">
        <f>IF(O216=0,0,MAX(1,ROUNDUP(O216*(1-'参数与公式'!$B$17),0)))</f>
        <v/>
      </c>
      <c r="R216" s="18" t="inlineStr">
        <is>
          <t>data/building_templates.yaml; max_level: gameplay/constants.py; formula: gameplay/models/manor.py</t>
        </is>
      </c>
    </row>
    <row r="217" ht="25" customHeight="1">
      <c r="A217" s="17" t="inlineStr">
        <is>
          <t>forge</t>
        </is>
      </c>
      <c r="B217" s="18" t="inlineStr">
        <is>
          <t>铁匠铺</t>
        </is>
      </c>
      <c r="C217" s="18" t="inlineStr">
        <is>
          <t>生产加工</t>
        </is>
      </c>
      <c r="D217" s="17" t="n">
        <v>3</v>
      </c>
      <c r="E217" s="24">
        <f>D217+1</f>
        <v/>
      </c>
      <c r="F217" s="38" t="n">
        <v>300</v>
      </c>
      <c r="G217" s="39" t="n">
        <v>1.25</v>
      </c>
      <c r="H217" s="38" t="n">
        <v>500</v>
      </c>
      <c r="I217" s="38" t="n">
        <v>500</v>
      </c>
      <c r="J217" s="39" t="n">
        <v>1.35</v>
      </c>
      <c r="K217" s="42">
        <f>ROUNDUP(F217*POWER(G217,D217),0)</f>
        <v/>
      </c>
      <c r="L217" s="40">
        <f>MAX(1,ROUNDDOWN(K217/'参数与公式'!$B$5,0))</f>
        <v/>
      </c>
      <c r="M217" s="40">
        <f>MAX(1,ROUNDDOWN(K217*(1-'参数与公式'!$B$14)/'参数与公式'!$B$5,0))</f>
        <v/>
      </c>
      <c r="N217" s="42">
        <f>IF(H217=0,0,ROUNDUP(H217*POWER(J217,D217),0))</f>
        <v/>
      </c>
      <c r="O217" s="42">
        <f>IF(I217=0,0,ROUNDUP(I217*POWER(J217,D217),0))</f>
        <v/>
      </c>
      <c r="P217" s="40">
        <f>IF(N217=0,0,MAX(1,ROUNDUP(N217*(1-'参数与公式'!$B$17),0)))</f>
        <v/>
      </c>
      <c r="Q217" s="40">
        <f>IF(O217=0,0,MAX(1,ROUNDUP(O217*(1-'参数与公式'!$B$17),0)))</f>
        <v/>
      </c>
      <c r="R217" s="18" t="inlineStr">
        <is>
          <t>data/building_templates.yaml; max_level: gameplay/constants.py; formula: gameplay/models/manor.py</t>
        </is>
      </c>
    </row>
    <row r="218" ht="25" customHeight="1">
      <c r="A218" s="17" t="inlineStr">
        <is>
          <t>forge</t>
        </is>
      </c>
      <c r="B218" s="18" t="inlineStr">
        <is>
          <t>铁匠铺</t>
        </is>
      </c>
      <c r="C218" s="18" t="inlineStr">
        <is>
          <t>生产加工</t>
        </is>
      </c>
      <c r="D218" s="17" t="n">
        <v>4</v>
      </c>
      <c r="E218" s="24">
        <f>D218+1</f>
        <v/>
      </c>
      <c r="F218" s="38" t="n">
        <v>300</v>
      </c>
      <c r="G218" s="39" t="n">
        <v>1.25</v>
      </c>
      <c r="H218" s="38" t="n">
        <v>500</v>
      </c>
      <c r="I218" s="38" t="n">
        <v>500</v>
      </c>
      <c r="J218" s="39" t="n">
        <v>1.35</v>
      </c>
      <c r="K218" s="42">
        <f>ROUNDUP(F218*POWER(G218,D218),0)</f>
        <v/>
      </c>
      <c r="L218" s="40">
        <f>MAX(1,ROUNDDOWN(K218/'参数与公式'!$B$5,0))</f>
        <v/>
      </c>
      <c r="M218" s="40">
        <f>MAX(1,ROUNDDOWN(K218*(1-'参数与公式'!$B$14)/'参数与公式'!$B$5,0))</f>
        <v/>
      </c>
      <c r="N218" s="42">
        <f>IF(H218=0,0,ROUNDUP(H218*POWER(J218,D218),0))</f>
        <v/>
      </c>
      <c r="O218" s="42">
        <f>IF(I218=0,0,ROUNDUP(I218*POWER(J218,D218),0))</f>
        <v/>
      </c>
      <c r="P218" s="40">
        <f>IF(N218=0,0,MAX(1,ROUNDUP(N218*(1-'参数与公式'!$B$17),0)))</f>
        <v/>
      </c>
      <c r="Q218" s="40">
        <f>IF(O218=0,0,MAX(1,ROUNDUP(O218*(1-'参数与公式'!$B$17),0)))</f>
        <v/>
      </c>
      <c r="R218" s="18" t="inlineStr">
        <is>
          <t>data/building_templates.yaml; max_level: gameplay/constants.py; formula: gameplay/models/manor.py</t>
        </is>
      </c>
    </row>
    <row r="219" ht="25" customHeight="1">
      <c r="A219" s="17" t="inlineStr">
        <is>
          <t>forge</t>
        </is>
      </c>
      <c r="B219" s="18" t="inlineStr">
        <is>
          <t>铁匠铺</t>
        </is>
      </c>
      <c r="C219" s="18" t="inlineStr">
        <is>
          <t>生产加工</t>
        </is>
      </c>
      <c r="D219" s="17" t="n">
        <v>5</v>
      </c>
      <c r="E219" s="24">
        <f>D219+1</f>
        <v/>
      </c>
      <c r="F219" s="38" t="n">
        <v>300</v>
      </c>
      <c r="G219" s="39" t="n">
        <v>1.25</v>
      </c>
      <c r="H219" s="38" t="n">
        <v>500</v>
      </c>
      <c r="I219" s="38" t="n">
        <v>500</v>
      </c>
      <c r="J219" s="39" t="n">
        <v>1.35</v>
      </c>
      <c r="K219" s="42">
        <f>ROUNDUP(F219*POWER(G219,D219),0)</f>
        <v/>
      </c>
      <c r="L219" s="40">
        <f>MAX(1,ROUNDDOWN(K219/'参数与公式'!$B$5,0))</f>
        <v/>
      </c>
      <c r="M219" s="40">
        <f>MAX(1,ROUNDDOWN(K219*(1-'参数与公式'!$B$14)/'参数与公式'!$B$5,0))</f>
        <v/>
      </c>
      <c r="N219" s="42">
        <f>IF(H219=0,0,ROUNDUP(H219*POWER(J219,D219),0))</f>
        <v/>
      </c>
      <c r="O219" s="42">
        <f>IF(I219=0,0,ROUNDUP(I219*POWER(J219,D219),0))</f>
        <v/>
      </c>
      <c r="P219" s="40">
        <f>IF(N219=0,0,MAX(1,ROUNDUP(N219*(1-'参数与公式'!$B$17),0)))</f>
        <v/>
      </c>
      <c r="Q219" s="40">
        <f>IF(O219=0,0,MAX(1,ROUNDUP(O219*(1-'参数与公式'!$B$17),0)))</f>
        <v/>
      </c>
      <c r="R219" s="18" t="inlineStr">
        <is>
          <t>data/building_templates.yaml; max_level: gameplay/constants.py; formula: gameplay/models/manor.py</t>
        </is>
      </c>
    </row>
    <row r="220" ht="25" customHeight="1">
      <c r="A220" s="17" t="inlineStr">
        <is>
          <t>forge</t>
        </is>
      </c>
      <c r="B220" s="18" t="inlineStr">
        <is>
          <t>铁匠铺</t>
        </is>
      </c>
      <c r="C220" s="18" t="inlineStr">
        <is>
          <t>生产加工</t>
        </is>
      </c>
      <c r="D220" s="17" t="n">
        <v>6</v>
      </c>
      <c r="E220" s="24">
        <f>D220+1</f>
        <v/>
      </c>
      <c r="F220" s="38" t="n">
        <v>300</v>
      </c>
      <c r="G220" s="39" t="n">
        <v>1.25</v>
      </c>
      <c r="H220" s="38" t="n">
        <v>500</v>
      </c>
      <c r="I220" s="38" t="n">
        <v>500</v>
      </c>
      <c r="J220" s="39" t="n">
        <v>1.35</v>
      </c>
      <c r="K220" s="42">
        <f>ROUNDUP(F220*POWER(G220,D220),0)</f>
        <v/>
      </c>
      <c r="L220" s="40">
        <f>MAX(1,ROUNDDOWN(K220/'参数与公式'!$B$5,0))</f>
        <v/>
      </c>
      <c r="M220" s="40">
        <f>MAX(1,ROUNDDOWN(K220*(1-'参数与公式'!$B$14)/'参数与公式'!$B$5,0))</f>
        <v/>
      </c>
      <c r="N220" s="42">
        <f>IF(H220=0,0,ROUNDUP(H220*POWER(J220,D220),0))</f>
        <v/>
      </c>
      <c r="O220" s="42">
        <f>IF(I220=0,0,ROUNDUP(I220*POWER(J220,D220),0))</f>
        <v/>
      </c>
      <c r="P220" s="40">
        <f>IF(N220=0,0,MAX(1,ROUNDUP(N220*(1-'参数与公式'!$B$17),0)))</f>
        <v/>
      </c>
      <c r="Q220" s="40">
        <f>IF(O220=0,0,MAX(1,ROUNDUP(O220*(1-'参数与公式'!$B$17),0)))</f>
        <v/>
      </c>
      <c r="R220" s="18" t="inlineStr">
        <is>
          <t>data/building_templates.yaml; max_level: gameplay/constants.py; formula: gameplay/models/manor.py</t>
        </is>
      </c>
    </row>
    <row r="221" ht="25" customHeight="1">
      <c r="A221" s="17" t="inlineStr">
        <is>
          <t>forge</t>
        </is>
      </c>
      <c r="B221" s="18" t="inlineStr">
        <is>
          <t>铁匠铺</t>
        </is>
      </c>
      <c r="C221" s="18" t="inlineStr">
        <is>
          <t>生产加工</t>
        </is>
      </c>
      <c r="D221" s="17" t="n">
        <v>7</v>
      </c>
      <c r="E221" s="24">
        <f>D221+1</f>
        <v/>
      </c>
      <c r="F221" s="38" t="n">
        <v>300</v>
      </c>
      <c r="G221" s="39" t="n">
        <v>1.25</v>
      </c>
      <c r="H221" s="38" t="n">
        <v>500</v>
      </c>
      <c r="I221" s="38" t="n">
        <v>500</v>
      </c>
      <c r="J221" s="39" t="n">
        <v>1.35</v>
      </c>
      <c r="K221" s="42">
        <f>ROUNDUP(F221*POWER(G221,D221),0)</f>
        <v/>
      </c>
      <c r="L221" s="40">
        <f>MAX(1,ROUNDDOWN(K221/'参数与公式'!$B$5,0))</f>
        <v/>
      </c>
      <c r="M221" s="40">
        <f>MAX(1,ROUNDDOWN(K221*(1-'参数与公式'!$B$14)/'参数与公式'!$B$5,0))</f>
        <v/>
      </c>
      <c r="N221" s="42">
        <f>IF(H221=0,0,ROUNDUP(H221*POWER(J221,D221),0))</f>
        <v/>
      </c>
      <c r="O221" s="42">
        <f>IF(I221=0,0,ROUNDUP(I221*POWER(J221,D221),0))</f>
        <v/>
      </c>
      <c r="P221" s="40">
        <f>IF(N221=0,0,MAX(1,ROUNDUP(N221*(1-'参数与公式'!$B$17),0)))</f>
        <v/>
      </c>
      <c r="Q221" s="40">
        <f>IF(O221=0,0,MAX(1,ROUNDUP(O221*(1-'参数与公式'!$B$17),0)))</f>
        <v/>
      </c>
      <c r="R221" s="18" t="inlineStr">
        <is>
          <t>data/building_templates.yaml; max_level: gameplay/constants.py; formula: gameplay/models/manor.py</t>
        </is>
      </c>
    </row>
    <row r="222" ht="25" customHeight="1">
      <c r="A222" s="17" t="inlineStr">
        <is>
          <t>forge</t>
        </is>
      </c>
      <c r="B222" s="18" t="inlineStr">
        <is>
          <t>铁匠铺</t>
        </is>
      </c>
      <c r="C222" s="18" t="inlineStr">
        <is>
          <t>生产加工</t>
        </is>
      </c>
      <c r="D222" s="17" t="n">
        <v>8</v>
      </c>
      <c r="E222" s="24">
        <f>D222+1</f>
        <v/>
      </c>
      <c r="F222" s="38" t="n">
        <v>300</v>
      </c>
      <c r="G222" s="39" t="n">
        <v>1.25</v>
      </c>
      <c r="H222" s="38" t="n">
        <v>500</v>
      </c>
      <c r="I222" s="38" t="n">
        <v>500</v>
      </c>
      <c r="J222" s="39" t="n">
        <v>1.35</v>
      </c>
      <c r="K222" s="42">
        <f>ROUNDUP(F222*POWER(G222,D222),0)</f>
        <v/>
      </c>
      <c r="L222" s="40">
        <f>MAX(1,ROUNDDOWN(K222/'参数与公式'!$B$5,0))</f>
        <v/>
      </c>
      <c r="M222" s="40">
        <f>MAX(1,ROUNDDOWN(K222*(1-'参数与公式'!$B$14)/'参数与公式'!$B$5,0))</f>
        <v/>
      </c>
      <c r="N222" s="42">
        <f>IF(H222=0,0,ROUNDUP(H222*POWER(J222,D222),0))</f>
        <v/>
      </c>
      <c r="O222" s="42">
        <f>IF(I222=0,0,ROUNDUP(I222*POWER(J222,D222),0))</f>
        <v/>
      </c>
      <c r="P222" s="40">
        <f>IF(N222=0,0,MAX(1,ROUNDUP(N222*(1-'参数与公式'!$B$17),0)))</f>
        <v/>
      </c>
      <c r="Q222" s="40">
        <f>IF(O222=0,0,MAX(1,ROUNDUP(O222*(1-'参数与公式'!$B$17),0)))</f>
        <v/>
      </c>
      <c r="R222" s="18" t="inlineStr">
        <is>
          <t>data/building_templates.yaml; max_level: gameplay/constants.py; formula: gameplay/models/manor.py</t>
        </is>
      </c>
    </row>
    <row r="223" ht="25" customHeight="1">
      <c r="A223" s="17" t="inlineStr">
        <is>
          <t>forge</t>
        </is>
      </c>
      <c r="B223" s="18" t="inlineStr">
        <is>
          <t>铁匠铺</t>
        </is>
      </c>
      <c r="C223" s="18" t="inlineStr">
        <is>
          <t>生产加工</t>
        </is>
      </c>
      <c r="D223" s="17" t="n">
        <v>9</v>
      </c>
      <c r="E223" s="24">
        <f>D223+1</f>
        <v/>
      </c>
      <c r="F223" s="38" t="n">
        <v>300</v>
      </c>
      <c r="G223" s="39" t="n">
        <v>1.25</v>
      </c>
      <c r="H223" s="38" t="n">
        <v>500</v>
      </c>
      <c r="I223" s="38" t="n">
        <v>500</v>
      </c>
      <c r="J223" s="39" t="n">
        <v>1.35</v>
      </c>
      <c r="K223" s="42">
        <f>ROUNDUP(F223*POWER(G223,D223),0)</f>
        <v/>
      </c>
      <c r="L223" s="40">
        <f>MAX(1,ROUNDDOWN(K223/'参数与公式'!$B$5,0))</f>
        <v/>
      </c>
      <c r="M223" s="40">
        <f>MAX(1,ROUNDDOWN(K223*(1-'参数与公式'!$B$14)/'参数与公式'!$B$5,0))</f>
        <v/>
      </c>
      <c r="N223" s="42">
        <f>IF(H223=0,0,ROUNDUP(H223*POWER(J223,D223),0))</f>
        <v/>
      </c>
      <c r="O223" s="42">
        <f>IF(I223=0,0,ROUNDUP(I223*POWER(J223,D223),0))</f>
        <v/>
      </c>
      <c r="P223" s="40">
        <f>IF(N223=0,0,MAX(1,ROUNDUP(N223*(1-'参数与公式'!$B$17),0)))</f>
        <v/>
      </c>
      <c r="Q223" s="40">
        <f>IF(O223=0,0,MAX(1,ROUNDUP(O223*(1-'参数与公式'!$B$17),0)))</f>
        <v/>
      </c>
      <c r="R223" s="18" t="inlineStr">
        <is>
          <t>data/building_templates.yaml; max_level: gameplay/constants.py; formula: gameplay/models/manor.py</t>
        </is>
      </c>
    </row>
    <row r="224" ht="25" customHeight="1">
      <c r="A224" s="17" t="inlineStr">
        <is>
          <t>juxianzhuang</t>
        </is>
      </c>
      <c r="B224" s="18" t="inlineStr">
        <is>
          <t>聚贤庄</t>
        </is>
      </c>
      <c r="C224" s="18" t="inlineStr">
        <is>
          <t>人员管理</t>
        </is>
      </c>
      <c r="D224" s="17" t="n">
        <v>1</v>
      </c>
      <c r="E224" s="24">
        <f>D224+1</f>
        <v/>
      </c>
      <c r="F224" s="38" t="n">
        <v>3107</v>
      </c>
      <c r="G224" s="39" t="n">
        <v>1.5</v>
      </c>
      <c r="H224" s="38" t="n">
        <v>17164</v>
      </c>
      <c r="I224" s="38" t="n">
        <v>3432</v>
      </c>
      <c r="J224" s="39" t="n">
        <v>1.7</v>
      </c>
      <c r="K224" s="42">
        <f>ROUNDUP(F224*POWER(G224,D224),0)</f>
        <v/>
      </c>
      <c r="L224" s="40">
        <f>MAX(1,ROUNDDOWN(K224/'参数与公式'!$B$5,0))</f>
        <v/>
      </c>
      <c r="M224" s="40">
        <f>MAX(1,ROUNDDOWN(K224*(1-'参数与公式'!$B$14)/'参数与公式'!$B$5,0))</f>
        <v/>
      </c>
      <c r="N224" s="42">
        <f>IF(H224=0,0,ROUNDUP(H224*POWER(J224,D224),0))</f>
        <v/>
      </c>
      <c r="O224" s="42">
        <f>IF(I224=0,0,ROUNDUP(I224*POWER(J224,D224),0))</f>
        <v/>
      </c>
      <c r="P224" s="40">
        <f>IF(N224=0,0,MAX(1,ROUNDUP(N224*(1-'参数与公式'!$B$17),0)))</f>
        <v/>
      </c>
      <c r="Q224" s="40">
        <f>IF(O224=0,0,MAX(1,ROUNDUP(O224*(1-'参数与公式'!$B$17),0)))</f>
        <v/>
      </c>
      <c r="R224" s="18" t="inlineStr">
        <is>
          <t>data/building_templates.yaml; max_level: gameplay/constants.py; formula: gameplay/models/manor.py</t>
        </is>
      </c>
    </row>
    <row r="225" ht="25" customHeight="1">
      <c r="A225" s="17" t="inlineStr">
        <is>
          <t>juxianzhuang</t>
        </is>
      </c>
      <c r="B225" s="18" t="inlineStr">
        <is>
          <t>聚贤庄</t>
        </is>
      </c>
      <c r="C225" s="18" t="inlineStr">
        <is>
          <t>人员管理</t>
        </is>
      </c>
      <c r="D225" s="17" t="n">
        <v>2</v>
      </c>
      <c r="E225" s="24">
        <f>D225+1</f>
        <v/>
      </c>
      <c r="F225" s="38" t="n">
        <v>3107</v>
      </c>
      <c r="G225" s="39" t="n">
        <v>1.5</v>
      </c>
      <c r="H225" s="38" t="n">
        <v>17164</v>
      </c>
      <c r="I225" s="38" t="n">
        <v>3432</v>
      </c>
      <c r="J225" s="39" t="n">
        <v>1.7</v>
      </c>
      <c r="K225" s="42">
        <f>ROUNDUP(F225*POWER(G225,D225),0)</f>
        <v/>
      </c>
      <c r="L225" s="40">
        <f>MAX(1,ROUNDDOWN(K225/'参数与公式'!$B$5,0))</f>
        <v/>
      </c>
      <c r="M225" s="40">
        <f>MAX(1,ROUNDDOWN(K225*(1-'参数与公式'!$B$14)/'参数与公式'!$B$5,0))</f>
        <v/>
      </c>
      <c r="N225" s="42">
        <f>IF(H225=0,0,ROUNDUP(H225*POWER(J225,D225),0))</f>
        <v/>
      </c>
      <c r="O225" s="42">
        <f>IF(I225=0,0,ROUNDUP(I225*POWER(J225,D225),0))</f>
        <v/>
      </c>
      <c r="P225" s="40">
        <f>IF(N225=0,0,MAX(1,ROUNDUP(N225*(1-'参数与公式'!$B$17),0)))</f>
        <v/>
      </c>
      <c r="Q225" s="40">
        <f>IF(O225=0,0,MAX(1,ROUNDUP(O225*(1-'参数与公式'!$B$17),0)))</f>
        <v/>
      </c>
      <c r="R225" s="18" t="inlineStr">
        <is>
          <t>data/building_templates.yaml; max_level: gameplay/constants.py; formula: gameplay/models/manor.py</t>
        </is>
      </c>
    </row>
    <row r="226" ht="25" customHeight="1">
      <c r="A226" s="17" t="inlineStr">
        <is>
          <t>juxianzhuang</t>
        </is>
      </c>
      <c r="B226" s="18" t="inlineStr">
        <is>
          <t>聚贤庄</t>
        </is>
      </c>
      <c r="C226" s="18" t="inlineStr">
        <is>
          <t>人员管理</t>
        </is>
      </c>
      <c r="D226" s="17" t="n">
        <v>3</v>
      </c>
      <c r="E226" s="24">
        <f>D226+1</f>
        <v/>
      </c>
      <c r="F226" s="38" t="n">
        <v>3107</v>
      </c>
      <c r="G226" s="39" t="n">
        <v>1.5</v>
      </c>
      <c r="H226" s="38" t="n">
        <v>17164</v>
      </c>
      <c r="I226" s="38" t="n">
        <v>3432</v>
      </c>
      <c r="J226" s="39" t="n">
        <v>1.7</v>
      </c>
      <c r="K226" s="42">
        <f>ROUNDUP(F226*POWER(G226,D226),0)</f>
        <v/>
      </c>
      <c r="L226" s="40">
        <f>MAX(1,ROUNDDOWN(K226/'参数与公式'!$B$5,0))</f>
        <v/>
      </c>
      <c r="M226" s="40">
        <f>MAX(1,ROUNDDOWN(K226*(1-'参数与公式'!$B$14)/'参数与公式'!$B$5,0))</f>
        <v/>
      </c>
      <c r="N226" s="42">
        <f>IF(H226=0,0,ROUNDUP(H226*POWER(J226,D226),0))</f>
        <v/>
      </c>
      <c r="O226" s="42">
        <f>IF(I226=0,0,ROUNDUP(I226*POWER(J226,D226),0))</f>
        <v/>
      </c>
      <c r="P226" s="40">
        <f>IF(N226=0,0,MAX(1,ROUNDUP(N226*(1-'参数与公式'!$B$17),0)))</f>
        <v/>
      </c>
      <c r="Q226" s="40">
        <f>IF(O226=0,0,MAX(1,ROUNDUP(O226*(1-'参数与公式'!$B$17),0)))</f>
        <v/>
      </c>
      <c r="R226" s="18" t="inlineStr">
        <is>
          <t>data/building_templates.yaml; max_level: gameplay/constants.py; formula: gameplay/models/manor.py</t>
        </is>
      </c>
    </row>
    <row r="227" ht="25" customHeight="1">
      <c r="A227" s="17" t="inlineStr">
        <is>
          <t>juxianzhuang</t>
        </is>
      </c>
      <c r="B227" s="18" t="inlineStr">
        <is>
          <t>聚贤庄</t>
        </is>
      </c>
      <c r="C227" s="18" t="inlineStr">
        <is>
          <t>人员管理</t>
        </is>
      </c>
      <c r="D227" s="17" t="n">
        <v>4</v>
      </c>
      <c r="E227" s="24">
        <f>D227+1</f>
        <v/>
      </c>
      <c r="F227" s="38" t="n">
        <v>3107</v>
      </c>
      <c r="G227" s="39" t="n">
        <v>1.5</v>
      </c>
      <c r="H227" s="38" t="n">
        <v>17164</v>
      </c>
      <c r="I227" s="38" t="n">
        <v>3432</v>
      </c>
      <c r="J227" s="39" t="n">
        <v>1.7</v>
      </c>
      <c r="K227" s="42">
        <f>ROUNDUP(F227*POWER(G227,D227),0)</f>
        <v/>
      </c>
      <c r="L227" s="40">
        <f>MAX(1,ROUNDDOWN(K227/'参数与公式'!$B$5,0))</f>
        <v/>
      </c>
      <c r="M227" s="40">
        <f>MAX(1,ROUNDDOWN(K227*(1-'参数与公式'!$B$14)/'参数与公式'!$B$5,0))</f>
        <v/>
      </c>
      <c r="N227" s="42">
        <f>IF(H227=0,0,ROUNDUP(H227*POWER(J227,D227),0))</f>
        <v/>
      </c>
      <c r="O227" s="42">
        <f>IF(I227=0,0,ROUNDUP(I227*POWER(J227,D227),0))</f>
        <v/>
      </c>
      <c r="P227" s="40">
        <f>IF(N227=0,0,MAX(1,ROUNDUP(N227*(1-'参数与公式'!$B$17),0)))</f>
        <v/>
      </c>
      <c r="Q227" s="40">
        <f>IF(O227=0,0,MAX(1,ROUNDUP(O227*(1-'参数与公式'!$B$17),0)))</f>
        <v/>
      </c>
      <c r="R227" s="18" t="inlineStr">
        <is>
          <t>data/building_templates.yaml; max_level: gameplay/constants.py; formula: gameplay/models/manor.py</t>
        </is>
      </c>
    </row>
    <row r="228" ht="25" customHeight="1">
      <c r="A228" s="17" t="inlineStr">
        <is>
          <t>juxianzhuang</t>
        </is>
      </c>
      <c r="B228" s="18" t="inlineStr">
        <is>
          <t>聚贤庄</t>
        </is>
      </c>
      <c r="C228" s="18" t="inlineStr">
        <is>
          <t>人员管理</t>
        </is>
      </c>
      <c r="D228" s="17" t="n">
        <v>5</v>
      </c>
      <c r="E228" s="24">
        <f>D228+1</f>
        <v/>
      </c>
      <c r="F228" s="38" t="n">
        <v>3107</v>
      </c>
      <c r="G228" s="39" t="n">
        <v>1.5</v>
      </c>
      <c r="H228" s="38" t="n">
        <v>17164</v>
      </c>
      <c r="I228" s="38" t="n">
        <v>3432</v>
      </c>
      <c r="J228" s="39" t="n">
        <v>1.7</v>
      </c>
      <c r="K228" s="42">
        <f>ROUNDUP(F228*POWER(G228,D228),0)</f>
        <v/>
      </c>
      <c r="L228" s="40">
        <f>MAX(1,ROUNDDOWN(K228/'参数与公式'!$B$5,0))</f>
        <v/>
      </c>
      <c r="M228" s="40">
        <f>MAX(1,ROUNDDOWN(K228*(1-'参数与公式'!$B$14)/'参数与公式'!$B$5,0))</f>
        <v/>
      </c>
      <c r="N228" s="42">
        <f>IF(H228=0,0,ROUNDUP(H228*POWER(J228,D228),0))</f>
        <v/>
      </c>
      <c r="O228" s="42">
        <f>IF(I228=0,0,ROUNDUP(I228*POWER(J228,D228),0))</f>
        <v/>
      </c>
      <c r="P228" s="40">
        <f>IF(N228=0,0,MAX(1,ROUNDUP(N228*(1-'参数与公式'!$B$17),0)))</f>
        <v/>
      </c>
      <c r="Q228" s="40">
        <f>IF(O228=0,0,MAX(1,ROUNDUP(O228*(1-'参数与公式'!$B$17),0)))</f>
        <v/>
      </c>
      <c r="R228" s="18" t="inlineStr">
        <is>
          <t>data/building_templates.yaml; max_level: gameplay/constants.py; formula: gameplay/models/manor.py</t>
        </is>
      </c>
    </row>
    <row r="229" ht="25" customHeight="1">
      <c r="A229" s="17" t="inlineStr">
        <is>
          <t>juxianzhuang</t>
        </is>
      </c>
      <c r="B229" s="18" t="inlineStr">
        <is>
          <t>聚贤庄</t>
        </is>
      </c>
      <c r="C229" s="18" t="inlineStr">
        <is>
          <t>人员管理</t>
        </is>
      </c>
      <c r="D229" s="17" t="n">
        <v>6</v>
      </c>
      <c r="E229" s="24">
        <f>D229+1</f>
        <v/>
      </c>
      <c r="F229" s="38" t="n">
        <v>3107</v>
      </c>
      <c r="G229" s="39" t="n">
        <v>1.5</v>
      </c>
      <c r="H229" s="38" t="n">
        <v>17164</v>
      </c>
      <c r="I229" s="38" t="n">
        <v>3432</v>
      </c>
      <c r="J229" s="39" t="n">
        <v>1.7</v>
      </c>
      <c r="K229" s="42">
        <f>ROUNDUP(F229*POWER(G229,D229),0)</f>
        <v/>
      </c>
      <c r="L229" s="40">
        <f>MAX(1,ROUNDDOWN(K229/'参数与公式'!$B$5,0))</f>
        <v/>
      </c>
      <c r="M229" s="40">
        <f>MAX(1,ROUNDDOWN(K229*(1-'参数与公式'!$B$14)/'参数与公式'!$B$5,0))</f>
        <v/>
      </c>
      <c r="N229" s="42">
        <f>IF(H229=0,0,ROUNDUP(H229*POWER(J229,D229),0))</f>
        <v/>
      </c>
      <c r="O229" s="42">
        <f>IF(I229=0,0,ROUNDUP(I229*POWER(J229,D229),0))</f>
        <v/>
      </c>
      <c r="P229" s="40">
        <f>IF(N229=0,0,MAX(1,ROUNDUP(N229*(1-'参数与公式'!$B$17),0)))</f>
        <v/>
      </c>
      <c r="Q229" s="40">
        <f>IF(O229=0,0,MAX(1,ROUNDUP(O229*(1-'参数与公式'!$B$17),0)))</f>
        <v/>
      </c>
      <c r="R229" s="18" t="inlineStr">
        <is>
          <t>data/building_templates.yaml; max_level: gameplay/constants.py; formula: gameplay/models/manor.py</t>
        </is>
      </c>
    </row>
    <row r="230" ht="25" customHeight="1">
      <c r="A230" s="17" t="inlineStr">
        <is>
          <t>juxianzhuang</t>
        </is>
      </c>
      <c r="B230" s="18" t="inlineStr">
        <is>
          <t>聚贤庄</t>
        </is>
      </c>
      <c r="C230" s="18" t="inlineStr">
        <is>
          <t>人员管理</t>
        </is>
      </c>
      <c r="D230" s="17" t="n">
        <v>7</v>
      </c>
      <c r="E230" s="24">
        <f>D230+1</f>
        <v/>
      </c>
      <c r="F230" s="38" t="n">
        <v>3107</v>
      </c>
      <c r="G230" s="39" t="n">
        <v>1.5</v>
      </c>
      <c r="H230" s="38" t="n">
        <v>17164</v>
      </c>
      <c r="I230" s="38" t="n">
        <v>3432</v>
      </c>
      <c r="J230" s="39" t="n">
        <v>1.7</v>
      </c>
      <c r="K230" s="42">
        <f>ROUNDUP(F230*POWER(G230,D230),0)</f>
        <v/>
      </c>
      <c r="L230" s="40">
        <f>MAX(1,ROUNDDOWN(K230/'参数与公式'!$B$5,0))</f>
        <v/>
      </c>
      <c r="M230" s="40">
        <f>MAX(1,ROUNDDOWN(K230*(1-'参数与公式'!$B$14)/'参数与公式'!$B$5,0))</f>
        <v/>
      </c>
      <c r="N230" s="42">
        <f>IF(H230=0,0,ROUNDUP(H230*POWER(J230,D230),0))</f>
        <v/>
      </c>
      <c r="O230" s="42">
        <f>IF(I230=0,0,ROUNDUP(I230*POWER(J230,D230),0))</f>
        <v/>
      </c>
      <c r="P230" s="40">
        <f>IF(N230=0,0,MAX(1,ROUNDUP(N230*(1-'参数与公式'!$B$17),0)))</f>
        <v/>
      </c>
      <c r="Q230" s="40">
        <f>IF(O230=0,0,MAX(1,ROUNDUP(O230*(1-'参数与公式'!$B$17),0)))</f>
        <v/>
      </c>
      <c r="R230" s="18" t="inlineStr">
        <is>
          <t>data/building_templates.yaml; max_level: gameplay/constants.py; formula: gameplay/models/manor.py</t>
        </is>
      </c>
    </row>
    <row r="231" ht="25" customHeight="1">
      <c r="A231" s="17" t="inlineStr">
        <is>
          <t>juxianzhuang</t>
        </is>
      </c>
      <c r="B231" s="18" t="inlineStr">
        <is>
          <t>聚贤庄</t>
        </is>
      </c>
      <c r="C231" s="18" t="inlineStr">
        <is>
          <t>人员管理</t>
        </is>
      </c>
      <c r="D231" s="17" t="n">
        <v>8</v>
      </c>
      <c r="E231" s="24">
        <f>D231+1</f>
        <v/>
      </c>
      <c r="F231" s="38" t="n">
        <v>3107</v>
      </c>
      <c r="G231" s="39" t="n">
        <v>1.5</v>
      </c>
      <c r="H231" s="38" t="n">
        <v>17164</v>
      </c>
      <c r="I231" s="38" t="n">
        <v>3432</v>
      </c>
      <c r="J231" s="39" t="n">
        <v>1.7</v>
      </c>
      <c r="K231" s="42">
        <f>ROUNDUP(F231*POWER(G231,D231),0)</f>
        <v/>
      </c>
      <c r="L231" s="40">
        <f>MAX(1,ROUNDDOWN(K231/'参数与公式'!$B$5,0))</f>
        <v/>
      </c>
      <c r="M231" s="40">
        <f>MAX(1,ROUNDDOWN(K231*(1-'参数与公式'!$B$14)/'参数与公式'!$B$5,0))</f>
        <v/>
      </c>
      <c r="N231" s="42">
        <f>IF(H231=0,0,ROUNDUP(H231*POWER(J231,D231),0))</f>
        <v/>
      </c>
      <c r="O231" s="42">
        <f>IF(I231=0,0,ROUNDUP(I231*POWER(J231,D231),0))</f>
        <v/>
      </c>
      <c r="P231" s="40">
        <f>IF(N231=0,0,MAX(1,ROUNDUP(N231*(1-'参数与公式'!$B$17),0)))</f>
        <v/>
      </c>
      <c r="Q231" s="40">
        <f>IF(O231=0,0,MAX(1,ROUNDUP(O231*(1-'参数与公式'!$B$17),0)))</f>
        <v/>
      </c>
      <c r="R231" s="18" t="inlineStr">
        <is>
          <t>data/building_templates.yaml; max_level: gameplay/constants.py; formula: gameplay/models/manor.py</t>
        </is>
      </c>
    </row>
    <row r="232" ht="25" customHeight="1">
      <c r="A232" s="17" t="inlineStr">
        <is>
          <t>juxianzhuang</t>
        </is>
      </c>
      <c r="B232" s="18" t="inlineStr">
        <is>
          <t>聚贤庄</t>
        </is>
      </c>
      <c r="C232" s="18" t="inlineStr">
        <is>
          <t>人员管理</t>
        </is>
      </c>
      <c r="D232" s="17" t="n">
        <v>9</v>
      </c>
      <c r="E232" s="24">
        <f>D232+1</f>
        <v/>
      </c>
      <c r="F232" s="38" t="n">
        <v>3107</v>
      </c>
      <c r="G232" s="39" t="n">
        <v>1.5</v>
      </c>
      <c r="H232" s="38" t="n">
        <v>17164</v>
      </c>
      <c r="I232" s="38" t="n">
        <v>3432</v>
      </c>
      <c r="J232" s="39" t="n">
        <v>1.7</v>
      </c>
      <c r="K232" s="42">
        <f>ROUNDUP(F232*POWER(G232,D232),0)</f>
        <v/>
      </c>
      <c r="L232" s="40">
        <f>MAX(1,ROUNDDOWN(K232/'参数与公式'!$B$5,0))</f>
        <v/>
      </c>
      <c r="M232" s="40">
        <f>MAX(1,ROUNDDOWN(K232*(1-'参数与公式'!$B$14)/'参数与公式'!$B$5,0))</f>
        <v/>
      </c>
      <c r="N232" s="42">
        <f>IF(H232=0,0,ROUNDUP(H232*POWER(J232,D232),0))</f>
        <v/>
      </c>
      <c r="O232" s="42">
        <f>IF(I232=0,0,ROUNDUP(I232*POWER(J232,D232),0))</f>
        <v/>
      </c>
      <c r="P232" s="40">
        <f>IF(N232=0,0,MAX(1,ROUNDUP(N232*(1-'参数与公式'!$B$17),0)))</f>
        <v/>
      </c>
      <c r="Q232" s="40">
        <f>IF(O232=0,0,MAX(1,ROUNDUP(O232*(1-'参数与公式'!$B$17),0)))</f>
        <v/>
      </c>
      <c r="R232" s="18" t="inlineStr">
        <is>
          <t>data/building_templates.yaml; max_level: gameplay/constants.py; formula: gameplay/models/manor.py</t>
        </is>
      </c>
    </row>
    <row r="233" ht="25" customHeight="1">
      <c r="A233" s="17" t="inlineStr">
        <is>
          <t>juxianzhuang</t>
        </is>
      </c>
      <c r="B233" s="18" t="inlineStr">
        <is>
          <t>聚贤庄</t>
        </is>
      </c>
      <c r="C233" s="18" t="inlineStr">
        <is>
          <t>人员管理</t>
        </is>
      </c>
      <c r="D233" s="17" t="n">
        <v>10</v>
      </c>
      <c r="E233" s="24">
        <f>D233+1</f>
        <v/>
      </c>
      <c r="F233" s="38" t="n">
        <v>3107</v>
      </c>
      <c r="G233" s="39" t="n">
        <v>1.5</v>
      </c>
      <c r="H233" s="38" t="n">
        <v>17164</v>
      </c>
      <c r="I233" s="38" t="n">
        <v>3432</v>
      </c>
      <c r="J233" s="39" t="n">
        <v>1.7</v>
      </c>
      <c r="K233" s="42">
        <f>ROUNDUP(F233*POWER(G233,D233),0)</f>
        <v/>
      </c>
      <c r="L233" s="40">
        <f>MAX(1,ROUNDDOWN(K233/'参数与公式'!$B$5,0))</f>
        <v/>
      </c>
      <c r="M233" s="40">
        <f>MAX(1,ROUNDDOWN(K233*(1-'参数与公式'!$B$14)/'参数与公式'!$B$5,0))</f>
        <v/>
      </c>
      <c r="N233" s="42">
        <f>IF(H233=0,0,ROUNDUP(H233*POWER(J233,D233),0))</f>
        <v/>
      </c>
      <c r="O233" s="42">
        <f>IF(I233=0,0,ROUNDUP(I233*POWER(J233,D233),0))</f>
        <v/>
      </c>
      <c r="P233" s="40">
        <f>IF(N233=0,0,MAX(1,ROUNDUP(N233*(1-'参数与公式'!$B$17),0)))</f>
        <v/>
      </c>
      <c r="Q233" s="40">
        <f>IF(O233=0,0,MAX(1,ROUNDUP(O233*(1-'参数与公式'!$B$17),0)))</f>
        <v/>
      </c>
      <c r="R233" s="18" t="inlineStr">
        <is>
          <t>data/building_templates.yaml; max_level: gameplay/constants.py; formula: gameplay/models/manor.py</t>
        </is>
      </c>
    </row>
    <row r="234" ht="25" customHeight="1">
      <c r="A234" s="17" t="inlineStr">
        <is>
          <t>juxianzhuang</t>
        </is>
      </c>
      <c r="B234" s="18" t="inlineStr">
        <is>
          <t>聚贤庄</t>
        </is>
      </c>
      <c r="C234" s="18" t="inlineStr">
        <is>
          <t>人员管理</t>
        </is>
      </c>
      <c r="D234" s="17" t="n">
        <v>11</v>
      </c>
      <c r="E234" s="24">
        <f>D234+1</f>
        <v/>
      </c>
      <c r="F234" s="38" t="n">
        <v>3107</v>
      </c>
      <c r="G234" s="39" t="n">
        <v>1.5</v>
      </c>
      <c r="H234" s="38" t="n">
        <v>17164</v>
      </c>
      <c r="I234" s="38" t="n">
        <v>3432</v>
      </c>
      <c r="J234" s="39" t="n">
        <v>1.7</v>
      </c>
      <c r="K234" s="42">
        <f>ROUNDUP(F234*POWER(G234,D234),0)</f>
        <v/>
      </c>
      <c r="L234" s="40">
        <f>MAX(1,ROUNDDOWN(K234/'参数与公式'!$B$5,0))</f>
        <v/>
      </c>
      <c r="M234" s="40">
        <f>MAX(1,ROUNDDOWN(K234*(1-'参数与公式'!$B$14)/'参数与公式'!$B$5,0))</f>
        <v/>
      </c>
      <c r="N234" s="42">
        <f>IF(H234=0,0,ROUNDUP(H234*POWER(J234,D234),0))</f>
        <v/>
      </c>
      <c r="O234" s="42">
        <f>IF(I234=0,0,ROUNDUP(I234*POWER(J234,D234),0))</f>
        <v/>
      </c>
      <c r="P234" s="40">
        <f>IF(N234=0,0,MAX(1,ROUNDUP(N234*(1-'参数与公式'!$B$17),0)))</f>
        <v/>
      </c>
      <c r="Q234" s="40">
        <f>IF(O234=0,0,MAX(1,ROUNDUP(O234*(1-'参数与公式'!$B$17),0)))</f>
        <v/>
      </c>
      <c r="R234" s="18" t="inlineStr">
        <is>
          <t>data/building_templates.yaml; max_level: gameplay/constants.py; formula: gameplay/models/manor.py</t>
        </is>
      </c>
    </row>
    <row r="235" ht="25" customHeight="1">
      <c r="A235" s="17" t="inlineStr">
        <is>
          <t>juxianzhuang</t>
        </is>
      </c>
      <c r="B235" s="18" t="inlineStr">
        <is>
          <t>聚贤庄</t>
        </is>
      </c>
      <c r="C235" s="18" t="inlineStr">
        <is>
          <t>人员管理</t>
        </is>
      </c>
      <c r="D235" s="17" t="n">
        <v>12</v>
      </c>
      <c r="E235" s="24">
        <f>D235+1</f>
        <v/>
      </c>
      <c r="F235" s="38" t="n">
        <v>3107</v>
      </c>
      <c r="G235" s="39" t="n">
        <v>1.5</v>
      </c>
      <c r="H235" s="38" t="n">
        <v>17164</v>
      </c>
      <c r="I235" s="38" t="n">
        <v>3432</v>
      </c>
      <c r="J235" s="39" t="n">
        <v>1.7</v>
      </c>
      <c r="K235" s="42">
        <f>ROUNDUP(F235*POWER(G235,D235),0)</f>
        <v/>
      </c>
      <c r="L235" s="40">
        <f>MAX(1,ROUNDDOWN(K235/'参数与公式'!$B$5,0))</f>
        <v/>
      </c>
      <c r="M235" s="40">
        <f>MAX(1,ROUNDDOWN(K235*(1-'参数与公式'!$B$14)/'参数与公式'!$B$5,0))</f>
        <v/>
      </c>
      <c r="N235" s="42">
        <f>IF(H235=0,0,ROUNDUP(H235*POWER(J235,D235),0))</f>
        <v/>
      </c>
      <c r="O235" s="42">
        <f>IF(I235=0,0,ROUNDUP(I235*POWER(J235,D235),0))</f>
        <v/>
      </c>
      <c r="P235" s="40">
        <f>IF(N235=0,0,MAX(1,ROUNDUP(N235*(1-'参数与公式'!$B$17),0)))</f>
        <v/>
      </c>
      <c r="Q235" s="40">
        <f>IF(O235=0,0,MAX(1,ROUNDUP(O235*(1-'参数与公式'!$B$17),0)))</f>
        <v/>
      </c>
      <c r="R235" s="18" t="inlineStr">
        <is>
          <t>data/building_templates.yaml; max_level: gameplay/constants.py; formula: gameplay/models/manor.py</t>
        </is>
      </c>
    </row>
    <row r="236" ht="25" customHeight="1">
      <c r="A236" s="17" t="inlineStr">
        <is>
          <t>juxianzhuang</t>
        </is>
      </c>
      <c r="B236" s="18" t="inlineStr">
        <is>
          <t>聚贤庄</t>
        </is>
      </c>
      <c r="C236" s="18" t="inlineStr">
        <is>
          <t>人员管理</t>
        </is>
      </c>
      <c r="D236" s="17" t="n">
        <v>13</v>
      </c>
      <c r="E236" s="24">
        <f>D236+1</f>
        <v/>
      </c>
      <c r="F236" s="38" t="n">
        <v>3107</v>
      </c>
      <c r="G236" s="39" t="n">
        <v>1.5</v>
      </c>
      <c r="H236" s="38" t="n">
        <v>17164</v>
      </c>
      <c r="I236" s="38" t="n">
        <v>3432</v>
      </c>
      <c r="J236" s="39" t="n">
        <v>1.7</v>
      </c>
      <c r="K236" s="42">
        <f>ROUNDUP(F236*POWER(G236,D236),0)</f>
        <v/>
      </c>
      <c r="L236" s="40">
        <f>MAX(1,ROUNDDOWN(K236/'参数与公式'!$B$5,0))</f>
        <v/>
      </c>
      <c r="M236" s="40">
        <f>MAX(1,ROUNDDOWN(K236*(1-'参数与公式'!$B$14)/'参数与公式'!$B$5,0))</f>
        <v/>
      </c>
      <c r="N236" s="42">
        <f>IF(H236=0,0,ROUNDUP(H236*POWER(J236,D236),0))</f>
        <v/>
      </c>
      <c r="O236" s="42">
        <f>IF(I236=0,0,ROUNDUP(I236*POWER(J236,D236),0))</f>
        <v/>
      </c>
      <c r="P236" s="40">
        <f>IF(N236=0,0,MAX(1,ROUNDUP(N236*(1-'参数与公式'!$B$17),0)))</f>
        <v/>
      </c>
      <c r="Q236" s="40">
        <f>IF(O236=0,0,MAX(1,ROUNDUP(O236*(1-'参数与公式'!$B$17),0)))</f>
        <v/>
      </c>
      <c r="R236" s="18" t="inlineStr">
        <is>
          <t>data/building_templates.yaml; max_level: gameplay/constants.py; formula: gameplay/models/manor.py</t>
        </is>
      </c>
    </row>
    <row r="237" ht="25" customHeight="1">
      <c r="A237" s="17" t="inlineStr">
        <is>
          <t>juxianzhuang</t>
        </is>
      </c>
      <c r="B237" s="18" t="inlineStr">
        <is>
          <t>聚贤庄</t>
        </is>
      </c>
      <c r="C237" s="18" t="inlineStr">
        <is>
          <t>人员管理</t>
        </is>
      </c>
      <c r="D237" s="17" t="n">
        <v>14</v>
      </c>
      <c r="E237" s="24">
        <f>D237+1</f>
        <v/>
      </c>
      <c r="F237" s="38" t="n">
        <v>3107</v>
      </c>
      <c r="G237" s="39" t="n">
        <v>1.5</v>
      </c>
      <c r="H237" s="38" t="n">
        <v>17164</v>
      </c>
      <c r="I237" s="38" t="n">
        <v>3432</v>
      </c>
      <c r="J237" s="39" t="n">
        <v>1.7</v>
      </c>
      <c r="K237" s="42">
        <f>ROUNDUP(F237*POWER(G237,D237),0)</f>
        <v/>
      </c>
      <c r="L237" s="40">
        <f>MAX(1,ROUNDDOWN(K237/'参数与公式'!$B$5,0))</f>
        <v/>
      </c>
      <c r="M237" s="40">
        <f>MAX(1,ROUNDDOWN(K237*(1-'参数与公式'!$B$14)/'参数与公式'!$B$5,0))</f>
        <v/>
      </c>
      <c r="N237" s="42">
        <f>IF(H237=0,0,ROUNDUP(H237*POWER(J237,D237),0))</f>
        <v/>
      </c>
      <c r="O237" s="42">
        <f>IF(I237=0,0,ROUNDUP(I237*POWER(J237,D237),0))</f>
        <v/>
      </c>
      <c r="P237" s="40">
        <f>IF(N237=0,0,MAX(1,ROUNDUP(N237*(1-'参数与公式'!$B$17),0)))</f>
        <v/>
      </c>
      <c r="Q237" s="40">
        <f>IF(O237=0,0,MAX(1,ROUNDUP(O237*(1-'参数与公式'!$B$17),0)))</f>
        <v/>
      </c>
      <c r="R237" s="18" t="inlineStr">
        <is>
          <t>data/building_templates.yaml; max_level: gameplay/constants.py; formula: gameplay/models/manor.py</t>
        </is>
      </c>
    </row>
    <row r="238" ht="25" customHeight="1">
      <c r="A238" s="17" t="inlineStr">
        <is>
          <t>jiadingfang</t>
        </is>
      </c>
      <c r="B238" s="18" t="inlineStr">
        <is>
          <t>家丁房</t>
        </is>
      </c>
      <c r="C238" s="18" t="inlineStr">
        <is>
          <t>人员管理</t>
        </is>
      </c>
      <c r="D238" s="17" t="n">
        <v>1</v>
      </c>
      <c r="E238" s="24">
        <f>D238+1</f>
        <v/>
      </c>
      <c r="F238" s="38" t="n">
        <v>300</v>
      </c>
      <c r="G238" s="39" t="n">
        <v>1.2</v>
      </c>
      <c r="H238" s="38" t="n">
        <v>420</v>
      </c>
      <c r="I238" s="38" t="n">
        <v>0</v>
      </c>
      <c r="J238" s="39" t="n">
        <v>1.3</v>
      </c>
      <c r="K238" s="42">
        <f>ROUNDUP(F238*POWER(G238,D238),0)</f>
        <v/>
      </c>
      <c r="L238" s="40">
        <f>MAX(1,ROUNDDOWN(K238/'参数与公式'!$B$5,0))</f>
        <v/>
      </c>
      <c r="M238" s="40">
        <f>MAX(1,ROUNDDOWN(K238*(1-'参数与公式'!$B$14)/'参数与公式'!$B$5,0))</f>
        <v/>
      </c>
      <c r="N238" s="42">
        <f>IF(H238=0,0,ROUNDUP(H238*POWER(J238,D238),0))</f>
        <v/>
      </c>
      <c r="O238" s="42">
        <f>IF(I238=0,0,ROUNDUP(I238*POWER(J238,D238),0))</f>
        <v/>
      </c>
      <c r="P238" s="40">
        <f>IF(N238=0,0,MAX(1,ROUNDUP(N238*(1-'参数与公式'!$B$17),0)))</f>
        <v/>
      </c>
      <c r="Q238" s="40">
        <f>IF(O238=0,0,MAX(1,ROUNDUP(O238*(1-'参数与公式'!$B$17),0)))</f>
        <v/>
      </c>
      <c r="R238" s="18" t="inlineStr">
        <is>
          <t>data/building_templates.yaml; max_level: gameplay/constants.py; formula: gameplay/models/manor.py</t>
        </is>
      </c>
    </row>
    <row r="239" ht="25" customHeight="1">
      <c r="A239" s="17" t="inlineStr">
        <is>
          <t>jiadingfang</t>
        </is>
      </c>
      <c r="B239" s="18" t="inlineStr">
        <is>
          <t>家丁房</t>
        </is>
      </c>
      <c r="C239" s="18" t="inlineStr">
        <is>
          <t>人员管理</t>
        </is>
      </c>
      <c r="D239" s="17" t="n">
        <v>2</v>
      </c>
      <c r="E239" s="24">
        <f>D239+1</f>
        <v/>
      </c>
      <c r="F239" s="38" t="n">
        <v>300</v>
      </c>
      <c r="G239" s="39" t="n">
        <v>1.2</v>
      </c>
      <c r="H239" s="38" t="n">
        <v>420</v>
      </c>
      <c r="I239" s="38" t="n">
        <v>0</v>
      </c>
      <c r="J239" s="39" t="n">
        <v>1.3</v>
      </c>
      <c r="K239" s="42">
        <f>ROUNDUP(F239*POWER(G239,D239),0)</f>
        <v/>
      </c>
      <c r="L239" s="40">
        <f>MAX(1,ROUNDDOWN(K239/'参数与公式'!$B$5,0))</f>
        <v/>
      </c>
      <c r="M239" s="40">
        <f>MAX(1,ROUNDDOWN(K239*(1-'参数与公式'!$B$14)/'参数与公式'!$B$5,0))</f>
        <v/>
      </c>
      <c r="N239" s="42">
        <f>IF(H239=0,0,ROUNDUP(H239*POWER(J239,D239),0))</f>
        <v/>
      </c>
      <c r="O239" s="42">
        <f>IF(I239=0,0,ROUNDUP(I239*POWER(J239,D239),0))</f>
        <v/>
      </c>
      <c r="P239" s="40">
        <f>IF(N239=0,0,MAX(1,ROUNDUP(N239*(1-'参数与公式'!$B$17),0)))</f>
        <v/>
      </c>
      <c r="Q239" s="40">
        <f>IF(O239=0,0,MAX(1,ROUNDUP(O239*(1-'参数与公式'!$B$17),0)))</f>
        <v/>
      </c>
      <c r="R239" s="18" t="inlineStr">
        <is>
          <t>data/building_templates.yaml; max_level: gameplay/constants.py; formula: gameplay/models/manor.py</t>
        </is>
      </c>
    </row>
    <row r="240" ht="25" customHeight="1">
      <c r="A240" s="17" t="inlineStr">
        <is>
          <t>jiadingfang</t>
        </is>
      </c>
      <c r="B240" s="18" t="inlineStr">
        <is>
          <t>家丁房</t>
        </is>
      </c>
      <c r="C240" s="18" t="inlineStr">
        <is>
          <t>人员管理</t>
        </is>
      </c>
      <c r="D240" s="17" t="n">
        <v>3</v>
      </c>
      <c r="E240" s="24">
        <f>D240+1</f>
        <v/>
      </c>
      <c r="F240" s="38" t="n">
        <v>300</v>
      </c>
      <c r="G240" s="39" t="n">
        <v>1.2</v>
      </c>
      <c r="H240" s="38" t="n">
        <v>420</v>
      </c>
      <c r="I240" s="38" t="n">
        <v>0</v>
      </c>
      <c r="J240" s="39" t="n">
        <v>1.3</v>
      </c>
      <c r="K240" s="42">
        <f>ROUNDUP(F240*POWER(G240,D240),0)</f>
        <v/>
      </c>
      <c r="L240" s="40">
        <f>MAX(1,ROUNDDOWN(K240/'参数与公式'!$B$5,0))</f>
        <v/>
      </c>
      <c r="M240" s="40">
        <f>MAX(1,ROUNDDOWN(K240*(1-'参数与公式'!$B$14)/'参数与公式'!$B$5,0))</f>
        <v/>
      </c>
      <c r="N240" s="42">
        <f>IF(H240=0,0,ROUNDUP(H240*POWER(J240,D240),0))</f>
        <v/>
      </c>
      <c r="O240" s="42">
        <f>IF(I240=0,0,ROUNDUP(I240*POWER(J240,D240),0))</f>
        <v/>
      </c>
      <c r="P240" s="40">
        <f>IF(N240=0,0,MAX(1,ROUNDUP(N240*(1-'参数与公式'!$B$17),0)))</f>
        <v/>
      </c>
      <c r="Q240" s="40">
        <f>IF(O240=0,0,MAX(1,ROUNDUP(O240*(1-'参数与公式'!$B$17),0)))</f>
        <v/>
      </c>
      <c r="R240" s="18" t="inlineStr">
        <is>
          <t>data/building_templates.yaml; max_level: gameplay/constants.py; formula: gameplay/models/manor.py</t>
        </is>
      </c>
    </row>
    <row r="241" ht="25" customHeight="1">
      <c r="A241" s="17" t="inlineStr">
        <is>
          <t>jiadingfang</t>
        </is>
      </c>
      <c r="B241" s="18" t="inlineStr">
        <is>
          <t>家丁房</t>
        </is>
      </c>
      <c r="C241" s="18" t="inlineStr">
        <is>
          <t>人员管理</t>
        </is>
      </c>
      <c r="D241" s="17" t="n">
        <v>4</v>
      </c>
      <c r="E241" s="24">
        <f>D241+1</f>
        <v/>
      </c>
      <c r="F241" s="38" t="n">
        <v>300</v>
      </c>
      <c r="G241" s="39" t="n">
        <v>1.2</v>
      </c>
      <c r="H241" s="38" t="n">
        <v>420</v>
      </c>
      <c r="I241" s="38" t="n">
        <v>0</v>
      </c>
      <c r="J241" s="39" t="n">
        <v>1.3</v>
      </c>
      <c r="K241" s="42">
        <f>ROUNDUP(F241*POWER(G241,D241),0)</f>
        <v/>
      </c>
      <c r="L241" s="40">
        <f>MAX(1,ROUNDDOWN(K241/'参数与公式'!$B$5,0))</f>
        <v/>
      </c>
      <c r="M241" s="40">
        <f>MAX(1,ROUNDDOWN(K241*(1-'参数与公式'!$B$14)/'参数与公式'!$B$5,0))</f>
        <v/>
      </c>
      <c r="N241" s="42">
        <f>IF(H241=0,0,ROUNDUP(H241*POWER(J241,D241),0))</f>
        <v/>
      </c>
      <c r="O241" s="42">
        <f>IF(I241=0,0,ROUNDUP(I241*POWER(J241,D241),0))</f>
        <v/>
      </c>
      <c r="P241" s="40">
        <f>IF(N241=0,0,MAX(1,ROUNDUP(N241*(1-'参数与公式'!$B$17),0)))</f>
        <v/>
      </c>
      <c r="Q241" s="40">
        <f>IF(O241=0,0,MAX(1,ROUNDUP(O241*(1-'参数与公式'!$B$17),0)))</f>
        <v/>
      </c>
      <c r="R241" s="18" t="inlineStr">
        <is>
          <t>data/building_templates.yaml; max_level: gameplay/constants.py; formula: gameplay/models/manor.py</t>
        </is>
      </c>
    </row>
    <row r="242" ht="25" customHeight="1">
      <c r="A242" s="17" t="inlineStr">
        <is>
          <t>jiadingfang</t>
        </is>
      </c>
      <c r="B242" s="18" t="inlineStr">
        <is>
          <t>家丁房</t>
        </is>
      </c>
      <c r="C242" s="18" t="inlineStr">
        <is>
          <t>人员管理</t>
        </is>
      </c>
      <c r="D242" s="17" t="n">
        <v>5</v>
      </c>
      <c r="E242" s="24">
        <f>D242+1</f>
        <v/>
      </c>
      <c r="F242" s="38" t="n">
        <v>300</v>
      </c>
      <c r="G242" s="39" t="n">
        <v>1.2</v>
      </c>
      <c r="H242" s="38" t="n">
        <v>420</v>
      </c>
      <c r="I242" s="38" t="n">
        <v>0</v>
      </c>
      <c r="J242" s="39" t="n">
        <v>1.3</v>
      </c>
      <c r="K242" s="42">
        <f>ROUNDUP(F242*POWER(G242,D242),0)</f>
        <v/>
      </c>
      <c r="L242" s="40">
        <f>MAX(1,ROUNDDOWN(K242/'参数与公式'!$B$5,0))</f>
        <v/>
      </c>
      <c r="M242" s="40">
        <f>MAX(1,ROUNDDOWN(K242*(1-'参数与公式'!$B$14)/'参数与公式'!$B$5,0))</f>
        <v/>
      </c>
      <c r="N242" s="42">
        <f>IF(H242=0,0,ROUNDUP(H242*POWER(J242,D242),0))</f>
        <v/>
      </c>
      <c r="O242" s="42">
        <f>IF(I242=0,0,ROUNDUP(I242*POWER(J242,D242),0))</f>
        <v/>
      </c>
      <c r="P242" s="40">
        <f>IF(N242=0,0,MAX(1,ROUNDUP(N242*(1-'参数与公式'!$B$17),0)))</f>
        <v/>
      </c>
      <c r="Q242" s="40">
        <f>IF(O242=0,0,MAX(1,ROUNDUP(O242*(1-'参数与公式'!$B$17),0)))</f>
        <v/>
      </c>
      <c r="R242" s="18" t="inlineStr">
        <is>
          <t>data/building_templates.yaml; max_level: gameplay/constants.py; formula: gameplay/models/manor.py</t>
        </is>
      </c>
    </row>
    <row r="243" ht="25" customHeight="1">
      <c r="A243" s="17" t="inlineStr">
        <is>
          <t>jiadingfang</t>
        </is>
      </c>
      <c r="B243" s="18" t="inlineStr">
        <is>
          <t>家丁房</t>
        </is>
      </c>
      <c r="C243" s="18" t="inlineStr">
        <is>
          <t>人员管理</t>
        </is>
      </c>
      <c r="D243" s="17" t="n">
        <v>6</v>
      </c>
      <c r="E243" s="24">
        <f>D243+1</f>
        <v/>
      </c>
      <c r="F243" s="38" t="n">
        <v>300</v>
      </c>
      <c r="G243" s="39" t="n">
        <v>1.2</v>
      </c>
      <c r="H243" s="38" t="n">
        <v>420</v>
      </c>
      <c r="I243" s="38" t="n">
        <v>0</v>
      </c>
      <c r="J243" s="39" t="n">
        <v>1.3</v>
      </c>
      <c r="K243" s="42">
        <f>ROUNDUP(F243*POWER(G243,D243),0)</f>
        <v/>
      </c>
      <c r="L243" s="40">
        <f>MAX(1,ROUNDDOWN(K243/'参数与公式'!$B$5,0))</f>
        <v/>
      </c>
      <c r="M243" s="40">
        <f>MAX(1,ROUNDDOWN(K243*(1-'参数与公式'!$B$14)/'参数与公式'!$B$5,0))</f>
        <v/>
      </c>
      <c r="N243" s="42">
        <f>IF(H243=0,0,ROUNDUP(H243*POWER(J243,D243),0))</f>
        <v/>
      </c>
      <c r="O243" s="42">
        <f>IF(I243=0,0,ROUNDUP(I243*POWER(J243,D243),0))</f>
        <v/>
      </c>
      <c r="P243" s="40">
        <f>IF(N243=0,0,MAX(1,ROUNDUP(N243*(1-'参数与公式'!$B$17),0)))</f>
        <v/>
      </c>
      <c r="Q243" s="40">
        <f>IF(O243=0,0,MAX(1,ROUNDUP(O243*(1-'参数与公式'!$B$17),0)))</f>
        <v/>
      </c>
      <c r="R243" s="18" t="inlineStr">
        <is>
          <t>data/building_templates.yaml; max_level: gameplay/constants.py; formula: gameplay/models/manor.py</t>
        </is>
      </c>
    </row>
    <row r="244" ht="25" customHeight="1">
      <c r="A244" s="17" t="inlineStr">
        <is>
          <t>jiadingfang</t>
        </is>
      </c>
      <c r="B244" s="18" t="inlineStr">
        <is>
          <t>家丁房</t>
        </is>
      </c>
      <c r="C244" s="18" t="inlineStr">
        <is>
          <t>人员管理</t>
        </is>
      </c>
      <c r="D244" s="17" t="n">
        <v>7</v>
      </c>
      <c r="E244" s="24">
        <f>D244+1</f>
        <v/>
      </c>
      <c r="F244" s="38" t="n">
        <v>300</v>
      </c>
      <c r="G244" s="39" t="n">
        <v>1.2</v>
      </c>
      <c r="H244" s="38" t="n">
        <v>420</v>
      </c>
      <c r="I244" s="38" t="n">
        <v>0</v>
      </c>
      <c r="J244" s="39" t="n">
        <v>1.3</v>
      </c>
      <c r="K244" s="42">
        <f>ROUNDUP(F244*POWER(G244,D244),0)</f>
        <v/>
      </c>
      <c r="L244" s="40">
        <f>MAX(1,ROUNDDOWN(K244/'参数与公式'!$B$5,0))</f>
        <v/>
      </c>
      <c r="M244" s="40">
        <f>MAX(1,ROUNDDOWN(K244*(1-'参数与公式'!$B$14)/'参数与公式'!$B$5,0))</f>
        <v/>
      </c>
      <c r="N244" s="42">
        <f>IF(H244=0,0,ROUNDUP(H244*POWER(J244,D244),0))</f>
        <v/>
      </c>
      <c r="O244" s="42">
        <f>IF(I244=0,0,ROUNDUP(I244*POWER(J244,D244),0))</f>
        <v/>
      </c>
      <c r="P244" s="40">
        <f>IF(N244=0,0,MAX(1,ROUNDUP(N244*(1-'参数与公式'!$B$17),0)))</f>
        <v/>
      </c>
      <c r="Q244" s="40">
        <f>IF(O244=0,0,MAX(1,ROUNDUP(O244*(1-'参数与公式'!$B$17),0)))</f>
        <v/>
      </c>
      <c r="R244" s="18" t="inlineStr">
        <is>
          <t>data/building_templates.yaml; max_level: gameplay/constants.py; formula: gameplay/models/manor.py</t>
        </is>
      </c>
    </row>
    <row r="245" ht="25" customHeight="1">
      <c r="A245" s="17" t="inlineStr">
        <is>
          <t>jiadingfang</t>
        </is>
      </c>
      <c r="B245" s="18" t="inlineStr">
        <is>
          <t>家丁房</t>
        </is>
      </c>
      <c r="C245" s="18" t="inlineStr">
        <is>
          <t>人员管理</t>
        </is>
      </c>
      <c r="D245" s="17" t="n">
        <v>8</v>
      </c>
      <c r="E245" s="24">
        <f>D245+1</f>
        <v/>
      </c>
      <c r="F245" s="38" t="n">
        <v>300</v>
      </c>
      <c r="G245" s="39" t="n">
        <v>1.2</v>
      </c>
      <c r="H245" s="38" t="n">
        <v>420</v>
      </c>
      <c r="I245" s="38" t="n">
        <v>0</v>
      </c>
      <c r="J245" s="39" t="n">
        <v>1.3</v>
      </c>
      <c r="K245" s="42">
        <f>ROUNDUP(F245*POWER(G245,D245),0)</f>
        <v/>
      </c>
      <c r="L245" s="40">
        <f>MAX(1,ROUNDDOWN(K245/'参数与公式'!$B$5,0))</f>
        <v/>
      </c>
      <c r="M245" s="40">
        <f>MAX(1,ROUNDDOWN(K245*(1-'参数与公式'!$B$14)/'参数与公式'!$B$5,0))</f>
        <v/>
      </c>
      <c r="N245" s="42">
        <f>IF(H245=0,0,ROUNDUP(H245*POWER(J245,D245),0))</f>
        <v/>
      </c>
      <c r="O245" s="42">
        <f>IF(I245=0,0,ROUNDUP(I245*POWER(J245,D245),0))</f>
        <v/>
      </c>
      <c r="P245" s="40">
        <f>IF(N245=0,0,MAX(1,ROUNDUP(N245*(1-'参数与公式'!$B$17),0)))</f>
        <v/>
      </c>
      <c r="Q245" s="40">
        <f>IF(O245=0,0,MAX(1,ROUNDUP(O245*(1-'参数与公式'!$B$17),0)))</f>
        <v/>
      </c>
      <c r="R245" s="18" t="inlineStr">
        <is>
          <t>data/building_templates.yaml; max_level: gameplay/constants.py; formula: gameplay/models/manor.py</t>
        </is>
      </c>
    </row>
    <row r="246" ht="25" customHeight="1">
      <c r="A246" s="17" t="inlineStr">
        <is>
          <t>jiadingfang</t>
        </is>
      </c>
      <c r="B246" s="18" t="inlineStr">
        <is>
          <t>家丁房</t>
        </is>
      </c>
      <c r="C246" s="18" t="inlineStr">
        <is>
          <t>人员管理</t>
        </is>
      </c>
      <c r="D246" s="17" t="n">
        <v>9</v>
      </c>
      <c r="E246" s="24">
        <f>D246+1</f>
        <v/>
      </c>
      <c r="F246" s="38" t="n">
        <v>300</v>
      </c>
      <c r="G246" s="39" t="n">
        <v>1.2</v>
      </c>
      <c r="H246" s="38" t="n">
        <v>420</v>
      </c>
      <c r="I246" s="38" t="n">
        <v>0</v>
      </c>
      <c r="J246" s="39" t="n">
        <v>1.3</v>
      </c>
      <c r="K246" s="42">
        <f>ROUNDUP(F246*POWER(G246,D246),0)</f>
        <v/>
      </c>
      <c r="L246" s="40">
        <f>MAX(1,ROUNDDOWN(K246/'参数与公式'!$B$5,0))</f>
        <v/>
      </c>
      <c r="M246" s="40">
        <f>MAX(1,ROUNDDOWN(K246*(1-'参数与公式'!$B$14)/'参数与公式'!$B$5,0))</f>
        <v/>
      </c>
      <c r="N246" s="42">
        <f>IF(H246=0,0,ROUNDUP(H246*POWER(J246,D246),0))</f>
        <v/>
      </c>
      <c r="O246" s="42">
        <f>IF(I246=0,0,ROUNDUP(I246*POWER(J246,D246),0))</f>
        <v/>
      </c>
      <c r="P246" s="40">
        <f>IF(N246=0,0,MAX(1,ROUNDUP(N246*(1-'参数与公式'!$B$17),0)))</f>
        <v/>
      </c>
      <c r="Q246" s="40">
        <f>IF(O246=0,0,MAX(1,ROUNDUP(O246*(1-'参数与公式'!$B$17),0)))</f>
        <v/>
      </c>
      <c r="R246" s="18" t="inlineStr">
        <is>
          <t>data/building_templates.yaml; max_level: gameplay/constants.py; formula: gameplay/models/manor.py</t>
        </is>
      </c>
    </row>
    <row r="247" ht="25" customHeight="1">
      <c r="A247" s="17" t="inlineStr">
        <is>
          <t>jiadingfang</t>
        </is>
      </c>
      <c r="B247" s="18" t="inlineStr">
        <is>
          <t>家丁房</t>
        </is>
      </c>
      <c r="C247" s="18" t="inlineStr">
        <is>
          <t>人员管理</t>
        </is>
      </c>
      <c r="D247" s="17" t="n">
        <v>10</v>
      </c>
      <c r="E247" s="24">
        <f>D247+1</f>
        <v/>
      </c>
      <c r="F247" s="38" t="n">
        <v>300</v>
      </c>
      <c r="G247" s="39" t="n">
        <v>1.2</v>
      </c>
      <c r="H247" s="38" t="n">
        <v>420</v>
      </c>
      <c r="I247" s="38" t="n">
        <v>0</v>
      </c>
      <c r="J247" s="39" t="n">
        <v>1.3</v>
      </c>
      <c r="K247" s="42">
        <f>ROUNDUP(F247*POWER(G247,D247),0)</f>
        <v/>
      </c>
      <c r="L247" s="40">
        <f>MAX(1,ROUNDDOWN(K247/'参数与公式'!$B$5,0))</f>
        <v/>
      </c>
      <c r="M247" s="40">
        <f>MAX(1,ROUNDDOWN(K247*(1-'参数与公式'!$B$14)/'参数与公式'!$B$5,0))</f>
        <v/>
      </c>
      <c r="N247" s="42">
        <f>IF(H247=0,0,ROUNDUP(H247*POWER(J247,D247),0))</f>
        <v/>
      </c>
      <c r="O247" s="42">
        <f>IF(I247=0,0,ROUNDUP(I247*POWER(J247,D247),0))</f>
        <v/>
      </c>
      <c r="P247" s="40">
        <f>IF(N247=0,0,MAX(1,ROUNDUP(N247*(1-'参数与公式'!$B$17),0)))</f>
        <v/>
      </c>
      <c r="Q247" s="40">
        <f>IF(O247=0,0,MAX(1,ROUNDUP(O247*(1-'参数与公式'!$B$17),0)))</f>
        <v/>
      </c>
      <c r="R247" s="18" t="inlineStr">
        <is>
          <t>data/building_templates.yaml; max_level: gameplay/constants.py; formula: gameplay/models/manor.py</t>
        </is>
      </c>
    </row>
    <row r="248" ht="25" customHeight="1">
      <c r="A248" s="17" t="inlineStr">
        <is>
          <t>jiadingfang</t>
        </is>
      </c>
      <c r="B248" s="18" t="inlineStr">
        <is>
          <t>家丁房</t>
        </is>
      </c>
      <c r="C248" s="18" t="inlineStr">
        <is>
          <t>人员管理</t>
        </is>
      </c>
      <c r="D248" s="17" t="n">
        <v>11</v>
      </c>
      <c r="E248" s="24">
        <f>D248+1</f>
        <v/>
      </c>
      <c r="F248" s="38" t="n">
        <v>300</v>
      </c>
      <c r="G248" s="39" t="n">
        <v>1.2</v>
      </c>
      <c r="H248" s="38" t="n">
        <v>420</v>
      </c>
      <c r="I248" s="38" t="n">
        <v>0</v>
      </c>
      <c r="J248" s="39" t="n">
        <v>1.3</v>
      </c>
      <c r="K248" s="42">
        <f>ROUNDUP(F248*POWER(G248,D248),0)</f>
        <v/>
      </c>
      <c r="L248" s="40">
        <f>MAX(1,ROUNDDOWN(K248/'参数与公式'!$B$5,0))</f>
        <v/>
      </c>
      <c r="M248" s="40">
        <f>MAX(1,ROUNDDOWN(K248*(1-'参数与公式'!$B$14)/'参数与公式'!$B$5,0))</f>
        <v/>
      </c>
      <c r="N248" s="42">
        <f>IF(H248=0,0,ROUNDUP(H248*POWER(J248,D248),0))</f>
        <v/>
      </c>
      <c r="O248" s="42">
        <f>IF(I248=0,0,ROUNDUP(I248*POWER(J248,D248),0))</f>
        <v/>
      </c>
      <c r="P248" s="40">
        <f>IF(N248=0,0,MAX(1,ROUNDUP(N248*(1-'参数与公式'!$B$17),0)))</f>
        <v/>
      </c>
      <c r="Q248" s="40">
        <f>IF(O248=0,0,MAX(1,ROUNDUP(O248*(1-'参数与公式'!$B$17),0)))</f>
        <v/>
      </c>
      <c r="R248" s="18" t="inlineStr">
        <is>
          <t>data/building_templates.yaml; max_level: gameplay/constants.py; formula: gameplay/models/manor.py</t>
        </is>
      </c>
    </row>
    <row r="249" ht="25" customHeight="1">
      <c r="A249" s="17" t="inlineStr">
        <is>
          <t>jiadingfang</t>
        </is>
      </c>
      <c r="B249" s="18" t="inlineStr">
        <is>
          <t>家丁房</t>
        </is>
      </c>
      <c r="C249" s="18" t="inlineStr">
        <is>
          <t>人员管理</t>
        </is>
      </c>
      <c r="D249" s="17" t="n">
        <v>12</v>
      </c>
      <c r="E249" s="24">
        <f>D249+1</f>
        <v/>
      </c>
      <c r="F249" s="38" t="n">
        <v>300</v>
      </c>
      <c r="G249" s="39" t="n">
        <v>1.2</v>
      </c>
      <c r="H249" s="38" t="n">
        <v>420</v>
      </c>
      <c r="I249" s="38" t="n">
        <v>0</v>
      </c>
      <c r="J249" s="39" t="n">
        <v>1.3</v>
      </c>
      <c r="K249" s="42">
        <f>ROUNDUP(F249*POWER(G249,D249),0)</f>
        <v/>
      </c>
      <c r="L249" s="40">
        <f>MAX(1,ROUNDDOWN(K249/'参数与公式'!$B$5,0))</f>
        <v/>
      </c>
      <c r="M249" s="40">
        <f>MAX(1,ROUNDDOWN(K249*(1-'参数与公式'!$B$14)/'参数与公式'!$B$5,0))</f>
        <v/>
      </c>
      <c r="N249" s="42">
        <f>IF(H249=0,0,ROUNDUP(H249*POWER(J249,D249),0))</f>
        <v/>
      </c>
      <c r="O249" s="42">
        <f>IF(I249=0,0,ROUNDUP(I249*POWER(J249,D249),0))</f>
        <v/>
      </c>
      <c r="P249" s="40">
        <f>IF(N249=0,0,MAX(1,ROUNDUP(N249*(1-'参数与公式'!$B$17),0)))</f>
        <v/>
      </c>
      <c r="Q249" s="40">
        <f>IF(O249=0,0,MAX(1,ROUNDUP(O249*(1-'参数与公式'!$B$17),0)))</f>
        <v/>
      </c>
      <c r="R249" s="18" t="inlineStr">
        <is>
          <t>data/building_templates.yaml; max_level: gameplay/constants.py; formula: gameplay/models/manor.py</t>
        </is>
      </c>
    </row>
    <row r="250" ht="25" customHeight="1">
      <c r="A250" s="17" t="inlineStr">
        <is>
          <t>jiadingfang</t>
        </is>
      </c>
      <c r="B250" s="18" t="inlineStr">
        <is>
          <t>家丁房</t>
        </is>
      </c>
      <c r="C250" s="18" t="inlineStr">
        <is>
          <t>人员管理</t>
        </is>
      </c>
      <c r="D250" s="17" t="n">
        <v>13</v>
      </c>
      <c r="E250" s="24">
        <f>D250+1</f>
        <v/>
      </c>
      <c r="F250" s="38" t="n">
        <v>300</v>
      </c>
      <c r="G250" s="39" t="n">
        <v>1.2</v>
      </c>
      <c r="H250" s="38" t="n">
        <v>420</v>
      </c>
      <c r="I250" s="38" t="n">
        <v>0</v>
      </c>
      <c r="J250" s="39" t="n">
        <v>1.3</v>
      </c>
      <c r="K250" s="42">
        <f>ROUNDUP(F250*POWER(G250,D250),0)</f>
        <v/>
      </c>
      <c r="L250" s="40">
        <f>MAX(1,ROUNDDOWN(K250/'参数与公式'!$B$5,0))</f>
        <v/>
      </c>
      <c r="M250" s="40">
        <f>MAX(1,ROUNDDOWN(K250*(1-'参数与公式'!$B$14)/'参数与公式'!$B$5,0))</f>
        <v/>
      </c>
      <c r="N250" s="42">
        <f>IF(H250=0,0,ROUNDUP(H250*POWER(J250,D250),0))</f>
        <v/>
      </c>
      <c r="O250" s="42">
        <f>IF(I250=0,0,ROUNDUP(I250*POWER(J250,D250),0))</f>
        <v/>
      </c>
      <c r="P250" s="40">
        <f>IF(N250=0,0,MAX(1,ROUNDUP(N250*(1-'参数与公式'!$B$17),0)))</f>
        <v/>
      </c>
      <c r="Q250" s="40">
        <f>IF(O250=0,0,MAX(1,ROUNDUP(O250*(1-'参数与公式'!$B$17),0)))</f>
        <v/>
      </c>
      <c r="R250" s="18" t="inlineStr">
        <is>
          <t>data/building_templates.yaml; max_level: gameplay/constants.py; formula: gameplay/models/manor.py</t>
        </is>
      </c>
    </row>
    <row r="251" ht="25" customHeight="1">
      <c r="A251" s="17" t="inlineStr">
        <is>
          <t>jiadingfang</t>
        </is>
      </c>
      <c r="B251" s="18" t="inlineStr">
        <is>
          <t>家丁房</t>
        </is>
      </c>
      <c r="C251" s="18" t="inlineStr">
        <is>
          <t>人员管理</t>
        </is>
      </c>
      <c r="D251" s="17" t="n">
        <v>14</v>
      </c>
      <c r="E251" s="24">
        <f>D251+1</f>
        <v/>
      </c>
      <c r="F251" s="38" t="n">
        <v>300</v>
      </c>
      <c r="G251" s="39" t="n">
        <v>1.2</v>
      </c>
      <c r="H251" s="38" t="n">
        <v>420</v>
      </c>
      <c r="I251" s="38" t="n">
        <v>0</v>
      </c>
      <c r="J251" s="39" t="n">
        <v>1.3</v>
      </c>
      <c r="K251" s="42">
        <f>ROUNDUP(F251*POWER(G251,D251),0)</f>
        <v/>
      </c>
      <c r="L251" s="40">
        <f>MAX(1,ROUNDDOWN(K251/'参数与公式'!$B$5,0))</f>
        <v/>
      </c>
      <c r="M251" s="40">
        <f>MAX(1,ROUNDDOWN(K251*(1-'参数与公式'!$B$14)/'参数与公式'!$B$5,0))</f>
        <v/>
      </c>
      <c r="N251" s="42">
        <f>IF(H251=0,0,ROUNDUP(H251*POWER(J251,D251),0))</f>
        <v/>
      </c>
      <c r="O251" s="42">
        <f>IF(I251=0,0,ROUNDUP(I251*POWER(J251,D251),0))</f>
        <v/>
      </c>
      <c r="P251" s="40">
        <f>IF(N251=0,0,MAX(1,ROUNDUP(N251*(1-'参数与公式'!$B$17),0)))</f>
        <v/>
      </c>
      <c r="Q251" s="40">
        <f>IF(O251=0,0,MAX(1,ROUNDUP(O251*(1-'参数与公式'!$B$17),0)))</f>
        <v/>
      </c>
      <c r="R251" s="18" t="inlineStr">
        <is>
          <t>data/building_templates.yaml; max_level: gameplay/constants.py; formula: gameplay/models/manor.py</t>
        </is>
      </c>
    </row>
    <row r="252" ht="25" customHeight="1">
      <c r="A252" s="17" t="inlineStr">
        <is>
          <t>jiadingfang</t>
        </is>
      </c>
      <c r="B252" s="18" t="inlineStr">
        <is>
          <t>家丁房</t>
        </is>
      </c>
      <c r="C252" s="18" t="inlineStr">
        <is>
          <t>人员管理</t>
        </is>
      </c>
      <c r="D252" s="17" t="n">
        <v>15</v>
      </c>
      <c r="E252" s="24">
        <f>D252+1</f>
        <v/>
      </c>
      <c r="F252" s="38" t="n">
        <v>300</v>
      </c>
      <c r="G252" s="39" t="n">
        <v>1.2</v>
      </c>
      <c r="H252" s="38" t="n">
        <v>420</v>
      </c>
      <c r="I252" s="38" t="n">
        <v>0</v>
      </c>
      <c r="J252" s="39" t="n">
        <v>1.3</v>
      </c>
      <c r="K252" s="42">
        <f>ROUNDUP(F252*POWER(G252,D252),0)</f>
        <v/>
      </c>
      <c r="L252" s="40">
        <f>MAX(1,ROUNDDOWN(K252/'参数与公式'!$B$5,0))</f>
        <v/>
      </c>
      <c r="M252" s="40">
        <f>MAX(1,ROUNDDOWN(K252*(1-'参数与公式'!$B$14)/'参数与公式'!$B$5,0))</f>
        <v/>
      </c>
      <c r="N252" s="42">
        <f>IF(H252=0,0,ROUNDUP(H252*POWER(J252,D252),0))</f>
        <v/>
      </c>
      <c r="O252" s="42">
        <f>IF(I252=0,0,ROUNDUP(I252*POWER(J252,D252),0))</f>
        <v/>
      </c>
      <c r="P252" s="40">
        <f>IF(N252=0,0,MAX(1,ROUNDUP(N252*(1-'参数与公式'!$B$17),0)))</f>
        <v/>
      </c>
      <c r="Q252" s="40">
        <f>IF(O252=0,0,MAX(1,ROUNDUP(O252*(1-'参数与公式'!$B$17),0)))</f>
        <v/>
      </c>
      <c r="R252" s="18" t="inlineStr">
        <is>
          <t>data/building_templates.yaml; max_level: gameplay/constants.py; formula: gameplay/models/manor.py</t>
        </is>
      </c>
    </row>
    <row r="253" ht="25" customHeight="1">
      <c r="A253" s="17" t="inlineStr">
        <is>
          <t>jiadingfang</t>
        </is>
      </c>
      <c r="B253" s="18" t="inlineStr">
        <is>
          <t>家丁房</t>
        </is>
      </c>
      <c r="C253" s="18" t="inlineStr">
        <is>
          <t>人员管理</t>
        </is>
      </c>
      <c r="D253" s="17" t="n">
        <v>16</v>
      </c>
      <c r="E253" s="24">
        <f>D253+1</f>
        <v/>
      </c>
      <c r="F253" s="38" t="n">
        <v>300</v>
      </c>
      <c r="G253" s="39" t="n">
        <v>1.2</v>
      </c>
      <c r="H253" s="38" t="n">
        <v>420</v>
      </c>
      <c r="I253" s="38" t="n">
        <v>0</v>
      </c>
      <c r="J253" s="39" t="n">
        <v>1.3</v>
      </c>
      <c r="K253" s="42">
        <f>ROUNDUP(F253*POWER(G253,D253),0)</f>
        <v/>
      </c>
      <c r="L253" s="40">
        <f>MAX(1,ROUNDDOWN(K253/'参数与公式'!$B$5,0))</f>
        <v/>
      </c>
      <c r="M253" s="40">
        <f>MAX(1,ROUNDDOWN(K253*(1-'参数与公式'!$B$14)/'参数与公式'!$B$5,0))</f>
        <v/>
      </c>
      <c r="N253" s="42">
        <f>IF(H253=0,0,ROUNDUP(H253*POWER(J253,D253),0))</f>
        <v/>
      </c>
      <c r="O253" s="42">
        <f>IF(I253=0,0,ROUNDUP(I253*POWER(J253,D253),0))</f>
        <v/>
      </c>
      <c r="P253" s="40">
        <f>IF(N253=0,0,MAX(1,ROUNDUP(N253*(1-'参数与公式'!$B$17),0)))</f>
        <v/>
      </c>
      <c r="Q253" s="40">
        <f>IF(O253=0,0,MAX(1,ROUNDUP(O253*(1-'参数与公式'!$B$17),0)))</f>
        <v/>
      </c>
      <c r="R253" s="18" t="inlineStr">
        <is>
          <t>data/building_templates.yaml; max_level: gameplay/constants.py; formula: gameplay/models/manor.py</t>
        </is>
      </c>
    </row>
    <row r="254" ht="25" customHeight="1">
      <c r="A254" s="17" t="inlineStr">
        <is>
          <t>jiadingfang</t>
        </is>
      </c>
      <c r="B254" s="18" t="inlineStr">
        <is>
          <t>家丁房</t>
        </is>
      </c>
      <c r="C254" s="18" t="inlineStr">
        <is>
          <t>人员管理</t>
        </is>
      </c>
      <c r="D254" s="17" t="n">
        <v>17</v>
      </c>
      <c r="E254" s="24">
        <f>D254+1</f>
        <v/>
      </c>
      <c r="F254" s="38" t="n">
        <v>300</v>
      </c>
      <c r="G254" s="39" t="n">
        <v>1.2</v>
      </c>
      <c r="H254" s="38" t="n">
        <v>420</v>
      </c>
      <c r="I254" s="38" t="n">
        <v>0</v>
      </c>
      <c r="J254" s="39" t="n">
        <v>1.3</v>
      </c>
      <c r="K254" s="42">
        <f>ROUNDUP(F254*POWER(G254,D254),0)</f>
        <v/>
      </c>
      <c r="L254" s="40">
        <f>MAX(1,ROUNDDOWN(K254/'参数与公式'!$B$5,0))</f>
        <v/>
      </c>
      <c r="M254" s="40">
        <f>MAX(1,ROUNDDOWN(K254*(1-'参数与公式'!$B$14)/'参数与公式'!$B$5,0))</f>
        <v/>
      </c>
      <c r="N254" s="42">
        <f>IF(H254=0,0,ROUNDUP(H254*POWER(J254,D254),0))</f>
        <v/>
      </c>
      <c r="O254" s="42">
        <f>IF(I254=0,0,ROUNDUP(I254*POWER(J254,D254),0))</f>
        <v/>
      </c>
      <c r="P254" s="40">
        <f>IF(N254=0,0,MAX(1,ROUNDUP(N254*(1-'参数与公式'!$B$17),0)))</f>
        <v/>
      </c>
      <c r="Q254" s="40">
        <f>IF(O254=0,0,MAX(1,ROUNDUP(O254*(1-'参数与公式'!$B$17),0)))</f>
        <v/>
      </c>
      <c r="R254" s="18" t="inlineStr">
        <is>
          <t>data/building_templates.yaml; max_level: gameplay/constants.py; formula: gameplay/models/manor.py</t>
        </is>
      </c>
    </row>
    <row r="255" ht="25" customHeight="1">
      <c r="A255" s="17" t="inlineStr">
        <is>
          <t>jiadingfang</t>
        </is>
      </c>
      <c r="B255" s="18" t="inlineStr">
        <is>
          <t>家丁房</t>
        </is>
      </c>
      <c r="C255" s="18" t="inlineStr">
        <is>
          <t>人员管理</t>
        </is>
      </c>
      <c r="D255" s="17" t="n">
        <v>18</v>
      </c>
      <c r="E255" s="24">
        <f>D255+1</f>
        <v/>
      </c>
      <c r="F255" s="38" t="n">
        <v>300</v>
      </c>
      <c r="G255" s="39" t="n">
        <v>1.2</v>
      </c>
      <c r="H255" s="38" t="n">
        <v>420</v>
      </c>
      <c r="I255" s="38" t="n">
        <v>0</v>
      </c>
      <c r="J255" s="39" t="n">
        <v>1.3</v>
      </c>
      <c r="K255" s="42">
        <f>ROUNDUP(F255*POWER(G255,D255),0)</f>
        <v/>
      </c>
      <c r="L255" s="40">
        <f>MAX(1,ROUNDDOWN(K255/'参数与公式'!$B$5,0))</f>
        <v/>
      </c>
      <c r="M255" s="40">
        <f>MAX(1,ROUNDDOWN(K255*(1-'参数与公式'!$B$14)/'参数与公式'!$B$5,0))</f>
        <v/>
      </c>
      <c r="N255" s="42">
        <f>IF(H255=0,0,ROUNDUP(H255*POWER(J255,D255),0))</f>
        <v/>
      </c>
      <c r="O255" s="42">
        <f>IF(I255=0,0,ROUNDUP(I255*POWER(J255,D255),0))</f>
        <v/>
      </c>
      <c r="P255" s="40">
        <f>IF(N255=0,0,MAX(1,ROUNDUP(N255*(1-'参数与公式'!$B$17),0)))</f>
        <v/>
      </c>
      <c r="Q255" s="40">
        <f>IF(O255=0,0,MAX(1,ROUNDUP(O255*(1-'参数与公式'!$B$17),0)))</f>
        <v/>
      </c>
      <c r="R255" s="18" t="inlineStr">
        <is>
          <t>data/building_templates.yaml; max_level: gameplay/constants.py; formula: gameplay/models/manor.py</t>
        </is>
      </c>
    </row>
    <row r="256" ht="25" customHeight="1">
      <c r="A256" s="17" t="inlineStr">
        <is>
          <t>jiadingfang</t>
        </is>
      </c>
      <c r="B256" s="18" t="inlineStr">
        <is>
          <t>家丁房</t>
        </is>
      </c>
      <c r="C256" s="18" t="inlineStr">
        <is>
          <t>人员管理</t>
        </is>
      </c>
      <c r="D256" s="17" t="n">
        <v>19</v>
      </c>
      <c r="E256" s="24">
        <f>D256+1</f>
        <v/>
      </c>
      <c r="F256" s="38" t="n">
        <v>300</v>
      </c>
      <c r="G256" s="39" t="n">
        <v>1.2</v>
      </c>
      <c r="H256" s="38" t="n">
        <v>420</v>
      </c>
      <c r="I256" s="38" t="n">
        <v>0</v>
      </c>
      <c r="J256" s="39" t="n">
        <v>1.3</v>
      </c>
      <c r="K256" s="42">
        <f>ROUNDUP(F256*POWER(G256,D256),0)</f>
        <v/>
      </c>
      <c r="L256" s="40">
        <f>MAX(1,ROUNDDOWN(K256/'参数与公式'!$B$5,0))</f>
        <v/>
      </c>
      <c r="M256" s="40">
        <f>MAX(1,ROUNDDOWN(K256*(1-'参数与公式'!$B$14)/'参数与公式'!$B$5,0))</f>
        <v/>
      </c>
      <c r="N256" s="42">
        <f>IF(H256=0,0,ROUNDUP(H256*POWER(J256,D256),0))</f>
        <v/>
      </c>
      <c r="O256" s="42">
        <f>IF(I256=0,0,ROUNDUP(I256*POWER(J256,D256),0))</f>
        <v/>
      </c>
      <c r="P256" s="40">
        <f>IF(N256=0,0,MAX(1,ROUNDUP(N256*(1-'参数与公式'!$B$17),0)))</f>
        <v/>
      </c>
      <c r="Q256" s="40">
        <f>IF(O256=0,0,MAX(1,ROUNDUP(O256*(1-'参数与公式'!$B$17),0)))</f>
        <v/>
      </c>
      <c r="R256" s="18" t="inlineStr">
        <is>
          <t>data/building_templates.yaml; max_level: gameplay/constants.py; formula: gameplay/models/manor.py</t>
        </is>
      </c>
    </row>
    <row r="257" ht="25" customHeight="1">
      <c r="A257" s="17" t="inlineStr">
        <is>
          <t>jiadingfang</t>
        </is>
      </c>
      <c r="B257" s="18" t="inlineStr">
        <is>
          <t>家丁房</t>
        </is>
      </c>
      <c r="C257" s="18" t="inlineStr">
        <is>
          <t>人员管理</t>
        </is>
      </c>
      <c r="D257" s="17" t="n">
        <v>20</v>
      </c>
      <c r="E257" s="24">
        <f>D257+1</f>
        <v/>
      </c>
      <c r="F257" s="38" t="n">
        <v>300</v>
      </c>
      <c r="G257" s="39" t="n">
        <v>1.2</v>
      </c>
      <c r="H257" s="38" t="n">
        <v>420</v>
      </c>
      <c r="I257" s="38" t="n">
        <v>0</v>
      </c>
      <c r="J257" s="39" t="n">
        <v>1.3</v>
      </c>
      <c r="K257" s="42">
        <f>ROUNDUP(F257*POWER(G257,D257),0)</f>
        <v/>
      </c>
      <c r="L257" s="40">
        <f>MAX(1,ROUNDDOWN(K257/'参数与公式'!$B$5,0))</f>
        <v/>
      </c>
      <c r="M257" s="40">
        <f>MAX(1,ROUNDDOWN(K257*(1-'参数与公式'!$B$14)/'参数与公式'!$B$5,0))</f>
        <v/>
      </c>
      <c r="N257" s="42">
        <f>IF(H257=0,0,ROUNDUP(H257*POWER(J257,D257),0))</f>
        <v/>
      </c>
      <c r="O257" s="42">
        <f>IF(I257=0,0,ROUNDUP(I257*POWER(J257,D257),0))</f>
        <v/>
      </c>
      <c r="P257" s="40">
        <f>IF(N257=0,0,MAX(1,ROUNDUP(N257*(1-'参数与公式'!$B$17),0)))</f>
        <v/>
      </c>
      <c r="Q257" s="40">
        <f>IF(O257=0,0,MAX(1,ROUNDUP(O257*(1-'参数与公式'!$B$17),0)))</f>
        <v/>
      </c>
      <c r="R257" s="18" t="inlineStr">
        <is>
          <t>data/building_templates.yaml; max_level: gameplay/constants.py; formula: gameplay/models/manor.py</t>
        </is>
      </c>
    </row>
    <row r="258" ht="25" customHeight="1">
      <c r="A258" s="17" t="inlineStr">
        <is>
          <t>jiadingfang</t>
        </is>
      </c>
      <c r="B258" s="18" t="inlineStr">
        <is>
          <t>家丁房</t>
        </is>
      </c>
      <c r="C258" s="18" t="inlineStr">
        <is>
          <t>人员管理</t>
        </is>
      </c>
      <c r="D258" s="17" t="n">
        <v>21</v>
      </c>
      <c r="E258" s="24">
        <f>D258+1</f>
        <v/>
      </c>
      <c r="F258" s="38" t="n">
        <v>300</v>
      </c>
      <c r="G258" s="39" t="n">
        <v>1.2</v>
      </c>
      <c r="H258" s="38" t="n">
        <v>420</v>
      </c>
      <c r="I258" s="38" t="n">
        <v>0</v>
      </c>
      <c r="J258" s="39" t="n">
        <v>1.3</v>
      </c>
      <c r="K258" s="42">
        <f>ROUNDUP(F258*POWER(G258,D258),0)</f>
        <v/>
      </c>
      <c r="L258" s="40">
        <f>MAX(1,ROUNDDOWN(K258/'参数与公式'!$B$5,0))</f>
        <v/>
      </c>
      <c r="M258" s="40">
        <f>MAX(1,ROUNDDOWN(K258*(1-'参数与公式'!$B$14)/'参数与公式'!$B$5,0))</f>
        <v/>
      </c>
      <c r="N258" s="42">
        <f>IF(H258=0,0,ROUNDUP(H258*POWER(J258,D258),0))</f>
        <v/>
      </c>
      <c r="O258" s="42">
        <f>IF(I258=0,0,ROUNDUP(I258*POWER(J258,D258),0))</f>
        <v/>
      </c>
      <c r="P258" s="40">
        <f>IF(N258=0,0,MAX(1,ROUNDUP(N258*(1-'参数与公式'!$B$17),0)))</f>
        <v/>
      </c>
      <c r="Q258" s="40">
        <f>IF(O258=0,0,MAX(1,ROUNDUP(O258*(1-'参数与公式'!$B$17),0)))</f>
        <v/>
      </c>
      <c r="R258" s="18" t="inlineStr">
        <is>
          <t>data/building_templates.yaml; max_level: gameplay/constants.py; formula: gameplay/models/manor.py</t>
        </is>
      </c>
    </row>
    <row r="259" ht="25" customHeight="1">
      <c r="A259" s="17" t="inlineStr">
        <is>
          <t>jiadingfang</t>
        </is>
      </c>
      <c r="B259" s="18" t="inlineStr">
        <is>
          <t>家丁房</t>
        </is>
      </c>
      <c r="C259" s="18" t="inlineStr">
        <is>
          <t>人员管理</t>
        </is>
      </c>
      <c r="D259" s="17" t="n">
        <v>22</v>
      </c>
      <c r="E259" s="24">
        <f>D259+1</f>
        <v/>
      </c>
      <c r="F259" s="38" t="n">
        <v>300</v>
      </c>
      <c r="G259" s="39" t="n">
        <v>1.2</v>
      </c>
      <c r="H259" s="38" t="n">
        <v>420</v>
      </c>
      <c r="I259" s="38" t="n">
        <v>0</v>
      </c>
      <c r="J259" s="39" t="n">
        <v>1.3</v>
      </c>
      <c r="K259" s="42">
        <f>ROUNDUP(F259*POWER(G259,D259),0)</f>
        <v/>
      </c>
      <c r="L259" s="40">
        <f>MAX(1,ROUNDDOWN(K259/'参数与公式'!$B$5,0))</f>
        <v/>
      </c>
      <c r="M259" s="40">
        <f>MAX(1,ROUNDDOWN(K259*(1-'参数与公式'!$B$14)/'参数与公式'!$B$5,0))</f>
        <v/>
      </c>
      <c r="N259" s="42">
        <f>IF(H259=0,0,ROUNDUP(H259*POWER(J259,D259),0))</f>
        <v/>
      </c>
      <c r="O259" s="42">
        <f>IF(I259=0,0,ROUNDUP(I259*POWER(J259,D259),0))</f>
        <v/>
      </c>
      <c r="P259" s="40">
        <f>IF(N259=0,0,MAX(1,ROUNDUP(N259*(1-'参数与公式'!$B$17),0)))</f>
        <v/>
      </c>
      <c r="Q259" s="40">
        <f>IF(O259=0,0,MAX(1,ROUNDUP(O259*(1-'参数与公式'!$B$17),0)))</f>
        <v/>
      </c>
      <c r="R259" s="18" t="inlineStr">
        <is>
          <t>data/building_templates.yaml; max_level: gameplay/constants.py; formula: gameplay/models/manor.py</t>
        </is>
      </c>
    </row>
    <row r="260" ht="25" customHeight="1">
      <c r="A260" s="17" t="inlineStr">
        <is>
          <t>jiadingfang</t>
        </is>
      </c>
      <c r="B260" s="18" t="inlineStr">
        <is>
          <t>家丁房</t>
        </is>
      </c>
      <c r="C260" s="18" t="inlineStr">
        <is>
          <t>人员管理</t>
        </is>
      </c>
      <c r="D260" s="17" t="n">
        <v>23</v>
      </c>
      <c r="E260" s="24">
        <f>D260+1</f>
        <v/>
      </c>
      <c r="F260" s="38" t="n">
        <v>300</v>
      </c>
      <c r="G260" s="39" t="n">
        <v>1.2</v>
      </c>
      <c r="H260" s="38" t="n">
        <v>420</v>
      </c>
      <c r="I260" s="38" t="n">
        <v>0</v>
      </c>
      <c r="J260" s="39" t="n">
        <v>1.3</v>
      </c>
      <c r="K260" s="42">
        <f>ROUNDUP(F260*POWER(G260,D260),0)</f>
        <v/>
      </c>
      <c r="L260" s="40">
        <f>MAX(1,ROUNDDOWN(K260/'参数与公式'!$B$5,0))</f>
        <v/>
      </c>
      <c r="M260" s="40">
        <f>MAX(1,ROUNDDOWN(K260*(1-'参数与公式'!$B$14)/'参数与公式'!$B$5,0))</f>
        <v/>
      </c>
      <c r="N260" s="42">
        <f>IF(H260=0,0,ROUNDUP(H260*POWER(J260,D260),0))</f>
        <v/>
      </c>
      <c r="O260" s="42">
        <f>IF(I260=0,0,ROUNDUP(I260*POWER(J260,D260),0))</f>
        <v/>
      </c>
      <c r="P260" s="40">
        <f>IF(N260=0,0,MAX(1,ROUNDUP(N260*(1-'参数与公式'!$B$17),0)))</f>
        <v/>
      </c>
      <c r="Q260" s="40">
        <f>IF(O260=0,0,MAX(1,ROUNDUP(O260*(1-'参数与公式'!$B$17),0)))</f>
        <v/>
      </c>
      <c r="R260" s="18" t="inlineStr">
        <is>
          <t>data/building_templates.yaml; max_level: gameplay/constants.py; formula: gameplay/models/manor.py</t>
        </is>
      </c>
    </row>
    <row r="261" ht="25" customHeight="1">
      <c r="A261" s="17" t="inlineStr">
        <is>
          <t>jiadingfang</t>
        </is>
      </c>
      <c r="B261" s="18" t="inlineStr">
        <is>
          <t>家丁房</t>
        </is>
      </c>
      <c r="C261" s="18" t="inlineStr">
        <is>
          <t>人员管理</t>
        </is>
      </c>
      <c r="D261" s="17" t="n">
        <v>24</v>
      </c>
      <c r="E261" s="24">
        <f>D261+1</f>
        <v/>
      </c>
      <c r="F261" s="38" t="n">
        <v>300</v>
      </c>
      <c r="G261" s="39" t="n">
        <v>1.2</v>
      </c>
      <c r="H261" s="38" t="n">
        <v>420</v>
      </c>
      <c r="I261" s="38" t="n">
        <v>0</v>
      </c>
      <c r="J261" s="39" t="n">
        <v>1.3</v>
      </c>
      <c r="K261" s="42">
        <f>ROUNDUP(F261*POWER(G261,D261),0)</f>
        <v/>
      </c>
      <c r="L261" s="40">
        <f>MAX(1,ROUNDDOWN(K261/'参数与公式'!$B$5,0))</f>
        <v/>
      </c>
      <c r="M261" s="40">
        <f>MAX(1,ROUNDDOWN(K261*(1-'参数与公式'!$B$14)/'参数与公式'!$B$5,0))</f>
        <v/>
      </c>
      <c r="N261" s="42">
        <f>IF(H261=0,0,ROUNDUP(H261*POWER(J261,D261),0))</f>
        <v/>
      </c>
      <c r="O261" s="42">
        <f>IF(I261=0,0,ROUNDUP(I261*POWER(J261,D261),0))</f>
        <v/>
      </c>
      <c r="P261" s="40">
        <f>IF(N261=0,0,MAX(1,ROUNDUP(N261*(1-'参数与公式'!$B$17),0)))</f>
        <v/>
      </c>
      <c r="Q261" s="40">
        <f>IF(O261=0,0,MAX(1,ROUNDUP(O261*(1-'参数与公式'!$B$17),0)))</f>
        <v/>
      </c>
      <c r="R261" s="18" t="inlineStr">
        <is>
          <t>data/building_templates.yaml; max_level: gameplay/constants.py; formula: gameplay/models/manor.py</t>
        </is>
      </c>
    </row>
    <row r="262" ht="25" customHeight="1">
      <c r="A262" s="17" t="inlineStr">
        <is>
          <t>jiadingfang</t>
        </is>
      </c>
      <c r="B262" s="18" t="inlineStr">
        <is>
          <t>家丁房</t>
        </is>
      </c>
      <c r="C262" s="18" t="inlineStr">
        <is>
          <t>人员管理</t>
        </is>
      </c>
      <c r="D262" s="17" t="n">
        <v>25</v>
      </c>
      <c r="E262" s="24">
        <f>D262+1</f>
        <v/>
      </c>
      <c r="F262" s="38" t="n">
        <v>300</v>
      </c>
      <c r="G262" s="39" t="n">
        <v>1.2</v>
      </c>
      <c r="H262" s="38" t="n">
        <v>420</v>
      </c>
      <c r="I262" s="38" t="n">
        <v>0</v>
      </c>
      <c r="J262" s="39" t="n">
        <v>1.3</v>
      </c>
      <c r="K262" s="42">
        <f>ROUNDUP(F262*POWER(G262,D262),0)</f>
        <v/>
      </c>
      <c r="L262" s="40">
        <f>MAX(1,ROUNDDOWN(K262/'参数与公式'!$B$5,0))</f>
        <v/>
      </c>
      <c r="M262" s="40">
        <f>MAX(1,ROUNDDOWN(K262*(1-'参数与公式'!$B$14)/'参数与公式'!$B$5,0))</f>
        <v/>
      </c>
      <c r="N262" s="42">
        <f>IF(H262=0,0,ROUNDUP(H262*POWER(J262,D262),0))</f>
        <v/>
      </c>
      <c r="O262" s="42">
        <f>IF(I262=0,0,ROUNDUP(I262*POWER(J262,D262),0))</f>
        <v/>
      </c>
      <c r="P262" s="40">
        <f>IF(N262=0,0,MAX(1,ROUNDUP(N262*(1-'参数与公式'!$B$17),0)))</f>
        <v/>
      </c>
      <c r="Q262" s="40">
        <f>IF(O262=0,0,MAX(1,ROUNDUP(O262*(1-'参数与公式'!$B$17),0)))</f>
        <v/>
      </c>
      <c r="R262" s="18" t="inlineStr">
        <is>
          <t>data/building_templates.yaml; max_level: gameplay/constants.py; formula: gameplay/models/manor.py</t>
        </is>
      </c>
    </row>
    <row r="263" ht="25" customHeight="1">
      <c r="A263" s="17" t="inlineStr">
        <is>
          <t>jiadingfang</t>
        </is>
      </c>
      <c r="B263" s="18" t="inlineStr">
        <is>
          <t>家丁房</t>
        </is>
      </c>
      <c r="C263" s="18" t="inlineStr">
        <is>
          <t>人员管理</t>
        </is>
      </c>
      <c r="D263" s="17" t="n">
        <v>26</v>
      </c>
      <c r="E263" s="24">
        <f>D263+1</f>
        <v/>
      </c>
      <c r="F263" s="38" t="n">
        <v>300</v>
      </c>
      <c r="G263" s="39" t="n">
        <v>1.2</v>
      </c>
      <c r="H263" s="38" t="n">
        <v>420</v>
      </c>
      <c r="I263" s="38" t="n">
        <v>0</v>
      </c>
      <c r="J263" s="39" t="n">
        <v>1.3</v>
      </c>
      <c r="K263" s="42">
        <f>ROUNDUP(F263*POWER(G263,D263),0)</f>
        <v/>
      </c>
      <c r="L263" s="40">
        <f>MAX(1,ROUNDDOWN(K263/'参数与公式'!$B$5,0))</f>
        <v/>
      </c>
      <c r="M263" s="40">
        <f>MAX(1,ROUNDDOWN(K263*(1-'参数与公式'!$B$14)/'参数与公式'!$B$5,0))</f>
        <v/>
      </c>
      <c r="N263" s="42">
        <f>IF(H263=0,0,ROUNDUP(H263*POWER(J263,D263),0))</f>
        <v/>
      </c>
      <c r="O263" s="42">
        <f>IF(I263=0,0,ROUNDUP(I263*POWER(J263,D263),0))</f>
        <v/>
      </c>
      <c r="P263" s="40">
        <f>IF(N263=0,0,MAX(1,ROUNDUP(N263*(1-'参数与公式'!$B$17),0)))</f>
        <v/>
      </c>
      <c r="Q263" s="40">
        <f>IF(O263=0,0,MAX(1,ROUNDUP(O263*(1-'参数与公式'!$B$17),0)))</f>
        <v/>
      </c>
      <c r="R263" s="18" t="inlineStr">
        <is>
          <t>data/building_templates.yaml; max_level: gameplay/constants.py; formula: gameplay/models/manor.py</t>
        </is>
      </c>
    </row>
    <row r="264" ht="25" customHeight="1">
      <c r="A264" s="17" t="inlineStr">
        <is>
          <t>jiadingfang</t>
        </is>
      </c>
      <c r="B264" s="18" t="inlineStr">
        <is>
          <t>家丁房</t>
        </is>
      </c>
      <c r="C264" s="18" t="inlineStr">
        <is>
          <t>人员管理</t>
        </is>
      </c>
      <c r="D264" s="17" t="n">
        <v>27</v>
      </c>
      <c r="E264" s="24">
        <f>D264+1</f>
        <v/>
      </c>
      <c r="F264" s="38" t="n">
        <v>300</v>
      </c>
      <c r="G264" s="39" t="n">
        <v>1.2</v>
      </c>
      <c r="H264" s="38" t="n">
        <v>420</v>
      </c>
      <c r="I264" s="38" t="n">
        <v>0</v>
      </c>
      <c r="J264" s="39" t="n">
        <v>1.3</v>
      </c>
      <c r="K264" s="42">
        <f>ROUNDUP(F264*POWER(G264,D264),0)</f>
        <v/>
      </c>
      <c r="L264" s="40">
        <f>MAX(1,ROUNDDOWN(K264/'参数与公式'!$B$5,0))</f>
        <v/>
      </c>
      <c r="M264" s="40">
        <f>MAX(1,ROUNDDOWN(K264*(1-'参数与公式'!$B$14)/'参数与公式'!$B$5,0))</f>
        <v/>
      </c>
      <c r="N264" s="42">
        <f>IF(H264=0,0,ROUNDUP(H264*POWER(J264,D264),0))</f>
        <v/>
      </c>
      <c r="O264" s="42">
        <f>IF(I264=0,0,ROUNDUP(I264*POWER(J264,D264),0))</f>
        <v/>
      </c>
      <c r="P264" s="40">
        <f>IF(N264=0,0,MAX(1,ROUNDUP(N264*(1-'参数与公式'!$B$17),0)))</f>
        <v/>
      </c>
      <c r="Q264" s="40">
        <f>IF(O264=0,0,MAX(1,ROUNDUP(O264*(1-'参数与公式'!$B$17),0)))</f>
        <v/>
      </c>
      <c r="R264" s="18" t="inlineStr">
        <is>
          <t>data/building_templates.yaml; max_level: gameplay/constants.py; formula: gameplay/models/manor.py</t>
        </is>
      </c>
    </row>
    <row r="265" ht="25" customHeight="1">
      <c r="A265" s="17" t="inlineStr">
        <is>
          <t>jiadingfang</t>
        </is>
      </c>
      <c r="B265" s="18" t="inlineStr">
        <is>
          <t>家丁房</t>
        </is>
      </c>
      <c r="C265" s="18" t="inlineStr">
        <is>
          <t>人员管理</t>
        </is>
      </c>
      <c r="D265" s="17" t="n">
        <v>28</v>
      </c>
      <c r="E265" s="24">
        <f>D265+1</f>
        <v/>
      </c>
      <c r="F265" s="38" t="n">
        <v>300</v>
      </c>
      <c r="G265" s="39" t="n">
        <v>1.2</v>
      </c>
      <c r="H265" s="38" t="n">
        <v>420</v>
      </c>
      <c r="I265" s="38" t="n">
        <v>0</v>
      </c>
      <c r="J265" s="39" t="n">
        <v>1.3</v>
      </c>
      <c r="K265" s="42">
        <f>ROUNDUP(F265*POWER(G265,D265),0)</f>
        <v/>
      </c>
      <c r="L265" s="40">
        <f>MAX(1,ROUNDDOWN(K265/'参数与公式'!$B$5,0))</f>
        <v/>
      </c>
      <c r="M265" s="40">
        <f>MAX(1,ROUNDDOWN(K265*(1-'参数与公式'!$B$14)/'参数与公式'!$B$5,0))</f>
        <v/>
      </c>
      <c r="N265" s="42">
        <f>IF(H265=0,0,ROUNDUP(H265*POWER(J265,D265),0))</f>
        <v/>
      </c>
      <c r="O265" s="42">
        <f>IF(I265=0,0,ROUNDUP(I265*POWER(J265,D265),0))</f>
        <v/>
      </c>
      <c r="P265" s="40">
        <f>IF(N265=0,0,MAX(1,ROUNDUP(N265*(1-'参数与公式'!$B$17),0)))</f>
        <v/>
      </c>
      <c r="Q265" s="40">
        <f>IF(O265=0,0,MAX(1,ROUNDUP(O265*(1-'参数与公式'!$B$17),0)))</f>
        <v/>
      </c>
      <c r="R265" s="18" t="inlineStr">
        <is>
          <t>data/building_templates.yaml; max_level: gameplay/constants.py; formula: gameplay/models/manor.py</t>
        </is>
      </c>
    </row>
    <row r="266" ht="25" customHeight="1">
      <c r="A266" s="17" t="inlineStr">
        <is>
          <t>jiadingfang</t>
        </is>
      </c>
      <c r="B266" s="18" t="inlineStr">
        <is>
          <t>家丁房</t>
        </is>
      </c>
      <c r="C266" s="18" t="inlineStr">
        <is>
          <t>人员管理</t>
        </is>
      </c>
      <c r="D266" s="17" t="n">
        <v>29</v>
      </c>
      <c r="E266" s="24">
        <f>D266+1</f>
        <v/>
      </c>
      <c r="F266" s="38" t="n">
        <v>300</v>
      </c>
      <c r="G266" s="39" t="n">
        <v>1.2</v>
      </c>
      <c r="H266" s="38" t="n">
        <v>420</v>
      </c>
      <c r="I266" s="38" t="n">
        <v>0</v>
      </c>
      <c r="J266" s="39" t="n">
        <v>1.3</v>
      </c>
      <c r="K266" s="42">
        <f>ROUNDUP(F266*POWER(G266,D266),0)</f>
        <v/>
      </c>
      <c r="L266" s="40">
        <f>MAX(1,ROUNDDOWN(K266/'参数与公式'!$B$5,0))</f>
        <v/>
      </c>
      <c r="M266" s="40">
        <f>MAX(1,ROUNDDOWN(K266*(1-'参数与公式'!$B$14)/'参数与公式'!$B$5,0))</f>
        <v/>
      </c>
      <c r="N266" s="42">
        <f>IF(H266=0,0,ROUNDUP(H266*POWER(J266,D266),0))</f>
        <v/>
      </c>
      <c r="O266" s="42">
        <f>IF(I266=0,0,ROUNDUP(I266*POWER(J266,D266),0))</f>
        <v/>
      </c>
      <c r="P266" s="40">
        <f>IF(N266=0,0,MAX(1,ROUNDUP(N266*(1-'参数与公式'!$B$17),0)))</f>
        <v/>
      </c>
      <c r="Q266" s="40">
        <f>IF(O266=0,0,MAX(1,ROUNDUP(O266*(1-'参数与公式'!$B$17),0)))</f>
        <v/>
      </c>
      <c r="R266" s="18" t="inlineStr">
        <is>
          <t>data/building_templates.yaml; max_level: gameplay/constants.py; formula: gameplay/models/manor.py</t>
        </is>
      </c>
    </row>
    <row r="267" ht="25" customHeight="1">
      <c r="A267" s="17" t="inlineStr">
        <is>
          <t>lianggongchang</t>
        </is>
      </c>
      <c r="B267" s="18" t="inlineStr">
        <is>
          <t>练功场</t>
        </is>
      </c>
      <c r="C267" s="18" t="inlineStr">
        <is>
          <t>人员管理</t>
        </is>
      </c>
      <c r="D267" s="17" t="n">
        <v>1</v>
      </c>
      <c r="E267" s="24">
        <f>D267+1</f>
        <v/>
      </c>
      <c r="F267" s="38" t="n">
        <v>300</v>
      </c>
      <c r="G267" s="39" t="n">
        <v>1.2</v>
      </c>
      <c r="H267" s="38" t="n">
        <v>550</v>
      </c>
      <c r="I267" s="38" t="n">
        <v>0</v>
      </c>
      <c r="J267" s="39" t="n">
        <v>1.3</v>
      </c>
      <c r="K267" s="42">
        <f>ROUNDUP(F267*POWER(G267,D267),0)</f>
        <v/>
      </c>
      <c r="L267" s="40">
        <f>MAX(1,ROUNDDOWN(K267/'参数与公式'!$B$5,0))</f>
        <v/>
      </c>
      <c r="M267" s="40">
        <f>MAX(1,ROUNDDOWN(K267*(1-'参数与公式'!$B$14)/'参数与公式'!$B$5,0))</f>
        <v/>
      </c>
      <c r="N267" s="42">
        <f>IF(H267=0,0,ROUNDUP(H267*POWER(J267,D267),0))</f>
        <v/>
      </c>
      <c r="O267" s="42">
        <f>IF(I267=0,0,ROUNDUP(I267*POWER(J267,D267),0))</f>
        <v/>
      </c>
      <c r="P267" s="40">
        <f>IF(N267=0,0,MAX(1,ROUNDUP(N267*(1-'参数与公式'!$B$17),0)))</f>
        <v/>
      </c>
      <c r="Q267" s="40">
        <f>IF(O267=0,0,MAX(1,ROUNDUP(O267*(1-'参数与公式'!$B$17),0)))</f>
        <v/>
      </c>
      <c r="R267" s="18" t="inlineStr">
        <is>
          <t>data/building_templates.yaml; max_level: gameplay/constants.py; formula: gameplay/models/manor.py</t>
        </is>
      </c>
    </row>
    <row r="268" ht="25" customHeight="1">
      <c r="A268" s="17" t="inlineStr">
        <is>
          <t>lianggongchang</t>
        </is>
      </c>
      <c r="B268" s="18" t="inlineStr">
        <is>
          <t>练功场</t>
        </is>
      </c>
      <c r="C268" s="18" t="inlineStr">
        <is>
          <t>人员管理</t>
        </is>
      </c>
      <c r="D268" s="17" t="n">
        <v>2</v>
      </c>
      <c r="E268" s="24">
        <f>D268+1</f>
        <v/>
      </c>
      <c r="F268" s="38" t="n">
        <v>300</v>
      </c>
      <c r="G268" s="39" t="n">
        <v>1.2</v>
      </c>
      <c r="H268" s="38" t="n">
        <v>550</v>
      </c>
      <c r="I268" s="38" t="n">
        <v>0</v>
      </c>
      <c r="J268" s="39" t="n">
        <v>1.3</v>
      </c>
      <c r="K268" s="42">
        <f>ROUNDUP(F268*POWER(G268,D268),0)</f>
        <v/>
      </c>
      <c r="L268" s="40">
        <f>MAX(1,ROUNDDOWN(K268/'参数与公式'!$B$5,0))</f>
        <v/>
      </c>
      <c r="M268" s="40">
        <f>MAX(1,ROUNDDOWN(K268*(1-'参数与公式'!$B$14)/'参数与公式'!$B$5,0))</f>
        <v/>
      </c>
      <c r="N268" s="42">
        <f>IF(H268=0,0,ROUNDUP(H268*POWER(J268,D268),0))</f>
        <v/>
      </c>
      <c r="O268" s="42">
        <f>IF(I268=0,0,ROUNDUP(I268*POWER(J268,D268),0))</f>
        <v/>
      </c>
      <c r="P268" s="40">
        <f>IF(N268=0,0,MAX(1,ROUNDUP(N268*(1-'参数与公式'!$B$17),0)))</f>
        <v/>
      </c>
      <c r="Q268" s="40">
        <f>IF(O268=0,0,MAX(1,ROUNDUP(O268*(1-'参数与公式'!$B$17),0)))</f>
        <v/>
      </c>
      <c r="R268" s="18" t="inlineStr">
        <is>
          <t>data/building_templates.yaml; max_level: gameplay/constants.py; formula: gameplay/models/manor.py</t>
        </is>
      </c>
    </row>
    <row r="269" ht="25" customHeight="1">
      <c r="A269" s="17" t="inlineStr">
        <is>
          <t>lianggongchang</t>
        </is>
      </c>
      <c r="B269" s="18" t="inlineStr">
        <is>
          <t>练功场</t>
        </is>
      </c>
      <c r="C269" s="18" t="inlineStr">
        <is>
          <t>人员管理</t>
        </is>
      </c>
      <c r="D269" s="17" t="n">
        <v>3</v>
      </c>
      <c r="E269" s="24">
        <f>D269+1</f>
        <v/>
      </c>
      <c r="F269" s="38" t="n">
        <v>300</v>
      </c>
      <c r="G269" s="39" t="n">
        <v>1.2</v>
      </c>
      <c r="H269" s="38" t="n">
        <v>550</v>
      </c>
      <c r="I269" s="38" t="n">
        <v>0</v>
      </c>
      <c r="J269" s="39" t="n">
        <v>1.3</v>
      </c>
      <c r="K269" s="42">
        <f>ROUNDUP(F269*POWER(G269,D269),0)</f>
        <v/>
      </c>
      <c r="L269" s="40">
        <f>MAX(1,ROUNDDOWN(K269/'参数与公式'!$B$5,0))</f>
        <v/>
      </c>
      <c r="M269" s="40">
        <f>MAX(1,ROUNDDOWN(K269*(1-'参数与公式'!$B$14)/'参数与公式'!$B$5,0))</f>
        <v/>
      </c>
      <c r="N269" s="42">
        <f>IF(H269=0,0,ROUNDUP(H269*POWER(J269,D269),0))</f>
        <v/>
      </c>
      <c r="O269" s="42">
        <f>IF(I269=0,0,ROUNDUP(I269*POWER(J269,D269),0))</f>
        <v/>
      </c>
      <c r="P269" s="40">
        <f>IF(N269=0,0,MAX(1,ROUNDUP(N269*(1-'参数与公式'!$B$17),0)))</f>
        <v/>
      </c>
      <c r="Q269" s="40">
        <f>IF(O269=0,0,MAX(1,ROUNDUP(O269*(1-'参数与公式'!$B$17),0)))</f>
        <v/>
      </c>
      <c r="R269" s="18" t="inlineStr">
        <is>
          <t>data/building_templates.yaml; max_level: gameplay/constants.py; formula: gameplay/models/manor.py</t>
        </is>
      </c>
    </row>
    <row r="270" ht="25" customHeight="1">
      <c r="A270" s="17" t="inlineStr">
        <is>
          <t>lianggongchang</t>
        </is>
      </c>
      <c r="B270" s="18" t="inlineStr">
        <is>
          <t>练功场</t>
        </is>
      </c>
      <c r="C270" s="18" t="inlineStr">
        <is>
          <t>人员管理</t>
        </is>
      </c>
      <c r="D270" s="17" t="n">
        <v>4</v>
      </c>
      <c r="E270" s="24">
        <f>D270+1</f>
        <v/>
      </c>
      <c r="F270" s="38" t="n">
        <v>300</v>
      </c>
      <c r="G270" s="39" t="n">
        <v>1.2</v>
      </c>
      <c r="H270" s="38" t="n">
        <v>550</v>
      </c>
      <c r="I270" s="38" t="n">
        <v>0</v>
      </c>
      <c r="J270" s="39" t="n">
        <v>1.3</v>
      </c>
      <c r="K270" s="42">
        <f>ROUNDUP(F270*POWER(G270,D270),0)</f>
        <v/>
      </c>
      <c r="L270" s="40">
        <f>MAX(1,ROUNDDOWN(K270/'参数与公式'!$B$5,0))</f>
        <v/>
      </c>
      <c r="M270" s="40">
        <f>MAX(1,ROUNDDOWN(K270*(1-'参数与公式'!$B$14)/'参数与公式'!$B$5,0))</f>
        <v/>
      </c>
      <c r="N270" s="42">
        <f>IF(H270=0,0,ROUNDUP(H270*POWER(J270,D270),0))</f>
        <v/>
      </c>
      <c r="O270" s="42">
        <f>IF(I270=0,0,ROUNDUP(I270*POWER(J270,D270),0))</f>
        <v/>
      </c>
      <c r="P270" s="40">
        <f>IF(N270=0,0,MAX(1,ROUNDUP(N270*(1-'参数与公式'!$B$17),0)))</f>
        <v/>
      </c>
      <c r="Q270" s="40">
        <f>IF(O270=0,0,MAX(1,ROUNDUP(O270*(1-'参数与公式'!$B$17),0)))</f>
        <v/>
      </c>
      <c r="R270" s="18" t="inlineStr">
        <is>
          <t>data/building_templates.yaml; max_level: gameplay/constants.py; formula: gameplay/models/manor.py</t>
        </is>
      </c>
    </row>
    <row r="271" ht="25" customHeight="1">
      <c r="A271" s="17" t="inlineStr">
        <is>
          <t>lianggongchang</t>
        </is>
      </c>
      <c r="B271" s="18" t="inlineStr">
        <is>
          <t>练功场</t>
        </is>
      </c>
      <c r="C271" s="18" t="inlineStr">
        <is>
          <t>人员管理</t>
        </is>
      </c>
      <c r="D271" s="17" t="n">
        <v>5</v>
      </c>
      <c r="E271" s="24">
        <f>D271+1</f>
        <v/>
      </c>
      <c r="F271" s="38" t="n">
        <v>300</v>
      </c>
      <c r="G271" s="39" t="n">
        <v>1.2</v>
      </c>
      <c r="H271" s="38" t="n">
        <v>550</v>
      </c>
      <c r="I271" s="38" t="n">
        <v>0</v>
      </c>
      <c r="J271" s="39" t="n">
        <v>1.3</v>
      </c>
      <c r="K271" s="42">
        <f>ROUNDUP(F271*POWER(G271,D271),0)</f>
        <v/>
      </c>
      <c r="L271" s="40">
        <f>MAX(1,ROUNDDOWN(K271/'参数与公式'!$B$5,0))</f>
        <v/>
      </c>
      <c r="M271" s="40">
        <f>MAX(1,ROUNDDOWN(K271*(1-'参数与公式'!$B$14)/'参数与公式'!$B$5,0))</f>
        <v/>
      </c>
      <c r="N271" s="42">
        <f>IF(H271=0,0,ROUNDUP(H271*POWER(J271,D271),0))</f>
        <v/>
      </c>
      <c r="O271" s="42">
        <f>IF(I271=0,0,ROUNDUP(I271*POWER(J271,D271),0))</f>
        <v/>
      </c>
      <c r="P271" s="40">
        <f>IF(N271=0,0,MAX(1,ROUNDUP(N271*(1-'参数与公式'!$B$17),0)))</f>
        <v/>
      </c>
      <c r="Q271" s="40">
        <f>IF(O271=0,0,MAX(1,ROUNDUP(O271*(1-'参数与公式'!$B$17),0)))</f>
        <v/>
      </c>
      <c r="R271" s="18" t="inlineStr">
        <is>
          <t>data/building_templates.yaml; max_level: gameplay/constants.py; formula: gameplay/models/manor.py</t>
        </is>
      </c>
    </row>
    <row r="272" ht="25" customHeight="1">
      <c r="A272" s="17" t="inlineStr">
        <is>
          <t>lianggongchang</t>
        </is>
      </c>
      <c r="B272" s="18" t="inlineStr">
        <is>
          <t>练功场</t>
        </is>
      </c>
      <c r="C272" s="18" t="inlineStr">
        <is>
          <t>人员管理</t>
        </is>
      </c>
      <c r="D272" s="17" t="n">
        <v>6</v>
      </c>
      <c r="E272" s="24">
        <f>D272+1</f>
        <v/>
      </c>
      <c r="F272" s="38" t="n">
        <v>300</v>
      </c>
      <c r="G272" s="39" t="n">
        <v>1.2</v>
      </c>
      <c r="H272" s="38" t="n">
        <v>550</v>
      </c>
      <c r="I272" s="38" t="n">
        <v>0</v>
      </c>
      <c r="J272" s="39" t="n">
        <v>1.3</v>
      </c>
      <c r="K272" s="42">
        <f>ROUNDUP(F272*POWER(G272,D272),0)</f>
        <v/>
      </c>
      <c r="L272" s="40">
        <f>MAX(1,ROUNDDOWN(K272/'参数与公式'!$B$5,0))</f>
        <v/>
      </c>
      <c r="M272" s="40">
        <f>MAX(1,ROUNDDOWN(K272*(1-'参数与公式'!$B$14)/'参数与公式'!$B$5,0))</f>
        <v/>
      </c>
      <c r="N272" s="42">
        <f>IF(H272=0,0,ROUNDUP(H272*POWER(J272,D272),0))</f>
        <v/>
      </c>
      <c r="O272" s="42">
        <f>IF(I272=0,0,ROUNDUP(I272*POWER(J272,D272),0))</f>
        <v/>
      </c>
      <c r="P272" s="40">
        <f>IF(N272=0,0,MAX(1,ROUNDUP(N272*(1-'参数与公式'!$B$17),0)))</f>
        <v/>
      </c>
      <c r="Q272" s="40">
        <f>IF(O272=0,0,MAX(1,ROUNDUP(O272*(1-'参数与公式'!$B$17),0)))</f>
        <v/>
      </c>
      <c r="R272" s="18" t="inlineStr">
        <is>
          <t>data/building_templates.yaml; max_level: gameplay/constants.py; formula: gameplay/models/manor.py</t>
        </is>
      </c>
    </row>
    <row r="273" ht="25" customHeight="1">
      <c r="A273" s="17" t="inlineStr">
        <is>
          <t>lianggongchang</t>
        </is>
      </c>
      <c r="B273" s="18" t="inlineStr">
        <is>
          <t>练功场</t>
        </is>
      </c>
      <c r="C273" s="18" t="inlineStr">
        <is>
          <t>人员管理</t>
        </is>
      </c>
      <c r="D273" s="17" t="n">
        <v>7</v>
      </c>
      <c r="E273" s="24">
        <f>D273+1</f>
        <v/>
      </c>
      <c r="F273" s="38" t="n">
        <v>300</v>
      </c>
      <c r="G273" s="39" t="n">
        <v>1.2</v>
      </c>
      <c r="H273" s="38" t="n">
        <v>550</v>
      </c>
      <c r="I273" s="38" t="n">
        <v>0</v>
      </c>
      <c r="J273" s="39" t="n">
        <v>1.3</v>
      </c>
      <c r="K273" s="42">
        <f>ROUNDUP(F273*POWER(G273,D273),0)</f>
        <v/>
      </c>
      <c r="L273" s="40">
        <f>MAX(1,ROUNDDOWN(K273/'参数与公式'!$B$5,0))</f>
        <v/>
      </c>
      <c r="M273" s="40">
        <f>MAX(1,ROUNDDOWN(K273*(1-'参数与公式'!$B$14)/'参数与公式'!$B$5,0))</f>
        <v/>
      </c>
      <c r="N273" s="42">
        <f>IF(H273=0,0,ROUNDUP(H273*POWER(J273,D273),0))</f>
        <v/>
      </c>
      <c r="O273" s="42">
        <f>IF(I273=0,0,ROUNDUP(I273*POWER(J273,D273),0))</f>
        <v/>
      </c>
      <c r="P273" s="40">
        <f>IF(N273=0,0,MAX(1,ROUNDUP(N273*(1-'参数与公式'!$B$17),0)))</f>
        <v/>
      </c>
      <c r="Q273" s="40">
        <f>IF(O273=0,0,MAX(1,ROUNDUP(O273*(1-'参数与公式'!$B$17),0)))</f>
        <v/>
      </c>
      <c r="R273" s="18" t="inlineStr">
        <is>
          <t>data/building_templates.yaml; max_level: gameplay/constants.py; formula: gameplay/models/manor.py</t>
        </is>
      </c>
    </row>
    <row r="274" ht="25" customHeight="1">
      <c r="A274" s="17" t="inlineStr">
        <is>
          <t>lianggongchang</t>
        </is>
      </c>
      <c r="B274" s="18" t="inlineStr">
        <is>
          <t>练功场</t>
        </is>
      </c>
      <c r="C274" s="18" t="inlineStr">
        <is>
          <t>人员管理</t>
        </is>
      </c>
      <c r="D274" s="17" t="n">
        <v>8</v>
      </c>
      <c r="E274" s="24">
        <f>D274+1</f>
        <v/>
      </c>
      <c r="F274" s="38" t="n">
        <v>300</v>
      </c>
      <c r="G274" s="39" t="n">
        <v>1.2</v>
      </c>
      <c r="H274" s="38" t="n">
        <v>550</v>
      </c>
      <c r="I274" s="38" t="n">
        <v>0</v>
      </c>
      <c r="J274" s="39" t="n">
        <v>1.3</v>
      </c>
      <c r="K274" s="42">
        <f>ROUNDUP(F274*POWER(G274,D274),0)</f>
        <v/>
      </c>
      <c r="L274" s="40">
        <f>MAX(1,ROUNDDOWN(K274/'参数与公式'!$B$5,0))</f>
        <v/>
      </c>
      <c r="M274" s="40">
        <f>MAX(1,ROUNDDOWN(K274*(1-'参数与公式'!$B$14)/'参数与公式'!$B$5,0))</f>
        <v/>
      </c>
      <c r="N274" s="42">
        <f>IF(H274=0,0,ROUNDUP(H274*POWER(J274,D274),0))</f>
        <v/>
      </c>
      <c r="O274" s="42">
        <f>IF(I274=0,0,ROUNDUP(I274*POWER(J274,D274),0))</f>
        <v/>
      </c>
      <c r="P274" s="40">
        <f>IF(N274=0,0,MAX(1,ROUNDUP(N274*(1-'参数与公式'!$B$17),0)))</f>
        <v/>
      </c>
      <c r="Q274" s="40">
        <f>IF(O274=0,0,MAX(1,ROUNDUP(O274*(1-'参数与公式'!$B$17),0)))</f>
        <v/>
      </c>
      <c r="R274" s="18" t="inlineStr">
        <is>
          <t>data/building_templates.yaml; max_level: gameplay/constants.py; formula: gameplay/models/manor.py</t>
        </is>
      </c>
    </row>
    <row r="275" ht="25" customHeight="1">
      <c r="A275" s="17" t="inlineStr">
        <is>
          <t>lianggongchang</t>
        </is>
      </c>
      <c r="B275" s="18" t="inlineStr">
        <is>
          <t>练功场</t>
        </is>
      </c>
      <c r="C275" s="18" t="inlineStr">
        <is>
          <t>人员管理</t>
        </is>
      </c>
      <c r="D275" s="17" t="n">
        <v>9</v>
      </c>
      <c r="E275" s="24">
        <f>D275+1</f>
        <v/>
      </c>
      <c r="F275" s="38" t="n">
        <v>300</v>
      </c>
      <c r="G275" s="39" t="n">
        <v>1.2</v>
      </c>
      <c r="H275" s="38" t="n">
        <v>550</v>
      </c>
      <c r="I275" s="38" t="n">
        <v>0</v>
      </c>
      <c r="J275" s="39" t="n">
        <v>1.3</v>
      </c>
      <c r="K275" s="42">
        <f>ROUNDUP(F275*POWER(G275,D275),0)</f>
        <v/>
      </c>
      <c r="L275" s="40">
        <f>MAX(1,ROUNDDOWN(K275/'参数与公式'!$B$5,0))</f>
        <v/>
      </c>
      <c r="M275" s="40">
        <f>MAX(1,ROUNDDOWN(K275*(1-'参数与公式'!$B$14)/'参数与公式'!$B$5,0))</f>
        <v/>
      </c>
      <c r="N275" s="42">
        <f>IF(H275=0,0,ROUNDUP(H275*POWER(J275,D275),0))</f>
        <v/>
      </c>
      <c r="O275" s="42">
        <f>IF(I275=0,0,ROUNDUP(I275*POWER(J275,D275),0))</f>
        <v/>
      </c>
      <c r="P275" s="40">
        <f>IF(N275=0,0,MAX(1,ROUNDUP(N275*(1-'参数与公式'!$B$17),0)))</f>
        <v/>
      </c>
      <c r="Q275" s="40">
        <f>IF(O275=0,0,MAX(1,ROUNDUP(O275*(1-'参数与公式'!$B$17),0)))</f>
        <v/>
      </c>
      <c r="R275" s="18" t="inlineStr">
        <is>
          <t>data/building_templates.yaml; max_level: gameplay/constants.py; formula: gameplay/models/manor.py</t>
        </is>
      </c>
    </row>
    <row r="276" ht="25" customHeight="1">
      <c r="A276" s="17" t="inlineStr">
        <is>
          <t>tavern</t>
        </is>
      </c>
      <c r="B276" s="18" t="inlineStr">
        <is>
          <t>酒馆</t>
        </is>
      </c>
      <c r="C276" s="18" t="inlineStr">
        <is>
          <t>人员管理</t>
        </is>
      </c>
      <c r="D276" s="17" t="n">
        <v>1</v>
      </c>
      <c r="E276" s="24">
        <f>D276+1</f>
        <v/>
      </c>
      <c r="F276" s="38" t="n">
        <v>300</v>
      </c>
      <c r="G276" s="39" t="n">
        <v>1.25</v>
      </c>
      <c r="H276" s="38" t="n">
        <v>1150</v>
      </c>
      <c r="I276" s="38" t="n">
        <v>0</v>
      </c>
      <c r="J276" s="39" t="n">
        <v>1.35</v>
      </c>
      <c r="K276" s="42">
        <f>ROUNDUP(F276*POWER(G276,D276),0)</f>
        <v/>
      </c>
      <c r="L276" s="40">
        <f>MAX(1,ROUNDDOWN(K276/'参数与公式'!$B$5,0))</f>
        <v/>
      </c>
      <c r="M276" s="40">
        <f>MAX(1,ROUNDDOWN(K276*(1-'参数与公式'!$B$14)/'参数与公式'!$B$5,0))</f>
        <v/>
      </c>
      <c r="N276" s="42">
        <f>IF(H276=0,0,ROUNDUP(H276*POWER(J276,D276),0))</f>
        <v/>
      </c>
      <c r="O276" s="42">
        <f>IF(I276=0,0,ROUNDUP(I276*POWER(J276,D276),0))</f>
        <v/>
      </c>
      <c r="P276" s="40">
        <f>IF(N276=0,0,MAX(1,ROUNDUP(N276*(1-'参数与公式'!$B$17),0)))</f>
        <v/>
      </c>
      <c r="Q276" s="40">
        <f>IF(O276=0,0,MAX(1,ROUNDUP(O276*(1-'参数与公式'!$B$17),0)))</f>
        <v/>
      </c>
      <c r="R276" s="18" t="inlineStr">
        <is>
          <t>data/building_templates.yaml; max_level: gameplay/constants.py; formula: gameplay/models/manor.py</t>
        </is>
      </c>
    </row>
    <row r="277" ht="25" customHeight="1">
      <c r="A277" s="17" t="inlineStr">
        <is>
          <t>tavern</t>
        </is>
      </c>
      <c r="B277" s="18" t="inlineStr">
        <is>
          <t>酒馆</t>
        </is>
      </c>
      <c r="C277" s="18" t="inlineStr">
        <is>
          <t>人员管理</t>
        </is>
      </c>
      <c r="D277" s="17" t="n">
        <v>2</v>
      </c>
      <c r="E277" s="24">
        <f>D277+1</f>
        <v/>
      </c>
      <c r="F277" s="38" t="n">
        <v>300</v>
      </c>
      <c r="G277" s="39" t="n">
        <v>1.25</v>
      </c>
      <c r="H277" s="38" t="n">
        <v>1150</v>
      </c>
      <c r="I277" s="38" t="n">
        <v>0</v>
      </c>
      <c r="J277" s="39" t="n">
        <v>1.35</v>
      </c>
      <c r="K277" s="42">
        <f>ROUNDUP(F277*POWER(G277,D277),0)</f>
        <v/>
      </c>
      <c r="L277" s="40">
        <f>MAX(1,ROUNDDOWN(K277/'参数与公式'!$B$5,0))</f>
        <v/>
      </c>
      <c r="M277" s="40">
        <f>MAX(1,ROUNDDOWN(K277*(1-'参数与公式'!$B$14)/'参数与公式'!$B$5,0))</f>
        <v/>
      </c>
      <c r="N277" s="42">
        <f>IF(H277=0,0,ROUNDUP(H277*POWER(J277,D277),0))</f>
        <v/>
      </c>
      <c r="O277" s="42">
        <f>IF(I277=0,0,ROUNDUP(I277*POWER(J277,D277),0))</f>
        <v/>
      </c>
      <c r="P277" s="40">
        <f>IF(N277=0,0,MAX(1,ROUNDUP(N277*(1-'参数与公式'!$B$17),0)))</f>
        <v/>
      </c>
      <c r="Q277" s="40">
        <f>IF(O277=0,0,MAX(1,ROUNDUP(O277*(1-'参数与公式'!$B$17),0)))</f>
        <v/>
      </c>
      <c r="R277" s="18" t="inlineStr">
        <is>
          <t>data/building_templates.yaml; max_level: gameplay/constants.py; formula: gameplay/models/manor.py</t>
        </is>
      </c>
    </row>
    <row r="278" ht="25" customHeight="1">
      <c r="A278" s="17" t="inlineStr">
        <is>
          <t>tavern</t>
        </is>
      </c>
      <c r="B278" s="18" t="inlineStr">
        <is>
          <t>酒馆</t>
        </is>
      </c>
      <c r="C278" s="18" t="inlineStr">
        <is>
          <t>人员管理</t>
        </is>
      </c>
      <c r="D278" s="17" t="n">
        <v>3</v>
      </c>
      <c r="E278" s="24">
        <f>D278+1</f>
        <v/>
      </c>
      <c r="F278" s="38" t="n">
        <v>300</v>
      </c>
      <c r="G278" s="39" t="n">
        <v>1.25</v>
      </c>
      <c r="H278" s="38" t="n">
        <v>1150</v>
      </c>
      <c r="I278" s="38" t="n">
        <v>0</v>
      </c>
      <c r="J278" s="39" t="n">
        <v>1.35</v>
      </c>
      <c r="K278" s="42">
        <f>ROUNDUP(F278*POWER(G278,D278),0)</f>
        <v/>
      </c>
      <c r="L278" s="40">
        <f>MAX(1,ROUNDDOWN(K278/'参数与公式'!$B$5,0))</f>
        <v/>
      </c>
      <c r="M278" s="40">
        <f>MAX(1,ROUNDDOWN(K278*(1-'参数与公式'!$B$14)/'参数与公式'!$B$5,0))</f>
        <v/>
      </c>
      <c r="N278" s="42">
        <f>IF(H278=0,0,ROUNDUP(H278*POWER(J278,D278),0))</f>
        <v/>
      </c>
      <c r="O278" s="42">
        <f>IF(I278=0,0,ROUNDUP(I278*POWER(J278,D278),0))</f>
        <v/>
      </c>
      <c r="P278" s="40">
        <f>IF(N278=0,0,MAX(1,ROUNDUP(N278*(1-'参数与公式'!$B$17),0)))</f>
        <v/>
      </c>
      <c r="Q278" s="40">
        <f>IF(O278=0,0,MAX(1,ROUNDUP(O278*(1-'参数与公式'!$B$17),0)))</f>
        <v/>
      </c>
      <c r="R278" s="18" t="inlineStr">
        <is>
          <t>data/building_templates.yaml; max_level: gameplay/constants.py; formula: gameplay/models/manor.py</t>
        </is>
      </c>
    </row>
    <row r="279" ht="25" customHeight="1">
      <c r="A279" s="17" t="inlineStr">
        <is>
          <t>tavern</t>
        </is>
      </c>
      <c r="B279" s="18" t="inlineStr">
        <is>
          <t>酒馆</t>
        </is>
      </c>
      <c r="C279" s="18" t="inlineStr">
        <is>
          <t>人员管理</t>
        </is>
      </c>
      <c r="D279" s="17" t="n">
        <v>4</v>
      </c>
      <c r="E279" s="24">
        <f>D279+1</f>
        <v/>
      </c>
      <c r="F279" s="38" t="n">
        <v>300</v>
      </c>
      <c r="G279" s="39" t="n">
        <v>1.25</v>
      </c>
      <c r="H279" s="38" t="n">
        <v>1150</v>
      </c>
      <c r="I279" s="38" t="n">
        <v>0</v>
      </c>
      <c r="J279" s="39" t="n">
        <v>1.35</v>
      </c>
      <c r="K279" s="42">
        <f>ROUNDUP(F279*POWER(G279,D279),0)</f>
        <v/>
      </c>
      <c r="L279" s="40">
        <f>MAX(1,ROUNDDOWN(K279/'参数与公式'!$B$5,0))</f>
        <v/>
      </c>
      <c r="M279" s="40">
        <f>MAX(1,ROUNDDOWN(K279*(1-'参数与公式'!$B$14)/'参数与公式'!$B$5,0))</f>
        <v/>
      </c>
      <c r="N279" s="42">
        <f>IF(H279=0,0,ROUNDUP(H279*POWER(J279,D279),0))</f>
        <v/>
      </c>
      <c r="O279" s="42">
        <f>IF(I279=0,0,ROUNDUP(I279*POWER(J279,D279),0))</f>
        <v/>
      </c>
      <c r="P279" s="40">
        <f>IF(N279=0,0,MAX(1,ROUNDUP(N279*(1-'参数与公式'!$B$17),0)))</f>
        <v/>
      </c>
      <c r="Q279" s="40">
        <f>IF(O279=0,0,MAX(1,ROUNDUP(O279*(1-'参数与公式'!$B$17),0)))</f>
        <v/>
      </c>
      <c r="R279" s="18" t="inlineStr">
        <is>
          <t>data/building_templates.yaml; max_level: gameplay/constants.py; formula: gameplay/models/manor.py</t>
        </is>
      </c>
    </row>
    <row r="280" ht="25" customHeight="1">
      <c r="A280" s="17" t="inlineStr">
        <is>
          <t>tavern</t>
        </is>
      </c>
      <c r="B280" s="18" t="inlineStr">
        <is>
          <t>酒馆</t>
        </is>
      </c>
      <c r="C280" s="18" t="inlineStr">
        <is>
          <t>人员管理</t>
        </is>
      </c>
      <c r="D280" s="17" t="n">
        <v>5</v>
      </c>
      <c r="E280" s="24">
        <f>D280+1</f>
        <v/>
      </c>
      <c r="F280" s="38" t="n">
        <v>300</v>
      </c>
      <c r="G280" s="39" t="n">
        <v>1.25</v>
      </c>
      <c r="H280" s="38" t="n">
        <v>1150</v>
      </c>
      <c r="I280" s="38" t="n">
        <v>0</v>
      </c>
      <c r="J280" s="39" t="n">
        <v>1.35</v>
      </c>
      <c r="K280" s="42">
        <f>ROUNDUP(F280*POWER(G280,D280),0)</f>
        <v/>
      </c>
      <c r="L280" s="40">
        <f>MAX(1,ROUNDDOWN(K280/'参数与公式'!$B$5,0))</f>
        <v/>
      </c>
      <c r="M280" s="40">
        <f>MAX(1,ROUNDDOWN(K280*(1-'参数与公式'!$B$14)/'参数与公式'!$B$5,0))</f>
        <v/>
      </c>
      <c r="N280" s="42">
        <f>IF(H280=0,0,ROUNDUP(H280*POWER(J280,D280),0))</f>
        <v/>
      </c>
      <c r="O280" s="42">
        <f>IF(I280=0,0,ROUNDUP(I280*POWER(J280,D280),0))</f>
        <v/>
      </c>
      <c r="P280" s="40">
        <f>IF(N280=0,0,MAX(1,ROUNDUP(N280*(1-'参数与公式'!$B$17),0)))</f>
        <v/>
      </c>
      <c r="Q280" s="40">
        <f>IF(O280=0,0,MAX(1,ROUNDUP(O280*(1-'参数与公式'!$B$17),0)))</f>
        <v/>
      </c>
      <c r="R280" s="18" t="inlineStr">
        <is>
          <t>data/building_templates.yaml; max_level: gameplay/constants.py; formula: gameplay/models/manor.py</t>
        </is>
      </c>
    </row>
    <row r="281" ht="25" customHeight="1">
      <c r="A281" s="17" t="inlineStr">
        <is>
          <t>tavern</t>
        </is>
      </c>
      <c r="B281" s="18" t="inlineStr">
        <is>
          <t>酒馆</t>
        </is>
      </c>
      <c r="C281" s="18" t="inlineStr">
        <is>
          <t>人员管理</t>
        </is>
      </c>
      <c r="D281" s="17" t="n">
        <v>6</v>
      </c>
      <c r="E281" s="24">
        <f>D281+1</f>
        <v/>
      </c>
      <c r="F281" s="38" t="n">
        <v>300</v>
      </c>
      <c r="G281" s="39" t="n">
        <v>1.25</v>
      </c>
      <c r="H281" s="38" t="n">
        <v>1150</v>
      </c>
      <c r="I281" s="38" t="n">
        <v>0</v>
      </c>
      <c r="J281" s="39" t="n">
        <v>1.35</v>
      </c>
      <c r="K281" s="42">
        <f>ROUNDUP(F281*POWER(G281,D281),0)</f>
        <v/>
      </c>
      <c r="L281" s="40">
        <f>MAX(1,ROUNDDOWN(K281/'参数与公式'!$B$5,0))</f>
        <v/>
      </c>
      <c r="M281" s="40">
        <f>MAX(1,ROUNDDOWN(K281*(1-'参数与公式'!$B$14)/'参数与公式'!$B$5,0))</f>
        <v/>
      </c>
      <c r="N281" s="42">
        <f>IF(H281=0,0,ROUNDUP(H281*POWER(J281,D281),0))</f>
        <v/>
      </c>
      <c r="O281" s="42">
        <f>IF(I281=0,0,ROUNDUP(I281*POWER(J281,D281),0))</f>
        <v/>
      </c>
      <c r="P281" s="40">
        <f>IF(N281=0,0,MAX(1,ROUNDUP(N281*(1-'参数与公式'!$B$17),0)))</f>
        <v/>
      </c>
      <c r="Q281" s="40">
        <f>IF(O281=0,0,MAX(1,ROUNDUP(O281*(1-'参数与公式'!$B$17),0)))</f>
        <v/>
      </c>
      <c r="R281" s="18" t="inlineStr">
        <is>
          <t>data/building_templates.yaml; max_level: gameplay/constants.py; formula: gameplay/models/manor.py</t>
        </is>
      </c>
    </row>
    <row r="282" ht="25" customHeight="1">
      <c r="A282" s="17" t="inlineStr">
        <is>
          <t>tavern</t>
        </is>
      </c>
      <c r="B282" s="18" t="inlineStr">
        <is>
          <t>酒馆</t>
        </is>
      </c>
      <c r="C282" s="18" t="inlineStr">
        <is>
          <t>人员管理</t>
        </is>
      </c>
      <c r="D282" s="17" t="n">
        <v>7</v>
      </c>
      <c r="E282" s="24">
        <f>D282+1</f>
        <v/>
      </c>
      <c r="F282" s="38" t="n">
        <v>300</v>
      </c>
      <c r="G282" s="39" t="n">
        <v>1.25</v>
      </c>
      <c r="H282" s="38" t="n">
        <v>1150</v>
      </c>
      <c r="I282" s="38" t="n">
        <v>0</v>
      </c>
      <c r="J282" s="39" t="n">
        <v>1.35</v>
      </c>
      <c r="K282" s="42">
        <f>ROUNDUP(F282*POWER(G282,D282),0)</f>
        <v/>
      </c>
      <c r="L282" s="40">
        <f>MAX(1,ROUNDDOWN(K282/'参数与公式'!$B$5,0))</f>
        <v/>
      </c>
      <c r="M282" s="40">
        <f>MAX(1,ROUNDDOWN(K282*(1-'参数与公式'!$B$14)/'参数与公式'!$B$5,0))</f>
        <v/>
      </c>
      <c r="N282" s="42">
        <f>IF(H282=0,0,ROUNDUP(H282*POWER(J282,D282),0))</f>
        <v/>
      </c>
      <c r="O282" s="42">
        <f>IF(I282=0,0,ROUNDUP(I282*POWER(J282,D282),0))</f>
        <v/>
      </c>
      <c r="P282" s="40">
        <f>IF(N282=0,0,MAX(1,ROUNDUP(N282*(1-'参数与公式'!$B$17),0)))</f>
        <v/>
      </c>
      <c r="Q282" s="40">
        <f>IF(O282=0,0,MAX(1,ROUNDUP(O282*(1-'参数与公式'!$B$17),0)))</f>
        <v/>
      </c>
      <c r="R282" s="18" t="inlineStr">
        <is>
          <t>data/building_templates.yaml; max_level: gameplay/constants.py; formula: gameplay/models/manor.py</t>
        </is>
      </c>
    </row>
    <row r="283" ht="25" customHeight="1">
      <c r="A283" s="17" t="inlineStr">
        <is>
          <t>tavern</t>
        </is>
      </c>
      <c r="B283" s="18" t="inlineStr">
        <is>
          <t>酒馆</t>
        </is>
      </c>
      <c r="C283" s="18" t="inlineStr">
        <is>
          <t>人员管理</t>
        </is>
      </c>
      <c r="D283" s="17" t="n">
        <v>8</v>
      </c>
      <c r="E283" s="24">
        <f>D283+1</f>
        <v/>
      </c>
      <c r="F283" s="38" t="n">
        <v>300</v>
      </c>
      <c r="G283" s="39" t="n">
        <v>1.25</v>
      </c>
      <c r="H283" s="38" t="n">
        <v>1150</v>
      </c>
      <c r="I283" s="38" t="n">
        <v>0</v>
      </c>
      <c r="J283" s="39" t="n">
        <v>1.35</v>
      </c>
      <c r="K283" s="42">
        <f>ROUNDUP(F283*POWER(G283,D283),0)</f>
        <v/>
      </c>
      <c r="L283" s="40">
        <f>MAX(1,ROUNDDOWN(K283/'参数与公式'!$B$5,0))</f>
        <v/>
      </c>
      <c r="M283" s="40">
        <f>MAX(1,ROUNDDOWN(K283*(1-'参数与公式'!$B$14)/'参数与公式'!$B$5,0))</f>
        <v/>
      </c>
      <c r="N283" s="42">
        <f>IF(H283=0,0,ROUNDUP(H283*POWER(J283,D283),0))</f>
        <v/>
      </c>
      <c r="O283" s="42">
        <f>IF(I283=0,0,ROUNDUP(I283*POWER(J283,D283),0))</f>
        <v/>
      </c>
      <c r="P283" s="40">
        <f>IF(N283=0,0,MAX(1,ROUNDUP(N283*(1-'参数与公式'!$B$17),0)))</f>
        <v/>
      </c>
      <c r="Q283" s="40">
        <f>IF(O283=0,0,MAX(1,ROUNDUP(O283*(1-'参数与公式'!$B$17),0)))</f>
        <v/>
      </c>
      <c r="R283" s="18" t="inlineStr">
        <is>
          <t>data/building_templates.yaml; max_level: gameplay/constants.py; formula: gameplay/models/manor.py</t>
        </is>
      </c>
    </row>
    <row r="284" ht="25" customHeight="1">
      <c r="A284" s="17" t="inlineStr">
        <is>
          <t>tavern</t>
        </is>
      </c>
      <c r="B284" s="18" t="inlineStr">
        <is>
          <t>酒馆</t>
        </is>
      </c>
      <c r="C284" s="18" t="inlineStr">
        <is>
          <t>人员管理</t>
        </is>
      </c>
      <c r="D284" s="17" t="n">
        <v>9</v>
      </c>
      <c r="E284" s="24">
        <f>D284+1</f>
        <v/>
      </c>
      <c r="F284" s="38" t="n">
        <v>300</v>
      </c>
      <c r="G284" s="39" t="n">
        <v>1.25</v>
      </c>
      <c r="H284" s="38" t="n">
        <v>1150</v>
      </c>
      <c r="I284" s="38" t="n">
        <v>0</v>
      </c>
      <c r="J284" s="39" t="n">
        <v>1.35</v>
      </c>
      <c r="K284" s="42">
        <f>ROUNDUP(F284*POWER(G284,D284),0)</f>
        <v/>
      </c>
      <c r="L284" s="40">
        <f>MAX(1,ROUNDDOWN(K284/'参数与公式'!$B$5,0))</f>
        <v/>
      </c>
      <c r="M284" s="40">
        <f>MAX(1,ROUNDDOWN(K284*(1-'参数与公式'!$B$14)/'参数与公式'!$B$5,0))</f>
        <v/>
      </c>
      <c r="N284" s="42">
        <f>IF(H284=0,0,ROUNDUP(H284*POWER(J284,D284),0))</f>
        <v/>
      </c>
      <c r="O284" s="42">
        <f>IF(I284=0,0,ROUNDUP(I284*POWER(J284,D284),0))</f>
        <v/>
      </c>
      <c r="P284" s="40">
        <f>IF(N284=0,0,MAX(1,ROUNDUP(N284*(1-'参数与公式'!$B$17),0)))</f>
        <v/>
      </c>
      <c r="Q284" s="40">
        <f>IF(O284=0,0,MAX(1,ROUNDUP(O284*(1-'参数与公式'!$B$17),0)))</f>
        <v/>
      </c>
      <c r="R284" s="18" t="inlineStr">
        <is>
          <t>data/building_templates.yaml; max_level: gameplay/constants.py; formula: gameplay/models/manor.py</t>
        </is>
      </c>
    </row>
    <row r="285" ht="25" customHeight="1">
      <c r="A285" s="17" t="inlineStr">
        <is>
          <t>citang</t>
        </is>
      </c>
      <c r="B285" s="18" t="inlineStr">
        <is>
          <t>祠堂</t>
        </is>
      </c>
      <c r="C285" s="18" t="inlineStr">
        <is>
          <t>特殊建筑</t>
        </is>
      </c>
      <c r="D285" s="17" t="n">
        <v>1</v>
      </c>
      <c r="E285" s="24">
        <f>D285+1</f>
        <v/>
      </c>
      <c r="F285" s="38" t="n">
        <v>3600</v>
      </c>
      <c r="G285" s="39" t="n">
        <v>2</v>
      </c>
      <c r="H285" s="38" t="n">
        <v>10000</v>
      </c>
      <c r="I285" s="38" t="n">
        <v>5000</v>
      </c>
      <c r="J285" s="39" t="n">
        <v>2</v>
      </c>
      <c r="K285" s="42">
        <f>ROUNDUP(F285*POWER(G285,D285),0)</f>
        <v/>
      </c>
      <c r="L285" s="40">
        <f>MAX(1,ROUNDDOWN(K285/'参数与公式'!$B$5,0))</f>
        <v/>
      </c>
      <c r="M285" s="40">
        <f>MAX(1,ROUNDDOWN(K285*(1-'参数与公式'!$B$14)/'参数与公式'!$B$5,0))</f>
        <v/>
      </c>
      <c r="N285" s="42">
        <f>IF(H285=0,0,ROUNDUP(H285*POWER(J285,D285),0))</f>
        <v/>
      </c>
      <c r="O285" s="42">
        <f>IF(I285=0,0,ROUNDUP(I285*POWER(J285,D285),0))</f>
        <v/>
      </c>
      <c r="P285" s="40">
        <f>IF(N285=0,0,MAX(1,ROUNDUP(N285*(1-'参数与公式'!$B$17),0)))</f>
        <v/>
      </c>
      <c r="Q285" s="40">
        <f>IF(O285=0,0,MAX(1,ROUNDUP(O285*(1-'参数与公式'!$B$17),0)))</f>
        <v/>
      </c>
      <c r="R285" s="18" t="inlineStr">
        <is>
          <t>data/building_templates.yaml; max_level: gameplay/constants.py; formula: gameplay/models/manor.py</t>
        </is>
      </c>
    </row>
    <row r="286" ht="25" customHeight="1">
      <c r="A286" s="17" t="inlineStr">
        <is>
          <t>citang</t>
        </is>
      </c>
      <c r="B286" s="18" t="inlineStr">
        <is>
          <t>祠堂</t>
        </is>
      </c>
      <c r="C286" s="18" t="inlineStr">
        <is>
          <t>特殊建筑</t>
        </is>
      </c>
      <c r="D286" s="17" t="n">
        <v>2</v>
      </c>
      <c r="E286" s="24">
        <f>D286+1</f>
        <v/>
      </c>
      <c r="F286" s="38" t="n">
        <v>3600</v>
      </c>
      <c r="G286" s="39" t="n">
        <v>2</v>
      </c>
      <c r="H286" s="38" t="n">
        <v>10000</v>
      </c>
      <c r="I286" s="38" t="n">
        <v>5000</v>
      </c>
      <c r="J286" s="39" t="n">
        <v>2</v>
      </c>
      <c r="K286" s="42">
        <f>ROUNDUP(F286*POWER(G286,D286),0)</f>
        <v/>
      </c>
      <c r="L286" s="40">
        <f>MAX(1,ROUNDDOWN(K286/'参数与公式'!$B$5,0))</f>
        <v/>
      </c>
      <c r="M286" s="40">
        <f>MAX(1,ROUNDDOWN(K286*(1-'参数与公式'!$B$14)/'参数与公式'!$B$5,0))</f>
        <v/>
      </c>
      <c r="N286" s="42">
        <f>IF(H286=0,0,ROUNDUP(H286*POWER(J286,D286),0))</f>
        <v/>
      </c>
      <c r="O286" s="42">
        <f>IF(I286=0,0,ROUNDUP(I286*POWER(J286,D286),0))</f>
        <v/>
      </c>
      <c r="P286" s="40">
        <f>IF(N286=0,0,MAX(1,ROUNDUP(N286*(1-'参数与公式'!$B$17),0)))</f>
        <v/>
      </c>
      <c r="Q286" s="40">
        <f>IF(O286=0,0,MAX(1,ROUNDUP(O286*(1-'参数与公式'!$B$17),0)))</f>
        <v/>
      </c>
      <c r="R286" s="18" t="inlineStr">
        <is>
          <t>data/building_templates.yaml; max_level: gameplay/constants.py; formula: gameplay/models/manor.py</t>
        </is>
      </c>
    </row>
    <row r="287" ht="25" customHeight="1">
      <c r="A287" s="17" t="inlineStr">
        <is>
          <t>citang</t>
        </is>
      </c>
      <c r="B287" s="18" t="inlineStr">
        <is>
          <t>祠堂</t>
        </is>
      </c>
      <c r="C287" s="18" t="inlineStr">
        <is>
          <t>特殊建筑</t>
        </is>
      </c>
      <c r="D287" s="17" t="n">
        <v>3</v>
      </c>
      <c r="E287" s="24">
        <f>D287+1</f>
        <v/>
      </c>
      <c r="F287" s="38" t="n">
        <v>3600</v>
      </c>
      <c r="G287" s="39" t="n">
        <v>2</v>
      </c>
      <c r="H287" s="38" t="n">
        <v>10000</v>
      </c>
      <c r="I287" s="38" t="n">
        <v>5000</v>
      </c>
      <c r="J287" s="39" t="n">
        <v>2</v>
      </c>
      <c r="K287" s="42">
        <f>ROUNDUP(F287*POWER(G287,D287),0)</f>
        <v/>
      </c>
      <c r="L287" s="40">
        <f>MAX(1,ROUNDDOWN(K287/'参数与公式'!$B$5,0))</f>
        <v/>
      </c>
      <c r="M287" s="40">
        <f>MAX(1,ROUNDDOWN(K287*(1-'参数与公式'!$B$14)/'参数与公式'!$B$5,0))</f>
        <v/>
      </c>
      <c r="N287" s="42">
        <f>IF(H287=0,0,ROUNDUP(H287*POWER(J287,D287),0))</f>
        <v/>
      </c>
      <c r="O287" s="42">
        <f>IF(I287=0,0,ROUNDUP(I287*POWER(J287,D287),0))</f>
        <v/>
      </c>
      <c r="P287" s="40">
        <f>IF(N287=0,0,MAX(1,ROUNDUP(N287*(1-'参数与公式'!$B$17),0)))</f>
        <v/>
      </c>
      <c r="Q287" s="40">
        <f>IF(O287=0,0,MAX(1,ROUNDUP(O287*(1-'参数与公式'!$B$17),0)))</f>
        <v/>
      </c>
      <c r="R287" s="18" t="inlineStr">
        <is>
          <t>data/building_templates.yaml; max_level: gameplay/constants.py; formula: gameplay/models/manor.py</t>
        </is>
      </c>
    </row>
    <row r="288" ht="25" customHeight="1">
      <c r="A288" s="17" t="inlineStr">
        <is>
          <t>citang</t>
        </is>
      </c>
      <c r="B288" s="18" t="inlineStr">
        <is>
          <t>祠堂</t>
        </is>
      </c>
      <c r="C288" s="18" t="inlineStr">
        <is>
          <t>特殊建筑</t>
        </is>
      </c>
      <c r="D288" s="17" t="n">
        <v>4</v>
      </c>
      <c r="E288" s="24">
        <f>D288+1</f>
        <v/>
      </c>
      <c r="F288" s="38" t="n">
        <v>3600</v>
      </c>
      <c r="G288" s="39" t="n">
        <v>2</v>
      </c>
      <c r="H288" s="38" t="n">
        <v>10000</v>
      </c>
      <c r="I288" s="38" t="n">
        <v>5000</v>
      </c>
      <c r="J288" s="39" t="n">
        <v>2</v>
      </c>
      <c r="K288" s="42">
        <f>ROUNDUP(F288*POWER(G288,D288),0)</f>
        <v/>
      </c>
      <c r="L288" s="40">
        <f>MAX(1,ROUNDDOWN(K288/'参数与公式'!$B$5,0))</f>
        <v/>
      </c>
      <c r="M288" s="40">
        <f>MAX(1,ROUNDDOWN(K288*(1-'参数与公式'!$B$14)/'参数与公式'!$B$5,0))</f>
        <v/>
      </c>
      <c r="N288" s="42">
        <f>IF(H288=0,0,ROUNDUP(H288*POWER(J288,D288),0))</f>
        <v/>
      </c>
      <c r="O288" s="42">
        <f>IF(I288=0,0,ROUNDUP(I288*POWER(J288,D288),0))</f>
        <v/>
      </c>
      <c r="P288" s="40">
        <f>IF(N288=0,0,MAX(1,ROUNDUP(N288*(1-'参数与公式'!$B$17),0)))</f>
        <v/>
      </c>
      <c r="Q288" s="40">
        <f>IF(O288=0,0,MAX(1,ROUNDUP(O288*(1-'参数与公式'!$B$17),0)))</f>
        <v/>
      </c>
      <c r="R288" s="18" t="inlineStr">
        <is>
          <t>data/building_templates.yaml; max_level: gameplay/constants.py; formula: gameplay/models/manor.py</t>
        </is>
      </c>
    </row>
    <row r="289" ht="25" customHeight="1">
      <c r="A289" s="17" t="inlineStr">
        <is>
          <t>youxibaota</t>
        </is>
      </c>
      <c r="B289" s="18" t="inlineStr">
        <is>
          <t>悠嘻宝塔</t>
        </is>
      </c>
      <c r="C289" s="18" t="inlineStr">
        <is>
          <t>特殊建筑</t>
        </is>
      </c>
      <c r="D289" s="17" t="n">
        <v>1</v>
      </c>
      <c r="E289" s="24">
        <f>D289+1</f>
        <v/>
      </c>
      <c r="F289" s="38" t="n">
        <v>3107</v>
      </c>
      <c r="G289" s="39" t="n">
        <v>1.5</v>
      </c>
      <c r="H289" s="38" t="n">
        <v>20193</v>
      </c>
      <c r="I289" s="38" t="n">
        <v>4038</v>
      </c>
      <c r="J289" s="39" t="n">
        <v>1.7</v>
      </c>
      <c r="K289" s="42">
        <f>ROUNDUP(F289*POWER(G289,D289),0)</f>
        <v/>
      </c>
      <c r="L289" s="40">
        <f>MAX(1,ROUNDDOWN(K289/'参数与公式'!$B$5,0))</f>
        <v/>
      </c>
      <c r="M289" s="40">
        <f>MAX(1,ROUNDDOWN(K289*(1-'参数与公式'!$B$14)/'参数与公式'!$B$5,0))</f>
        <v/>
      </c>
      <c r="N289" s="42">
        <f>IF(H289=0,0,ROUNDUP(H289*POWER(J289,D289),0))</f>
        <v/>
      </c>
      <c r="O289" s="42">
        <f>IF(I289=0,0,ROUNDUP(I289*POWER(J289,D289),0))</f>
        <v/>
      </c>
      <c r="P289" s="40">
        <f>IF(N289=0,0,MAX(1,ROUNDUP(N289*(1-'参数与公式'!$B$17),0)))</f>
        <v/>
      </c>
      <c r="Q289" s="40">
        <f>IF(O289=0,0,MAX(1,ROUNDUP(O289*(1-'参数与公式'!$B$17),0)))</f>
        <v/>
      </c>
      <c r="R289" s="18" t="inlineStr">
        <is>
          <t>data/building_templates.yaml; max_level: gameplay/constants.py; formula: gameplay/models/manor.py</t>
        </is>
      </c>
    </row>
    <row r="290" ht="25" customHeight="1">
      <c r="A290" s="17" t="inlineStr">
        <is>
          <t>youxibaota</t>
        </is>
      </c>
      <c r="B290" s="18" t="inlineStr">
        <is>
          <t>悠嘻宝塔</t>
        </is>
      </c>
      <c r="C290" s="18" t="inlineStr">
        <is>
          <t>特殊建筑</t>
        </is>
      </c>
      <c r="D290" s="17" t="n">
        <v>2</v>
      </c>
      <c r="E290" s="24">
        <f>D290+1</f>
        <v/>
      </c>
      <c r="F290" s="38" t="n">
        <v>3107</v>
      </c>
      <c r="G290" s="39" t="n">
        <v>1.5</v>
      </c>
      <c r="H290" s="38" t="n">
        <v>20193</v>
      </c>
      <c r="I290" s="38" t="n">
        <v>4038</v>
      </c>
      <c r="J290" s="39" t="n">
        <v>1.7</v>
      </c>
      <c r="K290" s="42">
        <f>ROUNDUP(F290*POWER(G290,D290),0)</f>
        <v/>
      </c>
      <c r="L290" s="40">
        <f>MAX(1,ROUNDDOWN(K290/'参数与公式'!$B$5,0))</f>
        <v/>
      </c>
      <c r="M290" s="40">
        <f>MAX(1,ROUNDDOWN(K290*(1-'参数与公式'!$B$14)/'参数与公式'!$B$5,0))</f>
        <v/>
      </c>
      <c r="N290" s="42">
        <f>IF(H290=0,0,ROUNDUP(H290*POWER(J290,D290),0))</f>
        <v/>
      </c>
      <c r="O290" s="42">
        <f>IF(I290=0,0,ROUNDUP(I290*POWER(J290,D290),0))</f>
        <v/>
      </c>
      <c r="P290" s="40">
        <f>IF(N290=0,0,MAX(1,ROUNDUP(N290*(1-'参数与公式'!$B$17),0)))</f>
        <v/>
      </c>
      <c r="Q290" s="40">
        <f>IF(O290=0,0,MAX(1,ROUNDUP(O290*(1-'参数与公式'!$B$17),0)))</f>
        <v/>
      </c>
      <c r="R290" s="18" t="inlineStr">
        <is>
          <t>data/building_templates.yaml; max_level: gameplay/constants.py; formula: gameplay/models/manor.py</t>
        </is>
      </c>
    </row>
    <row r="291" ht="25" customHeight="1">
      <c r="A291" s="17" t="inlineStr">
        <is>
          <t>youxibaota</t>
        </is>
      </c>
      <c r="B291" s="18" t="inlineStr">
        <is>
          <t>悠嘻宝塔</t>
        </is>
      </c>
      <c r="C291" s="18" t="inlineStr">
        <is>
          <t>特殊建筑</t>
        </is>
      </c>
      <c r="D291" s="17" t="n">
        <v>3</v>
      </c>
      <c r="E291" s="24">
        <f>D291+1</f>
        <v/>
      </c>
      <c r="F291" s="38" t="n">
        <v>3107</v>
      </c>
      <c r="G291" s="39" t="n">
        <v>1.5</v>
      </c>
      <c r="H291" s="38" t="n">
        <v>20193</v>
      </c>
      <c r="I291" s="38" t="n">
        <v>4038</v>
      </c>
      <c r="J291" s="39" t="n">
        <v>1.7</v>
      </c>
      <c r="K291" s="42">
        <f>ROUNDUP(F291*POWER(G291,D291),0)</f>
        <v/>
      </c>
      <c r="L291" s="40">
        <f>MAX(1,ROUNDDOWN(K291/'参数与公式'!$B$5,0))</f>
        <v/>
      </c>
      <c r="M291" s="40">
        <f>MAX(1,ROUNDDOWN(K291*(1-'参数与公式'!$B$14)/'参数与公式'!$B$5,0))</f>
        <v/>
      </c>
      <c r="N291" s="42">
        <f>IF(H291=0,0,ROUNDUP(H291*POWER(J291,D291),0))</f>
        <v/>
      </c>
      <c r="O291" s="42">
        <f>IF(I291=0,0,ROUNDUP(I291*POWER(J291,D291),0))</f>
        <v/>
      </c>
      <c r="P291" s="40">
        <f>IF(N291=0,0,MAX(1,ROUNDUP(N291*(1-'参数与公式'!$B$17),0)))</f>
        <v/>
      </c>
      <c r="Q291" s="40">
        <f>IF(O291=0,0,MAX(1,ROUNDUP(O291*(1-'参数与公式'!$B$17),0)))</f>
        <v/>
      </c>
      <c r="R291" s="18" t="inlineStr">
        <is>
          <t>data/building_templates.yaml; max_level: gameplay/constants.py; formula: gameplay/models/manor.py</t>
        </is>
      </c>
    </row>
    <row r="292" ht="25" customHeight="1">
      <c r="A292" s="17" t="inlineStr">
        <is>
          <t>youxibaota</t>
        </is>
      </c>
      <c r="B292" s="18" t="inlineStr">
        <is>
          <t>悠嘻宝塔</t>
        </is>
      </c>
      <c r="C292" s="18" t="inlineStr">
        <is>
          <t>特殊建筑</t>
        </is>
      </c>
      <c r="D292" s="17" t="n">
        <v>4</v>
      </c>
      <c r="E292" s="24">
        <f>D292+1</f>
        <v/>
      </c>
      <c r="F292" s="38" t="n">
        <v>3107</v>
      </c>
      <c r="G292" s="39" t="n">
        <v>1.5</v>
      </c>
      <c r="H292" s="38" t="n">
        <v>20193</v>
      </c>
      <c r="I292" s="38" t="n">
        <v>4038</v>
      </c>
      <c r="J292" s="39" t="n">
        <v>1.7</v>
      </c>
      <c r="K292" s="42">
        <f>ROUNDUP(F292*POWER(G292,D292),0)</f>
        <v/>
      </c>
      <c r="L292" s="40">
        <f>MAX(1,ROUNDDOWN(K292/'参数与公式'!$B$5,0))</f>
        <v/>
      </c>
      <c r="M292" s="40">
        <f>MAX(1,ROUNDDOWN(K292*(1-'参数与公式'!$B$14)/'参数与公式'!$B$5,0))</f>
        <v/>
      </c>
      <c r="N292" s="42">
        <f>IF(H292=0,0,ROUNDUP(H292*POWER(J292,D292),0))</f>
        <v/>
      </c>
      <c r="O292" s="42">
        <f>IF(I292=0,0,ROUNDUP(I292*POWER(J292,D292),0))</f>
        <v/>
      </c>
      <c r="P292" s="40">
        <f>IF(N292=0,0,MAX(1,ROUNDUP(N292*(1-'参数与公式'!$B$17),0)))</f>
        <v/>
      </c>
      <c r="Q292" s="40">
        <f>IF(O292=0,0,MAX(1,ROUNDUP(O292*(1-'参数与公式'!$B$17),0)))</f>
        <v/>
      </c>
      <c r="R292" s="18" t="inlineStr">
        <is>
          <t>data/building_templates.yaml; max_level: gameplay/constants.py; formula: gameplay/models/manor.py</t>
        </is>
      </c>
    </row>
    <row r="293" ht="25" customHeight="1">
      <c r="A293" s="17" t="inlineStr">
        <is>
          <t>youxibaota</t>
        </is>
      </c>
      <c r="B293" s="18" t="inlineStr">
        <is>
          <t>悠嘻宝塔</t>
        </is>
      </c>
      <c r="C293" s="18" t="inlineStr">
        <is>
          <t>特殊建筑</t>
        </is>
      </c>
      <c r="D293" s="17" t="n">
        <v>5</v>
      </c>
      <c r="E293" s="24">
        <f>D293+1</f>
        <v/>
      </c>
      <c r="F293" s="38" t="n">
        <v>3107</v>
      </c>
      <c r="G293" s="39" t="n">
        <v>1.5</v>
      </c>
      <c r="H293" s="38" t="n">
        <v>20193</v>
      </c>
      <c r="I293" s="38" t="n">
        <v>4038</v>
      </c>
      <c r="J293" s="39" t="n">
        <v>1.7</v>
      </c>
      <c r="K293" s="42">
        <f>ROUNDUP(F293*POWER(G293,D293),0)</f>
        <v/>
      </c>
      <c r="L293" s="40">
        <f>MAX(1,ROUNDDOWN(K293/'参数与公式'!$B$5,0))</f>
        <v/>
      </c>
      <c r="M293" s="40">
        <f>MAX(1,ROUNDDOWN(K293*(1-'参数与公式'!$B$14)/'参数与公式'!$B$5,0))</f>
        <v/>
      </c>
      <c r="N293" s="42">
        <f>IF(H293=0,0,ROUNDUP(H293*POWER(J293,D293),0))</f>
        <v/>
      </c>
      <c r="O293" s="42">
        <f>IF(I293=0,0,ROUNDUP(I293*POWER(J293,D293),0))</f>
        <v/>
      </c>
      <c r="P293" s="40">
        <f>IF(N293=0,0,MAX(1,ROUNDUP(N293*(1-'参数与公式'!$B$17),0)))</f>
        <v/>
      </c>
      <c r="Q293" s="40">
        <f>IF(O293=0,0,MAX(1,ROUNDUP(O293*(1-'参数与公式'!$B$17),0)))</f>
        <v/>
      </c>
      <c r="R293" s="18" t="inlineStr">
        <is>
          <t>data/building_templates.yaml; max_level: gameplay/constants.py; formula: gameplay/models/manor.py</t>
        </is>
      </c>
    </row>
    <row r="294" ht="25" customHeight="1">
      <c r="A294" s="17" t="inlineStr">
        <is>
          <t>youxibaota</t>
        </is>
      </c>
      <c r="B294" s="18" t="inlineStr">
        <is>
          <t>悠嘻宝塔</t>
        </is>
      </c>
      <c r="C294" s="18" t="inlineStr">
        <is>
          <t>特殊建筑</t>
        </is>
      </c>
      <c r="D294" s="17" t="n">
        <v>6</v>
      </c>
      <c r="E294" s="24">
        <f>D294+1</f>
        <v/>
      </c>
      <c r="F294" s="38" t="n">
        <v>3107</v>
      </c>
      <c r="G294" s="39" t="n">
        <v>1.5</v>
      </c>
      <c r="H294" s="38" t="n">
        <v>20193</v>
      </c>
      <c r="I294" s="38" t="n">
        <v>4038</v>
      </c>
      <c r="J294" s="39" t="n">
        <v>1.7</v>
      </c>
      <c r="K294" s="42">
        <f>ROUNDUP(F294*POWER(G294,D294),0)</f>
        <v/>
      </c>
      <c r="L294" s="40">
        <f>MAX(1,ROUNDDOWN(K294/'参数与公式'!$B$5,0))</f>
        <v/>
      </c>
      <c r="M294" s="40">
        <f>MAX(1,ROUNDDOWN(K294*(1-'参数与公式'!$B$14)/'参数与公式'!$B$5,0))</f>
        <v/>
      </c>
      <c r="N294" s="42">
        <f>IF(H294=0,0,ROUNDUP(H294*POWER(J294,D294),0))</f>
        <v/>
      </c>
      <c r="O294" s="42">
        <f>IF(I294=0,0,ROUNDUP(I294*POWER(J294,D294),0))</f>
        <v/>
      </c>
      <c r="P294" s="40">
        <f>IF(N294=0,0,MAX(1,ROUNDUP(N294*(1-'参数与公式'!$B$17),0)))</f>
        <v/>
      </c>
      <c r="Q294" s="40">
        <f>IF(O294=0,0,MAX(1,ROUNDUP(O294*(1-'参数与公式'!$B$17),0)))</f>
        <v/>
      </c>
      <c r="R294" s="18" t="inlineStr">
        <is>
          <t>data/building_templates.yaml; max_level: gameplay/constants.py; formula: gameplay/models/manor.py</t>
        </is>
      </c>
    </row>
    <row r="295" ht="25" customHeight="1">
      <c r="A295" s="17" t="inlineStr">
        <is>
          <t>youxibaota</t>
        </is>
      </c>
      <c r="B295" s="18" t="inlineStr">
        <is>
          <t>悠嘻宝塔</t>
        </is>
      </c>
      <c r="C295" s="18" t="inlineStr">
        <is>
          <t>特殊建筑</t>
        </is>
      </c>
      <c r="D295" s="17" t="n">
        <v>7</v>
      </c>
      <c r="E295" s="24">
        <f>D295+1</f>
        <v/>
      </c>
      <c r="F295" s="38" t="n">
        <v>3107</v>
      </c>
      <c r="G295" s="39" t="n">
        <v>1.5</v>
      </c>
      <c r="H295" s="38" t="n">
        <v>20193</v>
      </c>
      <c r="I295" s="38" t="n">
        <v>4038</v>
      </c>
      <c r="J295" s="39" t="n">
        <v>1.7</v>
      </c>
      <c r="K295" s="42">
        <f>ROUNDUP(F295*POWER(G295,D295),0)</f>
        <v/>
      </c>
      <c r="L295" s="40">
        <f>MAX(1,ROUNDDOWN(K295/'参数与公式'!$B$5,0))</f>
        <v/>
      </c>
      <c r="M295" s="40">
        <f>MAX(1,ROUNDDOWN(K295*(1-'参数与公式'!$B$14)/'参数与公式'!$B$5,0))</f>
        <v/>
      </c>
      <c r="N295" s="42">
        <f>IF(H295=0,0,ROUNDUP(H295*POWER(J295,D295),0))</f>
        <v/>
      </c>
      <c r="O295" s="42">
        <f>IF(I295=0,0,ROUNDUP(I295*POWER(J295,D295),0))</f>
        <v/>
      </c>
      <c r="P295" s="40">
        <f>IF(N295=0,0,MAX(1,ROUNDUP(N295*(1-'参数与公式'!$B$17),0)))</f>
        <v/>
      </c>
      <c r="Q295" s="40">
        <f>IF(O295=0,0,MAX(1,ROUNDUP(O295*(1-'参数与公式'!$B$17),0)))</f>
        <v/>
      </c>
      <c r="R295" s="18" t="inlineStr">
        <is>
          <t>data/building_templates.yaml; max_level: gameplay/constants.py; formula: gameplay/models/manor.py</t>
        </is>
      </c>
    </row>
    <row r="296" ht="25" customHeight="1">
      <c r="A296" s="17" t="inlineStr">
        <is>
          <t>youxibaota</t>
        </is>
      </c>
      <c r="B296" s="18" t="inlineStr">
        <is>
          <t>悠嘻宝塔</t>
        </is>
      </c>
      <c r="C296" s="18" t="inlineStr">
        <is>
          <t>特殊建筑</t>
        </is>
      </c>
      <c r="D296" s="17" t="n">
        <v>8</v>
      </c>
      <c r="E296" s="24">
        <f>D296+1</f>
        <v/>
      </c>
      <c r="F296" s="38" t="n">
        <v>3107</v>
      </c>
      <c r="G296" s="39" t="n">
        <v>1.5</v>
      </c>
      <c r="H296" s="38" t="n">
        <v>20193</v>
      </c>
      <c r="I296" s="38" t="n">
        <v>4038</v>
      </c>
      <c r="J296" s="39" t="n">
        <v>1.7</v>
      </c>
      <c r="K296" s="42">
        <f>ROUNDUP(F296*POWER(G296,D296),0)</f>
        <v/>
      </c>
      <c r="L296" s="40">
        <f>MAX(1,ROUNDDOWN(K296/'参数与公式'!$B$5,0))</f>
        <v/>
      </c>
      <c r="M296" s="40">
        <f>MAX(1,ROUNDDOWN(K296*(1-'参数与公式'!$B$14)/'参数与公式'!$B$5,0))</f>
        <v/>
      </c>
      <c r="N296" s="42">
        <f>IF(H296=0,0,ROUNDUP(H296*POWER(J296,D296),0))</f>
        <v/>
      </c>
      <c r="O296" s="42">
        <f>IF(I296=0,0,ROUNDUP(I296*POWER(J296,D296),0))</f>
        <v/>
      </c>
      <c r="P296" s="40">
        <f>IF(N296=0,0,MAX(1,ROUNDUP(N296*(1-'参数与公式'!$B$17),0)))</f>
        <v/>
      </c>
      <c r="Q296" s="40">
        <f>IF(O296=0,0,MAX(1,ROUNDUP(O296*(1-'参数与公式'!$B$17),0)))</f>
        <v/>
      </c>
      <c r="R296" s="18" t="inlineStr">
        <is>
          <t>data/building_templates.yaml; max_level: gameplay/constants.py; formula: gameplay/models/manor.py</t>
        </is>
      </c>
    </row>
    <row r="297" ht="25" customHeight="1">
      <c r="A297" s="17" t="inlineStr">
        <is>
          <t>youxibaota</t>
        </is>
      </c>
      <c r="B297" s="18" t="inlineStr">
        <is>
          <t>悠嘻宝塔</t>
        </is>
      </c>
      <c r="C297" s="18" t="inlineStr">
        <is>
          <t>特殊建筑</t>
        </is>
      </c>
      <c r="D297" s="17" t="n">
        <v>9</v>
      </c>
      <c r="E297" s="24">
        <f>D297+1</f>
        <v/>
      </c>
      <c r="F297" s="38" t="n">
        <v>3107</v>
      </c>
      <c r="G297" s="39" t="n">
        <v>1.5</v>
      </c>
      <c r="H297" s="38" t="n">
        <v>20193</v>
      </c>
      <c r="I297" s="38" t="n">
        <v>4038</v>
      </c>
      <c r="J297" s="39" t="n">
        <v>1.7</v>
      </c>
      <c r="K297" s="42">
        <f>ROUNDUP(F297*POWER(G297,D297),0)</f>
        <v/>
      </c>
      <c r="L297" s="40">
        <f>MAX(1,ROUNDDOWN(K297/'参数与公式'!$B$5,0))</f>
        <v/>
      </c>
      <c r="M297" s="40">
        <f>MAX(1,ROUNDDOWN(K297*(1-'参数与公式'!$B$14)/'参数与公式'!$B$5,0))</f>
        <v/>
      </c>
      <c r="N297" s="42">
        <f>IF(H297=0,0,ROUNDUP(H297*POWER(J297,D297),0))</f>
        <v/>
      </c>
      <c r="O297" s="42">
        <f>IF(I297=0,0,ROUNDUP(I297*POWER(J297,D297),0))</f>
        <v/>
      </c>
      <c r="P297" s="40">
        <f>IF(N297=0,0,MAX(1,ROUNDUP(N297*(1-'参数与公式'!$B$17),0)))</f>
        <v/>
      </c>
      <c r="Q297" s="40">
        <f>IF(O297=0,0,MAX(1,ROUNDUP(O297*(1-'参数与公式'!$B$17),0)))</f>
        <v/>
      </c>
      <c r="R297" s="18" t="inlineStr">
        <is>
          <t>data/building_templates.yaml; max_level: gameplay/constants.py; formula: gameplay/models/manor.py</t>
        </is>
      </c>
    </row>
    <row r="298" ht="25" customHeight="1">
      <c r="A298" s="17" t="inlineStr">
        <is>
          <t>youxibaota</t>
        </is>
      </c>
      <c r="B298" s="18" t="inlineStr">
        <is>
          <t>悠嘻宝塔</t>
        </is>
      </c>
      <c r="C298" s="18" t="inlineStr">
        <is>
          <t>特殊建筑</t>
        </is>
      </c>
      <c r="D298" s="17" t="n">
        <v>10</v>
      </c>
      <c r="E298" s="24">
        <f>D298+1</f>
        <v/>
      </c>
      <c r="F298" s="38" t="n">
        <v>3107</v>
      </c>
      <c r="G298" s="39" t="n">
        <v>1.5</v>
      </c>
      <c r="H298" s="38" t="n">
        <v>20193</v>
      </c>
      <c r="I298" s="38" t="n">
        <v>4038</v>
      </c>
      <c r="J298" s="39" t="n">
        <v>1.7</v>
      </c>
      <c r="K298" s="42">
        <f>ROUNDUP(F298*POWER(G298,D298),0)</f>
        <v/>
      </c>
      <c r="L298" s="40">
        <f>MAX(1,ROUNDDOWN(K298/'参数与公式'!$B$5,0))</f>
        <v/>
      </c>
      <c r="M298" s="40">
        <f>MAX(1,ROUNDDOWN(K298*(1-'参数与公式'!$B$14)/'参数与公式'!$B$5,0))</f>
        <v/>
      </c>
      <c r="N298" s="42">
        <f>IF(H298=0,0,ROUNDUP(H298*POWER(J298,D298),0))</f>
        <v/>
      </c>
      <c r="O298" s="42">
        <f>IF(I298=0,0,ROUNDUP(I298*POWER(J298,D298),0))</f>
        <v/>
      </c>
      <c r="P298" s="40">
        <f>IF(N298=0,0,MAX(1,ROUNDUP(N298*(1-'参数与公式'!$B$17),0)))</f>
        <v/>
      </c>
      <c r="Q298" s="40">
        <f>IF(O298=0,0,MAX(1,ROUNDUP(O298*(1-'参数与公式'!$B$17),0)))</f>
        <v/>
      </c>
      <c r="R298" s="18" t="inlineStr">
        <is>
          <t>data/building_templates.yaml; max_level: gameplay/constants.py; formula: gameplay/models/manor.py</t>
        </is>
      </c>
    </row>
    <row r="299" ht="25" customHeight="1">
      <c r="A299" s="17" t="inlineStr">
        <is>
          <t>youxibaota</t>
        </is>
      </c>
      <c r="B299" s="18" t="inlineStr">
        <is>
          <t>悠嘻宝塔</t>
        </is>
      </c>
      <c r="C299" s="18" t="inlineStr">
        <is>
          <t>特殊建筑</t>
        </is>
      </c>
      <c r="D299" s="17" t="n">
        <v>11</v>
      </c>
      <c r="E299" s="24">
        <f>D299+1</f>
        <v/>
      </c>
      <c r="F299" s="38" t="n">
        <v>3107</v>
      </c>
      <c r="G299" s="39" t="n">
        <v>1.5</v>
      </c>
      <c r="H299" s="38" t="n">
        <v>20193</v>
      </c>
      <c r="I299" s="38" t="n">
        <v>4038</v>
      </c>
      <c r="J299" s="39" t="n">
        <v>1.7</v>
      </c>
      <c r="K299" s="42">
        <f>ROUNDUP(F299*POWER(G299,D299),0)</f>
        <v/>
      </c>
      <c r="L299" s="40">
        <f>MAX(1,ROUNDDOWN(K299/'参数与公式'!$B$5,0))</f>
        <v/>
      </c>
      <c r="M299" s="40">
        <f>MAX(1,ROUNDDOWN(K299*(1-'参数与公式'!$B$14)/'参数与公式'!$B$5,0))</f>
        <v/>
      </c>
      <c r="N299" s="42">
        <f>IF(H299=0,0,ROUNDUP(H299*POWER(J299,D299),0))</f>
        <v/>
      </c>
      <c r="O299" s="42">
        <f>IF(I299=0,0,ROUNDUP(I299*POWER(J299,D299),0))</f>
        <v/>
      </c>
      <c r="P299" s="40">
        <f>IF(N299=0,0,MAX(1,ROUNDUP(N299*(1-'参数与公式'!$B$17),0)))</f>
        <v/>
      </c>
      <c r="Q299" s="40">
        <f>IF(O299=0,0,MAX(1,ROUNDUP(O299*(1-'参数与公式'!$B$17),0)))</f>
        <v/>
      </c>
      <c r="R299" s="18" t="inlineStr">
        <is>
          <t>data/building_templates.yaml; max_level: gameplay/constants.py; formula: gameplay/models/manor.py</t>
        </is>
      </c>
    </row>
    <row r="300" ht="25" customHeight="1">
      <c r="A300" s="17" t="inlineStr">
        <is>
          <t>youxibaota</t>
        </is>
      </c>
      <c r="B300" s="18" t="inlineStr">
        <is>
          <t>悠嘻宝塔</t>
        </is>
      </c>
      <c r="C300" s="18" t="inlineStr">
        <is>
          <t>特殊建筑</t>
        </is>
      </c>
      <c r="D300" s="17" t="n">
        <v>12</v>
      </c>
      <c r="E300" s="24">
        <f>D300+1</f>
        <v/>
      </c>
      <c r="F300" s="38" t="n">
        <v>3107</v>
      </c>
      <c r="G300" s="39" t="n">
        <v>1.5</v>
      </c>
      <c r="H300" s="38" t="n">
        <v>20193</v>
      </c>
      <c r="I300" s="38" t="n">
        <v>4038</v>
      </c>
      <c r="J300" s="39" t="n">
        <v>1.7</v>
      </c>
      <c r="K300" s="42">
        <f>ROUNDUP(F300*POWER(G300,D300),0)</f>
        <v/>
      </c>
      <c r="L300" s="40">
        <f>MAX(1,ROUNDDOWN(K300/'参数与公式'!$B$5,0))</f>
        <v/>
      </c>
      <c r="M300" s="40">
        <f>MAX(1,ROUNDDOWN(K300*(1-'参数与公式'!$B$14)/'参数与公式'!$B$5,0))</f>
        <v/>
      </c>
      <c r="N300" s="42">
        <f>IF(H300=0,0,ROUNDUP(H300*POWER(J300,D300),0))</f>
        <v/>
      </c>
      <c r="O300" s="42">
        <f>IF(I300=0,0,ROUNDUP(I300*POWER(J300,D300),0))</f>
        <v/>
      </c>
      <c r="P300" s="40">
        <f>IF(N300=0,0,MAX(1,ROUNDUP(N300*(1-'参数与公式'!$B$17),0)))</f>
        <v/>
      </c>
      <c r="Q300" s="40">
        <f>IF(O300=0,0,MAX(1,ROUNDUP(O300*(1-'参数与公式'!$B$17),0)))</f>
        <v/>
      </c>
      <c r="R300" s="18" t="inlineStr">
        <is>
          <t>data/building_templates.yaml; max_level: gameplay/constants.py; formula: gameplay/models/manor.py</t>
        </is>
      </c>
    </row>
    <row r="301" ht="25" customHeight="1">
      <c r="A301" s="17" t="inlineStr">
        <is>
          <t>youxibaota</t>
        </is>
      </c>
      <c r="B301" s="18" t="inlineStr">
        <is>
          <t>悠嘻宝塔</t>
        </is>
      </c>
      <c r="C301" s="18" t="inlineStr">
        <is>
          <t>特殊建筑</t>
        </is>
      </c>
      <c r="D301" s="17" t="n">
        <v>13</v>
      </c>
      <c r="E301" s="24">
        <f>D301+1</f>
        <v/>
      </c>
      <c r="F301" s="38" t="n">
        <v>3107</v>
      </c>
      <c r="G301" s="39" t="n">
        <v>1.5</v>
      </c>
      <c r="H301" s="38" t="n">
        <v>20193</v>
      </c>
      <c r="I301" s="38" t="n">
        <v>4038</v>
      </c>
      <c r="J301" s="39" t="n">
        <v>1.7</v>
      </c>
      <c r="K301" s="42">
        <f>ROUNDUP(F301*POWER(G301,D301),0)</f>
        <v/>
      </c>
      <c r="L301" s="40">
        <f>MAX(1,ROUNDDOWN(K301/'参数与公式'!$B$5,0))</f>
        <v/>
      </c>
      <c r="M301" s="40">
        <f>MAX(1,ROUNDDOWN(K301*(1-'参数与公式'!$B$14)/'参数与公式'!$B$5,0))</f>
        <v/>
      </c>
      <c r="N301" s="42">
        <f>IF(H301=0,0,ROUNDUP(H301*POWER(J301,D301),0))</f>
        <v/>
      </c>
      <c r="O301" s="42">
        <f>IF(I301=0,0,ROUNDUP(I301*POWER(J301,D301),0))</f>
        <v/>
      </c>
      <c r="P301" s="40">
        <f>IF(N301=0,0,MAX(1,ROUNDUP(N301*(1-'参数与公式'!$B$17),0)))</f>
        <v/>
      </c>
      <c r="Q301" s="40">
        <f>IF(O301=0,0,MAX(1,ROUNDUP(O301*(1-'参数与公式'!$B$17),0)))</f>
        <v/>
      </c>
      <c r="R301" s="18" t="inlineStr">
        <is>
          <t>data/building_templates.yaml; max_level: gameplay/constants.py; formula: gameplay/models/manor.py</t>
        </is>
      </c>
    </row>
    <row r="302" ht="25" customHeight="1">
      <c r="A302" s="17" t="inlineStr">
        <is>
          <t>youxibaota</t>
        </is>
      </c>
      <c r="B302" s="18" t="inlineStr">
        <is>
          <t>悠嘻宝塔</t>
        </is>
      </c>
      <c r="C302" s="18" t="inlineStr">
        <is>
          <t>特殊建筑</t>
        </is>
      </c>
      <c r="D302" s="17" t="n">
        <v>14</v>
      </c>
      <c r="E302" s="24">
        <f>D302+1</f>
        <v/>
      </c>
      <c r="F302" s="38" t="n">
        <v>3107</v>
      </c>
      <c r="G302" s="39" t="n">
        <v>1.5</v>
      </c>
      <c r="H302" s="38" t="n">
        <v>20193</v>
      </c>
      <c r="I302" s="38" t="n">
        <v>4038</v>
      </c>
      <c r="J302" s="39" t="n">
        <v>1.7</v>
      </c>
      <c r="K302" s="42">
        <f>ROUNDUP(F302*POWER(G302,D302),0)</f>
        <v/>
      </c>
      <c r="L302" s="40">
        <f>MAX(1,ROUNDDOWN(K302/'参数与公式'!$B$5,0))</f>
        <v/>
      </c>
      <c r="M302" s="40">
        <f>MAX(1,ROUNDDOWN(K302*(1-'参数与公式'!$B$14)/'参数与公式'!$B$5,0))</f>
        <v/>
      </c>
      <c r="N302" s="42">
        <f>IF(H302=0,0,ROUNDUP(H302*POWER(J302,D302),0))</f>
        <v/>
      </c>
      <c r="O302" s="42">
        <f>IF(I302=0,0,ROUNDUP(I302*POWER(J302,D302),0))</f>
        <v/>
      </c>
      <c r="P302" s="40">
        <f>IF(N302=0,0,MAX(1,ROUNDUP(N302*(1-'参数与公式'!$B$17),0)))</f>
        <v/>
      </c>
      <c r="Q302" s="40">
        <f>IF(O302=0,0,MAX(1,ROUNDUP(O302*(1-'参数与公式'!$B$17),0)))</f>
        <v/>
      </c>
      <c r="R302" s="18" t="inlineStr">
        <is>
          <t>data/building_templates.yaml; max_level: gameplay/constants.py; formula: gameplay/models/manor.py</t>
        </is>
      </c>
    </row>
    <row r="303" ht="25" customHeight="1">
      <c r="A303" s="17" t="inlineStr">
        <is>
          <t>jail</t>
        </is>
      </c>
      <c r="B303" s="18" t="inlineStr">
        <is>
          <t>监牢</t>
        </is>
      </c>
      <c r="C303" s="18" t="inlineStr">
        <is>
          <t>特殊建筑</t>
        </is>
      </c>
      <c r="D303" s="17" t="n">
        <v>1</v>
      </c>
      <c r="E303" s="24">
        <f>D303+1</f>
        <v/>
      </c>
      <c r="F303" s="38" t="n">
        <v>600</v>
      </c>
      <c r="G303" s="39" t="n">
        <v>1.35</v>
      </c>
      <c r="H303" s="38" t="n">
        <v>1200</v>
      </c>
      <c r="I303" s="38" t="n">
        <v>800</v>
      </c>
      <c r="J303" s="39" t="n">
        <v>1.4</v>
      </c>
      <c r="K303" s="42">
        <f>ROUNDUP(F303*POWER(G303,D303),0)</f>
        <v/>
      </c>
      <c r="L303" s="40">
        <f>MAX(1,ROUNDDOWN(K303/'参数与公式'!$B$5,0))</f>
        <v/>
      </c>
      <c r="M303" s="40">
        <f>MAX(1,ROUNDDOWN(K303*(1-'参数与公式'!$B$14)/'参数与公式'!$B$5,0))</f>
        <v/>
      </c>
      <c r="N303" s="42">
        <f>IF(H303=0,0,ROUNDUP(H303*POWER(J303,D303),0))</f>
        <v/>
      </c>
      <c r="O303" s="42">
        <f>IF(I303=0,0,ROUNDUP(I303*POWER(J303,D303),0))</f>
        <v/>
      </c>
      <c r="P303" s="40">
        <f>IF(N303=0,0,MAX(1,ROUNDUP(N303*(1-'参数与公式'!$B$17),0)))</f>
        <v/>
      </c>
      <c r="Q303" s="40">
        <f>IF(O303=0,0,MAX(1,ROUNDUP(O303*(1-'参数与公式'!$B$17),0)))</f>
        <v/>
      </c>
      <c r="R303" s="18" t="inlineStr">
        <is>
          <t>data/building_templates.yaml; max_level: gameplay/constants.py; formula: gameplay/models/manor.py</t>
        </is>
      </c>
    </row>
    <row r="304" ht="25" customHeight="1">
      <c r="A304" s="17" t="inlineStr">
        <is>
          <t>jail</t>
        </is>
      </c>
      <c r="B304" s="18" t="inlineStr">
        <is>
          <t>监牢</t>
        </is>
      </c>
      <c r="C304" s="18" t="inlineStr">
        <is>
          <t>特殊建筑</t>
        </is>
      </c>
      <c r="D304" s="17" t="n">
        <v>2</v>
      </c>
      <c r="E304" s="24">
        <f>D304+1</f>
        <v/>
      </c>
      <c r="F304" s="38" t="n">
        <v>600</v>
      </c>
      <c r="G304" s="39" t="n">
        <v>1.35</v>
      </c>
      <c r="H304" s="38" t="n">
        <v>1200</v>
      </c>
      <c r="I304" s="38" t="n">
        <v>800</v>
      </c>
      <c r="J304" s="39" t="n">
        <v>1.4</v>
      </c>
      <c r="K304" s="42">
        <f>ROUNDUP(F304*POWER(G304,D304),0)</f>
        <v/>
      </c>
      <c r="L304" s="40">
        <f>MAX(1,ROUNDDOWN(K304/'参数与公式'!$B$5,0))</f>
        <v/>
      </c>
      <c r="M304" s="40">
        <f>MAX(1,ROUNDDOWN(K304*(1-'参数与公式'!$B$14)/'参数与公式'!$B$5,0))</f>
        <v/>
      </c>
      <c r="N304" s="42">
        <f>IF(H304=0,0,ROUNDUP(H304*POWER(J304,D304),0))</f>
        <v/>
      </c>
      <c r="O304" s="42">
        <f>IF(I304=0,0,ROUNDUP(I304*POWER(J304,D304),0))</f>
        <v/>
      </c>
      <c r="P304" s="40">
        <f>IF(N304=0,0,MAX(1,ROUNDUP(N304*(1-'参数与公式'!$B$17),0)))</f>
        <v/>
      </c>
      <c r="Q304" s="40">
        <f>IF(O304=0,0,MAX(1,ROUNDUP(O304*(1-'参数与公式'!$B$17),0)))</f>
        <v/>
      </c>
      <c r="R304" s="18" t="inlineStr">
        <is>
          <t>data/building_templates.yaml; max_level: gameplay/constants.py; formula: gameplay/models/manor.py</t>
        </is>
      </c>
    </row>
    <row r="305" ht="25" customHeight="1">
      <c r="A305" s="17" t="inlineStr">
        <is>
          <t>jail</t>
        </is>
      </c>
      <c r="B305" s="18" t="inlineStr">
        <is>
          <t>监牢</t>
        </is>
      </c>
      <c r="C305" s="18" t="inlineStr">
        <is>
          <t>特殊建筑</t>
        </is>
      </c>
      <c r="D305" s="17" t="n">
        <v>3</v>
      </c>
      <c r="E305" s="24">
        <f>D305+1</f>
        <v/>
      </c>
      <c r="F305" s="38" t="n">
        <v>600</v>
      </c>
      <c r="G305" s="39" t="n">
        <v>1.35</v>
      </c>
      <c r="H305" s="38" t="n">
        <v>1200</v>
      </c>
      <c r="I305" s="38" t="n">
        <v>800</v>
      </c>
      <c r="J305" s="39" t="n">
        <v>1.4</v>
      </c>
      <c r="K305" s="42">
        <f>ROUNDUP(F305*POWER(G305,D305),0)</f>
        <v/>
      </c>
      <c r="L305" s="40">
        <f>MAX(1,ROUNDDOWN(K305/'参数与公式'!$B$5,0))</f>
        <v/>
      </c>
      <c r="M305" s="40">
        <f>MAX(1,ROUNDDOWN(K305*(1-'参数与公式'!$B$14)/'参数与公式'!$B$5,0))</f>
        <v/>
      </c>
      <c r="N305" s="42">
        <f>IF(H305=0,0,ROUNDUP(H305*POWER(J305,D305),0))</f>
        <v/>
      </c>
      <c r="O305" s="42">
        <f>IF(I305=0,0,ROUNDUP(I305*POWER(J305,D305),0))</f>
        <v/>
      </c>
      <c r="P305" s="40">
        <f>IF(N305=0,0,MAX(1,ROUNDUP(N305*(1-'参数与公式'!$B$17),0)))</f>
        <v/>
      </c>
      <c r="Q305" s="40">
        <f>IF(O305=0,0,MAX(1,ROUNDUP(O305*(1-'参数与公式'!$B$17),0)))</f>
        <v/>
      </c>
      <c r="R305" s="18" t="inlineStr">
        <is>
          <t>data/building_templates.yaml; max_level: gameplay/constants.py; formula: gameplay/models/manor.py</t>
        </is>
      </c>
    </row>
    <row r="306" ht="25" customHeight="1">
      <c r="A306" s="17" t="inlineStr">
        <is>
          <t>jail</t>
        </is>
      </c>
      <c r="B306" s="18" t="inlineStr">
        <is>
          <t>监牢</t>
        </is>
      </c>
      <c r="C306" s="18" t="inlineStr">
        <is>
          <t>特殊建筑</t>
        </is>
      </c>
      <c r="D306" s="17" t="n">
        <v>4</v>
      </c>
      <c r="E306" s="24">
        <f>D306+1</f>
        <v/>
      </c>
      <c r="F306" s="38" t="n">
        <v>600</v>
      </c>
      <c r="G306" s="39" t="n">
        <v>1.35</v>
      </c>
      <c r="H306" s="38" t="n">
        <v>1200</v>
      </c>
      <c r="I306" s="38" t="n">
        <v>800</v>
      </c>
      <c r="J306" s="39" t="n">
        <v>1.4</v>
      </c>
      <c r="K306" s="42">
        <f>ROUNDUP(F306*POWER(G306,D306),0)</f>
        <v/>
      </c>
      <c r="L306" s="40">
        <f>MAX(1,ROUNDDOWN(K306/'参数与公式'!$B$5,0))</f>
        <v/>
      </c>
      <c r="M306" s="40">
        <f>MAX(1,ROUNDDOWN(K306*(1-'参数与公式'!$B$14)/'参数与公式'!$B$5,0))</f>
        <v/>
      </c>
      <c r="N306" s="42">
        <f>IF(H306=0,0,ROUNDUP(H306*POWER(J306,D306),0))</f>
        <v/>
      </c>
      <c r="O306" s="42">
        <f>IF(I306=0,0,ROUNDUP(I306*POWER(J306,D306),0))</f>
        <v/>
      </c>
      <c r="P306" s="40">
        <f>IF(N306=0,0,MAX(1,ROUNDUP(N306*(1-'参数与公式'!$B$17),0)))</f>
        <v/>
      </c>
      <c r="Q306" s="40">
        <f>IF(O306=0,0,MAX(1,ROUNDUP(O306*(1-'参数与公式'!$B$17),0)))</f>
        <v/>
      </c>
      <c r="R306" s="18" t="inlineStr">
        <is>
          <t>data/building_templates.yaml; max_level: gameplay/constants.py; formula: gameplay/models/manor.py</t>
        </is>
      </c>
    </row>
    <row r="307" ht="25" customHeight="1">
      <c r="A307" s="17" t="inlineStr">
        <is>
          <t>oath_grove</t>
        </is>
      </c>
      <c r="B307" s="18" t="inlineStr">
        <is>
          <t>结义林</t>
        </is>
      </c>
      <c r="C307" s="18" t="inlineStr">
        <is>
          <t>特殊建筑</t>
        </is>
      </c>
      <c r="D307" s="17" t="n">
        <v>1</v>
      </c>
      <c r="E307" s="24">
        <f>D307+1</f>
        <v/>
      </c>
      <c r="F307" s="38" t="n">
        <v>600</v>
      </c>
      <c r="G307" s="39" t="n">
        <v>1.35</v>
      </c>
      <c r="H307" s="38" t="n">
        <v>1200</v>
      </c>
      <c r="I307" s="38" t="n">
        <v>800</v>
      </c>
      <c r="J307" s="39" t="n">
        <v>1.4</v>
      </c>
      <c r="K307" s="42">
        <f>ROUNDUP(F307*POWER(G307,D307),0)</f>
        <v/>
      </c>
      <c r="L307" s="40">
        <f>MAX(1,ROUNDDOWN(K307/'参数与公式'!$B$5,0))</f>
        <v/>
      </c>
      <c r="M307" s="40">
        <f>MAX(1,ROUNDDOWN(K307*(1-'参数与公式'!$B$14)/'参数与公式'!$B$5,0))</f>
        <v/>
      </c>
      <c r="N307" s="42">
        <f>IF(H307=0,0,ROUNDUP(H307*POWER(J307,D307),0))</f>
        <v/>
      </c>
      <c r="O307" s="42">
        <f>IF(I307=0,0,ROUNDUP(I307*POWER(J307,D307),0))</f>
        <v/>
      </c>
      <c r="P307" s="40">
        <f>IF(N307=0,0,MAX(1,ROUNDUP(N307*(1-'参数与公式'!$B$17),0)))</f>
        <v/>
      </c>
      <c r="Q307" s="40">
        <f>IF(O307=0,0,MAX(1,ROUNDUP(O307*(1-'参数与公式'!$B$17),0)))</f>
        <v/>
      </c>
      <c r="R307" s="18" t="inlineStr">
        <is>
          <t>data/building_templates.yaml; max_level: gameplay/constants.py; formula: gameplay/models/manor.py</t>
        </is>
      </c>
    </row>
    <row r="308" ht="25" customHeight="1">
      <c r="A308" s="17" t="inlineStr">
        <is>
          <t>oath_grove</t>
        </is>
      </c>
      <c r="B308" s="18" t="inlineStr">
        <is>
          <t>结义林</t>
        </is>
      </c>
      <c r="C308" s="18" t="inlineStr">
        <is>
          <t>特殊建筑</t>
        </is>
      </c>
      <c r="D308" s="17" t="n">
        <v>2</v>
      </c>
      <c r="E308" s="24">
        <f>D308+1</f>
        <v/>
      </c>
      <c r="F308" s="38" t="n">
        <v>600</v>
      </c>
      <c r="G308" s="39" t="n">
        <v>1.35</v>
      </c>
      <c r="H308" s="38" t="n">
        <v>1200</v>
      </c>
      <c r="I308" s="38" t="n">
        <v>800</v>
      </c>
      <c r="J308" s="39" t="n">
        <v>1.4</v>
      </c>
      <c r="K308" s="42">
        <f>ROUNDUP(F308*POWER(G308,D308),0)</f>
        <v/>
      </c>
      <c r="L308" s="40">
        <f>MAX(1,ROUNDDOWN(K308/'参数与公式'!$B$5,0))</f>
        <v/>
      </c>
      <c r="M308" s="40">
        <f>MAX(1,ROUNDDOWN(K308*(1-'参数与公式'!$B$14)/'参数与公式'!$B$5,0))</f>
        <v/>
      </c>
      <c r="N308" s="42">
        <f>IF(H308=0,0,ROUNDUP(H308*POWER(J308,D308),0))</f>
        <v/>
      </c>
      <c r="O308" s="42">
        <f>IF(I308=0,0,ROUNDUP(I308*POWER(J308,D308),0))</f>
        <v/>
      </c>
      <c r="P308" s="40">
        <f>IF(N308=0,0,MAX(1,ROUNDUP(N308*(1-'参数与公式'!$B$17),0)))</f>
        <v/>
      </c>
      <c r="Q308" s="40">
        <f>IF(O308=0,0,MAX(1,ROUNDUP(O308*(1-'参数与公式'!$B$17),0)))</f>
        <v/>
      </c>
      <c r="R308" s="18" t="inlineStr">
        <is>
          <t>data/building_templates.yaml; max_level: gameplay/constants.py; formula: gameplay/models/manor.py</t>
        </is>
      </c>
    </row>
    <row r="309" ht="25" customHeight="1">
      <c r="A309" s="17" t="inlineStr">
        <is>
          <t>oath_grove</t>
        </is>
      </c>
      <c r="B309" s="18" t="inlineStr">
        <is>
          <t>结义林</t>
        </is>
      </c>
      <c r="C309" s="18" t="inlineStr">
        <is>
          <t>特殊建筑</t>
        </is>
      </c>
      <c r="D309" s="17" t="n">
        <v>3</v>
      </c>
      <c r="E309" s="24">
        <f>D309+1</f>
        <v/>
      </c>
      <c r="F309" s="38" t="n">
        <v>600</v>
      </c>
      <c r="G309" s="39" t="n">
        <v>1.35</v>
      </c>
      <c r="H309" s="38" t="n">
        <v>1200</v>
      </c>
      <c r="I309" s="38" t="n">
        <v>800</v>
      </c>
      <c r="J309" s="39" t="n">
        <v>1.4</v>
      </c>
      <c r="K309" s="42">
        <f>ROUNDUP(F309*POWER(G309,D309),0)</f>
        <v/>
      </c>
      <c r="L309" s="40">
        <f>MAX(1,ROUNDDOWN(K309/'参数与公式'!$B$5,0))</f>
        <v/>
      </c>
      <c r="M309" s="40">
        <f>MAX(1,ROUNDDOWN(K309*(1-'参数与公式'!$B$14)/'参数与公式'!$B$5,0))</f>
        <v/>
      </c>
      <c r="N309" s="42">
        <f>IF(H309=0,0,ROUNDUP(H309*POWER(J309,D309),0))</f>
        <v/>
      </c>
      <c r="O309" s="42">
        <f>IF(I309=0,0,ROUNDUP(I309*POWER(J309,D309),0))</f>
        <v/>
      </c>
      <c r="P309" s="40">
        <f>IF(N309=0,0,MAX(1,ROUNDUP(N309*(1-'参数与公式'!$B$17),0)))</f>
        <v/>
      </c>
      <c r="Q309" s="40">
        <f>IF(O309=0,0,MAX(1,ROUNDUP(O309*(1-'参数与公式'!$B$17),0)))</f>
        <v/>
      </c>
      <c r="R309" s="18" t="inlineStr">
        <is>
          <t>data/building_templates.yaml; max_level: gameplay/constants.py; formula: gameplay/models/manor.py</t>
        </is>
      </c>
    </row>
    <row r="310" ht="25" customHeight="1">
      <c r="A310" s="17" t="inlineStr">
        <is>
          <t>oath_grove</t>
        </is>
      </c>
      <c r="B310" s="18" t="inlineStr">
        <is>
          <t>结义林</t>
        </is>
      </c>
      <c r="C310" s="18" t="inlineStr">
        <is>
          <t>特殊建筑</t>
        </is>
      </c>
      <c r="D310" s="17" t="n">
        <v>4</v>
      </c>
      <c r="E310" s="24">
        <f>D310+1</f>
        <v/>
      </c>
      <c r="F310" s="38" t="n">
        <v>600</v>
      </c>
      <c r="G310" s="39" t="n">
        <v>1.35</v>
      </c>
      <c r="H310" s="38" t="n">
        <v>1200</v>
      </c>
      <c r="I310" s="38" t="n">
        <v>800</v>
      </c>
      <c r="J310" s="39" t="n">
        <v>1.4</v>
      </c>
      <c r="K310" s="42">
        <f>ROUNDUP(F310*POWER(G310,D310),0)</f>
        <v/>
      </c>
      <c r="L310" s="40">
        <f>MAX(1,ROUNDDOWN(K310/'参数与公式'!$B$5,0))</f>
        <v/>
      </c>
      <c r="M310" s="40">
        <f>MAX(1,ROUNDDOWN(K310*(1-'参数与公式'!$B$14)/'参数与公式'!$B$5,0))</f>
        <v/>
      </c>
      <c r="N310" s="42">
        <f>IF(H310=0,0,ROUNDUP(H310*POWER(J310,D310),0))</f>
        <v/>
      </c>
      <c r="O310" s="42">
        <f>IF(I310=0,0,ROUNDUP(I310*POWER(J310,D310),0))</f>
        <v/>
      </c>
      <c r="P310" s="40">
        <f>IF(N310=0,0,MAX(1,ROUNDUP(N310*(1-'参数与公式'!$B$17),0)))</f>
        <v/>
      </c>
      <c r="Q310" s="40">
        <f>IF(O310=0,0,MAX(1,ROUNDUP(O310*(1-'参数与公式'!$B$17),0)))</f>
        <v/>
      </c>
      <c r="R310" s="18" t="inlineStr">
        <is>
          <t>data/building_templates.yaml; max_level: gameplay/constants.py; formula: gameplay/models/manor.py</t>
        </is>
      </c>
    </row>
    <row r="311" ht="25" customHeight="1">
      <c r="A311" s="17" t="inlineStr">
        <is>
          <t>wall</t>
        </is>
      </c>
      <c r="B311" s="18" t="inlineStr">
        <is>
          <t>城墙</t>
        </is>
      </c>
      <c r="C311" s="18" t="inlineStr">
        <is>
          <t>城防建筑</t>
        </is>
      </c>
      <c r="D311" s="17" t="n">
        <v>1</v>
      </c>
      <c r="E311" s="24">
        <f>D311+1</f>
        <v/>
      </c>
      <c r="F311" s="38" t="n">
        <v>900</v>
      </c>
      <c r="G311" s="39" t="n">
        <v>1.85</v>
      </c>
      <c r="H311" s="38" t="n">
        <v>18000</v>
      </c>
      <c r="I311" s="38" t="n">
        <v>0</v>
      </c>
      <c r="J311" s="39" t="n">
        <v>1.85</v>
      </c>
      <c r="K311" s="42">
        <f>ROUNDUP(F311*POWER(G311,D311),0)</f>
        <v/>
      </c>
      <c r="L311" s="40">
        <f>MAX(1,ROUNDDOWN(K311/'参数与公式'!$B$5,0))</f>
        <v/>
      </c>
      <c r="M311" s="40">
        <f>MAX(1,ROUNDDOWN(K311*(1-'参数与公式'!$B$14)/'参数与公式'!$B$5,0))</f>
        <v/>
      </c>
      <c r="N311" s="42">
        <f>IF(H311=0,0,ROUNDUP(H311*POWER(J311,D311),0))</f>
        <v/>
      </c>
      <c r="O311" s="42">
        <f>IF(I311=0,0,ROUNDUP(I311*POWER(J311,D311),0))</f>
        <v/>
      </c>
      <c r="P311" s="40">
        <f>IF(N311=0,0,MAX(1,ROUNDUP(N311*(1-'参数与公式'!$B$17),0)))</f>
        <v/>
      </c>
      <c r="Q311" s="40">
        <f>IF(O311=0,0,MAX(1,ROUNDUP(O311*(1-'参数与公式'!$B$17),0)))</f>
        <v/>
      </c>
      <c r="R311" s="18" t="inlineStr">
        <is>
          <t>data/building_templates.yaml; max_level: gameplay/constants.py; formula: gameplay/models/manor.py</t>
        </is>
      </c>
    </row>
    <row r="312" ht="25" customHeight="1">
      <c r="A312" s="17" t="inlineStr">
        <is>
          <t>wall</t>
        </is>
      </c>
      <c r="B312" s="18" t="inlineStr">
        <is>
          <t>城墙</t>
        </is>
      </c>
      <c r="C312" s="18" t="inlineStr">
        <is>
          <t>城防建筑</t>
        </is>
      </c>
      <c r="D312" s="17" t="n">
        <v>2</v>
      </c>
      <c r="E312" s="24">
        <f>D312+1</f>
        <v/>
      </c>
      <c r="F312" s="38" t="n">
        <v>900</v>
      </c>
      <c r="G312" s="39" t="n">
        <v>1.85</v>
      </c>
      <c r="H312" s="38" t="n">
        <v>18000</v>
      </c>
      <c r="I312" s="38" t="n">
        <v>0</v>
      </c>
      <c r="J312" s="39" t="n">
        <v>1.85</v>
      </c>
      <c r="K312" s="42">
        <f>ROUNDUP(F312*POWER(G312,D312),0)</f>
        <v/>
      </c>
      <c r="L312" s="40">
        <f>MAX(1,ROUNDDOWN(K312/'参数与公式'!$B$5,0))</f>
        <v/>
      </c>
      <c r="M312" s="40">
        <f>MAX(1,ROUNDDOWN(K312*(1-'参数与公式'!$B$14)/'参数与公式'!$B$5,0))</f>
        <v/>
      </c>
      <c r="N312" s="42">
        <f>IF(H312=0,0,ROUNDUP(H312*POWER(J312,D312),0))</f>
        <v/>
      </c>
      <c r="O312" s="42">
        <f>IF(I312=0,0,ROUNDUP(I312*POWER(J312,D312),0))</f>
        <v/>
      </c>
      <c r="P312" s="40">
        <f>IF(N312=0,0,MAX(1,ROUNDUP(N312*(1-'参数与公式'!$B$17),0)))</f>
        <v/>
      </c>
      <c r="Q312" s="40">
        <f>IF(O312=0,0,MAX(1,ROUNDUP(O312*(1-'参数与公式'!$B$17),0)))</f>
        <v/>
      </c>
      <c r="R312" s="18" t="inlineStr">
        <is>
          <t>data/building_templates.yaml; max_level: gameplay/constants.py; formula: gameplay/models/manor.py</t>
        </is>
      </c>
    </row>
    <row r="313" ht="25" customHeight="1">
      <c r="A313" s="17" t="inlineStr">
        <is>
          <t>wall</t>
        </is>
      </c>
      <c r="B313" s="18" t="inlineStr">
        <is>
          <t>城墙</t>
        </is>
      </c>
      <c r="C313" s="18" t="inlineStr">
        <is>
          <t>城防建筑</t>
        </is>
      </c>
      <c r="D313" s="17" t="n">
        <v>3</v>
      </c>
      <c r="E313" s="24">
        <f>D313+1</f>
        <v/>
      </c>
      <c r="F313" s="38" t="n">
        <v>900</v>
      </c>
      <c r="G313" s="39" t="n">
        <v>1.85</v>
      </c>
      <c r="H313" s="38" t="n">
        <v>18000</v>
      </c>
      <c r="I313" s="38" t="n">
        <v>0</v>
      </c>
      <c r="J313" s="39" t="n">
        <v>1.85</v>
      </c>
      <c r="K313" s="42">
        <f>ROUNDUP(F313*POWER(G313,D313),0)</f>
        <v/>
      </c>
      <c r="L313" s="40">
        <f>MAX(1,ROUNDDOWN(K313/'参数与公式'!$B$5,0))</f>
        <v/>
      </c>
      <c r="M313" s="40">
        <f>MAX(1,ROUNDDOWN(K313*(1-'参数与公式'!$B$14)/'参数与公式'!$B$5,0))</f>
        <v/>
      </c>
      <c r="N313" s="42">
        <f>IF(H313=0,0,ROUNDUP(H313*POWER(J313,D313),0))</f>
        <v/>
      </c>
      <c r="O313" s="42">
        <f>IF(I313=0,0,ROUNDUP(I313*POWER(J313,D313),0))</f>
        <v/>
      </c>
      <c r="P313" s="40">
        <f>IF(N313=0,0,MAX(1,ROUNDUP(N313*(1-'参数与公式'!$B$17),0)))</f>
        <v/>
      </c>
      <c r="Q313" s="40">
        <f>IF(O313=0,0,MAX(1,ROUNDUP(O313*(1-'参数与公式'!$B$17),0)))</f>
        <v/>
      </c>
      <c r="R313" s="18" t="inlineStr">
        <is>
          <t>data/building_templates.yaml; max_level: gameplay/constants.py; formula: gameplay/models/manor.py</t>
        </is>
      </c>
    </row>
    <row r="314" ht="25" customHeight="1">
      <c r="A314" s="17" t="inlineStr">
        <is>
          <t>wall</t>
        </is>
      </c>
      <c r="B314" s="18" t="inlineStr">
        <is>
          <t>城墙</t>
        </is>
      </c>
      <c r="C314" s="18" t="inlineStr">
        <is>
          <t>城防建筑</t>
        </is>
      </c>
      <c r="D314" s="17" t="n">
        <v>4</v>
      </c>
      <c r="E314" s="24">
        <f>D314+1</f>
        <v/>
      </c>
      <c r="F314" s="38" t="n">
        <v>900</v>
      </c>
      <c r="G314" s="39" t="n">
        <v>1.85</v>
      </c>
      <c r="H314" s="38" t="n">
        <v>18000</v>
      </c>
      <c r="I314" s="38" t="n">
        <v>0</v>
      </c>
      <c r="J314" s="39" t="n">
        <v>1.85</v>
      </c>
      <c r="K314" s="42">
        <f>ROUNDUP(F314*POWER(G314,D314),0)</f>
        <v/>
      </c>
      <c r="L314" s="40">
        <f>MAX(1,ROUNDDOWN(K314/'参数与公式'!$B$5,0))</f>
        <v/>
      </c>
      <c r="M314" s="40">
        <f>MAX(1,ROUNDDOWN(K314*(1-'参数与公式'!$B$14)/'参数与公式'!$B$5,0))</f>
        <v/>
      </c>
      <c r="N314" s="42">
        <f>IF(H314=0,0,ROUNDUP(H314*POWER(J314,D314),0))</f>
        <v/>
      </c>
      <c r="O314" s="42">
        <f>IF(I314=0,0,ROUNDUP(I314*POWER(J314,D314),0))</f>
        <v/>
      </c>
      <c r="P314" s="40">
        <f>IF(N314=0,0,MAX(1,ROUNDUP(N314*(1-'参数与公式'!$B$17),0)))</f>
        <v/>
      </c>
      <c r="Q314" s="40">
        <f>IF(O314=0,0,MAX(1,ROUNDUP(O314*(1-'参数与公式'!$B$17),0)))</f>
        <v/>
      </c>
      <c r="R314" s="18" t="inlineStr">
        <is>
          <t>data/building_templates.yaml; max_level: gameplay/constants.py; formula: gameplay/models/manor.py</t>
        </is>
      </c>
    </row>
    <row r="315" ht="25" customHeight="1">
      <c r="A315" s="17" t="inlineStr">
        <is>
          <t>wall</t>
        </is>
      </c>
      <c r="B315" s="18" t="inlineStr">
        <is>
          <t>城墙</t>
        </is>
      </c>
      <c r="C315" s="18" t="inlineStr">
        <is>
          <t>城防建筑</t>
        </is>
      </c>
      <c r="D315" s="17" t="n">
        <v>5</v>
      </c>
      <c r="E315" s="24">
        <f>D315+1</f>
        <v/>
      </c>
      <c r="F315" s="38" t="n">
        <v>900</v>
      </c>
      <c r="G315" s="39" t="n">
        <v>1.85</v>
      </c>
      <c r="H315" s="38" t="n">
        <v>18000</v>
      </c>
      <c r="I315" s="38" t="n">
        <v>0</v>
      </c>
      <c r="J315" s="39" t="n">
        <v>1.85</v>
      </c>
      <c r="K315" s="42">
        <f>ROUNDUP(F315*POWER(G315,D315),0)</f>
        <v/>
      </c>
      <c r="L315" s="40">
        <f>MAX(1,ROUNDDOWN(K315/'参数与公式'!$B$5,0))</f>
        <v/>
      </c>
      <c r="M315" s="40">
        <f>MAX(1,ROUNDDOWN(K315*(1-'参数与公式'!$B$14)/'参数与公式'!$B$5,0))</f>
        <v/>
      </c>
      <c r="N315" s="42">
        <f>IF(H315=0,0,ROUNDUP(H315*POWER(J315,D315),0))</f>
        <v/>
      </c>
      <c r="O315" s="42">
        <f>IF(I315=0,0,ROUNDUP(I315*POWER(J315,D315),0))</f>
        <v/>
      </c>
      <c r="P315" s="40">
        <f>IF(N315=0,0,MAX(1,ROUNDUP(N315*(1-'参数与公式'!$B$17),0)))</f>
        <v/>
      </c>
      <c r="Q315" s="40">
        <f>IF(O315=0,0,MAX(1,ROUNDUP(O315*(1-'参数与公式'!$B$17),0)))</f>
        <v/>
      </c>
      <c r="R315" s="18" t="inlineStr">
        <is>
          <t>data/building_templates.yaml; max_level: gameplay/constants.py; formula: gameplay/models/manor.py</t>
        </is>
      </c>
    </row>
    <row r="316" ht="25" customHeight="1">
      <c r="A316" s="17" t="inlineStr">
        <is>
          <t>wall</t>
        </is>
      </c>
      <c r="B316" s="18" t="inlineStr">
        <is>
          <t>城墙</t>
        </is>
      </c>
      <c r="C316" s="18" t="inlineStr">
        <is>
          <t>城防建筑</t>
        </is>
      </c>
      <c r="D316" s="17" t="n">
        <v>6</v>
      </c>
      <c r="E316" s="24">
        <f>D316+1</f>
        <v/>
      </c>
      <c r="F316" s="38" t="n">
        <v>900</v>
      </c>
      <c r="G316" s="39" t="n">
        <v>1.85</v>
      </c>
      <c r="H316" s="38" t="n">
        <v>18000</v>
      </c>
      <c r="I316" s="38" t="n">
        <v>0</v>
      </c>
      <c r="J316" s="39" t="n">
        <v>1.85</v>
      </c>
      <c r="K316" s="42">
        <f>ROUNDUP(F316*POWER(G316,D316),0)</f>
        <v/>
      </c>
      <c r="L316" s="40">
        <f>MAX(1,ROUNDDOWN(K316/'参数与公式'!$B$5,0))</f>
        <v/>
      </c>
      <c r="M316" s="40">
        <f>MAX(1,ROUNDDOWN(K316*(1-'参数与公式'!$B$14)/'参数与公式'!$B$5,0))</f>
        <v/>
      </c>
      <c r="N316" s="42">
        <f>IF(H316=0,0,ROUNDUP(H316*POWER(J316,D316),0))</f>
        <v/>
      </c>
      <c r="O316" s="42">
        <f>IF(I316=0,0,ROUNDUP(I316*POWER(J316,D316),0))</f>
        <v/>
      </c>
      <c r="P316" s="40">
        <f>IF(N316=0,0,MAX(1,ROUNDUP(N316*(1-'参数与公式'!$B$17),0)))</f>
        <v/>
      </c>
      <c r="Q316" s="40">
        <f>IF(O316=0,0,MAX(1,ROUNDUP(O316*(1-'参数与公式'!$B$17),0)))</f>
        <v/>
      </c>
      <c r="R316" s="18" t="inlineStr">
        <is>
          <t>data/building_templates.yaml; max_level: gameplay/constants.py; formula: gameplay/models/manor.py</t>
        </is>
      </c>
    </row>
    <row r="317" ht="25" customHeight="1">
      <c r="A317" s="17" t="inlineStr">
        <is>
          <t>wall</t>
        </is>
      </c>
      <c r="B317" s="18" t="inlineStr">
        <is>
          <t>城墙</t>
        </is>
      </c>
      <c r="C317" s="18" t="inlineStr">
        <is>
          <t>城防建筑</t>
        </is>
      </c>
      <c r="D317" s="17" t="n">
        <v>7</v>
      </c>
      <c r="E317" s="24">
        <f>D317+1</f>
        <v/>
      </c>
      <c r="F317" s="38" t="n">
        <v>900</v>
      </c>
      <c r="G317" s="39" t="n">
        <v>1.85</v>
      </c>
      <c r="H317" s="38" t="n">
        <v>18000</v>
      </c>
      <c r="I317" s="38" t="n">
        <v>0</v>
      </c>
      <c r="J317" s="39" t="n">
        <v>1.85</v>
      </c>
      <c r="K317" s="42">
        <f>ROUNDUP(F317*POWER(G317,D317),0)</f>
        <v/>
      </c>
      <c r="L317" s="40">
        <f>MAX(1,ROUNDDOWN(K317/'参数与公式'!$B$5,0))</f>
        <v/>
      </c>
      <c r="M317" s="40">
        <f>MAX(1,ROUNDDOWN(K317*(1-'参数与公式'!$B$14)/'参数与公式'!$B$5,0))</f>
        <v/>
      </c>
      <c r="N317" s="42">
        <f>IF(H317=0,0,ROUNDUP(H317*POWER(J317,D317),0))</f>
        <v/>
      </c>
      <c r="O317" s="42">
        <f>IF(I317=0,0,ROUNDUP(I317*POWER(J317,D317),0))</f>
        <v/>
      </c>
      <c r="P317" s="40">
        <f>IF(N317=0,0,MAX(1,ROUNDUP(N317*(1-'参数与公式'!$B$17),0)))</f>
        <v/>
      </c>
      <c r="Q317" s="40">
        <f>IF(O317=0,0,MAX(1,ROUNDUP(O317*(1-'参数与公式'!$B$17),0)))</f>
        <v/>
      </c>
      <c r="R317" s="18" t="inlineStr">
        <is>
          <t>data/building_templates.yaml; max_level: gameplay/constants.py; formula: gameplay/models/manor.py</t>
        </is>
      </c>
    </row>
    <row r="318" ht="25" customHeight="1">
      <c r="A318" s="17" t="inlineStr">
        <is>
          <t>wall</t>
        </is>
      </c>
      <c r="B318" s="18" t="inlineStr">
        <is>
          <t>城墙</t>
        </is>
      </c>
      <c r="C318" s="18" t="inlineStr">
        <is>
          <t>城防建筑</t>
        </is>
      </c>
      <c r="D318" s="17" t="n">
        <v>8</v>
      </c>
      <c r="E318" s="24">
        <f>D318+1</f>
        <v/>
      </c>
      <c r="F318" s="38" t="n">
        <v>900</v>
      </c>
      <c r="G318" s="39" t="n">
        <v>1.85</v>
      </c>
      <c r="H318" s="38" t="n">
        <v>18000</v>
      </c>
      <c r="I318" s="38" t="n">
        <v>0</v>
      </c>
      <c r="J318" s="39" t="n">
        <v>1.85</v>
      </c>
      <c r="K318" s="42">
        <f>ROUNDUP(F318*POWER(G318,D318),0)</f>
        <v/>
      </c>
      <c r="L318" s="40">
        <f>MAX(1,ROUNDDOWN(K318/'参数与公式'!$B$5,0))</f>
        <v/>
      </c>
      <c r="M318" s="40">
        <f>MAX(1,ROUNDDOWN(K318*(1-'参数与公式'!$B$14)/'参数与公式'!$B$5,0))</f>
        <v/>
      </c>
      <c r="N318" s="42">
        <f>IF(H318=0,0,ROUNDUP(H318*POWER(J318,D318),0))</f>
        <v/>
      </c>
      <c r="O318" s="42">
        <f>IF(I318=0,0,ROUNDUP(I318*POWER(J318,D318),0))</f>
        <v/>
      </c>
      <c r="P318" s="40">
        <f>IF(N318=0,0,MAX(1,ROUNDUP(N318*(1-'参数与公式'!$B$17),0)))</f>
        <v/>
      </c>
      <c r="Q318" s="40">
        <f>IF(O318=0,0,MAX(1,ROUNDUP(O318*(1-'参数与公式'!$B$17),0)))</f>
        <v/>
      </c>
      <c r="R318" s="18" t="inlineStr">
        <is>
          <t>data/building_templates.yaml; max_level: gameplay/constants.py; formula: gameplay/models/manor.py</t>
        </is>
      </c>
    </row>
    <row r="319" ht="25" customHeight="1">
      <c r="A319" s="17" t="inlineStr">
        <is>
          <t>wall</t>
        </is>
      </c>
      <c r="B319" s="18" t="inlineStr">
        <is>
          <t>城墙</t>
        </is>
      </c>
      <c r="C319" s="18" t="inlineStr">
        <is>
          <t>城防建筑</t>
        </is>
      </c>
      <c r="D319" s="17" t="n">
        <v>9</v>
      </c>
      <c r="E319" s="24">
        <f>D319+1</f>
        <v/>
      </c>
      <c r="F319" s="38" t="n">
        <v>900</v>
      </c>
      <c r="G319" s="39" t="n">
        <v>1.85</v>
      </c>
      <c r="H319" s="38" t="n">
        <v>18000</v>
      </c>
      <c r="I319" s="38" t="n">
        <v>0</v>
      </c>
      <c r="J319" s="39" t="n">
        <v>1.85</v>
      </c>
      <c r="K319" s="42">
        <f>ROUNDUP(F319*POWER(G319,D319),0)</f>
        <v/>
      </c>
      <c r="L319" s="40">
        <f>MAX(1,ROUNDDOWN(K319/'参数与公式'!$B$5,0))</f>
        <v/>
      </c>
      <c r="M319" s="40">
        <f>MAX(1,ROUNDDOWN(K319*(1-'参数与公式'!$B$14)/'参数与公式'!$B$5,0))</f>
        <v/>
      </c>
      <c r="N319" s="42">
        <f>IF(H319=0,0,ROUNDUP(H319*POWER(J319,D319),0))</f>
        <v/>
      </c>
      <c r="O319" s="42">
        <f>IF(I319=0,0,ROUNDUP(I319*POWER(J319,D319),0))</f>
        <v/>
      </c>
      <c r="P319" s="40">
        <f>IF(N319=0,0,MAX(1,ROUNDUP(N319*(1-'参数与公式'!$B$17),0)))</f>
        <v/>
      </c>
      <c r="Q319" s="40">
        <f>IF(O319=0,0,MAX(1,ROUNDUP(O319*(1-'参数与公式'!$B$17),0)))</f>
        <v/>
      </c>
      <c r="R319" s="18" t="inlineStr">
        <is>
          <t>data/building_templates.yaml; max_level: gameplay/constants.py; formula: gameplay/models/manor.py</t>
        </is>
      </c>
    </row>
    <row r="320" ht="25" customHeight="1">
      <c r="A320" s="17" t="inlineStr">
        <is>
          <t>arrow_tower</t>
        </is>
      </c>
      <c r="B320" s="18" t="inlineStr">
        <is>
          <t>箭塔</t>
        </is>
      </c>
      <c r="C320" s="18" t="inlineStr">
        <is>
          <t>城防建筑</t>
        </is>
      </c>
      <c r="D320" s="17" t="n">
        <v>1</v>
      </c>
      <c r="E320" s="24">
        <f>D320+1</f>
        <v/>
      </c>
      <c r="F320" s="38" t="n">
        <v>1200</v>
      </c>
      <c r="G320" s="39" t="n">
        <v>1.85</v>
      </c>
      <c r="H320" s="38" t="n">
        <v>18000</v>
      </c>
      <c r="I320" s="38" t="n">
        <v>0</v>
      </c>
      <c r="J320" s="39" t="n">
        <v>1.85</v>
      </c>
      <c r="K320" s="42">
        <f>ROUNDUP(F320*POWER(G320,D320),0)</f>
        <v/>
      </c>
      <c r="L320" s="40">
        <f>MAX(1,ROUNDDOWN(K320/'参数与公式'!$B$5,0))</f>
        <v/>
      </c>
      <c r="M320" s="40">
        <f>MAX(1,ROUNDDOWN(K320*(1-'参数与公式'!$B$14)/'参数与公式'!$B$5,0))</f>
        <v/>
      </c>
      <c r="N320" s="42">
        <f>IF(H320=0,0,ROUNDUP(H320*POWER(J320,D320),0))</f>
        <v/>
      </c>
      <c r="O320" s="42">
        <f>IF(I320=0,0,ROUNDUP(I320*POWER(J320,D320),0))</f>
        <v/>
      </c>
      <c r="P320" s="40">
        <f>IF(N320=0,0,MAX(1,ROUNDUP(N320*(1-'参数与公式'!$B$17),0)))</f>
        <v/>
      </c>
      <c r="Q320" s="40">
        <f>IF(O320=0,0,MAX(1,ROUNDUP(O320*(1-'参数与公式'!$B$17),0)))</f>
        <v/>
      </c>
      <c r="R320" s="18" t="inlineStr">
        <is>
          <t>data/building_templates.yaml; max_level: gameplay/constants.py; formula: gameplay/models/manor.py</t>
        </is>
      </c>
    </row>
    <row r="321" ht="25" customHeight="1">
      <c r="A321" s="17" t="inlineStr">
        <is>
          <t>arrow_tower</t>
        </is>
      </c>
      <c r="B321" s="18" t="inlineStr">
        <is>
          <t>箭塔</t>
        </is>
      </c>
      <c r="C321" s="18" t="inlineStr">
        <is>
          <t>城防建筑</t>
        </is>
      </c>
      <c r="D321" s="17" t="n">
        <v>2</v>
      </c>
      <c r="E321" s="24">
        <f>D321+1</f>
        <v/>
      </c>
      <c r="F321" s="38" t="n">
        <v>1200</v>
      </c>
      <c r="G321" s="39" t="n">
        <v>1.85</v>
      </c>
      <c r="H321" s="38" t="n">
        <v>18000</v>
      </c>
      <c r="I321" s="38" t="n">
        <v>0</v>
      </c>
      <c r="J321" s="39" t="n">
        <v>1.85</v>
      </c>
      <c r="K321" s="42">
        <f>ROUNDUP(F321*POWER(G321,D321),0)</f>
        <v/>
      </c>
      <c r="L321" s="40">
        <f>MAX(1,ROUNDDOWN(K321/'参数与公式'!$B$5,0))</f>
        <v/>
      </c>
      <c r="M321" s="40">
        <f>MAX(1,ROUNDDOWN(K321*(1-'参数与公式'!$B$14)/'参数与公式'!$B$5,0))</f>
        <v/>
      </c>
      <c r="N321" s="42">
        <f>IF(H321=0,0,ROUNDUP(H321*POWER(J321,D321),0))</f>
        <v/>
      </c>
      <c r="O321" s="42">
        <f>IF(I321=0,0,ROUNDUP(I321*POWER(J321,D321),0))</f>
        <v/>
      </c>
      <c r="P321" s="40">
        <f>IF(N321=0,0,MAX(1,ROUNDUP(N321*(1-'参数与公式'!$B$17),0)))</f>
        <v/>
      </c>
      <c r="Q321" s="40">
        <f>IF(O321=0,0,MAX(1,ROUNDUP(O321*(1-'参数与公式'!$B$17),0)))</f>
        <v/>
      </c>
      <c r="R321" s="18" t="inlineStr">
        <is>
          <t>data/building_templates.yaml; max_level: gameplay/constants.py; formula: gameplay/models/manor.py</t>
        </is>
      </c>
    </row>
    <row r="322" ht="25" customHeight="1">
      <c r="A322" s="17" t="inlineStr">
        <is>
          <t>arrow_tower</t>
        </is>
      </c>
      <c r="B322" s="18" t="inlineStr">
        <is>
          <t>箭塔</t>
        </is>
      </c>
      <c r="C322" s="18" t="inlineStr">
        <is>
          <t>城防建筑</t>
        </is>
      </c>
      <c r="D322" s="17" t="n">
        <v>3</v>
      </c>
      <c r="E322" s="24">
        <f>D322+1</f>
        <v/>
      </c>
      <c r="F322" s="38" t="n">
        <v>1200</v>
      </c>
      <c r="G322" s="39" t="n">
        <v>1.85</v>
      </c>
      <c r="H322" s="38" t="n">
        <v>18000</v>
      </c>
      <c r="I322" s="38" t="n">
        <v>0</v>
      </c>
      <c r="J322" s="39" t="n">
        <v>1.85</v>
      </c>
      <c r="K322" s="42">
        <f>ROUNDUP(F322*POWER(G322,D322),0)</f>
        <v/>
      </c>
      <c r="L322" s="40">
        <f>MAX(1,ROUNDDOWN(K322/'参数与公式'!$B$5,0))</f>
        <v/>
      </c>
      <c r="M322" s="40">
        <f>MAX(1,ROUNDDOWN(K322*(1-'参数与公式'!$B$14)/'参数与公式'!$B$5,0))</f>
        <v/>
      </c>
      <c r="N322" s="42">
        <f>IF(H322=0,0,ROUNDUP(H322*POWER(J322,D322),0))</f>
        <v/>
      </c>
      <c r="O322" s="42">
        <f>IF(I322=0,0,ROUNDUP(I322*POWER(J322,D322),0))</f>
        <v/>
      </c>
      <c r="P322" s="40">
        <f>IF(N322=0,0,MAX(1,ROUNDUP(N322*(1-'参数与公式'!$B$17),0)))</f>
        <v/>
      </c>
      <c r="Q322" s="40">
        <f>IF(O322=0,0,MAX(1,ROUNDUP(O322*(1-'参数与公式'!$B$17),0)))</f>
        <v/>
      </c>
      <c r="R322" s="18" t="inlineStr">
        <is>
          <t>data/building_templates.yaml; max_level: gameplay/constants.py; formula: gameplay/models/manor.py</t>
        </is>
      </c>
    </row>
    <row r="323" ht="25" customHeight="1">
      <c r="A323" s="17" t="inlineStr">
        <is>
          <t>arrow_tower</t>
        </is>
      </c>
      <c r="B323" s="18" t="inlineStr">
        <is>
          <t>箭塔</t>
        </is>
      </c>
      <c r="C323" s="18" t="inlineStr">
        <is>
          <t>城防建筑</t>
        </is>
      </c>
      <c r="D323" s="17" t="n">
        <v>4</v>
      </c>
      <c r="E323" s="24">
        <f>D323+1</f>
        <v/>
      </c>
      <c r="F323" s="38" t="n">
        <v>1200</v>
      </c>
      <c r="G323" s="39" t="n">
        <v>1.85</v>
      </c>
      <c r="H323" s="38" t="n">
        <v>18000</v>
      </c>
      <c r="I323" s="38" t="n">
        <v>0</v>
      </c>
      <c r="J323" s="39" t="n">
        <v>1.85</v>
      </c>
      <c r="K323" s="42">
        <f>ROUNDUP(F323*POWER(G323,D323),0)</f>
        <v/>
      </c>
      <c r="L323" s="40">
        <f>MAX(1,ROUNDDOWN(K323/'参数与公式'!$B$5,0))</f>
        <v/>
      </c>
      <c r="M323" s="40">
        <f>MAX(1,ROUNDDOWN(K323*(1-'参数与公式'!$B$14)/'参数与公式'!$B$5,0))</f>
        <v/>
      </c>
      <c r="N323" s="42">
        <f>IF(H323=0,0,ROUNDUP(H323*POWER(J323,D323),0))</f>
        <v/>
      </c>
      <c r="O323" s="42">
        <f>IF(I323=0,0,ROUNDUP(I323*POWER(J323,D323),0))</f>
        <v/>
      </c>
      <c r="P323" s="40">
        <f>IF(N323=0,0,MAX(1,ROUNDUP(N323*(1-'参数与公式'!$B$17),0)))</f>
        <v/>
      </c>
      <c r="Q323" s="40">
        <f>IF(O323=0,0,MAX(1,ROUNDUP(O323*(1-'参数与公式'!$B$17),0)))</f>
        <v/>
      </c>
      <c r="R323" s="18" t="inlineStr">
        <is>
          <t>data/building_templates.yaml; max_level: gameplay/constants.py; formula: gameplay/models/manor.py</t>
        </is>
      </c>
    </row>
    <row r="324" ht="25" customHeight="1">
      <c r="A324" s="17" t="inlineStr">
        <is>
          <t>arrow_tower</t>
        </is>
      </c>
      <c r="B324" s="18" t="inlineStr">
        <is>
          <t>箭塔</t>
        </is>
      </c>
      <c r="C324" s="18" t="inlineStr">
        <is>
          <t>城防建筑</t>
        </is>
      </c>
      <c r="D324" s="17" t="n">
        <v>5</v>
      </c>
      <c r="E324" s="24">
        <f>D324+1</f>
        <v/>
      </c>
      <c r="F324" s="38" t="n">
        <v>1200</v>
      </c>
      <c r="G324" s="39" t="n">
        <v>1.85</v>
      </c>
      <c r="H324" s="38" t="n">
        <v>18000</v>
      </c>
      <c r="I324" s="38" t="n">
        <v>0</v>
      </c>
      <c r="J324" s="39" t="n">
        <v>1.85</v>
      </c>
      <c r="K324" s="42">
        <f>ROUNDUP(F324*POWER(G324,D324),0)</f>
        <v/>
      </c>
      <c r="L324" s="40">
        <f>MAX(1,ROUNDDOWN(K324/'参数与公式'!$B$5,0))</f>
        <v/>
      </c>
      <c r="M324" s="40">
        <f>MAX(1,ROUNDDOWN(K324*(1-'参数与公式'!$B$14)/'参数与公式'!$B$5,0))</f>
        <v/>
      </c>
      <c r="N324" s="42">
        <f>IF(H324=0,0,ROUNDUP(H324*POWER(J324,D324),0))</f>
        <v/>
      </c>
      <c r="O324" s="42">
        <f>IF(I324=0,0,ROUNDUP(I324*POWER(J324,D324),0))</f>
        <v/>
      </c>
      <c r="P324" s="40">
        <f>IF(N324=0,0,MAX(1,ROUNDUP(N324*(1-'参数与公式'!$B$17),0)))</f>
        <v/>
      </c>
      <c r="Q324" s="40">
        <f>IF(O324=0,0,MAX(1,ROUNDUP(O324*(1-'参数与公式'!$B$17),0)))</f>
        <v/>
      </c>
      <c r="R324" s="18" t="inlineStr">
        <is>
          <t>data/building_templates.yaml; max_level: gameplay/constants.py; formula: gameplay/models/manor.py</t>
        </is>
      </c>
    </row>
    <row r="325" ht="25" customHeight="1">
      <c r="A325" s="17" t="inlineStr">
        <is>
          <t>arrow_tower</t>
        </is>
      </c>
      <c r="B325" s="18" t="inlineStr">
        <is>
          <t>箭塔</t>
        </is>
      </c>
      <c r="C325" s="18" t="inlineStr">
        <is>
          <t>城防建筑</t>
        </is>
      </c>
      <c r="D325" s="17" t="n">
        <v>6</v>
      </c>
      <c r="E325" s="24">
        <f>D325+1</f>
        <v/>
      </c>
      <c r="F325" s="38" t="n">
        <v>1200</v>
      </c>
      <c r="G325" s="39" t="n">
        <v>1.85</v>
      </c>
      <c r="H325" s="38" t="n">
        <v>18000</v>
      </c>
      <c r="I325" s="38" t="n">
        <v>0</v>
      </c>
      <c r="J325" s="39" t="n">
        <v>1.85</v>
      </c>
      <c r="K325" s="42">
        <f>ROUNDUP(F325*POWER(G325,D325),0)</f>
        <v/>
      </c>
      <c r="L325" s="40">
        <f>MAX(1,ROUNDDOWN(K325/'参数与公式'!$B$5,0))</f>
        <v/>
      </c>
      <c r="M325" s="40">
        <f>MAX(1,ROUNDDOWN(K325*(1-'参数与公式'!$B$14)/'参数与公式'!$B$5,0))</f>
        <v/>
      </c>
      <c r="N325" s="42">
        <f>IF(H325=0,0,ROUNDUP(H325*POWER(J325,D325),0))</f>
        <v/>
      </c>
      <c r="O325" s="42">
        <f>IF(I325=0,0,ROUNDUP(I325*POWER(J325,D325),0))</f>
        <v/>
      </c>
      <c r="P325" s="40">
        <f>IF(N325=0,0,MAX(1,ROUNDUP(N325*(1-'参数与公式'!$B$17),0)))</f>
        <v/>
      </c>
      <c r="Q325" s="40">
        <f>IF(O325=0,0,MAX(1,ROUNDUP(O325*(1-'参数与公式'!$B$17),0)))</f>
        <v/>
      </c>
      <c r="R325" s="18" t="inlineStr">
        <is>
          <t>data/building_templates.yaml; max_level: gameplay/constants.py; formula: gameplay/models/manor.py</t>
        </is>
      </c>
    </row>
    <row r="326" ht="25" customHeight="1">
      <c r="A326" s="17" t="inlineStr">
        <is>
          <t>arrow_tower</t>
        </is>
      </c>
      <c r="B326" s="18" t="inlineStr">
        <is>
          <t>箭塔</t>
        </is>
      </c>
      <c r="C326" s="18" t="inlineStr">
        <is>
          <t>城防建筑</t>
        </is>
      </c>
      <c r="D326" s="17" t="n">
        <v>7</v>
      </c>
      <c r="E326" s="24">
        <f>D326+1</f>
        <v/>
      </c>
      <c r="F326" s="38" t="n">
        <v>1200</v>
      </c>
      <c r="G326" s="39" t="n">
        <v>1.85</v>
      </c>
      <c r="H326" s="38" t="n">
        <v>18000</v>
      </c>
      <c r="I326" s="38" t="n">
        <v>0</v>
      </c>
      <c r="J326" s="39" t="n">
        <v>1.85</v>
      </c>
      <c r="K326" s="42">
        <f>ROUNDUP(F326*POWER(G326,D326),0)</f>
        <v/>
      </c>
      <c r="L326" s="40">
        <f>MAX(1,ROUNDDOWN(K326/'参数与公式'!$B$5,0))</f>
        <v/>
      </c>
      <c r="M326" s="40">
        <f>MAX(1,ROUNDDOWN(K326*(1-'参数与公式'!$B$14)/'参数与公式'!$B$5,0))</f>
        <v/>
      </c>
      <c r="N326" s="42">
        <f>IF(H326=0,0,ROUNDUP(H326*POWER(J326,D326),0))</f>
        <v/>
      </c>
      <c r="O326" s="42">
        <f>IF(I326=0,0,ROUNDUP(I326*POWER(J326,D326),0))</f>
        <v/>
      </c>
      <c r="P326" s="40">
        <f>IF(N326=0,0,MAX(1,ROUNDUP(N326*(1-'参数与公式'!$B$17),0)))</f>
        <v/>
      </c>
      <c r="Q326" s="40">
        <f>IF(O326=0,0,MAX(1,ROUNDUP(O326*(1-'参数与公式'!$B$17),0)))</f>
        <v/>
      </c>
      <c r="R326" s="18" t="inlineStr">
        <is>
          <t>data/building_templates.yaml; max_level: gameplay/constants.py; formula: gameplay/models/manor.py</t>
        </is>
      </c>
    </row>
    <row r="327" ht="25" customHeight="1">
      <c r="A327" s="17" t="inlineStr">
        <is>
          <t>arrow_tower</t>
        </is>
      </c>
      <c r="B327" s="18" t="inlineStr">
        <is>
          <t>箭塔</t>
        </is>
      </c>
      <c r="C327" s="18" t="inlineStr">
        <is>
          <t>城防建筑</t>
        </is>
      </c>
      <c r="D327" s="17" t="n">
        <v>8</v>
      </c>
      <c r="E327" s="24">
        <f>D327+1</f>
        <v/>
      </c>
      <c r="F327" s="38" t="n">
        <v>1200</v>
      </c>
      <c r="G327" s="39" t="n">
        <v>1.85</v>
      </c>
      <c r="H327" s="38" t="n">
        <v>18000</v>
      </c>
      <c r="I327" s="38" t="n">
        <v>0</v>
      </c>
      <c r="J327" s="39" t="n">
        <v>1.85</v>
      </c>
      <c r="K327" s="42">
        <f>ROUNDUP(F327*POWER(G327,D327),0)</f>
        <v/>
      </c>
      <c r="L327" s="40">
        <f>MAX(1,ROUNDDOWN(K327/'参数与公式'!$B$5,0))</f>
        <v/>
      </c>
      <c r="M327" s="40">
        <f>MAX(1,ROUNDDOWN(K327*(1-'参数与公式'!$B$14)/'参数与公式'!$B$5,0))</f>
        <v/>
      </c>
      <c r="N327" s="42">
        <f>IF(H327=0,0,ROUNDUP(H327*POWER(J327,D327),0))</f>
        <v/>
      </c>
      <c r="O327" s="42">
        <f>IF(I327=0,0,ROUNDUP(I327*POWER(J327,D327),0))</f>
        <v/>
      </c>
      <c r="P327" s="40">
        <f>IF(N327=0,0,MAX(1,ROUNDUP(N327*(1-'参数与公式'!$B$17),0)))</f>
        <v/>
      </c>
      <c r="Q327" s="40">
        <f>IF(O327=0,0,MAX(1,ROUNDUP(O327*(1-'参数与公式'!$B$17),0)))</f>
        <v/>
      </c>
      <c r="R327" s="18" t="inlineStr">
        <is>
          <t>data/building_templates.yaml; max_level: gameplay/constants.py; formula: gameplay/models/manor.py</t>
        </is>
      </c>
    </row>
    <row r="328" ht="25" customHeight="1">
      <c r="A328" s="17" t="inlineStr">
        <is>
          <t>arrow_tower</t>
        </is>
      </c>
      <c r="B328" s="18" t="inlineStr">
        <is>
          <t>箭塔</t>
        </is>
      </c>
      <c r="C328" s="18" t="inlineStr">
        <is>
          <t>城防建筑</t>
        </is>
      </c>
      <c r="D328" s="17" t="n">
        <v>9</v>
      </c>
      <c r="E328" s="24">
        <f>D328+1</f>
        <v/>
      </c>
      <c r="F328" s="38" t="n">
        <v>1200</v>
      </c>
      <c r="G328" s="39" t="n">
        <v>1.85</v>
      </c>
      <c r="H328" s="38" t="n">
        <v>18000</v>
      </c>
      <c r="I328" s="38" t="n">
        <v>0</v>
      </c>
      <c r="J328" s="39" t="n">
        <v>1.85</v>
      </c>
      <c r="K328" s="42">
        <f>ROUNDUP(F328*POWER(G328,D328),0)</f>
        <v/>
      </c>
      <c r="L328" s="40">
        <f>MAX(1,ROUNDDOWN(K328/'参数与公式'!$B$5,0))</f>
        <v/>
      </c>
      <c r="M328" s="40">
        <f>MAX(1,ROUNDDOWN(K328*(1-'参数与公式'!$B$14)/'参数与公式'!$B$5,0))</f>
        <v/>
      </c>
      <c r="N328" s="42">
        <f>IF(H328=0,0,ROUNDUP(H328*POWER(J328,D328),0))</f>
        <v/>
      </c>
      <c r="O328" s="42">
        <f>IF(I328=0,0,ROUNDUP(I328*POWER(J328,D328),0))</f>
        <v/>
      </c>
      <c r="P328" s="40">
        <f>IF(N328=0,0,MAX(1,ROUNDUP(N328*(1-'参数与公式'!$B$17),0)))</f>
        <v/>
      </c>
      <c r="Q328" s="40">
        <f>IF(O328=0,0,MAX(1,ROUNDUP(O328*(1-'参数与公式'!$B$17),0)))</f>
        <v/>
      </c>
      <c r="R328" s="18" t="inlineStr">
        <is>
          <t>data/building_templates.yaml; max_level: gameplay/constants.py; formula: gameplay/models/manor.py</t>
        </is>
      </c>
    </row>
  </sheetData>
  <autoFilter ref="A4:R328"/>
  <mergeCells count="2">
    <mergeCell ref="A2:R2"/>
    <mergeCell ref="A1:R1"/>
  </mergeCells>
  <conditionalFormatting sqref="K5:K328">
    <cfRule type="colorScale" priority="1">
      <colorScale>
        <cfvo type="min"/>
        <cfvo type="percentile" val="50"/>
        <cfvo type="max"/>
        <color rgb="00E2F0D9"/>
        <color rgb="00FFF2CC"/>
        <color rgb="00F4B084"/>
      </colorScale>
    </cfRule>
  </conditionalFormatting>
  <conditionalFormatting sqref="N5:N328">
    <cfRule type="colorScale" priority="2">
      <colorScale>
        <cfvo type="min"/>
        <cfvo type="percentile" val="50"/>
        <cfvo type="max"/>
        <color rgb="00E2F0D9"/>
        <color rgb="00FFF2CC"/>
        <color rgb="00F4B084"/>
      </colorScale>
    </cfRule>
  </conditionalFormatting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7" customWidth="1" min="8" max="8"/>
    <col width="12" customWidth="1" min="9" max="9"/>
    <col width="15" customWidth="1" min="10" max="10"/>
    <col width="13" customWidth="1" min="11" max="11"/>
    <col width="13" customWidth="1" min="12" max="12"/>
    <col width="12" customWidth="1" min="13" max="13"/>
    <col width="14" customWidth="1" min="14" max="14"/>
    <col width="12" customWidth="1" min="15" max="15"/>
    <col width="16" customWidth="1" min="16" max="16"/>
    <col width="16" customWidth="1" min="17" max="17"/>
    <col width="12" customWidth="1" min="18" max="18"/>
    <col width="15" customWidth="1" min="19" max="19"/>
    <col width="15" customWidth="1" min="20" max="20"/>
    <col width="14" customWidth="1" min="21" max="21"/>
    <col width="14" customWidth="1" min="22" max="22"/>
    <col width="12" customWidth="1" min="23" max="23"/>
    <col width="14" customWidth="1" min="24" max="24"/>
    <col width="10" customWidth="1" min="25" max="25"/>
    <col width="28" customWidth="1" min="26" max="26"/>
    <col width="36" customWidth="1" min="27" max="27"/>
  </cols>
  <sheetData>
    <row r="1" ht="26" customHeight="1">
      <c r="A1" s="1" t="inlineStr">
        <is>
          <t>建筑建议方案总览｜总预算 + 逐级增长曲线（前期保护版）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30" t="n"/>
    </row>
    <row r="2" ht="44" customHeight="1">
      <c r="A2" s="31" t="inlineStr">
        <is>
          <t>黄色为建议输入/目标，绿色为公式或基线引用。总预算控制满级累计量；逐级增长系数控制相邻等级增幅，不设末级/首级固定倍数；时长为配置游戏秒数，未计祠堂缩时与全局倍率。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30" t="n"/>
    </row>
    <row r="4" ht="34" customHeight="1">
      <c r="A4" s="5" t="inlineStr">
        <is>
          <t>建筑Key</t>
        </is>
      </c>
      <c r="B4" s="5" t="inlineStr">
        <is>
          <t>建筑</t>
        </is>
      </c>
      <c r="C4" s="5" t="inlineStr">
        <is>
          <t>功能分类</t>
        </is>
      </c>
      <c r="D4" s="5" t="inlineStr">
        <is>
          <t>最高等级</t>
        </is>
      </c>
      <c r="E4" s="5" t="inlineStr">
        <is>
          <t>升级次数</t>
        </is>
      </c>
      <c r="F4" s="5" t="inlineStr">
        <is>
          <t>当前基础时间(s)</t>
        </is>
      </c>
      <c r="G4" s="5" t="inlineStr">
        <is>
          <t>当前时间成长</t>
        </is>
      </c>
      <c r="H4" s="5" t="inlineStr">
        <is>
          <t>建议基础时间底线(s)</t>
        </is>
      </c>
      <c r="I4" s="5" t="inlineStr">
        <is>
          <t>时长逐级增长系数</t>
        </is>
      </c>
      <c r="J4" s="5" t="inlineStr">
        <is>
          <t>建议时长预算(s)</t>
        </is>
      </c>
      <c r="K4" s="5" t="inlineStr">
        <is>
          <t>用户目标时间(天)</t>
        </is>
      </c>
      <c r="L4" s="5" t="inlineStr">
        <is>
          <t>建议总时长(天)</t>
        </is>
      </c>
      <c r="M4" s="5" t="inlineStr">
        <is>
          <t>偏差(天)</t>
        </is>
      </c>
      <c r="N4" s="5" t="inlineStr">
        <is>
          <t>当前基础银两</t>
        </is>
      </c>
      <c r="O4" s="5" t="inlineStr">
        <is>
          <t>当前成本成长</t>
        </is>
      </c>
      <c r="P4" s="5" t="inlineStr">
        <is>
          <t>建议基础银两底线</t>
        </is>
      </c>
      <c r="Q4" s="5" t="inlineStr">
        <is>
          <t>建议基础粮食底线</t>
        </is>
      </c>
      <c r="R4" s="5" t="inlineStr">
        <is>
          <t>成本逐级增长系数</t>
        </is>
      </c>
      <c r="S4" s="5" t="inlineStr">
        <is>
          <t>建议银两预算</t>
        </is>
      </c>
      <c r="T4" s="5" t="inlineStr">
        <is>
          <t>建议粮食预算</t>
        </is>
      </c>
      <c r="U4" s="5" t="inlineStr">
        <is>
          <t>用户目标银两</t>
        </is>
      </c>
      <c r="V4" s="5" t="inlineStr">
        <is>
          <t>建议总银两</t>
        </is>
      </c>
      <c r="W4" s="5" t="inlineStr">
        <is>
          <t>偏差</t>
        </is>
      </c>
      <c r="X4" s="5" t="inlineStr">
        <is>
          <t>建议总粮食</t>
        </is>
      </c>
      <c r="Y4" s="5" t="inlineStr">
        <is>
          <t>粮银比</t>
        </is>
      </c>
      <c r="Z4" s="5" t="inlineStr">
        <is>
          <t>调整策略</t>
        </is>
      </c>
      <c r="AA4" s="5" t="inlineStr">
        <is>
          <t>功能与平衡说明</t>
        </is>
      </c>
    </row>
    <row r="5" ht="44" customHeight="1">
      <c r="A5" s="33" t="inlineStr">
        <is>
          <t>farm</t>
        </is>
      </c>
      <c r="B5" s="33" t="inlineStr">
        <is>
          <t>农田</t>
        </is>
      </c>
      <c r="C5" s="33" t="inlineStr">
        <is>
          <t>资源生产</t>
        </is>
      </c>
      <c r="D5" s="43" t="n">
        <v>50</v>
      </c>
      <c r="E5" s="36">
        <f>D5-'参数与公式'!$B$9</f>
        <v/>
      </c>
      <c r="F5" s="36">
        <f>'建筑总览'!$F$5</f>
        <v/>
      </c>
      <c r="G5" s="44">
        <f>'建筑总览'!$G$5</f>
        <v/>
      </c>
      <c r="H5" s="37" t="n">
        <v>180</v>
      </c>
      <c r="I5" s="45" t="n">
        <v>1.1</v>
      </c>
      <c r="J5" s="37" t="n">
        <v>1728000</v>
      </c>
      <c r="K5" s="46" t="n">
        <v>20</v>
      </c>
      <c r="L5" s="35">
        <f>SUMIF('建筑建议逐级'!$A$5:$A$328,$A5,'建筑建议逐级'!$M$5:$M$328)/'参数与公式'!$B$21</f>
        <v/>
      </c>
      <c r="M5" s="35">
        <f>IF(ISNUMBER(K5),L5-K5,"—")</f>
        <v/>
      </c>
      <c r="N5" s="36">
        <f>'建筑总览'!$H$5</f>
        <v/>
      </c>
      <c r="O5" s="44">
        <f>'建筑总览'!$J$5</f>
        <v/>
      </c>
      <c r="P5" s="37" t="n">
        <v>170</v>
      </c>
      <c r="Q5" s="37" t="n">
        <v>0</v>
      </c>
      <c r="R5" s="45" t="n">
        <v>1.18</v>
      </c>
      <c r="S5" s="37" t="n">
        <v>5000000</v>
      </c>
      <c r="T5" s="37" t="n">
        <v>0</v>
      </c>
      <c r="U5" s="37" t="n">
        <v>5000000</v>
      </c>
      <c r="V5" s="36">
        <f>SUMIF('建筑建议逐级'!$A$5:$A$328,$A5,'建筑建议逐级'!$X$5:$X$328)</f>
        <v/>
      </c>
      <c r="W5" s="36">
        <f>IF(ISNUMBER(U5),V5-U5,"—")</f>
        <v/>
      </c>
      <c r="X5" s="36">
        <f>SUMIF('建筑建议逐级'!$A$5:$A$328,$A5,'建筑建议逐级'!$Y$5:$Y$328)</f>
        <v/>
      </c>
      <c r="Y5" s="47">
        <f>IF(V5=0,0,X5/V5)</f>
        <v/>
      </c>
      <c r="Z5" s="33" t="inlineStr">
        <is>
          <t>基础资源建筑：总预算控制，逐级增长曲线</t>
        </is>
      </c>
      <c r="AA5" s="33" t="inlineStr">
        <is>
          <t>不再用高指数把末级拉成数天；总预算分布到49次升级。</t>
        </is>
      </c>
    </row>
    <row r="6" ht="44" customHeight="1">
      <c r="A6" s="33" t="inlineStr">
        <is>
          <t>tax_office</t>
        </is>
      </c>
      <c r="B6" s="33" t="inlineStr">
        <is>
          <t>税务司</t>
        </is>
      </c>
      <c r="C6" s="33" t="inlineStr">
        <is>
          <t>资源生产</t>
        </is>
      </c>
      <c r="D6" s="43" t="n">
        <v>30</v>
      </c>
      <c r="E6" s="36">
        <f>D6-'参数与公式'!$B$9</f>
        <v/>
      </c>
      <c r="F6" s="36">
        <f>'建筑总览'!$F$6</f>
        <v/>
      </c>
      <c r="G6" s="44">
        <f>'建筑总览'!$G$6</f>
        <v/>
      </c>
      <c r="H6" s="37" t="n">
        <v>210</v>
      </c>
      <c r="I6" s="45" t="n">
        <v>1.1</v>
      </c>
      <c r="J6" s="37" t="n">
        <v>1728000</v>
      </c>
      <c r="K6" s="46" t="n">
        <v>20</v>
      </c>
      <c r="L6" s="35">
        <f>SUMIF('建筑建议逐级'!$A$5:$A$328,$A6,'建筑建议逐级'!$M$5:$M$328)/'参数与公式'!$B$21</f>
        <v/>
      </c>
      <c r="M6" s="35">
        <f>IF(ISNUMBER(K6),L6-K6,"—")</f>
        <v/>
      </c>
      <c r="N6" s="36">
        <f>'建筑总览'!$H$6</f>
        <v/>
      </c>
      <c r="O6" s="44">
        <f>'建筑总览'!$J$6</f>
        <v/>
      </c>
      <c r="P6" s="37" t="n">
        <v>450</v>
      </c>
      <c r="Q6" s="37" t="n">
        <v>0</v>
      </c>
      <c r="R6" s="45" t="n">
        <v>1.45</v>
      </c>
      <c r="S6" s="37" t="n">
        <v>5000000</v>
      </c>
      <c r="T6" s="37" t="n">
        <v>0</v>
      </c>
      <c r="U6" s="37" t="n">
        <v>5000000</v>
      </c>
      <c r="V6" s="36">
        <f>SUMIF('建筑建议逐级'!$A$5:$A$328,$A6,'建筑建议逐级'!$X$5:$X$328)</f>
        <v/>
      </c>
      <c r="W6" s="36">
        <f>IF(ISNUMBER(U6),V6-U6,"—")</f>
        <v/>
      </c>
      <c r="X6" s="36">
        <f>SUMIF('建筑建议逐级'!$A$5:$A$328,$A6,'建筑建议逐级'!$Y$5:$Y$328)</f>
        <v/>
      </c>
      <c r="Y6" s="47">
        <f>IF(V6=0,0,X6/V6)</f>
        <v/>
      </c>
      <c r="Z6" s="33" t="inlineStr">
        <is>
          <t>资源产出建筑：总预算控制，相邻级平滑增长</t>
        </is>
      </c>
      <c r="AA6" s="33" t="inlineStr">
        <is>
          <t>与农田同一基础资源档位，但按30级自然形成更长单级时长。</t>
        </is>
      </c>
    </row>
    <row r="7" ht="44" customHeight="1">
      <c r="A7" s="33" t="inlineStr">
        <is>
          <t>bathhouse</t>
        </is>
      </c>
      <c r="B7" s="33" t="inlineStr">
        <is>
          <t>澡堂</t>
        </is>
      </c>
      <c r="C7" s="33" t="inlineStr">
        <is>
          <t>资源生产</t>
        </is>
      </c>
      <c r="D7" s="43" t="n">
        <v>20</v>
      </c>
      <c r="E7" s="36">
        <f>D7-'参数与公式'!$B$9</f>
        <v/>
      </c>
      <c r="F7" s="36">
        <f>'建筑总览'!$F$7</f>
        <v/>
      </c>
      <c r="G7" s="44">
        <f>'建筑总览'!$G$7</f>
        <v/>
      </c>
      <c r="H7" s="37" t="n">
        <v>300</v>
      </c>
      <c r="I7" s="45" t="n">
        <v>1.08</v>
      </c>
      <c r="J7" s="37" t="n">
        <v>864000</v>
      </c>
      <c r="K7" s="46" t="n">
        <v>10</v>
      </c>
      <c r="L7" s="35">
        <f>SUMIF('建筑建议逐级'!$A$5:$A$328,$A7,'建筑建议逐级'!$M$5:$M$328)/'参数与公式'!$B$21</f>
        <v/>
      </c>
      <c r="M7" s="35">
        <f>IF(ISNUMBER(K7),L7-K7,"—")</f>
        <v/>
      </c>
      <c r="N7" s="36">
        <f>'建筑总览'!$H$7</f>
        <v/>
      </c>
      <c r="O7" s="44">
        <f>'建筑总览'!$J$7</f>
        <v/>
      </c>
      <c r="P7" s="37" t="n">
        <v>850</v>
      </c>
      <c r="Q7" s="37" t="n">
        <v>0</v>
      </c>
      <c r="R7" s="45" t="n">
        <v>1.4</v>
      </c>
      <c r="S7" s="37" t="n">
        <v>2000000</v>
      </c>
      <c r="T7" s="37" t="n">
        <v>0</v>
      </c>
      <c r="U7" s="37" t="n">
        <v>2000000</v>
      </c>
      <c r="V7" s="36">
        <f>SUMIF('建筑建议逐级'!$A$5:$A$328,$A7,'建筑建议逐级'!$X$5:$X$328)</f>
        <v/>
      </c>
      <c r="W7" s="36">
        <f>IF(ISNUMBER(U7),V7-U7,"—")</f>
        <v/>
      </c>
      <c r="X7" s="36">
        <f>SUMIF('建筑建议逐级'!$A$5:$A$328,$A7,'建筑建议逐级'!$Y$5:$Y$328)</f>
        <v/>
      </c>
      <c r="Y7" s="47">
        <f>IF(V7=0,0,X7/V7)</f>
        <v/>
      </c>
      <c r="Z7" s="33" t="inlineStr">
        <is>
          <t>生活设施：平滑预算曲线，避免早期过重</t>
        </is>
      </c>
      <c r="AA7" s="33" t="inlineStr">
        <is>
          <t>早期可升级，后期仍有明显投入感。</t>
        </is>
      </c>
    </row>
    <row r="8" ht="44" customHeight="1">
      <c r="A8" s="33" t="inlineStr">
        <is>
          <t>latrine</t>
        </is>
      </c>
      <c r="B8" s="33" t="inlineStr">
        <is>
          <t>茅厕</t>
        </is>
      </c>
      <c r="C8" s="33" t="inlineStr">
        <is>
          <t>资源生产</t>
        </is>
      </c>
      <c r="D8" s="43" t="n">
        <v>20</v>
      </c>
      <c r="E8" s="36">
        <f>D8-'参数与公式'!$B$9</f>
        <v/>
      </c>
      <c r="F8" s="36">
        <f>'建筑总览'!$F$8</f>
        <v/>
      </c>
      <c r="G8" s="44">
        <f>'建筑总览'!$G$8</f>
        <v/>
      </c>
      <c r="H8" s="37" t="n">
        <v>300</v>
      </c>
      <c r="I8" s="45" t="n">
        <v>1.08</v>
      </c>
      <c r="J8" s="37" t="n">
        <v>864000</v>
      </c>
      <c r="K8" s="46" t="n">
        <v>10</v>
      </c>
      <c r="L8" s="35">
        <f>SUMIF('建筑建议逐级'!$A$5:$A$328,$A8,'建筑建议逐级'!$M$5:$M$328)/'参数与公式'!$B$21</f>
        <v/>
      </c>
      <c r="M8" s="35">
        <f>IF(ISNUMBER(K8),L8-K8,"—")</f>
        <v/>
      </c>
      <c r="N8" s="36">
        <f>'建筑总览'!$H$8</f>
        <v/>
      </c>
      <c r="O8" s="44">
        <f>'建筑总览'!$J$8</f>
        <v/>
      </c>
      <c r="P8" s="37" t="n">
        <v>550</v>
      </c>
      <c r="Q8" s="37" t="n">
        <v>0</v>
      </c>
      <c r="R8" s="45" t="n">
        <v>1.4</v>
      </c>
      <c r="S8" s="37" t="n">
        <v>2000000</v>
      </c>
      <c r="T8" s="37" t="n">
        <v>0</v>
      </c>
      <c r="U8" s="37" t="n">
        <v>2000000</v>
      </c>
      <c r="V8" s="36">
        <f>SUMIF('建筑建议逐级'!$A$5:$A$328,$A8,'建筑建议逐级'!$X$5:$X$328)</f>
        <v/>
      </c>
      <c r="W8" s="36">
        <f>IF(ISNUMBER(U8),V8-U8,"—")</f>
        <v/>
      </c>
      <c r="X8" s="36">
        <f>SUMIF('建筑建议逐级'!$A$5:$A$328,$A8,'建筑建议逐级'!$Y$5:$Y$328)</f>
        <v/>
      </c>
      <c r="Y8" s="47">
        <f>IF(V8=0,0,X8/V8)</f>
        <v/>
      </c>
      <c r="Z8" s="33" t="inlineStr">
        <is>
          <t>生活设施：平滑预算曲线，避免早期过重</t>
        </is>
      </c>
      <c r="AA8" s="33" t="inlineStr">
        <is>
          <t>基础民生设施，升级压力和澡堂保持同档。</t>
        </is>
      </c>
    </row>
    <row r="9" ht="44" customHeight="1">
      <c r="A9" s="33" t="inlineStr">
        <is>
          <t>granary</t>
        </is>
      </c>
      <c r="B9" s="33" t="inlineStr">
        <is>
          <t>粮仓</t>
        </is>
      </c>
      <c r="C9" s="33" t="inlineStr">
        <is>
          <t>仓储设施</t>
        </is>
      </c>
      <c r="D9" s="43" t="n">
        <v>20</v>
      </c>
      <c r="E9" s="36">
        <f>D9-'参数与公式'!$B$9</f>
        <v/>
      </c>
      <c r="F9" s="36">
        <f>'建筑总览'!$F$9</f>
        <v/>
      </c>
      <c r="G9" s="44">
        <f>'建筑总览'!$G$9</f>
        <v/>
      </c>
      <c r="H9" s="37" t="n">
        <v>300</v>
      </c>
      <c r="I9" s="45" t="n">
        <v>1.08</v>
      </c>
      <c r="J9" s="37" t="n">
        <v>1728000</v>
      </c>
      <c r="K9" s="48" t="n">
        <v>20</v>
      </c>
      <c r="L9" s="35">
        <f>SUMIF('建筑建议逐级'!$A$5:$A$328,$A9,'建筑建议逐级'!$M$5:$M$328)/'参数与公式'!$B$21</f>
        <v/>
      </c>
      <c r="M9" s="35">
        <f>IF(ISNUMBER(K9),L9-K9,"—")</f>
        <v/>
      </c>
      <c r="N9" s="36">
        <f>'建筑总览'!$H$9</f>
        <v/>
      </c>
      <c r="O9" s="44">
        <f>'建筑总览'!$J$9</f>
        <v/>
      </c>
      <c r="P9" s="37" t="n">
        <v>950</v>
      </c>
      <c r="Q9" s="37" t="n">
        <v>0</v>
      </c>
      <c r="R9" s="45" t="n">
        <v>1.5</v>
      </c>
      <c r="S9" s="37" t="n">
        <v>5000000</v>
      </c>
      <c r="T9" s="37" t="n">
        <v>0</v>
      </c>
      <c r="U9" s="37" t="n">
        <v>5000000</v>
      </c>
      <c r="V9" s="36">
        <f>SUMIF('建筑建议逐级'!$A$5:$A$328,$A9,'建筑建议逐级'!$X$5:$X$328)</f>
        <v/>
      </c>
      <c r="W9" s="36">
        <f>IF(ISNUMBER(U9),V9-U9,"—")</f>
        <v/>
      </c>
      <c r="X9" s="36">
        <f>SUMIF('建筑建议逐级'!$A$5:$A$328,$A9,'建筑建议逐级'!$Y$5:$Y$328)</f>
        <v/>
      </c>
      <c r="Y9" s="47">
        <f>IF(V9=0,0,X9/V9)</f>
        <v/>
      </c>
      <c r="Z9" s="33" t="inlineStr">
        <is>
          <t>仓储建筑：20日时长预算，500万银两成本预算</t>
        </is>
      </c>
      <c r="AA9" s="33" t="inlineStr">
        <is>
          <t>粮仓满级累计时间约20天、银两约500万；时间与成本分别归一化，升级节奏保持平滑。</t>
        </is>
      </c>
    </row>
    <row r="10" ht="44" customHeight="1">
      <c r="A10" s="33" t="inlineStr">
        <is>
          <t>silver_vault</t>
        </is>
      </c>
      <c r="B10" s="33" t="inlineStr">
        <is>
          <t>银库</t>
        </is>
      </c>
      <c r="C10" s="33" t="inlineStr">
        <is>
          <t>仓储设施</t>
        </is>
      </c>
      <c r="D10" s="43" t="n">
        <v>30</v>
      </c>
      <c r="E10" s="36">
        <f>D10-'参数与公式'!$B$9</f>
        <v/>
      </c>
      <c r="F10" s="36">
        <f>'建筑总览'!$F$10</f>
        <v/>
      </c>
      <c r="G10" s="44">
        <f>'建筑总览'!$G$10</f>
        <v/>
      </c>
      <c r="H10" s="37" t="n">
        <v>300</v>
      </c>
      <c r="I10" s="45" t="n">
        <v>1.08</v>
      </c>
      <c r="J10" s="37" t="n">
        <v>2592000</v>
      </c>
      <c r="K10" s="46" t="n">
        <v>30</v>
      </c>
      <c r="L10" s="35">
        <f>SUMIF('建筑建议逐级'!$A$5:$A$328,$A10,'建筑建议逐级'!$M$5:$M$328)/'参数与公式'!$B$21</f>
        <v/>
      </c>
      <c r="M10" s="35">
        <f>IF(ISNUMBER(K10),L10-K10,"—")</f>
        <v/>
      </c>
      <c r="N10" s="36">
        <f>'建筑总览'!$H$10</f>
        <v/>
      </c>
      <c r="O10" s="44">
        <f>'建筑总览'!$J$10</f>
        <v/>
      </c>
      <c r="P10" s="37" t="n">
        <v>1100</v>
      </c>
      <c r="Q10" s="37" t="n">
        <v>0</v>
      </c>
      <c r="R10" s="45" t="n">
        <v>1</v>
      </c>
      <c r="S10" s="37" t="n">
        <v>0</v>
      </c>
      <c r="T10" s="37" t="n">
        <v>0</v>
      </c>
      <c r="U10" s="43" t="n"/>
      <c r="V10" s="36">
        <f>SUMIF('建筑建议逐级'!$A$5:$A$328,$A10,'建筑建议逐级'!$X$5:$X$328)</f>
        <v/>
      </c>
      <c r="W10" s="36">
        <f>IF(ISNUMBER(U10),V10-U10,"—")</f>
        <v/>
      </c>
      <c r="X10" s="36">
        <f>SUMIF('建筑建议逐级'!$A$5:$A$328,$A10,'建筑建议逐级'!$Y$5:$Y$328)</f>
        <v/>
      </c>
      <c r="Y10" s="47">
        <f>IF(V10=0,0,X10/V10)</f>
        <v/>
      </c>
      <c r="Z10" s="33" t="inlineStr">
        <is>
          <t>只控制时间预算，容量成本沿用现状</t>
        </is>
      </c>
      <c r="AA10" s="33" t="inlineStr">
        <is>
          <t>30日是时间预算，成本保留原稀缺性。</t>
        </is>
      </c>
    </row>
    <row r="11" ht="44" customHeight="1">
      <c r="A11" s="33" t="inlineStr">
        <is>
          <t>treasury</t>
        </is>
      </c>
      <c r="B11" s="33" t="inlineStr">
        <is>
          <t>藏宝阁</t>
        </is>
      </c>
      <c r="C11" s="33" t="inlineStr">
        <is>
          <t>仓储设施</t>
        </is>
      </c>
      <c r="D11" s="43" t="n">
        <v>20</v>
      </c>
      <c r="E11" s="36">
        <f>D11-'参数与公式'!$B$9</f>
        <v/>
      </c>
      <c r="F11" s="36">
        <f>'建筑总览'!$F$11</f>
        <v/>
      </c>
      <c r="G11" s="44">
        <f>'建筑总览'!$G$11</f>
        <v/>
      </c>
      <c r="H11" s="37" t="n">
        <v>600</v>
      </c>
      <c r="I11" s="45" t="n">
        <v>1.08</v>
      </c>
      <c r="J11" s="37" t="n">
        <v>2592000</v>
      </c>
      <c r="K11" s="46" t="n">
        <v>30</v>
      </c>
      <c r="L11" s="35">
        <f>SUMIF('建筑建议逐级'!$A$5:$A$328,$A11,'建筑建议逐级'!$M$5:$M$328)/'参数与公式'!$B$21</f>
        <v/>
      </c>
      <c r="M11" s="35">
        <f>IF(ISNUMBER(K11),L11-K11,"—")</f>
        <v/>
      </c>
      <c r="N11" s="36">
        <f>'建筑总览'!$H$11</f>
        <v/>
      </c>
      <c r="O11" s="44">
        <f>'建筑总览'!$J$11</f>
        <v/>
      </c>
      <c r="P11" s="37" t="n">
        <v>7500</v>
      </c>
      <c r="Q11" s="37" t="n">
        <v>0</v>
      </c>
      <c r="R11" s="45" t="n">
        <v>1</v>
      </c>
      <c r="S11" s="37" t="n">
        <v>0</v>
      </c>
      <c r="T11" s="37" t="n">
        <v>0</v>
      </c>
      <c r="U11" s="43" t="n"/>
      <c r="V11" s="36">
        <f>SUMIF('建筑建议逐级'!$A$5:$A$328,$A11,'建筑建议逐级'!$X$5:$X$328)</f>
        <v/>
      </c>
      <c r="W11" s="36">
        <f>IF(ISNUMBER(U11),V11-U11,"—")</f>
        <v/>
      </c>
      <c r="X11" s="36">
        <f>SUMIF('建筑建议逐级'!$A$5:$A$328,$A11,'建筑建议逐级'!$Y$5:$Y$328)</f>
        <v/>
      </c>
      <c r="Y11" s="47">
        <f>IF(V11=0,0,X11/V11)</f>
        <v/>
      </c>
      <c r="Z11" s="33" t="inlineStr">
        <is>
          <t>只控制时间预算，珍稀物品成本沿用现状</t>
        </is>
      </c>
      <c r="AA11" s="33" t="inlineStr">
        <is>
          <t>30日是时间预算，成本保留高价值存储定位。</t>
        </is>
      </c>
    </row>
    <row r="12" ht="44" customHeight="1">
      <c r="A12" s="33" t="inlineStr">
        <is>
          <t>ranch</t>
        </is>
      </c>
      <c r="B12" s="33" t="inlineStr">
        <is>
          <t>畜牧场</t>
        </is>
      </c>
      <c r="C12" s="33" t="inlineStr">
        <is>
          <t>生产加工</t>
        </is>
      </c>
      <c r="D12" s="43" t="n">
        <v>10</v>
      </c>
      <c r="E12" s="36">
        <f>D12-'参数与公式'!$B$9</f>
        <v/>
      </c>
      <c r="F12" s="36">
        <f>'建筑总览'!$F$12</f>
        <v/>
      </c>
      <c r="G12" s="44">
        <f>'建筑总览'!$G$12</f>
        <v/>
      </c>
      <c r="H12" s="37" t="n">
        <v>300</v>
      </c>
      <c r="I12" s="45" t="n">
        <v>1.08</v>
      </c>
      <c r="J12" s="37" t="n">
        <v>864000</v>
      </c>
      <c r="K12" s="46" t="n">
        <v>10</v>
      </c>
      <c r="L12" s="35">
        <f>SUMIF('建筑建议逐级'!$A$5:$A$328,$A12,'建筑建议逐级'!$M$5:$M$328)/'参数与公式'!$B$21</f>
        <v/>
      </c>
      <c r="M12" s="35">
        <f>IF(ISNUMBER(K12),L12-K12,"—")</f>
        <v/>
      </c>
      <c r="N12" s="36">
        <f>'建筑总览'!$H$12</f>
        <v/>
      </c>
      <c r="O12" s="44">
        <f>'建筑总览'!$J$12</f>
        <v/>
      </c>
      <c r="P12" s="37" t="n">
        <v>800</v>
      </c>
      <c r="Q12" s="37" t="n">
        <v>0</v>
      </c>
      <c r="R12" s="45" t="n">
        <v>1.2</v>
      </c>
      <c r="S12" s="37" t="n">
        <v>1000000</v>
      </c>
      <c r="T12" s="37" t="n">
        <v>0</v>
      </c>
      <c r="U12" s="37" t="n">
        <v>1000000</v>
      </c>
      <c r="V12" s="36">
        <f>SUMIF('建筑建议逐级'!$A$5:$A$328,$A12,'建筑建议逐级'!$X$5:$X$328)</f>
        <v/>
      </c>
      <c r="W12" s="36">
        <f>IF(ISNUMBER(U12),V12-U12,"—")</f>
        <v/>
      </c>
      <c r="X12" s="36">
        <f>SUMIF('建筑建议逐级'!$A$5:$A$328,$A12,'建筑建议逐级'!$Y$5:$Y$328)</f>
        <v/>
      </c>
      <c r="Y12" s="47">
        <f>IF(V12=0,0,X12/V12)</f>
        <v/>
      </c>
      <c r="Z12" s="33" t="inlineStr">
        <is>
          <t>生产建筑：统一10日/100万档位</t>
        </is>
      </c>
      <c r="AA12" s="33" t="inlineStr">
        <is>
          <t>同类生产建筑使用同一预算曲线，减少无意义的指数差异。</t>
        </is>
      </c>
    </row>
    <row r="13" ht="44" customHeight="1">
      <c r="A13" s="33" t="inlineStr">
        <is>
          <t>smithy</t>
        </is>
      </c>
      <c r="B13" s="33" t="inlineStr">
        <is>
          <t>冶炼坊</t>
        </is>
      </c>
      <c r="C13" s="33" t="inlineStr">
        <is>
          <t>生产加工</t>
        </is>
      </c>
      <c r="D13" s="43" t="n">
        <v>10</v>
      </c>
      <c r="E13" s="36">
        <f>D13-'参数与公式'!$B$9</f>
        <v/>
      </c>
      <c r="F13" s="36">
        <f>'建筑总览'!$F$13</f>
        <v/>
      </c>
      <c r="G13" s="44">
        <f>'建筑总览'!$G$13</f>
        <v/>
      </c>
      <c r="H13" s="37" t="n">
        <v>300</v>
      </c>
      <c r="I13" s="45" t="n">
        <v>1.08</v>
      </c>
      <c r="J13" s="37" t="n">
        <v>864000</v>
      </c>
      <c r="K13" s="46" t="n">
        <v>10</v>
      </c>
      <c r="L13" s="35">
        <f>SUMIF('建筑建议逐级'!$A$5:$A$328,$A13,'建筑建议逐级'!$M$5:$M$328)/'参数与公式'!$B$21</f>
        <v/>
      </c>
      <c r="M13" s="35">
        <f>IF(ISNUMBER(K13),L13-K13,"—")</f>
        <v/>
      </c>
      <c r="N13" s="36">
        <f>'建筑总览'!$H$13</f>
        <v/>
      </c>
      <c r="O13" s="44">
        <f>'建筑总览'!$J$13</f>
        <v/>
      </c>
      <c r="P13" s="37" t="n">
        <v>1000</v>
      </c>
      <c r="Q13" s="37" t="n">
        <v>0</v>
      </c>
      <c r="R13" s="45" t="n">
        <v>1.2</v>
      </c>
      <c r="S13" s="37" t="n">
        <v>1000000</v>
      </c>
      <c r="T13" s="37" t="n">
        <v>0</v>
      </c>
      <c r="U13" s="37" t="n">
        <v>1000000</v>
      </c>
      <c r="V13" s="36">
        <f>SUMIF('建筑建议逐级'!$A$5:$A$328,$A13,'建筑建议逐级'!$X$5:$X$328)</f>
        <v/>
      </c>
      <c r="W13" s="36">
        <f>IF(ISNUMBER(U13),V13-U13,"—")</f>
        <v/>
      </c>
      <c r="X13" s="36">
        <f>SUMIF('建筑建议逐级'!$A$5:$A$328,$A13,'建筑建议逐级'!$Y$5:$Y$328)</f>
        <v/>
      </c>
      <c r="Y13" s="47">
        <f>IF(V13=0,0,X13/V13)</f>
        <v/>
      </c>
      <c r="Z13" s="33" t="inlineStr">
        <is>
          <t>生产建筑：统一10日/100万档位</t>
        </is>
      </c>
      <c r="AA13" s="33" t="inlineStr">
        <is>
          <t>同类生产建筑使用同一预算曲线，减少无意义的指数差异。</t>
        </is>
      </c>
    </row>
    <row r="14" ht="44" customHeight="1">
      <c r="A14" s="33" t="inlineStr">
        <is>
          <t>stable</t>
        </is>
      </c>
      <c r="B14" s="33" t="inlineStr">
        <is>
          <t>马房</t>
        </is>
      </c>
      <c r="C14" s="33" t="inlineStr">
        <is>
          <t>生产加工</t>
        </is>
      </c>
      <c r="D14" s="43" t="n">
        <v>10</v>
      </c>
      <c r="E14" s="36">
        <f>D14-'参数与公式'!$B$9</f>
        <v/>
      </c>
      <c r="F14" s="36">
        <f>'建筑总览'!$F$14</f>
        <v/>
      </c>
      <c r="G14" s="44">
        <f>'建筑总览'!$G$14</f>
        <v/>
      </c>
      <c r="H14" s="37" t="n">
        <v>300</v>
      </c>
      <c r="I14" s="45" t="n">
        <v>1.08</v>
      </c>
      <c r="J14" s="37" t="n">
        <v>864000</v>
      </c>
      <c r="K14" s="46" t="n">
        <v>10</v>
      </c>
      <c r="L14" s="35">
        <f>SUMIF('建筑建议逐级'!$A$5:$A$328,$A14,'建筑建议逐级'!$M$5:$M$328)/'参数与公式'!$B$21</f>
        <v/>
      </c>
      <c r="M14" s="35">
        <f>IF(ISNUMBER(K14),L14-K14,"—")</f>
        <v/>
      </c>
      <c r="N14" s="36">
        <f>'建筑总览'!$H$14</f>
        <v/>
      </c>
      <c r="O14" s="44">
        <f>'建筑总览'!$J$14</f>
        <v/>
      </c>
      <c r="P14" s="37" t="n">
        <v>980</v>
      </c>
      <c r="Q14" s="37" t="n">
        <v>0</v>
      </c>
      <c r="R14" s="45" t="n">
        <v>1.2</v>
      </c>
      <c r="S14" s="37" t="n">
        <v>1000000</v>
      </c>
      <c r="T14" s="37" t="n">
        <v>0</v>
      </c>
      <c r="U14" s="37" t="n">
        <v>1000000</v>
      </c>
      <c r="V14" s="36">
        <f>SUMIF('建筑建议逐级'!$A$5:$A$328,$A14,'建筑建议逐级'!$X$5:$X$328)</f>
        <v/>
      </c>
      <c r="W14" s="36">
        <f>IF(ISNUMBER(U14),V14-U14,"—")</f>
        <v/>
      </c>
      <c r="X14" s="36">
        <f>SUMIF('建筑建议逐级'!$A$5:$A$328,$A14,'建筑建议逐级'!$Y$5:$Y$328)</f>
        <v/>
      </c>
      <c r="Y14" s="47">
        <f>IF(V14=0,0,X14/V14)</f>
        <v/>
      </c>
      <c r="Z14" s="33" t="inlineStr">
        <is>
          <t>生产建筑：统一10日/100万档位</t>
        </is>
      </c>
      <c r="AA14" s="33" t="inlineStr">
        <is>
          <t>同类生产建筑使用同一预算曲线，减少无意义的指数差异。</t>
        </is>
      </c>
    </row>
    <row r="15" ht="44" customHeight="1">
      <c r="A15" s="33" t="inlineStr">
        <is>
          <t>forge</t>
        </is>
      </c>
      <c r="B15" s="33" t="inlineStr">
        <is>
          <t>铁匠铺</t>
        </is>
      </c>
      <c r="C15" s="33" t="inlineStr">
        <is>
          <t>生产加工</t>
        </is>
      </c>
      <c r="D15" s="43" t="n">
        <v>10</v>
      </c>
      <c r="E15" s="36">
        <f>D15-'参数与公式'!$B$9</f>
        <v/>
      </c>
      <c r="F15" s="36">
        <f>'建筑总览'!$F$15</f>
        <v/>
      </c>
      <c r="G15" s="44">
        <f>'建筑总览'!$G$15</f>
        <v/>
      </c>
      <c r="H15" s="37" t="n">
        <v>300</v>
      </c>
      <c r="I15" s="45" t="n">
        <v>1.08</v>
      </c>
      <c r="J15" s="37" t="n">
        <v>864000</v>
      </c>
      <c r="K15" s="46" t="n">
        <v>10</v>
      </c>
      <c r="L15" s="35">
        <f>SUMIF('建筑建议逐级'!$A$5:$A$328,$A15,'建筑建议逐级'!$M$5:$M$328)/'参数与公式'!$B$21</f>
        <v/>
      </c>
      <c r="M15" s="35">
        <f>IF(ISNUMBER(K15),L15-K15,"—")</f>
        <v/>
      </c>
      <c r="N15" s="36">
        <f>'建筑总览'!$H$15</f>
        <v/>
      </c>
      <c r="O15" s="44">
        <f>'建筑总览'!$J$15</f>
        <v/>
      </c>
      <c r="P15" s="37" t="n">
        <v>500</v>
      </c>
      <c r="Q15" s="37" t="n">
        <v>500</v>
      </c>
      <c r="R15" s="45" t="n">
        <v>1.2</v>
      </c>
      <c r="S15" s="37" t="n">
        <v>1000000</v>
      </c>
      <c r="T15" s="37" t="n">
        <v>1000000</v>
      </c>
      <c r="U15" s="37" t="n">
        <v>1000000</v>
      </c>
      <c r="V15" s="36">
        <f>SUMIF('建筑建议逐级'!$A$5:$A$328,$A15,'建筑建议逐级'!$X$5:$X$328)</f>
        <v/>
      </c>
      <c r="W15" s="36">
        <f>IF(ISNUMBER(U15),V15-U15,"—")</f>
        <v/>
      </c>
      <c r="X15" s="36">
        <f>SUMIF('建筑建议逐级'!$A$5:$A$328,$A15,'建筑建议逐级'!$Y$5:$Y$328)</f>
        <v/>
      </c>
      <c r="Y15" s="47">
        <f>IF(V15=0,0,X15/V15)</f>
        <v/>
      </c>
      <c r="Z15" s="33" t="inlineStr">
        <is>
          <t>生产建筑：粮银预算各100万，比例不变</t>
        </is>
      </c>
      <c r="AA15" s="33" t="inlineStr">
        <is>
          <t>粮银均按现有1:1比例配置预算。</t>
        </is>
      </c>
    </row>
    <row r="16" ht="44" customHeight="1">
      <c r="A16" s="33" t="inlineStr">
        <is>
          <t>juxianzhuang</t>
        </is>
      </c>
      <c r="B16" s="33" t="inlineStr">
        <is>
          <t>聚贤庄</t>
        </is>
      </c>
      <c r="C16" s="33" t="inlineStr">
        <is>
          <t>人员管理</t>
        </is>
      </c>
      <c r="D16" s="43" t="n">
        <v>15</v>
      </c>
      <c r="E16" s="36">
        <f>D16-'参数与公式'!$B$9</f>
        <v/>
      </c>
      <c r="F16" s="36">
        <f>'建筑总览'!$F$16</f>
        <v/>
      </c>
      <c r="G16" s="44">
        <f>'建筑总览'!$G$16</f>
        <v/>
      </c>
      <c r="H16" s="37" t="n">
        <v>3107</v>
      </c>
      <c r="I16" s="45" t="n">
        <v>1.1</v>
      </c>
      <c r="J16" s="37" t="n">
        <v>15552000</v>
      </c>
      <c r="K16" s="46" t="n">
        <v>180</v>
      </c>
      <c r="L16" s="35">
        <f>SUMIF('建筑建议逐级'!$A$5:$A$328,$A16,'建筑建议逐级'!$M$5:$M$328)/'参数与公式'!$B$21</f>
        <v/>
      </c>
      <c r="M16" s="35">
        <f>IF(ISNUMBER(K16),L16-K16,"—")</f>
        <v/>
      </c>
      <c r="N16" s="36">
        <f>'建筑总览'!$H$16</f>
        <v/>
      </c>
      <c r="O16" s="44">
        <f>'建筑总览'!$J$16</f>
        <v/>
      </c>
      <c r="P16" s="37" t="n">
        <v>17164</v>
      </c>
      <c r="Q16" s="37" t="n">
        <v>3432</v>
      </c>
      <c r="R16" s="45" t="n">
        <v>1</v>
      </c>
      <c r="S16" s="37" t="n">
        <v>0</v>
      </c>
      <c r="T16" s="37" t="n">
        <v>0</v>
      </c>
      <c r="U16" s="43" t="n"/>
      <c r="V16" s="36">
        <f>SUMIF('建筑建议逐级'!$A$5:$A$328,$A16,'建筑建议逐级'!$X$5:$X$328)</f>
        <v/>
      </c>
      <c r="W16" s="36">
        <f>IF(ISNUMBER(U16),V16-U16,"—")</f>
        <v/>
      </c>
      <c r="X16" s="36">
        <f>SUMIF('建筑建议逐级'!$A$5:$A$328,$A16,'建筑建议逐级'!$Y$5:$Y$328)</f>
        <v/>
      </c>
      <c r="Y16" s="47">
        <f>IF(V16=0,0,X16/V16)</f>
        <v/>
      </c>
      <c r="Z16" s="33" t="inlineStr">
        <is>
          <t>容量核心：180日预算，后段适度加重</t>
        </is>
      </c>
      <c r="AA16" s="33" t="inlineStr">
        <is>
          <t>180天长线建筑：时长按逐级增长曲线分配；银两总额未设用户目标，成本先保留现状并建议配合后期解锁条件。</t>
        </is>
      </c>
    </row>
    <row r="17" ht="44" customHeight="1">
      <c r="A17" s="33" t="inlineStr">
        <is>
          <t>jiadingfang</t>
        </is>
      </c>
      <c r="B17" s="33" t="inlineStr">
        <is>
          <t>家丁房</t>
        </is>
      </c>
      <c r="C17" s="33" t="inlineStr">
        <is>
          <t>人员管理</t>
        </is>
      </c>
      <c r="D17" s="43" t="n">
        <v>30</v>
      </c>
      <c r="E17" s="36">
        <f>D17-'参数与公式'!$B$9</f>
        <v/>
      </c>
      <c r="F17" s="36">
        <f>'建筑总览'!$F$17</f>
        <v/>
      </c>
      <c r="G17" s="44">
        <f>'建筑总览'!$G$17</f>
        <v/>
      </c>
      <c r="H17" s="37" t="n">
        <v>300</v>
      </c>
      <c r="I17" s="45" t="n">
        <v>1.08</v>
      </c>
      <c r="J17" s="37" t="n">
        <v>2160000</v>
      </c>
      <c r="K17" s="46" t="n">
        <v>25</v>
      </c>
      <c r="L17" s="35">
        <f>SUMIF('建筑建议逐级'!$A$5:$A$328,$A17,'建筑建议逐级'!$M$5:$M$328)/'参数与公式'!$B$21</f>
        <v/>
      </c>
      <c r="M17" s="35">
        <f>IF(ISNUMBER(K17),L17-K17,"—")</f>
        <v/>
      </c>
      <c r="N17" s="36">
        <f>'建筑总览'!$H$17</f>
        <v/>
      </c>
      <c r="O17" s="44">
        <f>'建筑总览'!$J$17</f>
        <v/>
      </c>
      <c r="P17" s="37" t="n">
        <v>420</v>
      </c>
      <c r="Q17" s="37" t="n">
        <v>0</v>
      </c>
      <c r="R17" s="45" t="n">
        <v>1</v>
      </c>
      <c r="S17" s="37" t="n">
        <v>0</v>
      </c>
      <c r="T17" s="37" t="n">
        <v>0</v>
      </c>
      <c r="U17" s="43" t="n"/>
      <c r="V17" s="36">
        <f>SUMIF('建筑建议逐级'!$A$5:$A$328,$A17,'建筑建议逐级'!$X$5:$X$328)</f>
        <v/>
      </c>
      <c r="W17" s="36">
        <f>IF(ISNUMBER(U17),V17-U17,"—")</f>
        <v/>
      </c>
      <c r="X17" s="36">
        <f>SUMIF('建筑建议逐级'!$A$5:$A$328,$A17,'建筑建议逐级'!$Y$5:$Y$328)</f>
        <v/>
      </c>
      <c r="Y17" s="47">
        <f>IF(V17=0,0,X17/V17)</f>
        <v/>
      </c>
      <c r="Z17" s="33" t="inlineStr">
        <is>
          <t>容量建筑：25日预算，成本沿用现状</t>
        </is>
      </c>
      <c r="AA17" s="33" t="inlineStr">
        <is>
          <t>容量成长较长，但保持低于聚贤庄级别。</t>
        </is>
      </c>
    </row>
    <row r="18" ht="44" customHeight="1">
      <c r="A18" s="33" t="inlineStr">
        <is>
          <t>lianggongchang</t>
        </is>
      </c>
      <c r="B18" s="33" t="inlineStr">
        <is>
          <t>练功场</t>
        </is>
      </c>
      <c r="C18" s="33" t="inlineStr">
        <is>
          <t>人员管理</t>
        </is>
      </c>
      <c r="D18" s="43" t="n">
        <v>10</v>
      </c>
      <c r="E18" s="36">
        <f>D18-'参数与公式'!$B$9</f>
        <v/>
      </c>
      <c r="F18" s="36">
        <f>'建筑总览'!$F$18</f>
        <v/>
      </c>
      <c r="G18" s="44">
        <f>'建筑总览'!$G$18</f>
        <v/>
      </c>
      <c r="H18" s="37" t="n">
        <v>300</v>
      </c>
      <c r="I18" s="45" t="n">
        <v>1.08</v>
      </c>
      <c r="J18" s="37" t="n">
        <v>864000</v>
      </c>
      <c r="K18" s="46" t="n">
        <v>10</v>
      </c>
      <c r="L18" s="35">
        <f>SUMIF('建筑建议逐级'!$A$5:$A$328,$A18,'建筑建议逐级'!$M$5:$M$328)/'参数与公式'!$B$21</f>
        <v/>
      </c>
      <c r="M18" s="35">
        <f>IF(ISNUMBER(K18),L18-K18,"—")</f>
        <v/>
      </c>
      <c r="N18" s="36">
        <f>'建筑总览'!$H$18</f>
        <v/>
      </c>
      <c r="O18" s="44">
        <f>'建筑总览'!$J$18</f>
        <v/>
      </c>
      <c r="P18" s="37" t="n">
        <v>550</v>
      </c>
      <c r="Q18" s="37" t="n">
        <v>0</v>
      </c>
      <c r="R18" s="45" t="n">
        <v>1.2</v>
      </c>
      <c r="S18" s="37" t="n">
        <v>1000000</v>
      </c>
      <c r="T18" s="37" t="n">
        <v>0</v>
      </c>
      <c r="U18" s="43" t="n"/>
      <c r="V18" s="36">
        <f>SUMIF('建筑建议逐级'!$A$5:$A$328,$A18,'建筑建议逐级'!$X$5:$X$328)</f>
        <v/>
      </c>
      <c r="W18" s="36">
        <f>IF(ISNUMBER(U18),V18-U18,"—")</f>
        <v/>
      </c>
      <c r="X18" s="36">
        <f>SUMIF('建筑建议逐级'!$A$5:$A$328,$A18,'建筑建议逐级'!$Y$5:$Y$328)</f>
        <v/>
      </c>
      <c r="Y18" s="47">
        <f>IF(V18=0,0,X18/V18)</f>
        <v/>
      </c>
      <c r="Z18" s="33" t="inlineStr">
        <is>
          <t>训练建筑：统一10日/100万档位</t>
        </is>
      </c>
      <c r="AA18" s="33" t="inlineStr">
        <is>
          <t>训练功能与普通生产建筑共用预算档位。</t>
        </is>
      </c>
    </row>
    <row r="19" ht="44" customHeight="1">
      <c r="A19" s="33" t="inlineStr">
        <is>
          <t>tavern</t>
        </is>
      </c>
      <c r="B19" s="33" t="inlineStr">
        <is>
          <t>酒馆</t>
        </is>
      </c>
      <c r="C19" s="33" t="inlineStr">
        <is>
          <t>人员管理</t>
        </is>
      </c>
      <c r="D19" s="43" t="n">
        <v>10</v>
      </c>
      <c r="E19" s="36">
        <f>D19-'参数与公式'!$B$9</f>
        <v/>
      </c>
      <c r="F19" s="36">
        <f>'建筑总览'!$F$19</f>
        <v/>
      </c>
      <c r="G19" s="44">
        <f>'建筑总览'!$G$19</f>
        <v/>
      </c>
      <c r="H19" s="37" t="n">
        <v>300</v>
      </c>
      <c r="I19" s="45" t="n">
        <v>1.08</v>
      </c>
      <c r="J19" s="37" t="n">
        <v>864000</v>
      </c>
      <c r="K19" s="46" t="n">
        <v>10</v>
      </c>
      <c r="L19" s="35">
        <f>SUMIF('建筑建议逐级'!$A$5:$A$328,$A19,'建筑建议逐级'!$M$5:$M$328)/'参数与公式'!$B$21</f>
        <v/>
      </c>
      <c r="M19" s="35">
        <f>IF(ISNUMBER(K19),L19-K19,"—")</f>
        <v/>
      </c>
      <c r="N19" s="36">
        <f>'建筑总览'!$H$19</f>
        <v/>
      </c>
      <c r="O19" s="44">
        <f>'建筑总览'!$J$19</f>
        <v/>
      </c>
      <c r="P19" s="37" t="n">
        <v>1150</v>
      </c>
      <c r="Q19" s="37" t="n">
        <v>0</v>
      </c>
      <c r="R19" s="45" t="n">
        <v>1.2</v>
      </c>
      <c r="S19" s="37" t="n">
        <v>5000000</v>
      </c>
      <c r="T19" s="37" t="n">
        <v>0</v>
      </c>
      <c r="U19" s="37" t="n">
        <v>5000000</v>
      </c>
      <c r="V19" s="36">
        <f>SUMIF('建筑建议逐级'!$A$5:$A$328,$A19,'建筑建议逐级'!$X$5:$X$328)</f>
        <v/>
      </c>
      <c r="W19" s="36">
        <f>IF(ISNUMBER(U19),V19-U19,"—")</f>
        <v/>
      </c>
      <c r="X19" s="36">
        <f>SUMIF('建筑建议逐级'!$A$5:$A$328,$A19,'建筑建议逐级'!$Y$5:$Y$328)</f>
        <v/>
      </c>
      <c r="Y19" s="47">
        <f>IF(V19=0,0,X19/V19)</f>
        <v/>
      </c>
      <c r="Z19" s="33" t="inlineStr">
        <is>
          <t>复合收益建筑：成本后段略高于普通生产设施</t>
        </is>
      </c>
      <c r="AA19" s="33" t="inlineStr">
        <is>
          <t>复合收益带来略高的成本后段曲线。</t>
        </is>
      </c>
    </row>
    <row r="20" ht="44" customHeight="1">
      <c r="A20" s="33" t="inlineStr">
        <is>
          <t>citang</t>
        </is>
      </c>
      <c r="B20" s="33" t="inlineStr">
        <is>
          <t>祠堂</t>
        </is>
      </c>
      <c r="C20" s="33" t="inlineStr">
        <is>
          <t>特殊建筑</t>
        </is>
      </c>
      <c r="D20" s="43" t="n">
        <v>5</v>
      </c>
      <c r="E20" s="36">
        <f>D20-'参数与公式'!$B$9</f>
        <v/>
      </c>
      <c r="F20" s="36">
        <f>'建筑总览'!$F$20</f>
        <v/>
      </c>
      <c r="G20" s="44">
        <f>'建筑总览'!$G$20</f>
        <v/>
      </c>
      <c r="H20" s="37" t="n">
        <v>3600</v>
      </c>
      <c r="I20" s="45" t="n">
        <v>1.03</v>
      </c>
      <c r="J20" s="37" t="n">
        <v>2592000</v>
      </c>
      <c r="K20" s="46" t="n">
        <v>30</v>
      </c>
      <c r="L20" s="35">
        <f>SUMIF('建筑建议逐级'!$A$5:$A$328,$A20,'建筑建议逐级'!$M$5:$M$328)/'参数与公式'!$B$21</f>
        <v/>
      </c>
      <c r="M20" s="35">
        <f>IF(ISNUMBER(K20),L20-K20,"—")</f>
        <v/>
      </c>
      <c r="N20" s="36">
        <f>'建筑总览'!$H$20</f>
        <v/>
      </c>
      <c r="O20" s="44">
        <f>'建筑总览'!$J$20</f>
        <v/>
      </c>
      <c r="P20" s="37" t="n">
        <v>10000</v>
      </c>
      <c r="Q20" s="37" t="n">
        <v>5000</v>
      </c>
      <c r="R20" s="45" t="n">
        <v>1.03</v>
      </c>
      <c r="S20" s="37" t="n">
        <v>10000000</v>
      </c>
      <c r="T20" s="37" t="n">
        <v>5000000</v>
      </c>
      <c r="U20" s="37" t="n">
        <v>10000000</v>
      </c>
      <c r="V20" s="36">
        <f>SUMIF('建筑建议逐级'!$A$5:$A$328,$A20,'建筑建议逐级'!$X$5:$X$328)</f>
        <v/>
      </c>
      <c r="W20" s="36">
        <f>IF(ISNUMBER(U20),V20-U20,"—")</f>
        <v/>
      </c>
      <c r="X20" s="36">
        <f>SUMIF('建筑建议逐级'!$A$5:$A$328,$A20,'建筑建议逐级'!$Y$5:$Y$328)</f>
        <v/>
      </c>
      <c r="Y20" s="47">
        <f>IF(V20=0,0,X20/V20)</f>
        <v/>
      </c>
      <c r="Z20" s="33" t="inlineStr">
        <is>
          <t>全局增益建筑：后段曲线更强但不指数爆炸</t>
        </is>
      </c>
      <c r="AA20" s="33" t="inlineStr">
        <is>
          <t>4次升级共30日，后段加重但仍由总预算封顶。</t>
        </is>
      </c>
    </row>
    <row r="21" ht="44" customHeight="1">
      <c r="A21" s="33" t="inlineStr">
        <is>
          <t>youxibaota</t>
        </is>
      </c>
      <c r="B21" s="33" t="inlineStr">
        <is>
          <t>悠嘻宝塔</t>
        </is>
      </c>
      <c r="C21" s="33" t="inlineStr">
        <is>
          <t>特殊建筑</t>
        </is>
      </c>
      <c r="D21" s="43" t="n">
        <v>15</v>
      </c>
      <c r="E21" s="36">
        <f>D21-'参数与公式'!$B$9</f>
        <v/>
      </c>
      <c r="F21" s="36">
        <f>'建筑总览'!$F$21</f>
        <v/>
      </c>
      <c r="G21" s="44">
        <f>'建筑总览'!$G$21</f>
        <v/>
      </c>
      <c r="H21" s="37" t="n">
        <v>3107</v>
      </c>
      <c r="I21" s="45" t="n">
        <v>1.1</v>
      </c>
      <c r="J21" s="37" t="n">
        <v>15552000</v>
      </c>
      <c r="K21" s="46" t="n">
        <v>180</v>
      </c>
      <c r="L21" s="35">
        <f>SUMIF('建筑建议逐级'!$A$5:$A$328,$A21,'建筑建议逐级'!$M$5:$M$328)/'参数与公式'!$B$21</f>
        <v/>
      </c>
      <c r="M21" s="35">
        <f>IF(ISNUMBER(K21),L21-K21,"—")</f>
        <v/>
      </c>
      <c r="N21" s="36">
        <f>'建筑总览'!$H$21</f>
        <v/>
      </c>
      <c r="O21" s="44">
        <f>'建筑总览'!$J$21</f>
        <v/>
      </c>
      <c r="P21" s="37" t="n">
        <v>20193</v>
      </c>
      <c r="Q21" s="37" t="n">
        <v>4038</v>
      </c>
      <c r="R21" s="45" t="n">
        <v>1</v>
      </c>
      <c r="S21" s="37" t="n">
        <v>0</v>
      </c>
      <c r="T21" s="37" t="n">
        <v>0</v>
      </c>
      <c r="U21" s="43" t="n"/>
      <c r="V21" s="36">
        <f>SUMIF('建筑建议逐级'!$A$5:$A$328,$A21,'建筑建议逐级'!$X$5:$X$328)</f>
        <v/>
      </c>
      <c r="W21" s="36">
        <f>IF(ISNUMBER(U21),V21-U21,"—")</f>
        <v/>
      </c>
      <c r="X21" s="36">
        <f>SUMIF('建筑建议逐级'!$A$5:$A$328,$A21,'建筑建议逐级'!$Y$5:$Y$328)</f>
        <v/>
      </c>
      <c r="Y21" s="47">
        <f>IF(V21=0,0,X21/V21)</f>
        <v/>
      </c>
      <c r="Z21" s="33" t="inlineStr">
        <is>
          <t>出征容量核心：180日预算，后段适度加重</t>
        </is>
      </c>
      <c r="AA21" s="33" t="inlineStr">
        <is>
          <t>180天长线建筑：时长按逐级增长曲线分配；银两总额未设用户目标，成本先保留现状并建议配合后期解锁条件。</t>
        </is>
      </c>
    </row>
    <row r="22" ht="44" customHeight="1">
      <c r="A22" s="33" t="inlineStr">
        <is>
          <t>jail</t>
        </is>
      </c>
      <c r="B22" s="33" t="inlineStr">
        <is>
          <t>监牢</t>
        </is>
      </c>
      <c r="C22" s="33" t="inlineStr">
        <is>
          <t>特殊建筑</t>
        </is>
      </c>
      <c r="D22" s="43" t="n">
        <v>5</v>
      </c>
      <c r="E22" s="36">
        <f>D22-'参数与公式'!$B$9</f>
        <v/>
      </c>
      <c r="F22" s="36">
        <f>'建筑总览'!$F$22</f>
        <v/>
      </c>
      <c r="G22" s="44">
        <f>'建筑总览'!$G$22</f>
        <v/>
      </c>
      <c r="H22" s="37" t="n">
        <v>600</v>
      </c>
      <c r="I22" s="45" t="n">
        <v>1.03</v>
      </c>
      <c r="J22" s="37" t="n">
        <v>2592000</v>
      </c>
      <c r="K22" s="46" t="n">
        <v>30</v>
      </c>
      <c r="L22" s="35">
        <f>SUMIF('建筑建议逐级'!$A$5:$A$328,$A22,'建筑建议逐级'!$M$5:$M$328)/'参数与公式'!$B$21</f>
        <v/>
      </c>
      <c r="M22" s="35">
        <f>IF(ISNUMBER(K22),L22-K22,"—")</f>
        <v/>
      </c>
      <c r="N22" s="36">
        <f>'建筑总览'!$H$22</f>
        <v/>
      </c>
      <c r="O22" s="44">
        <f>'建筑总览'!$J$22</f>
        <v/>
      </c>
      <c r="P22" s="37" t="n">
        <v>1200</v>
      </c>
      <c r="Q22" s="37" t="n">
        <v>800</v>
      </c>
      <c r="R22" s="45" t="n">
        <v>1.03</v>
      </c>
      <c r="S22" s="37" t="n">
        <v>10000000</v>
      </c>
      <c r="T22" s="37" t="n">
        <v>6666667</v>
      </c>
      <c r="U22" s="37" t="n">
        <v>10000000</v>
      </c>
      <c r="V22" s="36">
        <f>SUMIF('建筑建议逐级'!$A$5:$A$328,$A22,'建筑建议逐级'!$X$5:$X$328)</f>
        <v/>
      </c>
      <c r="W22" s="36">
        <f>IF(ISNUMBER(U22),V22-U22,"—")</f>
        <v/>
      </c>
      <c r="X22" s="36">
        <f>SUMIF('建筑建议逐级'!$A$5:$A$328,$A22,'建筑建议逐级'!$Y$5:$Y$328)</f>
        <v/>
      </c>
      <c r="Y22" s="47">
        <f>IF(V22=0,0,X22/V22)</f>
        <v/>
      </c>
      <c r="Z22" s="33" t="inlineStr">
        <is>
          <t>特殊容量建筑：高预算、可控后段溢价</t>
        </is>
      </c>
      <c r="AA22" s="33" t="inlineStr">
        <is>
          <t>4次升级共30日，末级约12天而非16天以上。</t>
        </is>
      </c>
    </row>
    <row r="23" ht="44" customHeight="1">
      <c r="A23" s="33" t="inlineStr">
        <is>
          <t>oath_grove</t>
        </is>
      </c>
      <c r="B23" s="33" t="inlineStr">
        <is>
          <t>结义林</t>
        </is>
      </c>
      <c r="C23" s="33" t="inlineStr">
        <is>
          <t>特殊建筑</t>
        </is>
      </c>
      <c r="D23" s="43" t="n">
        <v>5</v>
      </c>
      <c r="E23" s="36">
        <f>D23-'参数与公式'!$B$9</f>
        <v/>
      </c>
      <c r="F23" s="36">
        <f>'建筑总览'!$F$23</f>
        <v/>
      </c>
      <c r="G23" s="44">
        <f>'建筑总览'!$G$23</f>
        <v/>
      </c>
      <c r="H23" s="37" t="n">
        <v>600</v>
      </c>
      <c r="I23" s="45" t="n">
        <v>1.03</v>
      </c>
      <c r="J23" s="37" t="n">
        <v>2592000</v>
      </c>
      <c r="K23" s="46" t="n">
        <v>30</v>
      </c>
      <c r="L23" s="35">
        <f>SUMIF('建筑建议逐级'!$A$5:$A$328,$A23,'建筑建议逐级'!$M$5:$M$328)/'参数与公式'!$B$21</f>
        <v/>
      </c>
      <c r="M23" s="35">
        <f>IF(ISNUMBER(K23),L23-K23,"—")</f>
        <v/>
      </c>
      <c r="N23" s="36">
        <f>'建筑总览'!$H$23</f>
        <v/>
      </c>
      <c r="O23" s="44">
        <f>'建筑总览'!$J$23</f>
        <v/>
      </c>
      <c r="P23" s="37" t="n">
        <v>1200</v>
      </c>
      <c r="Q23" s="37" t="n">
        <v>800</v>
      </c>
      <c r="R23" s="45" t="n">
        <v>1.03</v>
      </c>
      <c r="S23" s="37" t="n">
        <v>10000000</v>
      </c>
      <c r="T23" s="37" t="n">
        <v>6666667</v>
      </c>
      <c r="U23" s="37" t="n">
        <v>10000000</v>
      </c>
      <c r="V23" s="36">
        <f>SUMIF('建筑建议逐级'!$A$5:$A$328,$A23,'建筑建议逐级'!$X$5:$X$328)</f>
        <v/>
      </c>
      <c r="W23" s="36">
        <f>IF(ISNUMBER(U23),V23-U23,"—")</f>
        <v/>
      </c>
      <c r="X23" s="36">
        <f>SUMIF('建筑建议逐级'!$A$5:$A$328,$A23,'建筑建议逐级'!$Y$5:$Y$328)</f>
        <v/>
      </c>
      <c r="Y23" s="47">
        <f>IF(V23=0,0,X23/V23)</f>
        <v/>
      </c>
      <c r="Z23" s="33" t="inlineStr">
        <is>
          <t>社交容量建筑：高预算、可控后段溢价</t>
        </is>
      </c>
      <c r="AA23" s="33" t="inlineStr">
        <is>
          <t>4次升级共30日，末级约12天而非16天以上。</t>
        </is>
      </c>
    </row>
    <row r="24" ht="44" customHeight="1">
      <c r="A24" s="33" t="inlineStr">
        <is>
          <t>wall</t>
        </is>
      </c>
      <c r="B24" s="33" t="inlineStr">
        <is>
          <t>城墙</t>
        </is>
      </c>
      <c r="C24" s="33" t="inlineStr">
        <is>
          <t>城防建筑</t>
        </is>
      </c>
      <c r="D24" s="43" t="n">
        <v>10</v>
      </c>
      <c r="E24" s="36">
        <f>D24-'参数与公式'!$B$9</f>
        <v/>
      </c>
      <c r="F24" s="36">
        <f>'建筑总览'!$F$24</f>
        <v/>
      </c>
      <c r="G24" s="44">
        <f>'建筑总览'!$G$24</f>
        <v/>
      </c>
      <c r="H24" s="37" t="n">
        <v>900</v>
      </c>
      <c r="I24" s="45" t="n">
        <v>1.08</v>
      </c>
      <c r="J24" s="37" t="n">
        <v>864000</v>
      </c>
      <c r="K24" s="46" t="n">
        <v>10</v>
      </c>
      <c r="L24" s="35">
        <f>SUMIF('建筑建议逐级'!$A$5:$A$328,$A24,'建筑建议逐级'!$M$5:$M$328)/'参数与公式'!$B$21</f>
        <v/>
      </c>
      <c r="M24" s="35">
        <f>IF(ISNUMBER(K24),L24-K24,"—")</f>
        <v/>
      </c>
      <c r="N24" s="36">
        <f>'建筑总览'!$H$24</f>
        <v/>
      </c>
      <c r="O24" s="44">
        <f>'建筑总览'!$J$24</f>
        <v/>
      </c>
      <c r="P24" s="37" t="n">
        <v>18000</v>
      </c>
      <c r="Q24" s="37" t="n">
        <v>0</v>
      </c>
      <c r="R24" s="45" t="n">
        <v>1.1</v>
      </c>
      <c r="S24" s="37" t="n">
        <v>1000000</v>
      </c>
      <c r="T24" s="37" t="n">
        <v>0</v>
      </c>
      <c r="U24" s="37" t="n">
        <v>1000000</v>
      </c>
      <c r="V24" s="36">
        <f>SUMIF('建筑建议逐级'!$A$5:$A$328,$A24,'建筑建议逐级'!$X$5:$X$328)</f>
        <v/>
      </c>
      <c r="W24" s="36">
        <f>IF(ISNUMBER(U24),V24-U24,"—")</f>
        <v/>
      </c>
      <c r="X24" s="36">
        <f>SUMIF('建筑建议逐级'!$A$5:$A$328,$A24,'建筑建议逐级'!$Y$5:$Y$328)</f>
        <v/>
      </c>
      <c r="Y24" s="47">
        <f>IF(V24=0,0,X24/V24)</f>
        <v/>
      </c>
      <c r="Z24" s="33" t="inlineStr">
        <is>
          <t>城防建筑：统一10日/100万档位</t>
        </is>
      </c>
      <c r="AA24" s="33" t="inlineStr">
        <is>
          <t>总成本由预算控制到约100万，时间约10日。</t>
        </is>
      </c>
    </row>
    <row r="25" ht="44" customHeight="1">
      <c r="A25" s="33" t="inlineStr">
        <is>
          <t>arrow_tower</t>
        </is>
      </c>
      <c r="B25" s="33" t="inlineStr">
        <is>
          <t>箭塔</t>
        </is>
      </c>
      <c r="C25" s="33" t="inlineStr">
        <is>
          <t>城防建筑</t>
        </is>
      </c>
      <c r="D25" s="43" t="n">
        <v>10</v>
      </c>
      <c r="E25" s="36">
        <f>D25-'参数与公式'!$B$9</f>
        <v/>
      </c>
      <c r="F25" s="36">
        <f>'建筑总览'!$F$25</f>
        <v/>
      </c>
      <c r="G25" s="44">
        <f>'建筑总览'!$G$25</f>
        <v/>
      </c>
      <c r="H25" s="37" t="n">
        <v>1200</v>
      </c>
      <c r="I25" s="45" t="n">
        <v>1.08</v>
      </c>
      <c r="J25" s="37" t="n">
        <v>864000</v>
      </c>
      <c r="K25" s="46" t="n">
        <v>10</v>
      </c>
      <c r="L25" s="35">
        <f>SUMIF('建筑建议逐级'!$A$5:$A$328,$A25,'建筑建议逐级'!$M$5:$M$328)/'参数与公式'!$B$21</f>
        <v/>
      </c>
      <c r="M25" s="35">
        <f>IF(ISNUMBER(K25),L25-K25,"—")</f>
        <v/>
      </c>
      <c r="N25" s="36">
        <f>'建筑总览'!$H$25</f>
        <v/>
      </c>
      <c r="O25" s="44">
        <f>'建筑总览'!$J$25</f>
        <v/>
      </c>
      <c r="P25" s="37" t="n">
        <v>18000</v>
      </c>
      <c r="Q25" s="37" t="n">
        <v>0</v>
      </c>
      <c r="R25" s="45" t="n">
        <v>1.1</v>
      </c>
      <c r="S25" s="37" t="n">
        <v>1000000</v>
      </c>
      <c r="T25" s="37" t="n">
        <v>0</v>
      </c>
      <c r="U25" s="37" t="n">
        <v>1000000</v>
      </c>
      <c r="V25" s="36">
        <f>SUMIF('建筑建议逐级'!$A$5:$A$328,$A25,'建筑建议逐级'!$X$5:$X$328)</f>
        <v/>
      </c>
      <c r="W25" s="36">
        <f>IF(ISNUMBER(U25),V25-U25,"—")</f>
        <v/>
      </c>
      <c r="X25" s="36">
        <f>SUMIF('建筑建议逐级'!$A$5:$A$328,$A25,'建筑建议逐级'!$Y$5:$Y$328)</f>
        <v/>
      </c>
      <c r="Y25" s="47">
        <f>IF(V25=0,0,X25/V25)</f>
        <v/>
      </c>
      <c r="Z25" s="33" t="inlineStr">
        <is>
          <t>城防建筑：统一10日/100万档位</t>
        </is>
      </c>
      <c r="AA25" s="33" t="inlineStr">
        <is>
          <t>与城墙保持同一投入档位。</t>
        </is>
      </c>
    </row>
  </sheetData>
  <autoFilter ref="A4:AA25"/>
  <mergeCells count="2">
    <mergeCell ref="A1:AA1"/>
    <mergeCell ref="A2:AA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  <col width="14" customWidth="1" min="9" max="9"/>
    <col width="12" customWidth="1" min="10" max="10"/>
    <col width="14" customWidth="1" min="11" max="11"/>
    <col width="16" customWidth="1" min="12" max="12"/>
    <col width="16" customWidth="1" min="13" max="13"/>
    <col width="13" customWidth="1" min="14" max="14"/>
    <col width="16" customWidth="1" min="15" max="15"/>
    <col width="16" customWidth="1" min="16" max="16"/>
    <col width="12" customWidth="1" min="17" max="17"/>
    <col width="14" customWidth="1" min="18" max="18"/>
    <col width="14" customWidth="1" min="19" max="19"/>
    <col width="12" customWidth="1" min="20" max="20"/>
    <col width="14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34" customWidth="1" min="28" max="28"/>
    <col width="14" customWidth="1" min="29" max="29"/>
    <col width="14" customWidth="1" min="30" max="30"/>
  </cols>
  <sheetData>
    <row r="1" ht="26" customHeight="1">
      <c r="A1" s="1" t="inlineStr">
        <is>
          <t>建筑建议方案逐级明细｜总预算 + 逐级增长曲线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30" t="n"/>
    </row>
    <row r="2" ht="44" customHeight="1">
      <c r="A2" s="31" t="inlineStr">
        <is>
          <t>预算模式使用显式“单级权重/权重总和/额外分配/末级余数”列，确保 Excel 与运行代码逐级结果一致；增长系数控制相邻等级增幅，未配置预算时回退旧指数公式。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30" t="n"/>
    </row>
    <row r="4" ht="34" customHeight="1">
      <c r="A4" s="5" t="inlineStr">
        <is>
          <t>建筑Key</t>
        </is>
      </c>
      <c r="B4" s="5" t="inlineStr">
        <is>
          <t>建筑</t>
        </is>
      </c>
      <c r="C4" s="5" t="inlineStr">
        <is>
          <t>功能分类</t>
        </is>
      </c>
      <c r="D4" s="5" t="inlineStr">
        <is>
          <t>当前等级</t>
        </is>
      </c>
      <c r="E4" s="5" t="inlineStr">
        <is>
          <t>目标等级</t>
        </is>
      </c>
      <c r="F4" s="5" t="inlineStr">
        <is>
          <t>最高等级</t>
        </is>
      </c>
      <c r="G4" s="5" t="inlineStr">
        <is>
          <t>基础时间底线(s)</t>
        </is>
      </c>
      <c r="H4" s="5" t="inlineStr">
        <is>
          <t>时长逐级增长系数</t>
        </is>
      </c>
      <c r="I4" s="5" t="inlineStr">
        <is>
          <t>时长预算(s)</t>
        </is>
      </c>
      <c r="J4" s="5" t="inlineStr">
        <is>
          <t>时长权重</t>
        </is>
      </c>
      <c r="K4" s="5" t="inlineStr">
        <is>
          <t>时长权重总和</t>
        </is>
      </c>
      <c r="L4" s="5" t="inlineStr">
        <is>
          <t>时长额外分配(s)</t>
        </is>
      </c>
      <c r="M4" s="5" t="inlineStr">
        <is>
          <t>建议单级时长(s)</t>
        </is>
      </c>
      <c r="N4" s="5" t="inlineStr">
        <is>
          <t>单级时长(天)</t>
        </is>
      </c>
      <c r="O4" s="5" t="inlineStr">
        <is>
          <t>基础银两底线</t>
        </is>
      </c>
      <c r="P4" s="5" t="inlineStr">
        <is>
          <t>基础粮食底线</t>
        </is>
      </c>
      <c r="Q4" s="5" t="inlineStr">
        <is>
          <t>成本逐级增长系数</t>
        </is>
      </c>
      <c r="R4" s="5" t="inlineStr">
        <is>
          <t>银两预算</t>
        </is>
      </c>
      <c r="S4" s="5" t="inlineStr">
        <is>
          <t>粮食预算</t>
        </is>
      </c>
      <c r="T4" s="5" t="inlineStr">
        <is>
          <t>成本权重</t>
        </is>
      </c>
      <c r="U4" s="5" t="inlineStr">
        <is>
          <t>成本权重总和</t>
        </is>
      </c>
      <c r="V4" s="5" t="inlineStr">
        <is>
          <t>银两额外分配</t>
        </is>
      </c>
      <c r="W4" s="5" t="inlineStr">
        <is>
          <t>粮食额外分配</t>
        </is>
      </c>
      <c r="X4" s="5" t="inlineStr">
        <is>
          <t>建议银两成本</t>
        </is>
      </c>
      <c r="Y4" s="5" t="inlineStr">
        <is>
          <t>建议粮食成本</t>
        </is>
      </c>
      <c r="Z4" s="5" t="inlineStr">
        <is>
          <t>建筑学10级银两</t>
        </is>
      </c>
      <c r="AA4" s="5" t="inlineStr">
        <is>
          <t>建筑学10级粮食</t>
        </is>
      </c>
      <c r="AB4" s="5" t="inlineStr">
        <is>
          <t>公式说明</t>
        </is>
      </c>
      <c r="AC4" s="5" t="inlineStr">
        <is>
          <t>时长相邻增长</t>
        </is>
      </c>
      <c r="AD4" s="5" t="inlineStr">
        <is>
          <t>银两相邻增长</t>
        </is>
      </c>
    </row>
    <row r="5" ht="30" customHeight="1">
      <c r="A5" s="33" t="inlineStr">
        <is>
          <t>farm</t>
        </is>
      </c>
      <c r="B5" s="33" t="inlineStr">
        <is>
          <t>农田</t>
        </is>
      </c>
      <c r="C5" s="33" t="inlineStr">
        <is>
          <t>资源生产</t>
        </is>
      </c>
      <c r="D5" s="43" t="n">
        <v>1</v>
      </c>
      <c r="E5" s="36">
        <f>D5+1</f>
        <v/>
      </c>
      <c r="F5" s="43" t="n">
        <v>50</v>
      </c>
      <c r="G5" s="36">
        <f>INDEX('建筑建议总览'!$H$5:$H$25,MATCH($A5,'建筑建议总览'!$A$5:$A$25,0))</f>
        <v/>
      </c>
      <c r="H5" s="44">
        <f>INDEX('建筑建议总览'!$I$5:$I$25,MATCH($A5,'建筑建议总览'!$A$5:$A$25,0))</f>
        <v/>
      </c>
      <c r="I5" s="36">
        <f>INDEX('建筑建议总览'!$J$5:$J$25,MATCH($A5,'建筑建议总览'!$A$5:$A$25,0))</f>
        <v/>
      </c>
      <c r="J5" s="44">
        <f>POWER(H5,D5-1)</f>
        <v/>
      </c>
      <c r="K5" s="44">
        <f>SUMIF($A$5:$A$328,$A5,$J$5:$J$328)</f>
        <v/>
      </c>
      <c r="L5" s="36">
        <f>IF(I5&gt;0,ROUNDDOWN(MAX(0,I5-G5*(F5-1))*J5/K5,0),0)</f>
        <v/>
      </c>
      <c r="M5" s="36">
        <f>IF(I5&gt;0,G5+L5+IF(D5=F5-1,MAX(0,I5-G5*(F5-1)-SUMIF($A$5:$A$328,$A5,$L$5:$L$328)),0),ROUNDUP(G5*POWER(INDEX('建筑总览'!$G$5:$G$25,MATCH($A5,'建筑总览'!$A$5:$A$25,0)),D5),0))</f>
        <v/>
      </c>
      <c r="N5" s="35">
        <f>M5/'参数与公式'!$B$21</f>
        <v/>
      </c>
      <c r="O5" s="36">
        <f>INDEX('建筑建议总览'!$P$5:$P$25,MATCH($A5,'建筑建议总览'!$A$5:$A$25,0))</f>
        <v/>
      </c>
      <c r="P5" s="36">
        <f>INDEX('建筑建议总览'!$Q$5:$Q$25,MATCH($A5,'建筑建议总览'!$A$5:$A$25,0))</f>
        <v/>
      </c>
      <c r="Q5" s="44">
        <f>INDEX('建筑建议总览'!$R$5:$R$25,MATCH($A5,'建筑建议总览'!$A$5:$A$25,0))</f>
        <v/>
      </c>
      <c r="R5" s="36">
        <f>INDEX('建筑建议总览'!$S$5:$S$25,MATCH($A5,'建筑建议总览'!$A$5:$A$25,0))</f>
        <v/>
      </c>
      <c r="S5" s="36">
        <f>INDEX('建筑建议总览'!$T$5:$T$25,MATCH($A5,'建筑建议总览'!$A$5:$A$25,0))</f>
        <v/>
      </c>
      <c r="T5" s="44">
        <f>POWER(Q5,D5-1)</f>
        <v/>
      </c>
      <c r="U5" s="44">
        <f>SUMIF($A$5:$A$328,$A5,$T$5:$T$328)</f>
        <v/>
      </c>
      <c r="V5" s="36">
        <f>IF(R5&gt;0,ROUNDDOWN(MAX(0,R5-O5*(F5-1))*T5/U5,0),0)</f>
        <v/>
      </c>
      <c r="W5" s="36">
        <f>IF(S5&gt;0,ROUNDDOWN(MAX(0,S5-P5*(F5-1))*T5/U5,0),0)</f>
        <v/>
      </c>
      <c r="X5" s="36">
        <f>IF(R5&gt;0,O5+V5+IF(D5=F5-1,MAX(0,R5-O5*(F5-1)-SUMIF($A$5:$A$328,$A5,$V$5:$V$328)),0),ROUNDUP(O5*POWER(INDEX('建筑总览'!$J$5:$J$25,MATCH($A5,'建筑总览'!$A$5:$A$25,0)),D5),0))</f>
        <v/>
      </c>
      <c r="Y5" s="36">
        <f>IF(P5=0,0,IF(S5&gt;0,P5+W5+IF(D5=F5-1,MAX(0,S5-P5*(F5-1)-SUMIF($A$5:$A$328,$A5,$W$5:$W$328)),0),ROUNDUP(P5*POWER(INDEX('建筑总览'!$J$5:$J$25,MATCH($A5,'建筑总览'!$A$5:$A$25,0)),D5),0)))</f>
        <v/>
      </c>
      <c r="Z5" s="36">
        <f>IF(X5=0,0,MAX(1,ROUNDUP(X5*(1-'参数与公式'!$B$17),0)))</f>
        <v/>
      </c>
      <c r="AA5" s="36">
        <f>IF(Y5=0,0,MAX(1,ROUNDUP(Y5*(1-'参数与公式'!$B$17),0)))</f>
        <v/>
      </c>
      <c r="AB5" s="33" t="inlineStr">
        <is>
          <t>预算模式末级补足余数；旧模式按指数公式</t>
        </is>
      </c>
      <c r="AC5" s="49">
        <f>IF(A5=A4,IFERROR(M5/M4,""),"")</f>
        <v/>
      </c>
      <c r="AD5" s="49">
        <f>IF(AND(A5=A4,X4&gt;0),X5/X4,"")</f>
        <v/>
      </c>
    </row>
    <row r="6" ht="30" customHeight="1">
      <c r="A6" s="33" t="inlineStr">
        <is>
          <t>farm</t>
        </is>
      </c>
      <c r="B6" s="33" t="inlineStr">
        <is>
          <t>农田</t>
        </is>
      </c>
      <c r="C6" s="33" t="inlineStr">
        <is>
          <t>资源生产</t>
        </is>
      </c>
      <c r="D6" s="43" t="n">
        <v>2</v>
      </c>
      <c r="E6" s="36">
        <f>D6+1</f>
        <v/>
      </c>
      <c r="F6" s="43" t="n">
        <v>50</v>
      </c>
      <c r="G6" s="36">
        <f>INDEX('建筑建议总览'!$H$5:$H$25,MATCH($A6,'建筑建议总览'!$A$5:$A$25,0))</f>
        <v/>
      </c>
      <c r="H6" s="44">
        <f>INDEX('建筑建议总览'!$I$5:$I$25,MATCH($A6,'建筑建议总览'!$A$5:$A$25,0))</f>
        <v/>
      </c>
      <c r="I6" s="36">
        <f>INDEX('建筑建议总览'!$J$5:$J$25,MATCH($A6,'建筑建议总览'!$A$5:$A$25,0))</f>
        <v/>
      </c>
      <c r="J6" s="44">
        <f>POWER(H6,D6-1)</f>
        <v/>
      </c>
      <c r="K6" s="44">
        <f>SUMIF($A$5:$A$328,$A6,$J$5:$J$328)</f>
        <v/>
      </c>
      <c r="L6" s="36">
        <f>IF(I6&gt;0,ROUNDDOWN(MAX(0,I6-G6*(F6-1))*J6/K6,0),0)</f>
        <v/>
      </c>
      <c r="M6" s="36">
        <f>IF(I6&gt;0,G6+L6+IF(D6=F6-1,MAX(0,I6-G6*(F6-1)-SUMIF($A$5:$A$328,$A6,$L$5:$L$328)),0),ROUNDUP(G6*POWER(INDEX('建筑总览'!$G$5:$G$25,MATCH($A6,'建筑总览'!$A$5:$A$25,0)),D6),0))</f>
        <v/>
      </c>
      <c r="N6" s="35">
        <f>M6/'参数与公式'!$B$21</f>
        <v/>
      </c>
      <c r="O6" s="36">
        <f>INDEX('建筑建议总览'!$P$5:$P$25,MATCH($A6,'建筑建议总览'!$A$5:$A$25,0))</f>
        <v/>
      </c>
      <c r="P6" s="36">
        <f>INDEX('建筑建议总览'!$Q$5:$Q$25,MATCH($A6,'建筑建议总览'!$A$5:$A$25,0))</f>
        <v/>
      </c>
      <c r="Q6" s="44">
        <f>INDEX('建筑建议总览'!$R$5:$R$25,MATCH($A6,'建筑建议总览'!$A$5:$A$25,0))</f>
        <v/>
      </c>
      <c r="R6" s="36">
        <f>INDEX('建筑建议总览'!$S$5:$S$25,MATCH($A6,'建筑建议总览'!$A$5:$A$25,0))</f>
        <v/>
      </c>
      <c r="S6" s="36">
        <f>INDEX('建筑建议总览'!$T$5:$T$25,MATCH($A6,'建筑建议总览'!$A$5:$A$25,0))</f>
        <v/>
      </c>
      <c r="T6" s="44">
        <f>POWER(Q6,D6-1)</f>
        <v/>
      </c>
      <c r="U6" s="44">
        <f>SUMIF($A$5:$A$328,$A6,$T$5:$T$328)</f>
        <v/>
      </c>
      <c r="V6" s="36">
        <f>IF(R6&gt;0,ROUNDDOWN(MAX(0,R6-O6*(F6-1))*T6/U6,0),0)</f>
        <v/>
      </c>
      <c r="W6" s="36">
        <f>IF(S6&gt;0,ROUNDDOWN(MAX(0,S6-P6*(F6-1))*T6/U6,0),0)</f>
        <v/>
      </c>
      <c r="X6" s="36">
        <f>IF(R6&gt;0,O6+V6+IF(D6=F6-1,MAX(0,R6-O6*(F6-1)-SUMIF($A$5:$A$328,$A6,$V$5:$V$328)),0),ROUNDUP(O6*POWER(INDEX('建筑总览'!$J$5:$J$25,MATCH($A6,'建筑总览'!$A$5:$A$25,0)),D6),0))</f>
        <v/>
      </c>
      <c r="Y6" s="36">
        <f>IF(P6=0,0,IF(S6&gt;0,P6+W6+IF(D6=F6-1,MAX(0,S6-P6*(F6-1)-SUMIF($A$5:$A$328,$A6,$W$5:$W$328)),0),ROUNDUP(P6*POWER(INDEX('建筑总览'!$J$5:$J$25,MATCH($A6,'建筑总览'!$A$5:$A$25,0)),D6),0)))</f>
        <v/>
      </c>
      <c r="Z6" s="36">
        <f>IF(X6=0,0,MAX(1,ROUNDUP(X6*(1-'参数与公式'!$B$17),0)))</f>
        <v/>
      </c>
      <c r="AA6" s="36">
        <f>IF(Y6=0,0,MAX(1,ROUNDUP(Y6*(1-'参数与公式'!$B$17),0)))</f>
        <v/>
      </c>
      <c r="AB6" s="33" t="inlineStr">
        <is>
          <t>预算模式末级补足余数；旧模式按指数公式</t>
        </is>
      </c>
      <c r="AC6" s="49">
        <f>IF(A6=A5,IFERROR(M6/M5,""),"")</f>
        <v/>
      </c>
      <c r="AD6" s="49">
        <f>IF(AND(A6=A5,X5&gt;0),X6/X5,"")</f>
        <v/>
      </c>
    </row>
    <row r="7" ht="30" customHeight="1">
      <c r="A7" s="33" t="inlineStr">
        <is>
          <t>farm</t>
        </is>
      </c>
      <c r="B7" s="33" t="inlineStr">
        <is>
          <t>农田</t>
        </is>
      </c>
      <c r="C7" s="33" t="inlineStr">
        <is>
          <t>资源生产</t>
        </is>
      </c>
      <c r="D7" s="43" t="n">
        <v>3</v>
      </c>
      <c r="E7" s="36">
        <f>D7+1</f>
        <v/>
      </c>
      <c r="F7" s="43" t="n">
        <v>50</v>
      </c>
      <c r="G7" s="36">
        <f>INDEX('建筑建议总览'!$H$5:$H$25,MATCH($A7,'建筑建议总览'!$A$5:$A$25,0))</f>
        <v/>
      </c>
      <c r="H7" s="44">
        <f>INDEX('建筑建议总览'!$I$5:$I$25,MATCH($A7,'建筑建议总览'!$A$5:$A$25,0))</f>
        <v/>
      </c>
      <c r="I7" s="36">
        <f>INDEX('建筑建议总览'!$J$5:$J$25,MATCH($A7,'建筑建议总览'!$A$5:$A$25,0))</f>
        <v/>
      </c>
      <c r="J7" s="44">
        <f>POWER(H7,D7-1)</f>
        <v/>
      </c>
      <c r="K7" s="44">
        <f>SUMIF($A$5:$A$328,$A7,$J$5:$J$328)</f>
        <v/>
      </c>
      <c r="L7" s="36">
        <f>IF(I7&gt;0,ROUNDDOWN(MAX(0,I7-G7*(F7-1))*J7/K7,0),0)</f>
        <v/>
      </c>
      <c r="M7" s="36">
        <f>IF(I7&gt;0,G7+L7+IF(D7=F7-1,MAX(0,I7-G7*(F7-1)-SUMIF($A$5:$A$328,$A7,$L$5:$L$328)),0),ROUNDUP(G7*POWER(INDEX('建筑总览'!$G$5:$G$25,MATCH($A7,'建筑总览'!$A$5:$A$25,0)),D7),0))</f>
        <v/>
      </c>
      <c r="N7" s="35">
        <f>M7/'参数与公式'!$B$21</f>
        <v/>
      </c>
      <c r="O7" s="36">
        <f>INDEX('建筑建议总览'!$P$5:$P$25,MATCH($A7,'建筑建议总览'!$A$5:$A$25,0))</f>
        <v/>
      </c>
      <c r="P7" s="36">
        <f>INDEX('建筑建议总览'!$Q$5:$Q$25,MATCH($A7,'建筑建议总览'!$A$5:$A$25,0))</f>
        <v/>
      </c>
      <c r="Q7" s="44">
        <f>INDEX('建筑建议总览'!$R$5:$R$25,MATCH($A7,'建筑建议总览'!$A$5:$A$25,0))</f>
        <v/>
      </c>
      <c r="R7" s="36">
        <f>INDEX('建筑建议总览'!$S$5:$S$25,MATCH($A7,'建筑建议总览'!$A$5:$A$25,0))</f>
        <v/>
      </c>
      <c r="S7" s="36">
        <f>INDEX('建筑建议总览'!$T$5:$T$25,MATCH($A7,'建筑建议总览'!$A$5:$A$25,0))</f>
        <v/>
      </c>
      <c r="T7" s="44">
        <f>POWER(Q7,D7-1)</f>
        <v/>
      </c>
      <c r="U7" s="44">
        <f>SUMIF($A$5:$A$328,$A7,$T$5:$T$328)</f>
        <v/>
      </c>
      <c r="V7" s="36">
        <f>IF(R7&gt;0,ROUNDDOWN(MAX(0,R7-O7*(F7-1))*T7/U7,0),0)</f>
        <v/>
      </c>
      <c r="W7" s="36">
        <f>IF(S7&gt;0,ROUNDDOWN(MAX(0,S7-P7*(F7-1))*T7/U7,0),0)</f>
        <v/>
      </c>
      <c r="X7" s="36">
        <f>IF(R7&gt;0,O7+V7+IF(D7=F7-1,MAX(0,R7-O7*(F7-1)-SUMIF($A$5:$A$328,$A7,$V$5:$V$328)),0),ROUNDUP(O7*POWER(INDEX('建筑总览'!$J$5:$J$25,MATCH($A7,'建筑总览'!$A$5:$A$25,0)),D7),0))</f>
        <v/>
      </c>
      <c r="Y7" s="36">
        <f>IF(P7=0,0,IF(S7&gt;0,P7+W7+IF(D7=F7-1,MAX(0,S7-P7*(F7-1)-SUMIF($A$5:$A$328,$A7,$W$5:$W$328)),0),ROUNDUP(P7*POWER(INDEX('建筑总览'!$J$5:$J$25,MATCH($A7,'建筑总览'!$A$5:$A$25,0)),D7),0)))</f>
        <v/>
      </c>
      <c r="Z7" s="36">
        <f>IF(X7=0,0,MAX(1,ROUNDUP(X7*(1-'参数与公式'!$B$17),0)))</f>
        <v/>
      </c>
      <c r="AA7" s="36">
        <f>IF(Y7=0,0,MAX(1,ROUNDUP(Y7*(1-'参数与公式'!$B$17),0)))</f>
        <v/>
      </c>
      <c r="AB7" s="33" t="inlineStr">
        <is>
          <t>预算模式末级补足余数；旧模式按指数公式</t>
        </is>
      </c>
      <c r="AC7" s="49">
        <f>IF(A7=A6,IFERROR(M7/M6,""),"")</f>
        <v/>
      </c>
      <c r="AD7" s="49">
        <f>IF(AND(A7=A6,X6&gt;0),X7/X6,"")</f>
        <v/>
      </c>
    </row>
    <row r="8" ht="30" customHeight="1">
      <c r="A8" s="33" t="inlineStr">
        <is>
          <t>farm</t>
        </is>
      </c>
      <c r="B8" s="33" t="inlineStr">
        <is>
          <t>农田</t>
        </is>
      </c>
      <c r="C8" s="33" t="inlineStr">
        <is>
          <t>资源生产</t>
        </is>
      </c>
      <c r="D8" s="43" t="n">
        <v>4</v>
      </c>
      <c r="E8" s="36">
        <f>D8+1</f>
        <v/>
      </c>
      <c r="F8" s="43" t="n">
        <v>50</v>
      </c>
      <c r="G8" s="36">
        <f>INDEX('建筑建议总览'!$H$5:$H$25,MATCH($A8,'建筑建议总览'!$A$5:$A$25,0))</f>
        <v/>
      </c>
      <c r="H8" s="44">
        <f>INDEX('建筑建议总览'!$I$5:$I$25,MATCH($A8,'建筑建议总览'!$A$5:$A$25,0))</f>
        <v/>
      </c>
      <c r="I8" s="36">
        <f>INDEX('建筑建议总览'!$J$5:$J$25,MATCH($A8,'建筑建议总览'!$A$5:$A$25,0))</f>
        <v/>
      </c>
      <c r="J8" s="44">
        <f>POWER(H8,D8-1)</f>
        <v/>
      </c>
      <c r="K8" s="44">
        <f>SUMIF($A$5:$A$328,$A8,$J$5:$J$328)</f>
        <v/>
      </c>
      <c r="L8" s="36">
        <f>IF(I8&gt;0,ROUNDDOWN(MAX(0,I8-G8*(F8-1))*J8/K8,0),0)</f>
        <v/>
      </c>
      <c r="M8" s="36">
        <f>IF(I8&gt;0,G8+L8+IF(D8=F8-1,MAX(0,I8-G8*(F8-1)-SUMIF($A$5:$A$328,$A8,$L$5:$L$328)),0),ROUNDUP(G8*POWER(INDEX('建筑总览'!$G$5:$G$25,MATCH($A8,'建筑总览'!$A$5:$A$25,0)),D8),0))</f>
        <v/>
      </c>
      <c r="N8" s="35">
        <f>M8/'参数与公式'!$B$21</f>
        <v/>
      </c>
      <c r="O8" s="36">
        <f>INDEX('建筑建议总览'!$P$5:$P$25,MATCH($A8,'建筑建议总览'!$A$5:$A$25,0))</f>
        <v/>
      </c>
      <c r="P8" s="36">
        <f>INDEX('建筑建议总览'!$Q$5:$Q$25,MATCH($A8,'建筑建议总览'!$A$5:$A$25,0))</f>
        <v/>
      </c>
      <c r="Q8" s="44">
        <f>INDEX('建筑建议总览'!$R$5:$R$25,MATCH($A8,'建筑建议总览'!$A$5:$A$25,0))</f>
        <v/>
      </c>
      <c r="R8" s="36">
        <f>INDEX('建筑建议总览'!$S$5:$S$25,MATCH($A8,'建筑建议总览'!$A$5:$A$25,0))</f>
        <v/>
      </c>
      <c r="S8" s="36">
        <f>INDEX('建筑建议总览'!$T$5:$T$25,MATCH($A8,'建筑建议总览'!$A$5:$A$25,0))</f>
        <v/>
      </c>
      <c r="T8" s="44">
        <f>POWER(Q8,D8-1)</f>
        <v/>
      </c>
      <c r="U8" s="44">
        <f>SUMIF($A$5:$A$328,$A8,$T$5:$T$328)</f>
        <v/>
      </c>
      <c r="V8" s="36">
        <f>IF(R8&gt;0,ROUNDDOWN(MAX(0,R8-O8*(F8-1))*T8/U8,0),0)</f>
        <v/>
      </c>
      <c r="W8" s="36">
        <f>IF(S8&gt;0,ROUNDDOWN(MAX(0,S8-P8*(F8-1))*T8/U8,0),0)</f>
        <v/>
      </c>
      <c r="X8" s="36">
        <f>IF(R8&gt;0,O8+V8+IF(D8=F8-1,MAX(0,R8-O8*(F8-1)-SUMIF($A$5:$A$328,$A8,$V$5:$V$328)),0),ROUNDUP(O8*POWER(INDEX('建筑总览'!$J$5:$J$25,MATCH($A8,'建筑总览'!$A$5:$A$25,0)),D8),0))</f>
        <v/>
      </c>
      <c r="Y8" s="36">
        <f>IF(P8=0,0,IF(S8&gt;0,P8+W8+IF(D8=F8-1,MAX(0,S8-P8*(F8-1)-SUMIF($A$5:$A$328,$A8,$W$5:$W$328)),0),ROUNDUP(P8*POWER(INDEX('建筑总览'!$J$5:$J$25,MATCH($A8,'建筑总览'!$A$5:$A$25,0)),D8),0)))</f>
        <v/>
      </c>
      <c r="Z8" s="36">
        <f>IF(X8=0,0,MAX(1,ROUNDUP(X8*(1-'参数与公式'!$B$17),0)))</f>
        <v/>
      </c>
      <c r="AA8" s="36">
        <f>IF(Y8=0,0,MAX(1,ROUNDUP(Y8*(1-'参数与公式'!$B$17),0)))</f>
        <v/>
      </c>
      <c r="AB8" s="33" t="inlineStr">
        <is>
          <t>预算模式末级补足余数；旧模式按指数公式</t>
        </is>
      </c>
      <c r="AC8" s="49">
        <f>IF(A8=A7,IFERROR(M8/M7,""),"")</f>
        <v/>
      </c>
      <c r="AD8" s="49">
        <f>IF(AND(A8=A7,X7&gt;0),X8/X7,"")</f>
        <v/>
      </c>
    </row>
    <row r="9" ht="30" customHeight="1">
      <c r="A9" s="33" t="inlineStr">
        <is>
          <t>farm</t>
        </is>
      </c>
      <c r="B9" s="33" t="inlineStr">
        <is>
          <t>农田</t>
        </is>
      </c>
      <c r="C9" s="33" t="inlineStr">
        <is>
          <t>资源生产</t>
        </is>
      </c>
      <c r="D9" s="43" t="n">
        <v>5</v>
      </c>
      <c r="E9" s="36">
        <f>D9+1</f>
        <v/>
      </c>
      <c r="F9" s="43" t="n">
        <v>50</v>
      </c>
      <c r="G9" s="36">
        <f>INDEX('建筑建议总览'!$H$5:$H$25,MATCH($A9,'建筑建议总览'!$A$5:$A$25,0))</f>
        <v/>
      </c>
      <c r="H9" s="44">
        <f>INDEX('建筑建议总览'!$I$5:$I$25,MATCH($A9,'建筑建议总览'!$A$5:$A$25,0))</f>
        <v/>
      </c>
      <c r="I9" s="36">
        <f>INDEX('建筑建议总览'!$J$5:$J$25,MATCH($A9,'建筑建议总览'!$A$5:$A$25,0))</f>
        <v/>
      </c>
      <c r="J9" s="44">
        <f>POWER(H9,D9-1)</f>
        <v/>
      </c>
      <c r="K9" s="44">
        <f>SUMIF($A$5:$A$328,$A9,$J$5:$J$328)</f>
        <v/>
      </c>
      <c r="L9" s="36">
        <f>IF(I9&gt;0,ROUNDDOWN(MAX(0,I9-G9*(F9-1))*J9/K9,0),0)</f>
        <v/>
      </c>
      <c r="M9" s="36">
        <f>IF(I9&gt;0,G9+L9+IF(D9=F9-1,MAX(0,I9-G9*(F9-1)-SUMIF($A$5:$A$328,$A9,$L$5:$L$328)),0),ROUNDUP(G9*POWER(INDEX('建筑总览'!$G$5:$G$25,MATCH($A9,'建筑总览'!$A$5:$A$25,0)),D9),0))</f>
        <v/>
      </c>
      <c r="N9" s="35">
        <f>M9/'参数与公式'!$B$21</f>
        <v/>
      </c>
      <c r="O9" s="36">
        <f>INDEX('建筑建议总览'!$P$5:$P$25,MATCH($A9,'建筑建议总览'!$A$5:$A$25,0))</f>
        <v/>
      </c>
      <c r="P9" s="36">
        <f>INDEX('建筑建议总览'!$Q$5:$Q$25,MATCH($A9,'建筑建议总览'!$A$5:$A$25,0))</f>
        <v/>
      </c>
      <c r="Q9" s="44">
        <f>INDEX('建筑建议总览'!$R$5:$R$25,MATCH($A9,'建筑建议总览'!$A$5:$A$25,0))</f>
        <v/>
      </c>
      <c r="R9" s="36">
        <f>INDEX('建筑建议总览'!$S$5:$S$25,MATCH($A9,'建筑建议总览'!$A$5:$A$25,0))</f>
        <v/>
      </c>
      <c r="S9" s="36">
        <f>INDEX('建筑建议总览'!$T$5:$T$25,MATCH($A9,'建筑建议总览'!$A$5:$A$25,0))</f>
        <v/>
      </c>
      <c r="T9" s="44">
        <f>POWER(Q9,D9-1)</f>
        <v/>
      </c>
      <c r="U9" s="44">
        <f>SUMIF($A$5:$A$328,$A9,$T$5:$T$328)</f>
        <v/>
      </c>
      <c r="V9" s="36">
        <f>IF(R9&gt;0,ROUNDDOWN(MAX(0,R9-O9*(F9-1))*T9/U9,0),0)</f>
        <v/>
      </c>
      <c r="W9" s="36">
        <f>IF(S9&gt;0,ROUNDDOWN(MAX(0,S9-P9*(F9-1))*T9/U9,0),0)</f>
        <v/>
      </c>
      <c r="X9" s="36">
        <f>IF(R9&gt;0,O9+V9+IF(D9=F9-1,MAX(0,R9-O9*(F9-1)-SUMIF($A$5:$A$328,$A9,$V$5:$V$328)),0),ROUNDUP(O9*POWER(INDEX('建筑总览'!$J$5:$J$25,MATCH($A9,'建筑总览'!$A$5:$A$25,0)),D9),0))</f>
        <v/>
      </c>
      <c r="Y9" s="36">
        <f>IF(P9=0,0,IF(S9&gt;0,P9+W9+IF(D9=F9-1,MAX(0,S9-P9*(F9-1)-SUMIF($A$5:$A$328,$A9,$W$5:$W$328)),0),ROUNDUP(P9*POWER(INDEX('建筑总览'!$J$5:$J$25,MATCH($A9,'建筑总览'!$A$5:$A$25,0)),D9),0)))</f>
        <v/>
      </c>
      <c r="Z9" s="36">
        <f>IF(X9=0,0,MAX(1,ROUNDUP(X9*(1-'参数与公式'!$B$17),0)))</f>
        <v/>
      </c>
      <c r="AA9" s="36">
        <f>IF(Y9=0,0,MAX(1,ROUNDUP(Y9*(1-'参数与公式'!$B$17),0)))</f>
        <v/>
      </c>
      <c r="AB9" s="33" t="inlineStr">
        <is>
          <t>预算模式末级补足余数；旧模式按指数公式</t>
        </is>
      </c>
      <c r="AC9" s="49">
        <f>IF(A9=A8,IFERROR(M9/M8,""),"")</f>
        <v/>
      </c>
      <c r="AD9" s="49">
        <f>IF(AND(A9=A8,X8&gt;0),X9/X8,"")</f>
        <v/>
      </c>
    </row>
    <row r="10" ht="30" customHeight="1">
      <c r="A10" s="33" t="inlineStr">
        <is>
          <t>farm</t>
        </is>
      </c>
      <c r="B10" s="33" t="inlineStr">
        <is>
          <t>农田</t>
        </is>
      </c>
      <c r="C10" s="33" t="inlineStr">
        <is>
          <t>资源生产</t>
        </is>
      </c>
      <c r="D10" s="43" t="n">
        <v>6</v>
      </c>
      <c r="E10" s="36">
        <f>D10+1</f>
        <v/>
      </c>
      <c r="F10" s="43" t="n">
        <v>50</v>
      </c>
      <c r="G10" s="36">
        <f>INDEX('建筑建议总览'!$H$5:$H$25,MATCH($A10,'建筑建议总览'!$A$5:$A$25,0))</f>
        <v/>
      </c>
      <c r="H10" s="44">
        <f>INDEX('建筑建议总览'!$I$5:$I$25,MATCH($A10,'建筑建议总览'!$A$5:$A$25,0))</f>
        <v/>
      </c>
      <c r="I10" s="36">
        <f>INDEX('建筑建议总览'!$J$5:$J$25,MATCH($A10,'建筑建议总览'!$A$5:$A$25,0))</f>
        <v/>
      </c>
      <c r="J10" s="44">
        <f>POWER(H10,D10-1)</f>
        <v/>
      </c>
      <c r="K10" s="44">
        <f>SUMIF($A$5:$A$328,$A10,$J$5:$J$328)</f>
        <v/>
      </c>
      <c r="L10" s="36">
        <f>IF(I10&gt;0,ROUNDDOWN(MAX(0,I10-G10*(F10-1))*J10/K10,0),0)</f>
        <v/>
      </c>
      <c r="M10" s="36">
        <f>IF(I10&gt;0,G10+L10+IF(D10=F10-1,MAX(0,I10-G10*(F10-1)-SUMIF($A$5:$A$328,$A10,$L$5:$L$328)),0),ROUNDUP(G10*POWER(INDEX('建筑总览'!$G$5:$G$25,MATCH($A10,'建筑总览'!$A$5:$A$25,0)),D10),0))</f>
        <v/>
      </c>
      <c r="N10" s="35">
        <f>M10/'参数与公式'!$B$21</f>
        <v/>
      </c>
      <c r="O10" s="36">
        <f>INDEX('建筑建议总览'!$P$5:$P$25,MATCH($A10,'建筑建议总览'!$A$5:$A$25,0))</f>
        <v/>
      </c>
      <c r="P10" s="36">
        <f>INDEX('建筑建议总览'!$Q$5:$Q$25,MATCH($A10,'建筑建议总览'!$A$5:$A$25,0))</f>
        <v/>
      </c>
      <c r="Q10" s="44">
        <f>INDEX('建筑建议总览'!$R$5:$R$25,MATCH($A10,'建筑建议总览'!$A$5:$A$25,0))</f>
        <v/>
      </c>
      <c r="R10" s="36">
        <f>INDEX('建筑建议总览'!$S$5:$S$25,MATCH($A10,'建筑建议总览'!$A$5:$A$25,0))</f>
        <v/>
      </c>
      <c r="S10" s="36">
        <f>INDEX('建筑建议总览'!$T$5:$T$25,MATCH($A10,'建筑建议总览'!$A$5:$A$25,0))</f>
        <v/>
      </c>
      <c r="T10" s="44">
        <f>POWER(Q10,D10-1)</f>
        <v/>
      </c>
      <c r="U10" s="44">
        <f>SUMIF($A$5:$A$328,$A10,$T$5:$T$328)</f>
        <v/>
      </c>
      <c r="V10" s="36">
        <f>IF(R10&gt;0,ROUNDDOWN(MAX(0,R10-O10*(F10-1))*T10/U10,0),0)</f>
        <v/>
      </c>
      <c r="W10" s="36">
        <f>IF(S10&gt;0,ROUNDDOWN(MAX(0,S10-P10*(F10-1))*T10/U10,0),0)</f>
        <v/>
      </c>
      <c r="X10" s="36">
        <f>IF(R10&gt;0,O10+V10+IF(D10=F10-1,MAX(0,R10-O10*(F10-1)-SUMIF($A$5:$A$328,$A10,$V$5:$V$328)),0),ROUNDUP(O10*POWER(INDEX('建筑总览'!$J$5:$J$25,MATCH($A10,'建筑总览'!$A$5:$A$25,0)),D10),0))</f>
        <v/>
      </c>
      <c r="Y10" s="36">
        <f>IF(P10=0,0,IF(S10&gt;0,P10+W10+IF(D10=F10-1,MAX(0,S10-P10*(F10-1)-SUMIF($A$5:$A$328,$A10,$W$5:$W$328)),0),ROUNDUP(P10*POWER(INDEX('建筑总览'!$J$5:$J$25,MATCH($A10,'建筑总览'!$A$5:$A$25,0)),D10),0)))</f>
        <v/>
      </c>
      <c r="Z10" s="36">
        <f>IF(X10=0,0,MAX(1,ROUNDUP(X10*(1-'参数与公式'!$B$17),0)))</f>
        <v/>
      </c>
      <c r="AA10" s="36">
        <f>IF(Y10=0,0,MAX(1,ROUNDUP(Y10*(1-'参数与公式'!$B$17),0)))</f>
        <v/>
      </c>
      <c r="AB10" s="33" t="inlineStr">
        <is>
          <t>预算模式末级补足余数；旧模式按指数公式</t>
        </is>
      </c>
      <c r="AC10" s="49">
        <f>IF(A10=A9,IFERROR(M10/M9,""),"")</f>
        <v/>
      </c>
      <c r="AD10" s="49">
        <f>IF(AND(A10=A9,X9&gt;0),X10/X9,"")</f>
        <v/>
      </c>
    </row>
    <row r="11" ht="30" customHeight="1">
      <c r="A11" s="33" t="inlineStr">
        <is>
          <t>farm</t>
        </is>
      </c>
      <c r="B11" s="33" t="inlineStr">
        <is>
          <t>农田</t>
        </is>
      </c>
      <c r="C11" s="33" t="inlineStr">
        <is>
          <t>资源生产</t>
        </is>
      </c>
      <c r="D11" s="43" t="n">
        <v>7</v>
      </c>
      <c r="E11" s="36">
        <f>D11+1</f>
        <v/>
      </c>
      <c r="F11" s="43" t="n">
        <v>50</v>
      </c>
      <c r="G11" s="36">
        <f>INDEX('建筑建议总览'!$H$5:$H$25,MATCH($A11,'建筑建议总览'!$A$5:$A$25,0))</f>
        <v/>
      </c>
      <c r="H11" s="44">
        <f>INDEX('建筑建议总览'!$I$5:$I$25,MATCH($A11,'建筑建议总览'!$A$5:$A$25,0))</f>
        <v/>
      </c>
      <c r="I11" s="36">
        <f>INDEX('建筑建议总览'!$J$5:$J$25,MATCH($A11,'建筑建议总览'!$A$5:$A$25,0))</f>
        <v/>
      </c>
      <c r="J11" s="44">
        <f>POWER(H11,D11-1)</f>
        <v/>
      </c>
      <c r="K11" s="44">
        <f>SUMIF($A$5:$A$328,$A11,$J$5:$J$328)</f>
        <v/>
      </c>
      <c r="L11" s="36">
        <f>IF(I11&gt;0,ROUNDDOWN(MAX(0,I11-G11*(F11-1))*J11/K11,0),0)</f>
        <v/>
      </c>
      <c r="M11" s="36">
        <f>IF(I11&gt;0,G11+L11+IF(D11=F11-1,MAX(0,I11-G11*(F11-1)-SUMIF($A$5:$A$328,$A11,$L$5:$L$328)),0),ROUNDUP(G11*POWER(INDEX('建筑总览'!$G$5:$G$25,MATCH($A11,'建筑总览'!$A$5:$A$25,0)),D11),0))</f>
        <v/>
      </c>
      <c r="N11" s="35">
        <f>M11/'参数与公式'!$B$21</f>
        <v/>
      </c>
      <c r="O11" s="36">
        <f>INDEX('建筑建议总览'!$P$5:$P$25,MATCH($A11,'建筑建议总览'!$A$5:$A$25,0))</f>
        <v/>
      </c>
      <c r="P11" s="36">
        <f>INDEX('建筑建议总览'!$Q$5:$Q$25,MATCH($A11,'建筑建议总览'!$A$5:$A$25,0))</f>
        <v/>
      </c>
      <c r="Q11" s="44">
        <f>INDEX('建筑建议总览'!$R$5:$R$25,MATCH($A11,'建筑建议总览'!$A$5:$A$25,0))</f>
        <v/>
      </c>
      <c r="R11" s="36">
        <f>INDEX('建筑建议总览'!$S$5:$S$25,MATCH($A11,'建筑建议总览'!$A$5:$A$25,0))</f>
        <v/>
      </c>
      <c r="S11" s="36">
        <f>INDEX('建筑建议总览'!$T$5:$T$25,MATCH($A11,'建筑建议总览'!$A$5:$A$25,0))</f>
        <v/>
      </c>
      <c r="T11" s="44">
        <f>POWER(Q11,D11-1)</f>
        <v/>
      </c>
      <c r="U11" s="44">
        <f>SUMIF($A$5:$A$328,$A11,$T$5:$T$328)</f>
        <v/>
      </c>
      <c r="V11" s="36">
        <f>IF(R11&gt;0,ROUNDDOWN(MAX(0,R11-O11*(F11-1))*T11/U11,0),0)</f>
        <v/>
      </c>
      <c r="W11" s="36">
        <f>IF(S11&gt;0,ROUNDDOWN(MAX(0,S11-P11*(F11-1))*T11/U11,0),0)</f>
        <v/>
      </c>
      <c r="X11" s="36">
        <f>IF(R11&gt;0,O11+V11+IF(D11=F11-1,MAX(0,R11-O11*(F11-1)-SUMIF($A$5:$A$328,$A11,$V$5:$V$328)),0),ROUNDUP(O11*POWER(INDEX('建筑总览'!$J$5:$J$25,MATCH($A11,'建筑总览'!$A$5:$A$25,0)),D11),0))</f>
        <v/>
      </c>
      <c r="Y11" s="36">
        <f>IF(P11=0,0,IF(S11&gt;0,P11+W11+IF(D11=F11-1,MAX(0,S11-P11*(F11-1)-SUMIF($A$5:$A$328,$A11,$W$5:$W$328)),0),ROUNDUP(P11*POWER(INDEX('建筑总览'!$J$5:$J$25,MATCH($A11,'建筑总览'!$A$5:$A$25,0)),D11),0)))</f>
        <v/>
      </c>
      <c r="Z11" s="36">
        <f>IF(X11=0,0,MAX(1,ROUNDUP(X11*(1-'参数与公式'!$B$17),0)))</f>
        <v/>
      </c>
      <c r="AA11" s="36">
        <f>IF(Y11=0,0,MAX(1,ROUNDUP(Y11*(1-'参数与公式'!$B$17),0)))</f>
        <v/>
      </c>
      <c r="AB11" s="33" t="inlineStr">
        <is>
          <t>预算模式末级补足余数；旧模式按指数公式</t>
        </is>
      </c>
      <c r="AC11" s="49">
        <f>IF(A11=A10,IFERROR(M11/M10,""),"")</f>
        <v/>
      </c>
      <c r="AD11" s="49">
        <f>IF(AND(A11=A10,X10&gt;0),X11/X10,"")</f>
        <v/>
      </c>
    </row>
    <row r="12" ht="30" customHeight="1">
      <c r="A12" s="33" t="inlineStr">
        <is>
          <t>farm</t>
        </is>
      </c>
      <c r="B12" s="33" t="inlineStr">
        <is>
          <t>农田</t>
        </is>
      </c>
      <c r="C12" s="33" t="inlineStr">
        <is>
          <t>资源生产</t>
        </is>
      </c>
      <c r="D12" s="43" t="n">
        <v>8</v>
      </c>
      <c r="E12" s="36">
        <f>D12+1</f>
        <v/>
      </c>
      <c r="F12" s="43" t="n">
        <v>50</v>
      </c>
      <c r="G12" s="36">
        <f>INDEX('建筑建议总览'!$H$5:$H$25,MATCH($A12,'建筑建议总览'!$A$5:$A$25,0))</f>
        <v/>
      </c>
      <c r="H12" s="44">
        <f>INDEX('建筑建议总览'!$I$5:$I$25,MATCH($A12,'建筑建议总览'!$A$5:$A$25,0))</f>
        <v/>
      </c>
      <c r="I12" s="36">
        <f>INDEX('建筑建议总览'!$J$5:$J$25,MATCH($A12,'建筑建议总览'!$A$5:$A$25,0))</f>
        <v/>
      </c>
      <c r="J12" s="44">
        <f>POWER(H12,D12-1)</f>
        <v/>
      </c>
      <c r="K12" s="44">
        <f>SUMIF($A$5:$A$328,$A12,$J$5:$J$328)</f>
        <v/>
      </c>
      <c r="L12" s="36">
        <f>IF(I12&gt;0,ROUNDDOWN(MAX(0,I12-G12*(F12-1))*J12/K12,0),0)</f>
        <v/>
      </c>
      <c r="M12" s="36">
        <f>IF(I12&gt;0,G12+L12+IF(D12=F12-1,MAX(0,I12-G12*(F12-1)-SUMIF($A$5:$A$328,$A12,$L$5:$L$328)),0),ROUNDUP(G12*POWER(INDEX('建筑总览'!$G$5:$G$25,MATCH($A12,'建筑总览'!$A$5:$A$25,0)),D12),0))</f>
        <v/>
      </c>
      <c r="N12" s="35">
        <f>M12/'参数与公式'!$B$21</f>
        <v/>
      </c>
      <c r="O12" s="36">
        <f>INDEX('建筑建议总览'!$P$5:$P$25,MATCH($A12,'建筑建议总览'!$A$5:$A$25,0))</f>
        <v/>
      </c>
      <c r="P12" s="36">
        <f>INDEX('建筑建议总览'!$Q$5:$Q$25,MATCH($A12,'建筑建议总览'!$A$5:$A$25,0))</f>
        <v/>
      </c>
      <c r="Q12" s="44">
        <f>INDEX('建筑建议总览'!$R$5:$R$25,MATCH($A12,'建筑建议总览'!$A$5:$A$25,0))</f>
        <v/>
      </c>
      <c r="R12" s="36">
        <f>INDEX('建筑建议总览'!$S$5:$S$25,MATCH($A12,'建筑建议总览'!$A$5:$A$25,0))</f>
        <v/>
      </c>
      <c r="S12" s="36">
        <f>INDEX('建筑建议总览'!$T$5:$T$25,MATCH($A12,'建筑建议总览'!$A$5:$A$25,0))</f>
        <v/>
      </c>
      <c r="T12" s="44">
        <f>POWER(Q12,D12-1)</f>
        <v/>
      </c>
      <c r="U12" s="44">
        <f>SUMIF($A$5:$A$328,$A12,$T$5:$T$328)</f>
        <v/>
      </c>
      <c r="V12" s="36">
        <f>IF(R12&gt;0,ROUNDDOWN(MAX(0,R12-O12*(F12-1))*T12/U12,0),0)</f>
        <v/>
      </c>
      <c r="W12" s="36">
        <f>IF(S12&gt;0,ROUNDDOWN(MAX(0,S12-P12*(F12-1))*T12/U12,0),0)</f>
        <v/>
      </c>
      <c r="X12" s="36">
        <f>IF(R12&gt;0,O12+V12+IF(D12=F12-1,MAX(0,R12-O12*(F12-1)-SUMIF($A$5:$A$328,$A12,$V$5:$V$328)),0),ROUNDUP(O12*POWER(INDEX('建筑总览'!$J$5:$J$25,MATCH($A12,'建筑总览'!$A$5:$A$25,0)),D12),0))</f>
        <v/>
      </c>
      <c r="Y12" s="36">
        <f>IF(P12=0,0,IF(S12&gt;0,P12+W12+IF(D12=F12-1,MAX(0,S12-P12*(F12-1)-SUMIF($A$5:$A$328,$A12,$W$5:$W$328)),0),ROUNDUP(P12*POWER(INDEX('建筑总览'!$J$5:$J$25,MATCH($A12,'建筑总览'!$A$5:$A$25,0)),D12),0)))</f>
        <v/>
      </c>
      <c r="Z12" s="36">
        <f>IF(X12=0,0,MAX(1,ROUNDUP(X12*(1-'参数与公式'!$B$17),0)))</f>
        <v/>
      </c>
      <c r="AA12" s="36">
        <f>IF(Y12=0,0,MAX(1,ROUNDUP(Y12*(1-'参数与公式'!$B$17),0)))</f>
        <v/>
      </c>
      <c r="AB12" s="33" t="inlineStr">
        <is>
          <t>预算模式末级补足余数；旧模式按指数公式</t>
        </is>
      </c>
      <c r="AC12" s="49">
        <f>IF(A12=A11,IFERROR(M12/M11,""),"")</f>
        <v/>
      </c>
      <c r="AD12" s="49">
        <f>IF(AND(A12=A11,X11&gt;0),X12/X11,"")</f>
        <v/>
      </c>
    </row>
    <row r="13" ht="30" customHeight="1">
      <c r="A13" s="33" t="inlineStr">
        <is>
          <t>farm</t>
        </is>
      </c>
      <c r="B13" s="33" t="inlineStr">
        <is>
          <t>农田</t>
        </is>
      </c>
      <c r="C13" s="33" t="inlineStr">
        <is>
          <t>资源生产</t>
        </is>
      </c>
      <c r="D13" s="43" t="n">
        <v>9</v>
      </c>
      <c r="E13" s="36">
        <f>D13+1</f>
        <v/>
      </c>
      <c r="F13" s="43" t="n">
        <v>50</v>
      </c>
      <c r="G13" s="36">
        <f>INDEX('建筑建议总览'!$H$5:$H$25,MATCH($A13,'建筑建议总览'!$A$5:$A$25,0))</f>
        <v/>
      </c>
      <c r="H13" s="44">
        <f>INDEX('建筑建议总览'!$I$5:$I$25,MATCH($A13,'建筑建议总览'!$A$5:$A$25,0))</f>
        <v/>
      </c>
      <c r="I13" s="36">
        <f>INDEX('建筑建议总览'!$J$5:$J$25,MATCH($A13,'建筑建议总览'!$A$5:$A$25,0))</f>
        <v/>
      </c>
      <c r="J13" s="44">
        <f>POWER(H13,D13-1)</f>
        <v/>
      </c>
      <c r="K13" s="44">
        <f>SUMIF($A$5:$A$328,$A13,$J$5:$J$328)</f>
        <v/>
      </c>
      <c r="L13" s="36">
        <f>IF(I13&gt;0,ROUNDDOWN(MAX(0,I13-G13*(F13-1))*J13/K13,0),0)</f>
        <v/>
      </c>
      <c r="M13" s="36">
        <f>IF(I13&gt;0,G13+L13+IF(D13=F13-1,MAX(0,I13-G13*(F13-1)-SUMIF($A$5:$A$328,$A13,$L$5:$L$328)),0),ROUNDUP(G13*POWER(INDEX('建筑总览'!$G$5:$G$25,MATCH($A13,'建筑总览'!$A$5:$A$25,0)),D13),0))</f>
        <v/>
      </c>
      <c r="N13" s="35">
        <f>M13/'参数与公式'!$B$21</f>
        <v/>
      </c>
      <c r="O13" s="36">
        <f>INDEX('建筑建议总览'!$P$5:$P$25,MATCH($A13,'建筑建议总览'!$A$5:$A$25,0))</f>
        <v/>
      </c>
      <c r="P13" s="36">
        <f>INDEX('建筑建议总览'!$Q$5:$Q$25,MATCH($A13,'建筑建议总览'!$A$5:$A$25,0))</f>
        <v/>
      </c>
      <c r="Q13" s="44">
        <f>INDEX('建筑建议总览'!$R$5:$R$25,MATCH($A13,'建筑建议总览'!$A$5:$A$25,0))</f>
        <v/>
      </c>
      <c r="R13" s="36">
        <f>INDEX('建筑建议总览'!$S$5:$S$25,MATCH($A13,'建筑建议总览'!$A$5:$A$25,0))</f>
        <v/>
      </c>
      <c r="S13" s="36">
        <f>INDEX('建筑建议总览'!$T$5:$T$25,MATCH($A13,'建筑建议总览'!$A$5:$A$25,0))</f>
        <v/>
      </c>
      <c r="T13" s="44">
        <f>POWER(Q13,D13-1)</f>
        <v/>
      </c>
      <c r="U13" s="44">
        <f>SUMIF($A$5:$A$328,$A13,$T$5:$T$328)</f>
        <v/>
      </c>
      <c r="V13" s="36">
        <f>IF(R13&gt;0,ROUNDDOWN(MAX(0,R13-O13*(F13-1))*T13/U13,0),0)</f>
        <v/>
      </c>
      <c r="W13" s="36">
        <f>IF(S13&gt;0,ROUNDDOWN(MAX(0,S13-P13*(F13-1))*T13/U13,0),0)</f>
        <v/>
      </c>
      <c r="X13" s="36">
        <f>IF(R13&gt;0,O13+V13+IF(D13=F13-1,MAX(0,R13-O13*(F13-1)-SUMIF($A$5:$A$328,$A13,$V$5:$V$328)),0),ROUNDUP(O13*POWER(INDEX('建筑总览'!$J$5:$J$25,MATCH($A13,'建筑总览'!$A$5:$A$25,0)),D13),0))</f>
        <v/>
      </c>
      <c r="Y13" s="36">
        <f>IF(P13=0,0,IF(S13&gt;0,P13+W13+IF(D13=F13-1,MAX(0,S13-P13*(F13-1)-SUMIF($A$5:$A$328,$A13,$W$5:$W$328)),0),ROUNDUP(P13*POWER(INDEX('建筑总览'!$J$5:$J$25,MATCH($A13,'建筑总览'!$A$5:$A$25,0)),D13),0)))</f>
        <v/>
      </c>
      <c r="Z13" s="36">
        <f>IF(X13=0,0,MAX(1,ROUNDUP(X13*(1-'参数与公式'!$B$17),0)))</f>
        <v/>
      </c>
      <c r="AA13" s="36">
        <f>IF(Y13=0,0,MAX(1,ROUNDUP(Y13*(1-'参数与公式'!$B$17),0)))</f>
        <v/>
      </c>
      <c r="AB13" s="33" t="inlineStr">
        <is>
          <t>预算模式末级补足余数；旧模式按指数公式</t>
        </is>
      </c>
      <c r="AC13" s="49">
        <f>IF(A13=A12,IFERROR(M13/M12,""),"")</f>
        <v/>
      </c>
      <c r="AD13" s="49">
        <f>IF(AND(A13=A12,X12&gt;0),X13/X12,"")</f>
        <v/>
      </c>
    </row>
    <row r="14" ht="30" customHeight="1">
      <c r="A14" s="33" t="inlineStr">
        <is>
          <t>farm</t>
        </is>
      </c>
      <c r="B14" s="33" t="inlineStr">
        <is>
          <t>农田</t>
        </is>
      </c>
      <c r="C14" s="33" t="inlineStr">
        <is>
          <t>资源生产</t>
        </is>
      </c>
      <c r="D14" s="43" t="n">
        <v>10</v>
      </c>
      <c r="E14" s="36">
        <f>D14+1</f>
        <v/>
      </c>
      <c r="F14" s="43" t="n">
        <v>50</v>
      </c>
      <c r="G14" s="36">
        <f>INDEX('建筑建议总览'!$H$5:$H$25,MATCH($A14,'建筑建议总览'!$A$5:$A$25,0))</f>
        <v/>
      </c>
      <c r="H14" s="44">
        <f>INDEX('建筑建议总览'!$I$5:$I$25,MATCH($A14,'建筑建议总览'!$A$5:$A$25,0))</f>
        <v/>
      </c>
      <c r="I14" s="36">
        <f>INDEX('建筑建议总览'!$J$5:$J$25,MATCH($A14,'建筑建议总览'!$A$5:$A$25,0))</f>
        <v/>
      </c>
      <c r="J14" s="44">
        <f>POWER(H14,D14-1)</f>
        <v/>
      </c>
      <c r="K14" s="44">
        <f>SUMIF($A$5:$A$328,$A14,$J$5:$J$328)</f>
        <v/>
      </c>
      <c r="L14" s="36">
        <f>IF(I14&gt;0,ROUNDDOWN(MAX(0,I14-G14*(F14-1))*J14/K14,0),0)</f>
        <v/>
      </c>
      <c r="M14" s="36">
        <f>IF(I14&gt;0,G14+L14+IF(D14=F14-1,MAX(0,I14-G14*(F14-1)-SUMIF($A$5:$A$328,$A14,$L$5:$L$328)),0),ROUNDUP(G14*POWER(INDEX('建筑总览'!$G$5:$G$25,MATCH($A14,'建筑总览'!$A$5:$A$25,0)),D14),0))</f>
        <v/>
      </c>
      <c r="N14" s="35">
        <f>M14/'参数与公式'!$B$21</f>
        <v/>
      </c>
      <c r="O14" s="36">
        <f>INDEX('建筑建议总览'!$P$5:$P$25,MATCH($A14,'建筑建议总览'!$A$5:$A$25,0))</f>
        <v/>
      </c>
      <c r="P14" s="36">
        <f>INDEX('建筑建议总览'!$Q$5:$Q$25,MATCH($A14,'建筑建议总览'!$A$5:$A$25,0))</f>
        <v/>
      </c>
      <c r="Q14" s="44">
        <f>INDEX('建筑建议总览'!$R$5:$R$25,MATCH($A14,'建筑建议总览'!$A$5:$A$25,0))</f>
        <v/>
      </c>
      <c r="R14" s="36">
        <f>INDEX('建筑建议总览'!$S$5:$S$25,MATCH($A14,'建筑建议总览'!$A$5:$A$25,0))</f>
        <v/>
      </c>
      <c r="S14" s="36">
        <f>INDEX('建筑建议总览'!$T$5:$T$25,MATCH($A14,'建筑建议总览'!$A$5:$A$25,0))</f>
        <v/>
      </c>
      <c r="T14" s="44">
        <f>POWER(Q14,D14-1)</f>
        <v/>
      </c>
      <c r="U14" s="44">
        <f>SUMIF($A$5:$A$328,$A14,$T$5:$T$328)</f>
        <v/>
      </c>
      <c r="V14" s="36">
        <f>IF(R14&gt;0,ROUNDDOWN(MAX(0,R14-O14*(F14-1))*T14/U14,0),0)</f>
        <v/>
      </c>
      <c r="W14" s="36">
        <f>IF(S14&gt;0,ROUNDDOWN(MAX(0,S14-P14*(F14-1))*T14/U14,0),0)</f>
        <v/>
      </c>
      <c r="X14" s="36">
        <f>IF(R14&gt;0,O14+V14+IF(D14=F14-1,MAX(0,R14-O14*(F14-1)-SUMIF($A$5:$A$328,$A14,$V$5:$V$328)),0),ROUNDUP(O14*POWER(INDEX('建筑总览'!$J$5:$J$25,MATCH($A14,'建筑总览'!$A$5:$A$25,0)),D14),0))</f>
        <v/>
      </c>
      <c r="Y14" s="36">
        <f>IF(P14=0,0,IF(S14&gt;0,P14+W14+IF(D14=F14-1,MAX(0,S14-P14*(F14-1)-SUMIF($A$5:$A$328,$A14,$W$5:$W$328)),0),ROUNDUP(P14*POWER(INDEX('建筑总览'!$J$5:$J$25,MATCH($A14,'建筑总览'!$A$5:$A$25,0)),D14),0)))</f>
        <v/>
      </c>
      <c r="Z14" s="36">
        <f>IF(X14=0,0,MAX(1,ROUNDUP(X14*(1-'参数与公式'!$B$17),0)))</f>
        <v/>
      </c>
      <c r="AA14" s="36">
        <f>IF(Y14=0,0,MAX(1,ROUNDUP(Y14*(1-'参数与公式'!$B$17),0)))</f>
        <v/>
      </c>
      <c r="AB14" s="33" t="inlineStr">
        <is>
          <t>预算模式末级补足余数；旧模式按指数公式</t>
        </is>
      </c>
      <c r="AC14" s="49">
        <f>IF(A14=A13,IFERROR(M14/M13,""),"")</f>
        <v/>
      </c>
      <c r="AD14" s="49">
        <f>IF(AND(A14=A13,X13&gt;0),X14/X13,"")</f>
        <v/>
      </c>
    </row>
    <row r="15" ht="30" customHeight="1">
      <c r="A15" s="33" t="inlineStr">
        <is>
          <t>farm</t>
        </is>
      </c>
      <c r="B15" s="33" t="inlineStr">
        <is>
          <t>农田</t>
        </is>
      </c>
      <c r="C15" s="33" t="inlineStr">
        <is>
          <t>资源生产</t>
        </is>
      </c>
      <c r="D15" s="43" t="n">
        <v>11</v>
      </c>
      <c r="E15" s="36">
        <f>D15+1</f>
        <v/>
      </c>
      <c r="F15" s="43" t="n">
        <v>50</v>
      </c>
      <c r="G15" s="36">
        <f>INDEX('建筑建议总览'!$H$5:$H$25,MATCH($A15,'建筑建议总览'!$A$5:$A$25,0))</f>
        <v/>
      </c>
      <c r="H15" s="44">
        <f>INDEX('建筑建议总览'!$I$5:$I$25,MATCH($A15,'建筑建议总览'!$A$5:$A$25,0))</f>
        <v/>
      </c>
      <c r="I15" s="36">
        <f>INDEX('建筑建议总览'!$J$5:$J$25,MATCH($A15,'建筑建议总览'!$A$5:$A$25,0))</f>
        <v/>
      </c>
      <c r="J15" s="44">
        <f>POWER(H15,D15-1)</f>
        <v/>
      </c>
      <c r="K15" s="44">
        <f>SUMIF($A$5:$A$328,$A15,$J$5:$J$328)</f>
        <v/>
      </c>
      <c r="L15" s="36">
        <f>IF(I15&gt;0,ROUNDDOWN(MAX(0,I15-G15*(F15-1))*J15/K15,0),0)</f>
        <v/>
      </c>
      <c r="M15" s="36">
        <f>IF(I15&gt;0,G15+L15+IF(D15=F15-1,MAX(0,I15-G15*(F15-1)-SUMIF($A$5:$A$328,$A15,$L$5:$L$328)),0),ROUNDUP(G15*POWER(INDEX('建筑总览'!$G$5:$G$25,MATCH($A15,'建筑总览'!$A$5:$A$25,0)),D15),0))</f>
        <v/>
      </c>
      <c r="N15" s="35">
        <f>M15/'参数与公式'!$B$21</f>
        <v/>
      </c>
      <c r="O15" s="36">
        <f>INDEX('建筑建议总览'!$P$5:$P$25,MATCH($A15,'建筑建议总览'!$A$5:$A$25,0))</f>
        <v/>
      </c>
      <c r="P15" s="36">
        <f>INDEX('建筑建议总览'!$Q$5:$Q$25,MATCH($A15,'建筑建议总览'!$A$5:$A$25,0))</f>
        <v/>
      </c>
      <c r="Q15" s="44">
        <f>INDEX('建筑建议总览'!$R$5:$R$25,MATCH($A15,'建筑建议总览'!$A$5:$A$25,0))</f>
        <v/>
      </c>
      <c r="R15" s="36">
        <f>INDEX('建筑建议总览'!$S$5:$S$25,MATCH($A15,'建筑建议总览'!$A$5:$A$25,0))</f>
        <v/>
      </c>
      <c r="S15" s="36">
        <f>INDEX('建筑建议总览'!$T$5:$T$25,MATCH($A15,'建筑建议总览'!$A$5:$A$25,0))</f>
        <v/>
      </c>
      <c r="T15" s="44">
        <f>POWER(Q15,D15-1)</f>
        <v/>
      </c>
      <c r="U15" s="44">
        <f>SUMIF($A$5:$A$328,$A15,$T$5:$T$328)</f>
        <v/>
      </c>
      <c r="V15" s="36">
        <f>IF(R15&gt;0,ROUNDDOWN(MAX(0,R15-O15*(F15-1))*T15/U15,0),0)</f>
        <v/>
      </c>
      <c r="W15" s="36">
        <f>IF(S15&gt;0,ROUNDDOWN(MAX(0,S15-P15*(F15-1))*T15/U15,0),0)</f>
        <v/>
      </c>
      <c r="X15" s="36">
        <f>IF(R15&gt;0,O15+V15+IF(D15=F15-1,MAX(0,R15-O15*(F15-1)-SUMIF($A$5:$A$328,$A15,$V$5:$V$328)),0),ROUNDUP(O15*POWER(INDEX('建筑总览'!$J$5:$J$25,MATCH($A15,'建筑总览'!$A$5:$A$25,0)),D15),0))</f>
        <v/>
      </c>
      <c r="Y15" s="36">
        <f>IF(P15=0,0,IF(S15&gt;0,P15+W15+IF(D15=F15-1,MAX(0,S15-P15*(F15-1)-SUMIF($A$5:$A$328,$A15,$W$5:$W$328)),0),ROUNDUP(P15*POWER(INDEX('建筑总览'!$J$5:$J$25,MATCH($A15,'建筑总览'!$A$5:$A$25,0)),D15),0)))</f>
        <v/>
      </c>
      <c r="Z15" s="36">
        <f>IF(X15=0,0,MAX(1,ROUNDUP(X15*(1-'参数与公式'!$B$17),0)))</f>
        <v/>
      </c>
      <c r="AA15" s="36">
        <f>IF(Y15=0,0,MAX(1,ROUNDUP(Y15*(1-'参数与公式'!$B$17),0)))</f>
        <v/>
      </c>
      <c r="AB15" s="33" t="inlineStr">
        <is>
          <t>预算模式末级补足余数；旧模式按指数公式</t>
        </is>
      </c>
      <c r="AC15" s="49">
        <f>IF(A15=A14,IFERROR(M15/M14,""),"")</f>
        <v/>
      </c>
      <c r="AD15" s="49">
        <f>IF(AND(A15=A14,X14&gt;0),X15/X14,"")</f>
        <v/>
      </c>
    </row>
    <row r="16" ht="30" customHeight="1">
      <c r="A16" s="33" t="inlineStr">
        <is>
          <t>farm</t>
        </is>
      </c>
      <c r="B16" s="33" t="inlineStr">
        <is>
          <t>农田</t>
        </is>
      </c>
      <c r="C16" s="33" t="inlineStr">
        <is>
          <t>资源生产</t>
        </is>
      </c>
      <c r="D16" s="43" t="n">
        <v>12</v>
      </c>
      <c r="E16" s="36">
        <f>D16+1</f>
        <v/>
      </c>
      <c r="F16" s="43" t="n">
        <v>50</v>
      </c>
      <c r="G16" s="36">
        <f>INDEX('建筑建议总览'!$H$5:$H$25,MATCH($A16,'建筑建议总览'!$A$5:$A$25,0))</f>
        <v/>
      </c>
      <c r="H16" s="44">
        <f>INDEX('建筑建议总览'!$I$5:$I$25,MATCH($A16,'建筑建议总览'!$A$5:$A$25,0))</f>
        <v/>
      </c>
      <c r="I16" s="36">
        <f>INDEX('建筑建议总览'!$J$5:$J$25,MATCH($A16,'建筑建议总览'!$A$5:$A$25,0))</f>
        <v/>
      </c>
      <c r="J16" s="44">
        <f>POWER(H16,D16-1)</f>
        <v/>
      </c>
      <c r="K16" s="44">
        <f>SUMIF($A$5:$A$328,$A16,$J$5:$J$328)</f>
        <v/>
      </c>
      <c r="L16" s="36">
        <f>IF(I16&gt;0,ROUNDDOWN(MAX(0,I16-G16*(F16-1))*J16/K16,0),0)</f>
        <v/>
      </c>
      <c r="M16" s="36">
        <f>IF(I16&gt;0,G16+L16+IF(D16=F16-1,MAX(0,I16-G16*(F16-1)-SUMIF($A$5:$A$328,$A16,$L$5:$L$328)),0),ROUNDUP(G16*POWER(INDEX('建筑总览'!$G$5:$G$25,MATCH($A16,'建筑总览'!$A$5:$A$25,0)),D16),0))</f>
        <v/>
      </c>
      <c r="N16" s="35">
        <f>M16/'参数与公式'!$B$21</f>
        <v/>
      </c>
      <c r="O16" s="36">
        <f>INDEX('建筑建议总览'!$P$5:$P$25,MATCH($A16,'建筑建议总览'!$A$5:$A$25,0))</f>
        <v/>
      </c>
      <c r="P16" s="36">
        <f>INDEX('建筑建议总览'!$Q$5:$Q$25,MATCH($A16,'建筑建议总览'!$A$5:$A$25,0))</f>
        <v/>
      </c>
      <c r="Q16" s="44">
        <f>INDEX('建筑建议总览'!$R$5:$R$25,MATCH($A16,'建筑建议总览'!$A$5:$A$25,0))</f>
        <v/>
      </c>
      <c r="R16" s="36">
        <f>INDEX('建筑建议总览'!$S$5:$S$25,MATCH($A16,'建筑建议总览'!$A$5:$A$25,0))</f>
        <v/>
      </c>
      <c r="S16" s="36">
        <f>INDEX('建筑建议总览'!$T$5:$T$25,MATCH($A16,'建筑建议总览'!$A$5:$A$25,0))</f>
        <v/>
      </c>
      <c r="T16" s="44">
        <f>POWER(Q16,D16-1)</f>
        <v/>
      </c>
      <c r="U16" s="44">
        <f>SUMIF($A$5:$A$328,$A16,$T$5:$T$328)</f>
        <v/>
      </c>
      <c r="V16" s="36">
        <f>IF(R16&gt;0,ROUNDDOWN(MAX(0,R16-O16*(F16-1))*T16/U16,0),0)</f>
        <v/>
      </c>
      <c r="W16" s="36">
        <f>IF(S16&gt;0,ROUNDDOWN(MAX(0,S16-P16*(F16-1))*T16/U16,0),0)</f>
        <v/>
      </c>
      <c r="X16" s="36">
        <f>IF(R16&gt;0,O16+V16+IF(D16=F16-1,MAX(0,R16-O16*(F16-1)-SUMIF($A$5:$A$328,$A16,$V$5:$V$328)),0),ROUNDUP(O16*POWER(INDEX('建筑总览'!$J$5:$J$25,MATCH($A16,'建筑总览'!$A$5:$A$25,0)),D16),0))</f>
        <v/>
      </c>
      <c r="Y16" s="36">
        <f>IF(P16=0,0,IF(S16&gt;0,P16+W16+IF(D16=F16-1,MAX(0,S16-P16*(F16-1)-SUMIF($A$5:$A$328,$A16,$W$5:$W$328)),0),ROUNDUP(P16*POWER(INDEX('建筑总览'!$J$5:$J$25,MATCH($A16,'建筑总览'!$A$5:$A$25,0)),D16),0)))</f>
        <v/>
      </c>
      <c r="Z16" s="36">
        <f>IF(X16=0,0,MAX(1,ROUNDUP(X16*(1-'参数与公式'!$B$17),0)))</f>
        <v/>
      </c>
      <c r="AA16" s="36">
        <f>IF(Y16=0,0,MAX(1,ROUNDUP(Y16*(1-'参数与公式'!$B$17),0)))</f>
        <v/>
      </c>
      <c r="AB16" s="33" t="inlineStr">
        <is>
          <t>预算模式末级补足余数；旧模式按指数公式</t>
        </is>
      </c>
      <c r="AC16" s="49">
        <f>IF(A16=A15,IFERROR(M16/M15,""),"")</f>
        <v/>
      </c>
      <c r="AD16" s="49">
        <f>IF(AND(A16=A15,X15&gt;0),X16/X15,"")</f>
        <v/>
      </c>
    </row>
    <row r="17" ht="30" customHeight="1">
      <c r="A17" s="33" t="inlineStr">
        <is>
          <t>farm</t>
        </is>
      </c>
      <c r="B17" s="33" t="inlineStr">
        <is>
          <t>农田</t>
        </is>
      </c>
      <c r="C17" s="33" t="inlineStr">
        <is>
          <t>资源生产</t>
        </is>
      </c>
      <c r="D17" s="43" t="n">
        <v>13</v>
      </c>
      <c r="E17" s="36">
        <f>D17+1</f>
        <v/>
      </c>
      <c r="F17" s="43" t="n">
        <v>50</v>
      </c>
      <c r="G17" s="36">
        <f>INDEX('建筑建议总览'!$H$5:$H$25,MATCH($A17,'建筑建议总览'!$A$5:$A$25,0))</f>
        <v/>
      </c>
      <c r="H17" s="44">
        <f>INDEX('建筑建议总览'!$I$5:$I$25,MATCH($A17,'建筑建议总览'!$A$5:$A$25,0))</f>
        <v/>
      </c>
      <c r="I17" s="36">
        <f>INDEX('建筑建议总览'!$J$5:$J$25,MATCH($A17,'建筑建议总览'!$A$5:$A$25,0))</f>
        <v/>
      </c>
      <c r="J17" s="44">
        <f>POWER(H17,D17-1)</f>
        <v/>
      </c>
      <c r="K17" s="44">
        <f>SUMIF($A$5:$A$328,$A17,$J$5:$J$328)</f>
        <v/>
      </c>
      <c r="L17" s="36">
        <f>IF(I17&gt;0,ROUNDDOWN(MAX(0,I17-G17*(F17-1))*J17/K17,0),0)</f>
        <v/>
      </c>
      <c r="M17" s="36">
        <f>IF(I17&gt;0,G17+L17+IF(D17=F17-1,MAX(0,I17-G17*(F17-1)-SUMIF($A$5:$A$328,$A17,$L$5:$L$328)),0),ROUNDUP(G17*POWER(INDEX('建筑总览'!$G$5:$G$25,MATCH($A17,'建筑总览'!$A$5:$A$25,0)),D17),0))</f>
        <v/>
      </c>
      <c r="N17" s="35">
        <f>M17/'参数与公式'!$B$21</f>
        <v/>
      </c>
      <c r="O17" s="36">
        <f>INDEX('建筑建议总览'!$P$5:$P$25,MATCH($A17,'建筑建议总览'!$A$5:$A$25,0))</f>
        <v/>
      </c>
      <c r="P17" s="36">
        <f>INDEX('建筑建议总览'!$Q$5:$Q$25,MATCH($A17,'建筑建议总览'!$A$5:$A$25,0))</f>
        <v/>
      </c>
      <c r="Q17" s="44">
        <f>INDEX('建筑建议总览'!$R$5:$R$25,MATCH($A17,'建筑建议总览'!$A$5:$A$25,0))</f>
        <v/>
      </c>
      <c r="R17" s="36">
        <f>INDEX('建筑建议总览'!$S$5:$S$25,MATCH($A17,'建筑建议总览'!$A$5:$A$25,0))</f>
        <v/>
      </c>
      <c r="S17" s="36">
        <f>INDEX('建筑建议总览'!$T$5:$T$25,MATCH($A17,'建筑建议总览'!$A$5:$A$25,0))</f>
        <v/>
      </c>
      <c r="T17" s="44">
        <f>POWER(Q17,D17-1)</f>
        <v/>
      </c>
      <c r="U17" s="44">
        <f>SUMIF($A$5:$A$328,$A17,$T$5:$T$328)</f>
        <v/>
      </c>
      <c r="V17" s="36">
        <f>IF(R17&gt;0,ROUNDDOWN(MAX(0,R17-O17*(F17-1))*T17/U17,0),0)</f>
        <v/>
      </c>
      <c r="W17" s="36">
        <f>IF(S17&gt;0,ROUNDDOWN(MAX(0,S17-P17*(F17-1))*T17/U17,0),0)</f>
        <v/>
      </c>
      <c r="X17" s="36">
        <f>IF(R17&gt;0,O17+V17+IF(D17=F17-1,MAX(0,R17-O17*(F17-1)-SUMIF($A$5:$A$328,$A17,$V$5:$V$328)),0),ROUNDUP(O17*POWER(INDEX('建筑总览'!$J$5:$J$25,MATCH($A17,'建筑总览'!$A$5:$A$25,0)),D17),0))</f>
        <v/>
      </c>
      <c r="Y17" s="36">
        <f>IF(P17=0,0,IF(S17&gt;0,P17+W17+IF(D17=F17-1,MAX(0,S17-P17*(F17-1)-SUMIF($A$5:$A$328,$A17,$W$5:$W$328)),0),ROUNDUP(P17*POWER(INDEX('建筑总览'!$J$5:$J$25,MATCH($A17,'建筑总览'!$A$5:$A$25,0)),D17),0)))</f>
        <v/>
      </c>
      <c r="Z17" s="36">
        <f>IF(X17=0,0,MAX(1,ROUNDUP(X17*(1-'参数与公式'!$B$17),0)))</f>
        <v/>
      </c>
      <c r="AA17" s="36">
        <f>IF(Y17=0,0,MAX(1,ROUNDUP(Y17*(1-'参数与公式'!$B$17),0)))</f>
        <v/>
      </c>
      <c r="AB17" s="33" t="inlineStr">
        <is>
          <t>预算模式末级补足余数；旧模式按指数公式</t>
        </is>
      </c>
      <c r="AC17" s="49">
        <f>IF(A17=A16,IFERROR(M17/M16,""),"")</f>
        <v/>
      </c>
      <c r="AD17" s="49">
        <f>IF(AND(A17=A16,X16&gt;0),X17/X16,"")</f>
        <v/>
      </c>
    </row>
    <row r="18" ht="30" customHeight="1">
      <c r="A18" s="33" t="inlineStr">
        <is>
          <t>farm</t>
        </is>
      </c>
      <c r="B18" s="33" t="inlineStr">
        <is>
          <t>农田</t>
        </is>
      </c>
      <c r="C18" s="33" t="inlineStr">
        <is>
          <t>资源生产</t>
        </is>
      </c>
      <c r="D18" s="43" t="n">
        <v>14</v>
      </c>
      <c r="E18" s="36">
        <f>D18+1</f>
        <v/>
      </c>
      <c r="F18" s="43" t="n">
        <v>50</v>
      </c>
      <c r="G18" s="36">
        <f>INDEX('建筑建议总览'!$H$5:$H$25,MATCH($A18,'建筑建议总览'!$A$5:$A$25,0))</f>
        <v/>
      </c>
      <c r="H18" s="44">
        <f>INDEX('建筑建议总览'!$I$5:$I$25,MATCH($A18,'建筑建议总览'!$A$5:$A$25,0))</f>
        <v/>
      </c>
      <c r="I18" s="36">
        <f>INDEX('建筑建议总览'!$J$5:$J$25,MATCH($A18,'建筑建议总览'!$A$5:$A$25,0))</f>
        <v/>
      </c>
      <c r="J18" s="44">
        <f>POWER(H18,D18-1)</f>
        <v/>
      </c>
      <c r="K18" s="44">
        <f>SUMIF($A$5:$A$328,$A18,$J$5:$J$328)</f>
        <v/>
      </c>
      <c r="L18" s="36">
        <f>IF(I18&gt;0,ROUNDDOWN(MAX(0,I18-G18*(F18-1))*J18/K18,0),0)</f>
        <v/>
      </c>
      <c r="M18" s="36">
        <f>IF(I18&gt;0,G18+L18+IF(D18=F18-1,MAX(0,I18-G18*(F18-1)-SUMIF($A$5:$A$328,$A18,$L$5:$L$328)),0),ROUNDUP(G18*POWER(INDEX('建筑总览'!$G$5:$G$25,MATCH($A18,'建筑总览'!$A$5:$A$25,0)),D18),0))</f>
        <v/>
      </c>
      <c r="N18" s="35">
        <f>M18/'参数与公式'!$B$21</f>
        <v/>
      </c>
      <c r="O18" s="36">
        <f>INDEX('建筑建议总览'!$P$5:$P$25,MATCH($A18,'建筑建议总览'!$A$5:$A$25,0))</f>
        <v/>
      </c>
      <c r="P18" s="36">
        <f>INDEX('建筑建议总览'!$Q$5:$Q$25,MATCH($A18,'建筑建议总览'!$A$5:$A$25,0))</f>
        <v/>
      </c>
      <c r="Q18" s="44">
        <f>INDEX('建筑建议总览'!$R$5:$R$25,MATCH($A18,'建筑建议总览'!$A$5:$A$25,0))</f>
        <v/>
      </c>
      <c r="R18" s="36">
        <f>INDEX('建筑建议总览'!$S$5:$S$25,MATCH($A18,'建筑建议总览'!$A$5:$A$25,0))</f>
        <v/>
      </c>
      <c r="S18" s="36">
        <f>INDEX('建筑建议总览'!$T$5:$T$25,MATCH($A18,'建筑建议总览'!$A$5:$A$25,0))</f>
        <v/>
      </c>
      <c r="T18" s="44">
        <f>POWER(Q18,D18-1)</f>
        <v/>
      </c>
      <c r="U18" s="44">
        <f>SUMIF($A$5:$A$328,$A18,$T$5:$T$328)</f>
        <v/>
      </c>
      <c r="V18" s="36">
        <f>IF(R18&gt;0,ROUNDDOWN(MAX(0,R18-O18*(F18-1))*T18/U18,0),0)</f>
        <v/>
      </c>
      <c r="W18" s="36">
        <f>IF(S18&gt;0,ROUNDDOWN(MAX(0,S18-P18*(F18-1))*T18/U18,0),0)</f>
        <v/>
      </c>
      <c r="X18" s="36">
        <f>IF(R18&gt;0,O18+V18+IF(D18=F18-1,MAX(0,R18-O18*(F18-1)-SUMIF($A$5:$A$328,$A18,$V$5:$V$328)),0),ROUNDUP(O18*POWER(INDEX('建筑总览'!$J$5:$J$25,MATCH($A18,'建筑总览'!$A$5:$A$25,0)),D18),0))</f>
        <v/>
      </c>
      <c r="Y18" s="36">
        <f>IF(P18=0,0,IF(S18&gt;0,P18+W18+IF(D18=F18-1,MAX(0,S18-P18*(F18-1)-SUMIF($A$5:$A$328,$A18,$W$5:$W$328)),0),ROUNDUP(P18*POWER(INDEX('建筑总览'!$J$5:$J$25,MATCH($A18,'建筑总览'!$A$5:$A$25,0)),D18),0)))</f>
        <v/>
      </c>
      <c r="Z18" s="36">
        <f>IF(X18=0,0,MAX(1,ROUNDUP(X18*(1-'参数与公式'!$B$17),0)))</f>
        <v/>
      </c>
      <c r="AA18" s="36">
        <f>IF(Y18=0,0,MAX(1,ROUNDUP(Y18*(1-'参数与公式'!$B$17),0)))</f>
        <v/>
      </c>
      <c r="AB18" s="33" t="inlineStr">
        <is>
          <t>预算模式末级补足余数；旧模式按指数公式</t>
        </is>
      </c>
      <c r="AC18" s="49">
        <f>IF(A18=A17,IFERROR(M18/M17,""),"")</f>
        <v/>
      </c>
      <c r="AD18" s="49">
        <f>IF(AND(A18=A17,X17&gt;0),X18/X17,"")</f>
        <v/>
      </c>
    </row>
    <row r="19" ht="30" customHeight="1">
      <c r="A19" s="33" t="inlineStr">
        <is>
          <t>farm</t>
        </is>
      </c>
      <c r="B19" s="33" t="inlineStr">
        <is>
          <t>农田</t>
        </is>
      </c>
      <c r="C19" s="33" t="inlineStr">
        <is>
          <t>资源生产</t>
        </is>
      </c>
      <c r="D19" s="43" t="n">
        <v>15</v>
      </c>
      <c r="E19" s="36">
        <f>D19+1</f>
        <v/>
      </c>
      <c r="F19" s="43" t="n">
        <v>50</v>
      </c>
      <c r="G19" s="36">
        <f>INDEX('建筑建议总览'!$H$5:$H$25,MATCH($A19,'建筑建议总览'!$A$5:$A$25,0))</f>
        <v/>
      </c>
      <c r="H19" s="44">
        <f>INDEX('建筑建议总览'!$I$5:$I$25,MATCH($A19,'建筑建议总览'!$A$5:$A$25,0))</f>
        <v/>
      </c>
      <c r="I19" s="36">
        <f>INDEX('建筑建议总览'!$J$5:$J$25,MATCH($A19,'建筑建议总览'!$A$5:$A$25,0))</f>
        <v/>
      </c>
      <c r="J19" s="44">
        <f>POWER(H19,D19-1)</f>
        <v/>
      </c>
      <c r="K19" s="44">
        <f>SUMIF($A$5:$A$328,$A19,$J$5:$J$328)</f>
        <v/>
      </c>
      <c r="L19" s="36">
        <f>IF(I19&gt;0,ROUNDDOWN(MAX(0,I19-G19*(F19-1))*J19/K19,0),0)</f>
        <v/>
      </c>
      <c r="M19" s="36">
        <f>IF(I19&gt;0,G19+L19+IF(D19=F19-1,MAX(0,I19-G19*(F19-1)-SUMIF($A$5:$A$328,$A19,$L$5:$L$328)),0),ROUNDUP(G19*POWER(INDEX('建筑总览'!$G$5:$G$25,MATCH($A19,'建筑总览'!$A$5:$A$25,0)),D19),0))</f>
        <v/>
      </c>
      <c r="N19" s="35">
        <f>M19/'参数与公式'!$B$21</f>
        <v/>
      </c>
      <c r="O19" s="36">
        <f>INDEX('建筑建议总览'!$P$5:$P$25,MATCH($A19,'建筑建议总览'!$A$5:$A$25,0))</f>
        <v/>
      </c>
      <c r="P19" s="36">
        <f>INDEX('建筑建议总览'!$Q$5:$Q$25,MATCH($A19,'建筑建议总览'!$A$5:$A$25,0))</f>
        <v/>
      </c>
      <c r="Q19" s="44">
        <f>INDEX('建筑建议总览'!$R$5:$R$25,MATCH($A19,'建筑建议总览'!$A$5:$A$25,0))</f>
        <v/>
      </c>
      <c r="R19" s="36">
        <f>INDEX('建筑建议总览'!$S$5:$S$25,MATCH($A19,'建筑建议总览'!$A$5:$A$25,0))</f>
        <v/>
      </c>
      <c r="S19" s="36">
        <f>INDEX('建筑建议总览'!$T$5:$T$25,MATCH($A19,'建筑建议总览'!$A$5:$A$25,0))</f>
        <v/>
      </c>
      <c r="T19" s="44">
        <f>POWER(Q19,D19-1)</f>
        <v/>
      </c>
      <c r="U19" s="44">
        <f>SUMIF($A$5:$A$328,$A19,$T$5:$T$328)</f>
        <v/>
      </c>
      <c r="V19" s="36">
        <f>IF(R19&gt;0,ROUNDDOWN(MAX(0,R19-O19*(F19-1))*T19/U19,0),0)</f>
        <v/>
      </c>
      <c r="W19" s="36">
        <f>IF(S19&gt;0,ROUNDDOWN(MAX(0,S19-P19*(F19-1))*T19/U19,0),0)</f>
        <v/>
      </c>
      <c r="X19" s="36">
        <f>IF(R19&gt;0,O19+V19+IF(D19=F19-1,MAX(0,R19-O19*(F19-1)-SUMIF($A$5:$A$328,$A19,$V$5:$V$328)),0),ROUNDUP(O19*POWER(INDEX('建筑总览'!$J$5:$J$25,MATCH($A19,'建筑总览'!$A$5:$A$25,0)),D19),0))</f>
        <v/>
      </c>
      <c r="Y19" s="36">
        <f>IF(P19=0,0,IF(S19&gt;0,P19+W19+IF(D19=F19-1,MAX(0,S19-P19*(F19-1)-SUMIF($A$5:$A$328,$A19,$W$5:$W$328)),0),ROUNDUP(P19*POWER(INDEX('建筑总览'!$J$5:$J$25,MATCH($A19,'建筑总览'!$A$5:$A$25,0)),D19),0)))</f>
        <v/>
      </c>
      <c r="Z19" s="36">
        <f>IF(X19=0,0,MAX(1,ROUNDUP(X19*(1-'参数与公式'!$B$17),0)))</f>
        <v/>
      </c>
      <c r="AA19" s="36">
        <f>IF(Y19=0,0,MAX(1,ROUNDUP(Y19*(1-'参数与公式'!$B$17),0)))</f>
        <v/>
      </c>
      <c r="AB19" s="33" t="inlineStr">
        <is>
          <t>预算模式末级补足余数；旧模式按指数公式</t>
        </is>
      </c>
      <c r="AC19" s="49">
        <f>IF(A19=A18,IFERROR(M19/M18,""),"")</f>
        <v/>
      </c>
      <c r="AD19" s="49">
        <f>IF(AND(A19=A18,X18&gt;0),X19/X18,"")</f>
        <v/>
      </c>
    </row>
    <row r="20" ht="30" customHeight="1">
      <c r="A20" s="33" t="inlineStr">
        <is>
          <t>farm</t>
        </is>
      </c>
      <c r="B20" s="33" t="inlineStr">
        <is>
          <t>农田</t>
        </is>
      </c>
      <c r="C20" s="33" t="inlineStr">
        <is>
          <t>资源生产</t>
        </is>
      </c>
      <c r="D20" s="43" t="n">
        <v>16</v>
      </c>
      <c r="E20" s="36">
        <f>D20+1</f>
        <v/>
      </c>
      <c r="F20" s="43" t="n">
        <v>50</v>
      </c>
      <c r="G20" s="36">
        <f>INDEX('建筑建议总览'!$H$5:$H$25,MATCH($A20,'建筑建议总览'!$A$5:$A$25,0))</f>
        <v/>
      </c>
      <c r="H20" s="44">
        <f>INDEX('建筑建议总览'!$I$5:$I$25,MATCH($A20,'建筑建议总览'!$A$5:$A$25,0))</f>
        <v/>
      </c>
      <c r="I20" s="36">
        <f>INDEX('建筑建议总览'!$J$5:$J$25,MATCH($A20,'建筑建议总览'!$A$5:$A$25,0))</f>
        <v/>
      </c>
      <c r="J20" s="44">
        <f>POWER(H20,D20-1)</f>
        <v/>
      </c>
      <c r="K20" s="44">
        <f>SUMIF($A$5:$A$328,$A20,$J$5:$J$328)</f>
        <v/>
      </c>
      <c r="L20" s="36">
        <f>IF(I20&gt;0,ROUNDDOWN(MAX(0,I20-G20*(F20-1))*J20/K20,0),0)</f>
        <v/>
      </c>
      <c r="M20" s="36">
        <f>IF(I20&gt;0,G20+L20+IF(D20=F20-1,MAX(0,I20-G20*(F20-1)-SUMIF($A$5:$A$328,$A20,$L$5:$L$328)),0),ROUNDUP(G20*POWER(INDEX('建筑总览'!$G$5:$G$25,MATCH($A20,'建筑总览'!$A$5:$A$25,0)),D20),0))</f>
        <v/>
      </c>
      <c r="N20" s="35">
        <f>M20/'参数与公式'!$B$21</f>
        <v/>
      </c>
      <c r="O20" s="36">
        <f>INDEX('建筑建议总览'!$P$5:$P$25,MATCH($A20,'建筑建议总览'!$A$5:$A$25,0))</f>
        <v/>
      </c>
      <c r="P20" s="36">
        <f>INDEX('建筑建议总览'!$Q$5:$Q$25,MATCH($A20,'建筑建议总览'!$A$5:$A$25,0))</f>
        <v/>
      </c>
      <c r="Q20" s="44">
        <f>INDEX('建筑建议总览'!$R$5:$R$25,MATCH($A20,'建筑建议总览'!$A$5:$A$25,0))</f>
        <v/>
      </c>
      <c r="R20" s="36">
        <f>INDEX('建筑建议总览'!$S$5:$S$25,MATCH($A20,'建筑建议总览'!$A$5:$A$25,0))</f>
        <v/>
      </c>
      <c r="S20" s="36">
        <f>INDEX('建筑建议总览'!$T$5:$T$25,MATCH($A20,'建筑建议总览'!$A$5:$A$25,0))</f>
        <v/>
      </c>
      <c r="T20" s="44">
        <f>POWER(Q20,D20-1)</f>
        <v/>
      </c>
      <c r="U20" s="44">
        <f>SUMIF($A$5:$A$328,$A20,$T$5:$T$328)</f>
        <v/>
      </c>
      <c r="V20" s="36">
        <f>IF(R20&gt;0,ROUNDDOWN(MAX(0,R20-O20*(F20-1))*T20/U20,0),0)</f>
        <v/>
      </c>
      <c r="W20" s="36">
        <f>IF(S20&gt;0,ROUNDDOWN(MAX(0,S20-P20*(F20-1))*T20/U20,0),0)</f>
        <v/>
      </c>
      <c r="X20" s="36">
        <f>IF(R20&gt;0,O20+V20+IF(D20=F20-1,MAX(0,R20-O20*(F20-1)-SUMIF($A$5:$A$328,$A20,$V$5:$V$328)),0),ROUNDUP(O20*POWER(INDEX('建筑总览'!$J$5:$J$25,MATCH($A20,'建筑总览'!$A$5:$A$25,0)),D20),0))</f>
        <v/>
      </c>
      <c r="Y20" s="36">
        <f>IF(P20=0,0,IF(S20&gt;0,P20+W20+IF(D20=F20-1,MAX(0,S20-P20*(F20-1)-SUMIF($A$5:$A$328,$A20,$W$5:$W$328)),0),ROUNDUP(P20*POWER(INDEX('建筑总览'!$J$5:$J$25,MATCH($A20,'建筑总览'!$A$5:$A$25,0)),D20),0)))</f>
        <v/>
      </c>
      <c r="Z20" s="36">
        <f>IF(X20=0,0,MAX(1,ROUNDUP(X20*(1-'参数与公式'!$B$17),0)))</f>
        <v/>
      </c>
      <c r="AA20" s="36">
        <f>IF(Y20=0,0,MAX(1,ROUNDUP(Y20*(1-'参数与公式'!$B$17),0)))</f>
        <v/>
      </c>
      <c r="AB20" s="33" t="inlineStr">
        <is>
          <t>预算模式末级补足余数；旧模式按指数公式</t>
        </is>
      </c>
      <c r="AC20" s="49">
        <f>IF(A20=A19,IFERROR(M20/M19,""),"")</f>
        <v/>
      </c>
      <c r="AD20" s="49">
        <f>IF(AND(A20=A19,X19&gt;0),X20/X19,"")</f>
        <v/>
      </c>
    </row>
    <row r="21" ht="30" customHeight="1">
      <c r="A21" s="33" t="inlineStr">
        <is>
          <t>farm</t>
        </is>
      </c>
      <c r="B21" s="33" t="inlineStr">
        <is>
          <t>农田</t>
        </is>
      </c>
      <c r="C21" s="33" t="inlineStr">
        <is>
          <t>资源生产</t>
        </is>
      </c>
      <c r="D21" s="43" t="n">
        <v>17</v>
      </c>
      <c r="E21" s="36">
        <f>D21+1</f>
        <v/>
      </c>
      <c r="F21" s="43" t="n">
        <v>50</v>
      </c>
      <c r="G21" s="36">
        <f>INDEX('建筑建议总览'!$H$5:$H$25,MATCH($A21,'建筑建议总览'!$A$5:$A$25,0))</f>
        <v/>
      </c>
      <c r="H21" s="44">
        <f>INDEX('建筑建议总览'!$I$5:$I$25,MATCH($A21,'建筑建议总览'!$A$5:$A$25,0))</f>
        <v/>
      </c>
      <c r="I21" s="36">
        <f>INDEX('建筑建议总览'!$J$5:$J$25,MATCH($A21,'建筑建议总览'!$A$5:$A$25,0))</f>
        <v/>
      </c>
      <c r="J21" s="44">
        <f>POWER(H21,D21-1)</f>
        <v/>
      </c>
      <c r="K21" s="44">
        <f>SUMIF($A$5:$A$328,$A21,$J$5:$J$328)</f>
        <v/>
      </c>
      <c r="L21" s="36">
        <f>IF(I21&gt;0,ROUNDDOWN(MAX(0,I21-G21*(F21-1))*J21/K21,0),0)</f>
        <v/>
      </c>
      <c r="M21" s="36">
        <f>IF(I21&gt;0,G21+L21+IF(D21=F21-1,MAX(0,I21-G21*(F21-1)-SUMIF($A$5:$A$328,$A21,$L$5:$L$328)),0),ROUNDUP(G21*POWER(INDEX('建筑总览'!$G$5:$G$25,MATCH($A21,'建筑总览'!$A$5:$A$25,0)),D21),0))</f>
        <v/>
      </c>
      <c r="N21" s="35">
        <f>M21/'参数与公式'!$B$21</f>
        <v/>
      </c>
      <c r="O21" s="36">
        <f>INDEX('建筑建议总览'!$P$5:$P$25,MATCH($A21,'建筑建议总览'!$A$5:$A$25,0))</f>
        <v/>
      </c>
      <c r="P21" s="36">
        <f>INDEX('建筑建议总览'!$Q$5:$Q$25,MATCH($A21,'建筑建议总览'!$A$5:$A$25,0))</f>
        <v/>
      </c>
      <c r="Q21" s="44">
        <f>INDEX('建筑建议总览'!$R$5:$R$25,MATCH($A21,'建筑建议总览'!$A$5:$A$25,0))</f>
        <v/>
      </c>
      <c r="R21" s="36">
        <f>INDEX('建筑建议总览'!$S$5:$S$25,MATCH($A21,'建筑建议总览'!$A$5:$A$25,0))</f>
        <v/>
      </c>
      <c r="S21" s="36">
        <f>INDEX('建筑建议总览'!$T$5:$T$25,MATCH($A21,'建筑建议总览'!$A$5:$A$25,0))</f>
        <v/>
      </c>
      <c r="T21" s="44">
        <f>POWER(Q21,D21-1)</f>
        <v/>
      </c>
      <c r="U21" s="44">
        <f>SUMIF($A$5:$A$328,$A21,$T$5:$T$328)</f>
        <v/>
      </c>
      <c r="V21" s="36">
        <f>IF(R21&gt;0,ROUNDDOWN(MAX(0,R21-O21*(F21-1))*T21/U21,0),0)</f>
        <v/>
      </c>
      <c r="W21" s="36">
        <f>IF(S21&gt;0,ROUNDDOWN(MAX(0,S21-P21*(F21-1))*T21/U21,0),0)</f>
        <v/>
      </c>
      <c r="X21" s="36">
        <f>IF(R21&gt;0,O21+V21+IF(D21=F21-1,MAX(0,R21-O21*(F21-1)-SUMIF($A$5:$A$328,$A21,$V$5:$V$328)),0),ROUNDUP(O21*POWER(INDEX('建筑总览'!$J$5:$J$25,MATCH($A21,'建筑总览'!$A$5:$A$25,0)),D21),0))</f>
        <v/>
      </c>
      <c r="Y21" s="36">
        <f>IF(P21=0,0,IF(S21&gt;0,P21+W21+IF(D21=F21-1,MAX(0,S21-P21*(F21-1)-SUMIF($A$5:$A$328,$A21,$W$5:$W$328)),0),ROUNDUP(P21*POWER(INDEX('建筑总览'!$J$5:$J$25,MATCH($A21,'建筑总览'!$A$5:$A$25,0)),D21),0)))</f>
        <v/>
      </c>
      <c r="Z21" s="36">
        <f>IF(X21=0,0,MAX(1,ROUNDUP(X21*(1-'参数与公式'!$B$17),0)))</f>
        <v/>
      </c>
      <c r="AA21" s="36">
        <f>IF(Y21=0,0,MAX(1,ROUNDUP(Y21*(1-'参数与公式'!$B$17),0)))</f>
        <v/>
      </c>
      <c r="AB21" s="33" t="inlineStr">
        <is>
          <t>预算模式末级补足余数；旧模式按指数公式</t>
        </is>
      </c>
      <c r="AC21" s="49">
        <f>IF(A21=A20,IFERROR(M21/M20,""),"")</f>
        <v/>
      </c>
      <c r="AD21" s="49">
        <f>IF(AND(A21=A20,X20&gt;0),X21/X20,"")</f>
        <v/>
      </c>
    </row>
    <row r="22" ht="30" customHeight="1">
      <c r="A22" s="33" t="inlineStr">
        <is>
          <t>farm</t>
        </is>
      </c>
      <c r="B22" s="33" t="inlineStr">
        <is>
          <t>农田</t>
        </is>
      </c>
      <c r="C22" s="33" t="inlineStr">
        <is>
          <t>资源生产</t>
        </is>
      </c>
      <c r="D22" s="43" t="n">
        <v>18</v>
      </c>
      <c r="E22" s="36">
        <f>D22+1</f>
        <v/>
      </c>
      <c r="F22" s="43" t="n">
        <v>50</v>
      </c>
      <c r="G22" s="36">
        <f>INDEX('建筑建议总览'!$H$5:$H$25,MATCH($A22,'建筑建议总览'!$A$5:$A$25,0))</f>
        <v/>
      </c>
      <c r="H22" s="44">
        <f>INDEX('建筑建议总览'!$I$5:$I$25,MATCH($A22,'建筑建议总览'!$A$5:$A$25,0))</f>
        <v/>
      </c>
      <c r="I22" s="36">
        <f>INDEX('建筑建议总览'!$J$5:$J$25,MATCH($A22,'建筑建议总览'!$A$5:$A$25,0))</f>
        <v/>
      </c>
      <c r="J22" s="44">
        <f>POWER(H22,D22-1)</f>
        <v/>
      </c>
      <c r="K22" s="44">
        <f>SUMIF($A$5:$A$328,$A22,$J$5:$J$328)</f>
        <v/>
      </c>
      <c r="L22" s="36">
        <f>IF(I22&gt;0,ROUNDDOWN(MAX(0,I22-G22*(F22-1))*J22/K22,0),0)</f>
        <v/>
      </c>
      <c r="M22" s="36">
        <f>IF(I22&gt;0,G22+L22+IF(D22=F22-1,MAX(0,I22-G22*(F22-1)-SUMIF($A$5:$A$328,$A22,$L$5:$L$328)),0),ROUNDUP(G22*POWER(INDEX('建筑总览'!$G$5:$G$25,MATCH($A22,'建筑总览'!$A$5:$A$25,0)),D22),0))</f>
        <v/>
      </c>
      <c r="N22" s="35">
        <f>M22/'参数与公式'!$B$21</f>
        <v/>
      </c>
      <c r="O22" s="36">
        <f>INDEX('建筑建议总览'!$P$5:$P$25,MATCH($A22,'建筑建议总览'!$A$5:$A$25,0))</f>
        <v/>
      </c>
      <c r="P22" s="36">
        <f>INDEX('建筑建议总览'!$Q$5:$Q$25,MATCH($A22,'建筑建议总览'!$A$5:$A$25,0))</f>
        <v/>
      </c>
      <c r="Q22" s="44">
        <f>INDEX('建筑建议总览'!$R$5:$R$25,MATCH($A22,'建筑建议总览'!$A$5:$A$25,0))</f>
        <v/>
      </c>
      <c r="R22" s="36">
        <f>INDEX('建筑建议总览'!$S$5:$S$25,MATCH($A22,'建筑建议总览'!$A$5:$A$25,0))</f>
        <v/>
      </c>
      <c r="S22" s="36">
        <f>INDEX('建筑建议总览'!$T$5:$T$25,MATCH($A22,'建筑建议总览'!$A$5:$A$25,0))</f>
        <v/>
      </c>
      <c r="T22" s="44">
        <f>POWER(Q22,D22-1)</f>
        <v/>
      </c>
      <c r="U22" s="44">
        <f>SUMIF($A$5:$A$328,$A22,$T$5:$T$328)</f>
        <v/>
      </c>
      <c r="V22" s="36">
        <f>IF(R22&gt;0,ROUNDDOWN(MAX(0,R22-O22*(F22-1))*T22/U22,0),0)</f>
        <v/>
      </c>
      <c r="W22" s="36">
        <f>IF(S22&gt;0,ROUNDDOWN(MAX(0,S22-P22*(F22-1))*T22/U22,0),0)</f>
        <v/>
      </c>
      <c r="X22" s="36">
        <f>IF(R22&gt;0,O22+V22+IF(D22=F22-1,MAX(0,R22-O22*(F22-1)-SUMIF($A$5:$A$328,$A22,$V$5:$V$328)),0),ROUNDUP(O22*POWER(INDEX('建筑总览'!$J$5:$J$25,MATCH($A22,'建筑总览'!$A$5:$A$25,0)),D22),0))</f>
        <v/>
      </c>
      <c r="Y22" s="36">
        <f>IF(P22=0,0,IF(S22&gt;0,P22+W22+IF(D22=F22-1,MAX(0,S22-P22*(F22-1)-SUMIF($A$5:$A$328,$A22,$W$5:$W$328)),0),ROUNDUP(P22*POWER(INDEX('建筑总览'!$J$5:$J$25,MATCH($A22,'建筑总览'!$A$5:$A$25,0)),D22),0)))</f>
        <v/>
      </c>
      <c r="Z22" s="36">
        <f>IF(X22=0,0,MAX(1,ROUNDUP(X22*(1-'参数与公式'!$B$17),0)))</f>
        <v/>
      </c>
      <c r="AA22" s="36">
        <f>IF(Y22=0,0,MAX(1,ROUNDUP(Y22*(1-'参数与公式'!$B$17),0)))</f>
        <v/>
      </c>
      <c r="AB22" s="33" t="inlineStr">
        <is>
          <t>预算模式末级补足余数；旧模式按指数公式</t>
        </is>
      </c>
      <c r="AC22" s="49">
        <f>IF(A22=A21,IFERROR(M22/M21,""),"")</f>
        <v/>
      </c>
      <c r="AD22" s="49">
        <f>IF(AND(A22=A21,X21&gt;0),X22/X21,"")</f>
        <v/>
      </c>
    </row>
    <row r="23" ht="30" customHeight="1">
      <c r="A23" s="33" t="inlineStr">
        <is>
          <t>farm</t>
        </is>
      </c>
      <c r="B23" s="33" t="inlineStr">
        <is>
          <t>农田</t>
        </is>
      </c>
      <c r="C23" s="33" t="inlineStr">
        <is>
          <t>资源生产</t>
        </is>
      </c>
      <c r="D23" s="43" t="n">
        <v>19</v>
      </c>
      <c r="E23" s="36">
        <f>D23+1</f>
        <v/>
      </c>
      <c r="F23" s="43" t="n">
        <v>50</v>
      </c>
      <c r="G23" s="36">
        <f>INDEX('建筑建议总览'!$H$5:$H$25,MATCH($A23,'建筑建议总览'!$A$5:$A$25,0))</f>
        <v/>
      </c>
      <c r="H23" s="44">
        <f>INDEX('建筑建议总览'!$I$5:$I$25,MATCH($A23,'建筑建议总览'!$A$5:$A$25,0))</f>
        <v/>
      </c>
      <c r="I23" s="36">
        <f>INDEX('建筑建议总览'!$J$5:$J$25,MATCH($A23,'建筑建议总览'!$A$5:$A$25,0))</f>
        <v/>
      </c>
      <c r="J23" s="44">
        <f>POWER(H23,D23-1)</f>
        <v/>
      </c>
      <c r="K23" s="44">
        <f>SUMIF($A$5:$A$328,$A23,$J$5:$J$328)</f>
        <v/>
      </c>
      <c r="L23" s="36">
        <f>IF(I23&gt;0,ROUNDDOWN(MAX(0,I23-G23*(F23-1))*J23/K23,0),0)</f>
        <v/>
      </c>
      <c r="M23" s="36">
        <f>IF(I23&gt;0,G23+L23+IF(D23=F23-1,MAX(0,I23-G23*(F23-1)-SUMIF($A$5:$A$328,$A23,$L$5:$L$328)),0),ROUNDUP(G23*POWER(INDEX('建筑总览'!$G$5:$G$25,MATCH($A23,'建筑总览'!$A$5:$A$25,0)),D23),0))</f>
        <v/>
      </c>
      <c r="N23" s="35">
        <f>M23/'参数与公式'!$B$21</f>
        <v/>
      </c>
      <c r="O23" s="36">
        <f>INDEX('建筑建议总览'!$P$5:$P$25,MATCH($A23,'建筑建议总览'!$A$5:$A$25,0))</f>
        <v/>
      </c>
      <c r="P23" s="36">
        <f>INDEX('建筑建议总览'!$Q$5:$Q$25,MATCH($A23,'建筑建议总览'!$A$5:$A$25,0))</f>
        <v/>
      </c>
      <c r="Q23" s="44">
        <f>INDEX('建筑建议总览'!$R$5:$R$25,MATCH($A23,'建筑建议总览'!$A$5:$A$25,0))</f>
        <v/>
      </c>
      <c r="R23" s="36">
        <f>INDEX('建筑建议总览'!$S$5:$S$25,MATCH($A23,'建筑建议总览'!$A$5:$A$25,0))</f>
        <v/>
      </c>
      <c r="S23" s="36">
        <f>INDEX('建筑建议总览'!$T$5:$T$25,MATCH($A23,'建筑建议总览'!$A$5:$A$25,0))</f>
        <v/>
      </c>
      <c r="T23" s="44">
        <f>POWER(Q23,D23-1)</f>
        <v/>
      </c>
      <c r="U23" s="44">
        <f>SUMIF($A$5:$A$328,$A23,$T$5:$T$328)</f>
        <v/>
      </c>
      <c r="V23" s="36">
        <f>IF(R23&gt;0,ROUNDDOWN(MAX(0,R23-O23*(F23-1))*T23/U23,0),0)</f>
        <v/>
      </c>
      <c r="W23" s="36">
        <f>IF(S23&gt;0,ROUNDDOWN(MAX(0,S23-P23*(F23-1))*T23/U23,0),0)</f>
        <v/>
      </c>
      <c r="X23" s="36">
        <f>IF(R23&gt;0,O23+V23+IF(D23=F23-1,MAX(0,R23-O23*(F23-1)-SUMIF($A$5:$A$328,$A23,$V$5:$V$328)),0),ROUNDUP(O23*POWER(INDEX('建筑总览'!$J$5:$J$25,MATCH($A23,'建筑总览'!$A$5:$A$25,0)),D23),0))</f>
        <v/>
      </c>
      <c r="Y23" s="36">
        <f>IF(P23=0,0,IF(S23&gt;0,P23+W23+IF(D23=F23-1,MAX(0,S23-P23*(F23-1)-SUMIF($A$5:$A$328,$A23,$W$5:$W$328)),0),ROUNDUP(P23*POWER(INDEX('建筑总览'!$J$5:$J$25,MATCH($A23,'建筑总览'!$A$5:$A$25,0)),D23),0)))</f>
        <v/>
      </c>
      <c r="Z23" s="36">
        <f>IF(X23=0,0,MAX(1,ROUNDUP(X23*(1-'参数与公式'!$B$17),0)))</f>
        <v/>
      </c>
      <c r="AA23" s="36">
        <f>IF(Y23=0,0,MAX(1,ROUNDUP(Y23*(1-'参数与公式'!$B$17),0)))</f>
        <v/>
      </c>
      <c r="AB23" s="33" t="inlineStr">
        <is>
          <t>预算模式末级补足余数；旧模式按指数公式</t>
        </is>
      </c>
      <c r="AC23" s="49">
        <f>IF(A23=A22,IFERROR(M23/M22,""),"")</f>
        <v/>
      </c>
      <c r="AD23" s="49">
        <f>IF(AND(A23=A22,X22&gt;0),X23/X22,"")</f>
        <v/>
      </c>
    </row>
    <row r="24" ht="30" customHeight="1">
      <c r="A24" s="33" t="inlineStr">
        <is>
          <t>farm</t>
        </is>
      </c>
      <c r="B24" s="33" t="inlineStr">
        <is>
          <t>农田</t>
        </is>
      </c>
      <c r="C24" s="33" t="inlineStr">
        <is>
          <t>资源生产</t>
        </is>
      </c>
      <c r="D24" s="43" t="n">
        <v>20</v>
      </c>
      <c r="E24" s="36">
        <f>D24+1</f>
        <v/>
      </c>
      <c r="F24" s="43" t="n">
        <v>50</v>
      </c>
      <c r="G24" s="36">
        <f>INDEX('建筑建议总览'!$H$5:$H$25,MATCH($A24,'建筑建议总览'!$A$5:$A$25,0))</f>
        <v/>
      </c>
      <c r="H24" s="44">
        <f>INDEX('建筑建议总览'!$I$5:$I$25,MATCH($A24,'建筑建议总览'!$A$5:$A$25,0))</f>
        <v/>
      </c>
      <c r="I24" s="36">
        <f>INDEX('建筑建议总览'!$J$5:$J$25,MATCH($A24,'建筑建议总览'!$A$5:$A$25,0))</f>
        <v/>
      </c>
      <c r="J24" s="44">
        <f>POWER(H24,D24-1)</f>
        <v/>
      </c>
      <c r="K24" s="44">
        <f>SUMIF($A$5:$A$328,$A24,$J$5:$J$328)</f>
        <v/>
      </c>
      <c r="L24" s="36">
        <f>IF(I24&gt;0,ROUNDDOWN(MAX(0,I24-G24*(F24-1))*J24/K24,0),0)</f>
        <v/>
      </c>
      <c r="M24" s="36">
        <f>IF(I24&gt;0,G24+L24+IF(D24=F24-1,MAX(0,I24-G24*(F24-1)-SUMIF($A$5:$A$328,$A24,$L$5:$L$328)),0),ROUNDUP(G24*POWER(INDEX('建筑总览'!$G$5:$G$25,MATCH($A24,'建筑总览'!$A$5:$A$25,0)),D24),0))</f>
        <v/>
      </c>
      <c r="N24" s="35">
        <f>M24/'参数与公式'!$B$21</f>
        <v/>
      </c>
      <c r="O24" s="36">
        <f>INDEX('建筑建议总览'!$P$5:$P$25,MATCH($A24,'建筑建议总览'!$A$5:$A$25,0))</f>
        <v/>
      </c>
      <c r="P24" s="36">
        <f>INDEX('建筑建议总览'!$Q$5:$Q$25,MATCH($A24,'建筑建议总览'!$A$5:$A$25,0))</f>
        <v/>
      </c>
      <c r="Q24" s="44">
        <f>INDEX('建筑建议总览'!$R$5:$R$25,MATCH($A24,'建筑建议总览'!$A$5:$A$25,0))</f>
        <v/>
      </c>
      <c r="R24" s="36">
        <f>INDEX('建筑建议总览'!$S$5:$S$25,MATCH($A24,'建筑建议总览'!$A$5:$A$25,0))</f>
        <v/>
      </c>
      <c r="S24" s="36">
        <f>INDEX('建筑建议总览'!$T$5:$T$25,MATCH($A24,'建筑建议总览'!$A$5:$A$25,0))</f>
        <v/>
      </c>
      <c r="T24" s="44">
        <f>POWER(Q24,D24-1)</f>
        <v/>
      </c>
      <c r="U24" s="44">
        <f>SUMIF($A$5:$A$328,$A24,$T$5:$T$328)</f>
        <v/>
      </c>
      <c r="V24" s="36">
        <f>IF(R24&gt;0,ROUNDDOWN(MAX(0,R24-O24*(F24-1))*T24/U24,0),0)</f>
        <v/>
      </c>
      <c r="W24" s="36">
        <f>IF(S24&gt;0,ROUNDDOWN(MAX(0,S24-P24*(F24-1))*T24/U24,0),0)</f>
        <v/>
      </c>
      <c r="X24" s="36">
        <f>IF(R24&gt;0,O24+V24+IF(D24=F24-1,MAX(0,R24-O24*(F24-1)-SUMIF($A$5:$A$328,$A24,$V$5:$V$328)),0),ROUNDUP(O24*POWER(INDEX('建筑总览'!$J$5:$J$25,MATCH($A24,'建筑总览'!$A$5:$A$25,0)),D24),0))</f>
        <v/>
      </c>
      <c r="Y24" s="36">
        <f>IF(P24=0,0,IF(S24&gt;0,P24+W24+IF(D24=F24-1,MAX(0,S24-P24*(F24-1)-SUMIF($A$5:$A$328,$A24,$W$5:$W$328)),0),ROUNDUP(P24*POWER(INDEX('建筑总览'!$J$5:$J$25,MATCH($A24,'建筑总览'!$A$5:$A$25,0)),D24),0)))</f>
        <v/>
      </c>
      <c r="Z24" s="36">
        <f>IF(X24=0,0,MAX(1,ROUNDUP(X24*(1-'参数与公式'!$B$17),0)))</f>
        <v/>
      </c>
      <c r="AA24" s="36">
        <f>IF(Y24=0,0,MAX(1,ROUNDUP(Y24*(1-'参数与公式'!$B$17),0)))</f>
        <v/>
      </c>
      <c r="AB24" s="33" t="inlineStr">
        <is>
          <t>预算模式末级补足余数；旧模式按指数公式</t>
        </is>
      </c>
      <c r="AC24" s="49">
        <f>IF(A24=A23,IFERROR(M24/M23,""),"")</f>
        <v/>
      </c>
      <c r="AD24" s="49">
        <f>IF(AND(A24=A23,X23&gt;0),X24/X23,"")</f>
        <v/>
      </c>
    </row>
    <row r="25" ht="30" customHeight="1">
      <c r="A25" s="33" t="inlineStr">
        <is>
          <t>farm</t>
        </is>
      </c>
      <c r="B25" s="33" t="inlineStr">
        <is>
          <t>农田</t>
        </is>
      </c>
      <c r="C25" s="33" t="inlineStr">
        <is>
          <t>资源生产</t>
        </is>
      </c>
      <c r="D25" s="43" t="n">
        <v>21</v>
      </c>
      <c r="E25" s="36">
        <f>D25+1</f>
        <v/>
      </c>
      <c r="F25" s="43" t="n">
        <v>50</v>
      </c>
      <c r="G25" s="36">
        <f>INDEX('建筑建议总览'!$H$5:$H$25,MATCH($A25,'建筑建议总览'!$A$5:$A$25,0))</f>
        <v/>
      </c>
      <c r="H25" s="44">
        <f>INDEX('建筑建议总览'!$I$5:$I$25,MATCH($A25,'建筑建议总览'!$A$5:$A$25,0))</f>
        <v/>
      </c>
      <c r="I25" s="36">
        <f>INDEX('建筑建议总览'!$J$5:$J$25,MATCH($A25,'建筑建议总览'!$A$5:$A$25,0))</f>
        <v/>
      </c>
      <c r="J25" s="44">
        <f>POWER(H25,D25-1)</f>
        <v/>
      </c>
      <c r="K25" s="44">
        <f>SUMIF($A$5:$A$328,$A25,$J$5:$J$328)</f>
        <v/>
      </c>
      <c r="L25" s="36">
        <f>IF(I25&gt;0,ROUNDDOWN(MAX(0,I25-G25*(F25-1))*J25/K25,0),0)</f>
        <v/>
      </c>
      <c r="M25" s="36">
        <f>IF(I25&gt;0,G25+L25+IF(D25=F25-1,MAX(0,I25-G25*(F25-1)-SUMIF($A$5:$A$328,$A25,$L$5:$L$328)),0),ROUNDUP(G25*POWER(INDEX('建筑总览'!$G$5:$G$25,MATCH($A25,'建筑总览'!$A$5:$A$25,0)),D25),0))</f>
        <v/>
      </c>
      <c r="N25" s="35">
        <f>M25/'参数与公式'!$B$21</f>
        <v/>
      </c>
      <c r="O25" s="36">
        <f>INDEX('建筑建议总览'!$P$5:$P$25,MATCH($A25,'建筑建议总览'!$A$5:$A$25,0))</f>
        <v/>
      </c>
      <c r="P25" s="36">
        <f>INDEX('建筑建议总览'!$Q$5:$Q$25,MATCH($A25,'建筑建议总览'!$A$5:$A$25,0))</f>
        <v/>
      </c>
      <c r="Q25" s="44">
        <f>INDEX('建筑建议总览'!$R$5:$R$25,MATCH($A25,'建筑建议总览'!$A$5:$A$25,0))</f>
        <v/>
      </c>
      <c r="R25" s="36">
        <f>INDEX('建筑建议总览'!$S$5:$S$25,MATCH($A25,'建筑建议总览'!$A$5:$A$25,0))</f>
        <v/>
      </c>
      <c r="S25" s="36">
        <f>INDEX('建筑建议总览'!$T$5:$T$25,MATCH($A25,'建筑建议总览'!$A$5:$A$25,0))</f>
        <v/>
      </c>
      <c r="T25" s="44">
        <f>POWER(Q25,D25-1)</f>
        <v/>
      </c>
      <c r="U25" s="44">
        <f>SUMIF($A$5:$A$328,$A25,$T$5:$T$328)</f>
        <v/>
      </c>
      <c r="V25" s="36">
        <f>IF(R25&gt;0,ROUNDDOWN(MAX(0,R25-O25*(F25-1))*T25/U25,0),0)</f>
        <v/>
      </c>
      <c r="W25" s="36">
        <f>IF(S25&gt;0,ROUNDDOWN(MAX(0,S25-P25*(F25-1))*T25/U25,0),0)</f>
        <v/>
      </c>
      <c r="X25" s="36">
        <f>IF(R25&gt;0,O25+V25+IF(D25=F25-1,MAX(0,R25-O25*(F25-1)-SUMIF($A$5:$A$328,$A25,$V$5:$V$328)),0),ROUNDUP(O25*POWER(INDEX('建筑总览'!$J$5:$J$25,MATCH($A25,'建筑总览'!$A$5:$A$25,0)),D25),0))</f>
        <v/>
      </c>
      <c r="Y25" s="36">
        <f>IF(P25=0,0,IF(S25&gt;0,P25+W25+IF(D25=F25-1,MAX(0,S25-P25*(F25-1)-SUMIF($A$5:$A$328,$A25,$W$5:$W$328)),0),ROUNDUP(P25*POWER(INDEX('建筑总览'!$J$5:$J$25,MATCH($A25,'建筑总览'!$A$5:$A$25,0)),D25),0)))</f>
        <v/>
      </c>
      <c r="Z25" s="36">
        <f>IF(X25=0,0,MAX(1,ROUNDUP(X25*(1-'参数与公式'!$B$17),0)))</f>
        <v/>
      </c>
      <c r="AA25" s="36">
        <f>IF(Y25=0,0,MAX(1,ROUNDUP(Y25*(1-'参数与公式'!$B$17),0)))</f>
        <v/>
      </c>
      <c r="AB25" s="33" t="inlineStr">
        <is>
          <t>预算模式末级补足余数；旧模式按指数公式</t>
        </is>
      </c>
      <c r="AC25" s="49">
        <f>IF(A25=A24,IFERROR(M25/M24,""),"")</f>
        <v/>
      </c>
      <c r="AD25" s="49">
        <f>IF(AND(A25=A24,X24&gt;0),X25/X24,"")</f>
        <v/>
      </c>
    </row>
    <row r="26" ht="30" customHeight="1">
      <c r="A26" s="33" t="inlineStr">
        <is>
          <t>farm</t>
        </is>
      </c>
      <c r="B26" s="33" t="inlineStr">
        <is>
          <t>农田</t>
        </is>
      </c>
      <c r="C26" s="33" t="inlineStr">
        <is>
          <t>资源生产</t>
        </is>
      </c>
      <c r="D26" s="43" t="n">
        <v>22</v>
      </c>
      <c r="E26" s="36">
        <f>D26+1</f>
        <v/>
      </c>
      <c r="F26" s="43" t="n">
        <v>50</v>
      </c>
      <c r="G26" s="36">
        <f>INDEX('建筑建议总览'!$H$5:$H$25,MATCH($A26,'建筑建议总览'!$A$5:$A$25,0))</f>
        <v/>
      </c>
      <c r="H26" s="44">
        <f>INDEX('建筑建议总览'!$I$5:$I$25,MATCH($A26,'建筑建议总览'!$A$5:$A$25,0))</f>
        <v/>
      </c>
      <c r="I26" s="36">
        <f>INDEX('建筑建议总览'!$J$5:$J$25,MATCH($A26,'建筑建议总览'!$A$5:$A$25,0))</f>
        <v/>
      </c>
      <c r="J26" s="44">
        <f>POWER(H26,D26-1)</f>
        <v/>
      </c>
      <c r="K26" s="44">
        <f>SUMIF($A$5:$A$328,$A26,$J$5:$J$328)</f>
        <v/>
      </c>
      <c r="L26" s="36">
        <f>IF(I26&gt;0,ROUNDDOWN(MAX(0,I26-G26*(F26-1))*J26/K26,0),0)</f>
        <v/>
      </c>
      <c r="M26" s="36">
        <f>IF(I26&gt;0,G26+L26+IF(D26=F26-1,MAX(0,I26-G26*(F26-1)-SUMIF($A$5:$A$328,$A26,$L$5:$L$328)),0),ROUNDUP(G26*POWER(INDEX('建筑总览'!$G$5:$G$25,MATCH($A26,'建筑总览'!$A$5:$A$25,0)),D26),0))</f>
        <v/>
      </c>
      <c r="N26" s="35">
        <f>M26/'参数与公式'!$B$21</f>
        <v/>
      </c>
      <c r="O26" s="36">
        <f>INDEX('建筑建议总览'!$P$5:$P$25,MATCH($A26,'建筑建议总览'!$A$5:$A$25,0))</f>
        <v/>
      </c>
      <c r="P26" s="36">
        <f>INDEX('建筑建议总览'!$Q$5:$Q$25,MATCH($A26,'建筑建议总览'!$A$5:$A$25,0))</f>
        <v/>
      </c>
      <c r="Q26" s="44">
        <f>INDEX('建筑建议总览'!$R$5:$R$25,MATCH($A26,'建筑建议总览'!$A$5:$A$25,0))</f>
        <v/>
      </c>
      <c r="R26" s="36">
        <f>INDEX('建筑建议总览'!$S$5:$S$25,MATCH($A26,'建筑建议总览'!$A$5:$A$25,0))</f>
        <v/>
      </c>
      <c r="S26" s="36">
        <f>INDEX('建筑建议总览'!$T$5:$T$25,MATCH($A26,'建筑建议总览'!$A$5:$A$25,0))</f>
        <v/>
      </c>
      <c r="T26" s="44">
        <f>POWER(Q26,D26-1)</f>
        <v/>
      </c>
      <c r="U26" s="44">
        <f>SUMIF($A$5:$A$328,$A26,$T$5:$T$328)</f>
        <v/>
      </c>
      <c r="V26" s="36">
        <f>IF(R26&gt;0,ROUNDDOWN(MAX(0,R26-O26*(F26-1))*T26/U26,0),0)</f>
        <v/>
      </c>
      <c r="W26" s="36">
        <f>IF(S26&gt;0,ROUNDDOWN(MAX(0,S26-P26*(F26-1))*T26/U26,0),0)</f>
        <v/>
      </c>
      <c r="X26" s="36">
        <f>IF(R26&gt;0,O26+V26+IF(D26=F26-1,MAX(0,R26-O26*(F26-1)-SUMIF($A$5:$A$328,$A26,$V$5:$V$328)),0),ROUNDUP(O26*POWER(INDEX('建筑总览'!$J$5:$J$25,MATCH($A26,'建筑总览'!$A$5:$A$25,0)),D26),0))</f>
        <v/>
      </c>
      <c r="Y26" s="36">
        <f>IF(P26=0,0,IF(S26&gt;0,P26+W26+IF(D26=F26-1,MAX(0,S26-P26*(F26-1)-SUMIF($A$5:$A$328,$A26,$W$5:$W$328)),0),ROUNDUP(P26*POWER(INDEX('建筑总览'!$J$5:$J$25,MATCH($A26,'建筑总览'!$A$5:$A$25,0)),D26),0)))</f>
        <v/>
      </c>
      <c r="Z26" s="36">
        <f>IF(X26=0,0,MAX(1,ROUNDUP(X26*(1-'参数与公式'!$B$17),0)))</f>
        <v/>
      </c>
      <c r="AA26" s="36">
        <f>IF(Y26=0,0,MAX(1,ROUNDUP(Y26*(1-'参数与公式'!$B$17),0)))</f>
        <v/>
      </c>
      <c r="AB26" s="33" t="inlineStr">
        <is>
          <t>预算模式末级补足余数；旧模式按指数公式</t>
        </is>
      </c>
      <c r="AC26" s="49">
        <f>IF(A26=A25,IFERROR(M26/M25,""),"")</f>
        <v/>
      </c>
      <c r="AD26" s="49">
        <f>IF(AND(A26=A25,X25&gt;0),X26/X25,"")</f>
        <v/>
      </c>
    </row>
    <row r="27" ht="30" customHeight="1">
      <c r="A27" s="33" t="inlineStr">
        <is>
          <t>farm</t>
        </is>
      </c>
      <c r="B27" s="33" t="inlineStr">
        <is>
          <t>农田</t>
        </is>
      </c>
      <c r="C27" s="33" t="inlineStr">
        <is>
          <t>资源生产</t>
        </is>
      </c>
      <c r="D27" s="43" t="n">
        <v>23</v>
      </c>
      <c r="E27" s="36">
        <f>D27+1</f>
        <v/>
      </c>
      <c r="F27" s="43" t="n">
        <v>50</v>
      </c>
      <c r="G27" s="36">
        <f>INDEX('建筑建议总览'!$H$5:$H$25,MATCH($A27,'建筑建议总览'!$A$5:$A$25,0))</f>
        <v/>
      </c>
      <c r="H27" s="44">
        <f>INDEX('建筑建议总览'!$I$5:$I$25,MATCH($A27,'建筑建议总览'!$A$5:$A$25,0))</f>
        <v/>
      </c>
      <c r="I27" s="36">
        <f>INDEX('建筑建议总览'!$J$5:$J$25,MATCH($A27,'建筑建议总览'!$A$5:$A$25,0))</f>
        <v/>
      </c>
      <c r="J27" s="44">
        <f>POWER(H27,D27-1)</f>
        <v/>
      </c>
      <c r="K27" s="44">
        <f>SUMIF($A$5:$A$328,$A27,$J$5:$J$328)</f>
        <v/>
      </c>
      <c r="L27" s="36">
        <f>IF(I27&gt;0,ROUNDDOWN(MAX(0,I27-G27*(F27-1))*J27/K27,0),0)</f>
        <v/>
      </c>
      <c r="M27" s="36">
        <f>IF(I27&gt;0,G27+L27+IF(D27=F27-1,MAX(0,I27-G27*(F27-1)-SUMIF($A$5:$A$328,$A27,$L$5:$L$328)),0),ROUNDUP(G27*POWER(INDEX('建筑总览'!$G$5:$G$25,MATCH($A27,'建筑总览'!$A$5:$A$25,0)),D27),0))</f>
        <v/>
      </c>
      <c r="N27" s="35">
        <f>M27/'参数与公式'!$B$21</f>
        <v/>
      </c>
      <c r="O27" s="36">
        <f>INDEX('建筑建议总览'!$P$5:$P$25,MATCH($A27,'建筑建议总览'!$A$5:$A$25,0))</f>
        <v/>
      </c>
      <c r="P27" s="36">
        <f>INDEX('建筑建议总览'!$Q$5:$Q$25,MATCH($A27,'建筑建议总览'!$A$5:$A$25,0))</f>
        <v/>
      </c>
      <c r="Q27" s="44">
        <f>INDEX('建筑建议总览'!$R$5:$R$25,MATCH($A27,'建筑建议总览'!$A$5:$A$25,0))</f>
        <v/>
      </c>
      <c r="R27" s="36">
        <f>INDEX('建筑建议总览'!$S$5:$S$25,MATCH($A27,'建筑建议总览'!$A$5:$A$25,0))</f>
        <v/>
      </c>
      <c r="S27" s="36">
        <f>INDEX('建筑建议总览'!$T$5:$T$25,MATCH($A27,'建筑建议总览'!$A$5:$A$25,0))</f>
        <v/>
      </c>
      <c r="T27" s="44">
        <f>POWER(Q27,D27-1)</f>
        <v/>
      </c>
      <c r="U27" s="44">
        <f>SUMIF($A$5:$A$328,$A27,$T$5:$T$328)</f>
        <v/>
      </c>
      <c r="V27" s="36">
        <f>IF(R27&gt;0,ROUNDDOWN(MAX(0,R27-O27*(F27-1))*T27/U27,0),0)</f>
        <v/>
      </c>
      <c r="W27" s="36">
        <f>IF(S27&gt;0,ROUNDDOWN(MAX(0,S27-P27*(F27-1))*T27/U27,0),0)</f>
        <v/>
      </c>
      <c r="X27" s="36">
        <f>IF(R27&gt;0,O27+V27+IF(D27=F27-1,MAX(0,R27-O27*(F27-1)-SUMIF($A$5:$A$328,$A27,$V$5:$V$328)),0),ROUNDUP(O27*POWER(INDEX('建筑总览'!$J$5:$J$25,MATCH($A27,'建筑总览'!$A$5:$A$25,0)),D27),0))</f>
        <v/>
      </c>
      <c r="Y27" s="36">
        <f>IF(P27=0,0,IF(S27&gt;0,P27+W27+IF(D27=F27-1,MAX(0,S27-P27*(F27-1)-SUMIF($A$5:$A$328,$A27,$W$5:$W$328)),0),ROUNDUP(P27*POWER(INDEX('建筑总览'!$J$5:$J$25,MATCH($A27,'建筑总览'!$A$5:$A$25,0)),D27),0)))</f>
        <v/>
      </c>
      <c r="Z27" s="36">
        <f>IF(X27=0,0,MAX(1,ROUNDUP(X27*(1-'参数与公式'!$B$17),0)))</f>
        <v/>
      </c>
      <c r="AA27" s="36">
        <f>IF(Y27=0,0,MAX(1,ROUNDUP(Y27*(1-'参数与公式'!$B$17),0)))</f>
        <v/>
      </c>
      <c r="AB27" s="33" t="inlineStr">
        <is>
          <t>预算模式末级补足余数；旧模式按指数公式</t>
        </is>
      </c>
      <c r="AC27" s="49">
        <f>IF(A27=A26,IFERROR(M27/M26,""),"")</f>
        <v/>
      </c>
      <c r="AD27" s="49">
        <f>IF(AND(A27=A26,X26&gt;0),X27/X26,"")</f>
        <v/>
      </c>
    </row>
    <row r="28" ht="30" customHeight="1">
      <c r="A28" s="33" t="inlineStr">
        <is>
          <t>farm</t>
        </is>
      </c>
      <c r="B28" s="33" t="inlineStr">
        <is>
          <t>农田</t>
        </is>
      </c>
      <c r="C28" s="33" t="inlineStr">
        <is>
          <t>资源生产</t>
        </is>
      </c>
      <c r="D28" s="43" t="n">
        <v>24</v>
      </c>
      <c r="E28" s="36">
        <f>D28+1</f>
        <v/>
      </c>
      <c r="F28" s="43" t="n">
        <v>50</v>
      </c>
      <c r="G28" s="36">
        <f>INDEX('建筑建议总览'!$H$5:$H$25,MATCH($A28,'建筑建议总览'!$A$5:$A$25,0))</f>
        <v/>
      </c>
      <c r="H28" s="44">
        <f>INDEX('建筑建议总览'!$I$5:$I$25,MATCH($A28,'建筑建议总览'!$A$5:$A$25,0))</f>
        <v/>
      </c>
      <c r="I28" s="36">
        <f>INDEX('建筑建议总览'!$J$5:$J$25,MATCH($A28,'建筑建议总览'!$A$5:$A$25,0))</f>
        <v/>
      </c>
      <c r="J28" s="44">
        <f>POWER(H28,D28-1)</f>
        <v/>
      </c>
      <c r="K28" s="44">
        <f>SUMIF($A$5:$A$328,$A28,$J$5:$J$328)</f>
        <v/>
      </c>
      <c r="L28" s="36">
        <f>IF(I28&gt;0,ROUNDDOWN(MAX(0,I28-G28*(F28-1))*J28/K28,0),0)</f>
        <v/>
      </c>
      <c r="M28" s="36">
        <f>IF(I28&gt;0,G28+L28+IF(D28=F28-1,MAX(0,I28-G28*(F28-1)-SUMIF($A$5:$A$328,$A28,$L$5:$L$328)),0),ROUNDUP(G28*POWER(INDEX('建筑总览'!$G$5:$G$25,MATCH($A28,'建筑总览'!$A$5:$A$25,0)),D28),0))</f>
        <v/>
      </c>
      <c r="N28" s="35">
        <f>M28/'参数与公式'!$B$21</f>
        <v/>
      </c>
      <c r="O28" s="36">
        <f>INDEX('建筑建议总览'!$P$5:$P$25,MATCH($A28,'建筑建议总览'!$A$5:$A$25,0))</f>
        <v/>
      </c>
      <c r="P28" s="36">
        <f>INDEX('建筑建议总览'!$Q$5:$Q$25,MATCH($A28,'建筑建议总览'!$A$5:$A$25,0))</f>
        <v/>
      </c>
      <c r="Q28" s="44">
        <f>INDEX('建筑建议总览'!$R$5:$R$25,MATCH($A28,'建筑建议总览'!$A$5:$A$25,0))</f>
        <v/>
      </c>
      <c r="R28" s="36">
        <f>INDEX('建筑建议总览'!$S$5:$S$25,MATCH($A28,'建筑建议总览'!$A$5:$A$25,0))</f>
        <v/>
      </c>
      <c r="S28" s="36">
        <f>INDEX('建筑建议总览'!$T$5:$T$25,MATCH($A28,'建筑建议总览'!$A$5:$A$25,0))</f>
        <v/>
      </c>
      <c r="T28" s="44">
        <f>POWER(Q28,D28-1)</f>
        <v/>
      </c>
      <c r="U28" s="44">
        <f>SUMIF($A$5:$A$328,$A28,$T$5:$T$328)</f>
        <v/>
      </c>
      <c r="V28" s="36">
        <f>IF(R28&gt;0,ROUNDDOWN(MAX(0,R28-O28*(F28-1))*T28/U28,0),0)</f>
        <v/>
      </c>
      <c r="W28" s="36">
        <f>IF(S28&gt;0,ROUNDDOWN(MAX(0,S28-P28*(F28-1))*T28/U28,0),0)</f>
        <v/>
      </c>
      <c r="X28" s="36">
        <f>IF(R28&gt;0,O28+V28+IF(D28=F28-1,MAX(0,R28-O28*(F28-1)-SUMIF($A$5:$A$328,$A28,$V$5:$V$328)),0),ROUNDUP(O28*POWER(INDEX('建筑总览'!$J$5:$J$25,MATCH($A28,'建筑总览'!$A$5:$A$25,0)),D28),0))</f>
        <v/>
      </c>
      <c r="Y28" s="36">
        <f>IF(P28=0,0,IF(S28&gt;0,P28+W28+IF(D28=F28-1,MAX(0,S28-P28*(F28-1)-SUMIF($A$5:$A$328,$A28,$W$5:$W$328)),0),ROUNDUP(P28*POWER(INDEX('建筑总览'!$J$5:$J$25,MATCH($A28,'建筑总览'!$A$5:$A$25,0)),D28),0)))</f>
        <v/>
      </c>
      <c r="Z28" s="36">
        <f>IF(X28=0,0,MAX(1,ROUNDUP(X28*(1-'参数与公式'!$B$17),0)))</f>
        <v/>
      </c>
      <c r="AA28" s="36">
        <f>IF(Y28=0,0,MAX(1,ROUNDUP(Y28*(1-'参数与公式'!$B$17),0)))</f>
        <v/>
      </c>
      <c r="AB28" s="33" t="inlineStr">
        <is>
          <t>预算模式末级补足余数；旧模式按指数公式</t>
        </is>
      </c>
      <c r="AC28" s="49">
        <f>IF(A28=A27,IFERROR(M28/M27,""),"")</f>
        <v/>
      </c>
      <c r="AD28" s="49">
        <f>IF(AND(A28=A27,X27&gt;0),X28/X27,"")</f>
        <v/>
      </c>
    </row>
    <row r="29" ht="30" customHeight="1">
      <c r="A29" s="33" t="inlineStr">
        <is>
          <t>farm</t>
        </is>
      </c>
      <c r="B29" s="33" t="inlineStr">
        <is>
          <t>农田</t>
        </is>
      </c>
      <c r="C29" s="33" t="inlineStr">
        <is>
          <t>资源生产</t>
        </is>
      </c>
      <c r="D29" s="43" t="n">
        <v>25</v>
      </c>
      <c r="E29" s="36">
        <f>D29+1</f>
        <v/>
      </c>
      <c r="F29" s="43" t="n">
        <v>50</v>
      </c>
      <c r="G29" s="36">
        <f>INDEX('建筑建议总览'!$H$5:$H$25,MATCH($A29,'建筑建议总览'!$A$5:$A$25,0))</f>
        <v/>
      </c>
      <c r="H29" s="44">
        <f>INDEX('建筑建议总览'!$I$5:$I$25,MATCH($A29,'建筑建议总览'!$A$5:$A$25,0))</f>
        <v/>
      </c>
      <c r="I29" s="36">
        <f>INDEX('建筑建议总览'!$J$5:$J$25,MATCH($A29,'建筑建议总览'!$A$5:$A$25,0))</f>
        <v/>
      </c>
      <c r="J29" s="44">
        <f>POWER(H29,D29-1)</f>
        <v/>
      </c>
      <c r="K29" s="44">
        <f>SUMIF($A$5:$A$328,$A29,$J$5:$J$328)</f>
        <v/>
      </c>
      <c r="L29" s="36">
        <f>IF(I29&gt;0,ROUNDDOWN(MAX(0,I29-G29*(F29-1))*J29/K29,0),0)</f>
        <v/>
      </c>
      <c r="M29" s="36">
        <f>IF(I29&gt;0,G29+L29+IF(D29=F29-1,MAX(0,I29-G29*(F29-1)-SUMIF($A$5:$A$328,$A29,$L$5:$L$328)),0),ROUNDUP(G29*POWER(INDEX('建筑总览'!$G$5:$G$25,MATCH($A29,'建筑总览'!$A$5:$A$25,0)),D29),0))</f>
        <v/>
      </c>
      <c r="N29" s="35">
        <f>M29/'参数与公式'!$B$21</f>
        <v/>
      </c>
      <c r="O29" s="36">
        <f>INDEX('建筑建议总览'!$P$5:$P$25,MATCH($A29,'建筑建议总览'!$A$5:$A$25,0))</f>
        <v/>
      </c>
      <c r="P29" s="36">
        <f>INDEX('建筑建议总览'!$Q$5:$Q$25,MATCH($A29,'建筑建议总览'!$A$5:$A$25,0))</f>
        <v/>
      </c>
      <c r="Q29" s="44">
        <f>INDEX('建筑建议总览'!$R$5:$R$25,MATCH($A29,'建筑建议总览'!$A$5:$A$25,0))</f>
        <v/>
      </c>
      <c r="R29" s="36">
        <f>INDEX('建筑建议总览'!$S$5:$S$25,MATCH($A29,'建筑建议总览'!$A$5:$A$25,0))</f>
        <v/>
      </c>
      <c r="S29" s="36">
        <f>INDEX('建筑建议总览'!$T$5:$T$25,MATCH($A29,'建筑建议总览'!$A$5:$A$25,0))</f>
        <v/>
      </c>
      <c r="T29" s="44">
        <f>POWER(Q29,D29-1)</f>
        <v/>
      </c>
      <c r="U29" s="44">
        <f>SUMIF($A$5:$A$328,$A29,$T$5:$T$328)</f>
        <v/>
      </c>
      <c r="V29" s="36">
        <f>IF(R29&gt;0,ROUNDDOWN(MAX(0,R29-O29*(F29-1))*T29/U29,0),0)</f>
        <v/>
      </c>
      <c r="W29" s="36">
        <f>IF(S29&gt;0,ROUNDDOWN(MAX(0,S29-P29*(F29-1))*T29/U29,0),0)</f>
        <v/>
      </c>
      <c r="X29" s="36">
        <f>IF(R29&gt;0,O29+V29+IF(D29=F29-1,MAX(0,R29-O29*(F29-1)-SUMIF($A$5:$A$328,$A29,$V$5:$V$328)),0),ROUNDUP(O29*POWER(INDEX('建筑总览'!$J$5:$J$25,MATCH($A29,'建筑总览'!$A$5:$A$25,0)),D29),0))</f>
        <v/>
      </c>
      <c r="Y29" s="36">
        <f>IF(P29=0,0,IF(S29&gt;0,P29+W29+IF(D29=F29-1,MAX(0,S29-P29*(F29-1)-SUMIF($A$5:$A$328,$A29,$W$5:$W$328)),0),ROUNDUP(P29*POWER(INDEX('建筑总览'!$J$5:$J$25,MATCH($A29,'建筑总览'!$A$5:$A$25,0)),D29),0)))</f>
        <v/>
      </c>
      <c r="Z29" s="36">
        <f>IF(X29=0,0,MAX(1,ROUNDUP(X29*(1-'参数与公式'!$B$17),0)))</f>
        <v/>
      </c>
      <c r="AA29" s="36">
        <f>IF(Y29=0,0,MAX(1,ROUNDUP(Y29*(1-'参数与公式'!$B$17),0)))</f>
        <v/>
      </c>
      <c r="AB29" s="33" t="inlineStr">
        <is>
          <t>预算模式末级补足余数；旧模式按指数公式</t>
        </is>
      </c>
      <c r="AC29" s="49">
        <f>IF(A29=A28,IFERROR(M29/M28,""),"")</f>
        <v/>
      </c>
      <c r="AD29" s="49">
        <f>IF(AND(A29=A28,X28&gt;0),X29/X28,"")</f>
        <v/>
      </c>
    </row>
    <row r="30" ht="30" customHeight="1">
      <c r="A30" s="33" t="inlineStr">
        <is>
          <t>farm</t>
        </is>
      </c>
      <c r="B30" s="33" t="inlineStr">
        <is>
          <t>农田</t>
        </is>
      </c>
      <c r="C30" s="33" t="inlineStr">
        <is>
          <t>资源生产</t>
        </is>
      </c>
      <c r="D30" s="43" t="n">
        <v>26</v>
      </c>
      <c r="E30" s="36">
        <f>D30+1</f>
        <v/>
      </c>
      <c r="F30" s="43" t="n">
        <v>50</v>
      </c>
      <c r="G30" s="36">
        <f>INDEX('建筑建议总览'!$H$5:$H$25,MATCH($A30,'建筑建议总览'!$A$5:$A$25,0))</f>
        <v/>
      </c>
      <c r="H30" s="44">
        <f>INDEX('建筑建议总览'!$I$5:$I$25,MATCH($A30,'建筑建议总览'!$A$5:$A$25,0))</f>
        <v/>
      </c>
      <c r="I30" s="36">
        <f>INDEX('建筑建议总览'!$J$5:$J$25,MATCH($A30,'建筑建议总览'!$A$5:$A$25,0))</f>
        <v/>
      </c>
      <c r="J30" s="44">
        <f>POWER(H30,D30-1)</f>
        <v/>
      </c>
      <c r="K30" s="44">
        <f>SUMIF($A$5:$A$328,$A30,$J$5:$J$328)</f>
        <v/>
      </c>
      <c r="L30" s="36">
        <f>IF(I30&gt;0,ROUNDDOWN(MAX(0,I30-G30*(F30-1))*J30/K30,0),0)</f>
        <v/>
      </c>
      <c r="M30" s="36">
        <f>IF(I30&gt;0,G30+L30+IF(D30=F30-1,MAX(0,I30-G30*(F30-1)-SUMIF($A$5:$A$328,$A30,$L$5:$L$328)),0),ROUNDUP(G30*POWER(INDEX('建筑总览'!$G$5:$G$25,MATCH($A30,'建筑总览'!$A$5:$A$25,0)),D30),0))</f>
        <v/>
      </c>
      <c r="N30" s="35">
        <f>M30/'参数与公式'!$B$21</f>
        <v/>
      </c>
      <c r="O30" s="36">
        <f>INDEX('建筑建议总览'!$P$5:$P$25,MATCH($A30,'建筑建议总览'!$A$5:$A$25,0))</f>
        <v/>
      </c>
      <c r="P30" s="36">
        <f>INDEX('建筑建议总览'!$Q$5:$Q$25,MATCH($A30,'建筑建议总览'!$A$5:$A$25,0))</f>
        <v/>
      </c>
      <c r="Q30" s="44">
        <f>INDEX('建筑建议总览'!$R$5:$R$25,MATCH($A30,'建筑建议总览'!$A$5:$A$25,0))</f>
        <v/>
      </c>
      <c r="R30" s="36">
        <f>INDEX('建筑建议总览'!$S$5:$S$25,MATCH($A30,'建筑建议总览'!$A$5:$A$25,0))</f>
        <v/>
      </c>
      <c r="S30" s="36">
        <f>INDEX('建筑建议总览'!$T$5:$T$25,MATCH($A30,'建筑建议总览'!$A$5:$A$25,0))</f>
        <v/>
      </c>
      <c r="T30" s="44">
        <f>POWER(Q30,D30-1)</f>
        <v/>
      </c>
      <c r="U30" s="44">
        <f>SUMIF($A$5:$A$328,$A30,$T$5:$T$328)</f>
        <v/>
      </c>
      <c r="V30" s="36">
        <f>IF(R30&gt;0,ROUNDDOWN(MAX(0,R30-O30*(F30-1))*T30/U30,0),0)</f>
        <v/>
      </c>
      <c r="W30" s="36">
        <f>IF(S30&gt;0,ROUNDDOWN(MAX(0,S30-P30*(F30-1))*T30/U30,0),0)</f>
        <v/>
      </c>
      <c r="X30" s="36">
        <f>IF(R30&gt;0,O30+V30+IF(D30=F30-1,MAX(0,R30-O30*(F30-1)-SUMIF($A$5:$A$328,$A30,$V$5:$V$328)),0),ROUNDUP(O30*POWER(INDEX('建筑总览'!$J$5:$J$25,MATCH($A30,'建筑总览'!$A$5:$A$25,0)),D30),0))</f>
        <v/>
      </c>
      <c r="Y30" s="36">
        <f>IF(P30=0,0,IF(S30&gt;0,P30+W30+IF(D30=F30-1,MAX(0,S30-P30*(F30-1)-SUMIF($A$5:$A$328,$A30,$W$5:$W$328)),0),ROUNDUP(P30*POWER(INDEX('建筑总览'!$J$5:$J$25,MATCH($A30,'建筑总览'!$A$5:$A$25,0)),D30),0)))</f>
        <v/>
      </c>
      <c r="Z30" s="36">
        <f>IF(X30=0,0,MAX(1,ROUNDUP(X30*(1-'参数与公式'!$B$17),0)))</f>
        <v/>
      </c>
      <c r="AA30" s="36">
        <f>IF(Y30=0,0,MAX(1,ROUNDUP(Y30*(1-'参数与公式'!$B$17),0)))</f>
        <v/>
      </c>
      <c r="AB30" s="33" t="inlineStr">
        <is>
          <t>预算模式末级补足余数；旧模式按指数公式</t>
        </is>
      </c>
      <c r="AC30" s="49">
        <f>IF(A30=A29,IFERROR(M30/M29,""),"")</f>
        <v/>
      </c>
      <c r="AD30" s="49">
        <f>IF(AND(A30=A29,X29&gt;0),X30/X29,"")</f>
        <v/>
      </c>
    </row>
    <row r="31" ht="30" customHeight="1">
      <c r="A31" s="33" t="inlineStr">
        <is>
          <t>farm</t>
        </is>
      </c>
      <c r="B31" s="33" t="inlineStr">
        <is>
          <t>农田</t>
        </is>
      </c>
      <c r="C31" s="33" t="inlineStr">
        <is>
          <t>资源生产</t>
        </is>
      </c>
      <c r="D31" s="43" t="n">
        <v>27</v>
      </c>
      <c r="E31" s="36">
        <f>D31+1</f>
        <v/>
      </c>
      <c r="F31" s="43" t="n">
        <v>50</v>
      </c>
      <c r="G31" s="36">
        <f>INDEX('建筑建议总览'!$H$5:$H$25,MATCH($A31,'建筑建议总览'!$A$5:$A$25,0))</f>
        <v/>
      </c>
      <c r="H31" s="44">
        <f>INDEX('建筑建议总览'!$I$5:$I$25,MATCH($A31,'建筑建议总览'!$A$5:$A$25,0))</f>
        <v/>
      </c>
      <c r="I31" s="36">
        <f>INDEX('建筑建议总览'!$J$5:$J$25,MATCH($A31,'建筑建议总览'!$A$5:$A$25,0))</f>
        <v/>
      </c>
      <c r="J31" s="44">
        <f>POWER(H31,D31-1)</f>
        <v/>
      </c>
      <c r="K31" s="44">
        <f>SUMIF($A$5:$A$328,$A31,$J$5:$J$328)</f>
        <v/>
      </c>
      <c r="L31" s="36">
        <f>IF(I31&gt;0,ROUNDDOWN(MAX(0,I31-G31*(F31-1))*J31/K31,0),0)</f>
        <v/>
      </c>
      <c r="M31" s="36">
        <f>IF(I31&gt;0,G31+L31+IF(D31=F31-1,MAX(0,I31-G31*(F31-1)-SUMIF($A$5:$A$328,$A31,$L$5:$L$328)),0),ROUNDUP(G31*POWER(INDEX('建筑总览'!$G$5:$G$25,MATCH($A31,'建筑总览'!$A$5:$A$25,0)),D31),0))</f>
        <v/>
      </c>
      <c r="N31" s="35">
        <f>M31/'参数与公式'!$B$21</f>
        <v/>
      </c>
      <c r="O31" s="36">
        <f>INDEX('建筑建议总览'!$P$5:$P$25,MATCH($A31,'建筑建议总览'!$A$5:$A$25,0))</f>
        <v/>
      </c>
      <c r="P31" s="36">
        <f>INDEX('建筑建议总览'!$Q$5:$Q$25,MATCH($A31,'建筑建议总览'!$A$5:$A$25,0))</f>
        <v/>
      </c>
      <c r="Q31" s="44">
        <f>INDEX('建筑建议总览'!$R$5:$R$25,MATCH($A31,'建筑建议总览'!$A$5:$A$25,0))</f>
        <v/>
      </c>
      <c r="R31" s="36">
        <f>INDEX('建筑建议总览'!$S$5:$S$25,MATCH($A31,'建筑建议总览'!$A$5:$A$25,0))</f>
        <v/>
      </c>
      <c r="S31" s="36">
        <f>INDEX('建筑建议总览'!$T$5:$T$25,MATCH($A31,'建筑建议总览'!$A$5:$A$25,0))</f>
        <v/>
      </c>
      <c r="T31" s="44">
        <f>POWER(Q31,D31-1)</f>
        <v/>
      </c>
      <c r="U31" s="44">
        <f>SUMIF($A$5:$A$328,$A31,$T$5:$T$328)</f>
        <v/>
      </c>
      <c r="V31" s="36">
        <f>IF(R31&gt;0,ROUNDDOWN(MAX(0,R31-O31*(F31-1))*T31/U31,0),0)</f>
        <v/>
      </c>
      <c r="W31" s="36">
        <f>IF(S31&gt;0,ROUNDDOWN(MAX(0,S31-P31*(F31-1))*T31/U31,0),0)</f>
        <v/>
      </c>
      <c r="X31" s="36">
        <f>IF(R31&gt;0,O31+V31+IF(D31=F31-1,MAX(0,R31-O31*(F31-1)-SUMIF($A$5:$A$328,$A31,$V$5:$V$328)),0),ROUNDUP(O31*POWER(INDEX('建筑总览'!$J$5:$J$25,MATCH($A31,'建筑总览'!$A$5:$A$25,0)),D31),0))</f>
        <v/>
      </c>
      <c r="Y31" s="36">
        <f>IF(P31=0,0,IF(S31&gt;0,P31+W31+IF(D31=F31-1,MAX(0,S31-P31*(F31-1)-SUMIF($A$5:$A$328,$A31,$W$5:$W$328)),0),ROUNDUP(P31*POWER(INDEX('建筑总览'!$J$5:$J$25,MATCH($A31,'建筑总览'!$A$5:$A$25,0)),D31),0)))</f>
        <v/>
      </c>
      <c r="Z31" s="36">
        <f>IF(X31=0,0,MAX(1,ROUNDUP(X31*(1-'参数与公式'!$B$17),0)))</f>
        <v/>
      </c>
      <c r="AA31" s="36">
        <f>IF(Y31=0,0,MAX(1,ROUNDUP(Y31*(1-'参数与公式'!$B$17),0)))</f>
        <v/>
      </c>
      <c r="AB31" s="33" t="inlineStr">
        <is>
          <t>预算模式末级补足余数；旧模式按指数公式</t>
        </is>
      </c>
      <c r="AC31" s="49">
        <f>IF(A31=A30,IFERROR(M31/M30,""),"")</f>
        <v/>
      </c>
      <c r="AD31" s="49">
        <f>IF(AND(A31=A30,X30&gt;0),X31/X30,"")</f>
        <v/>
      </c>
    </row>
    <row r="32" ht="30" customHeight="1">
      <c r="A32" s="33" t="inlineStr">
        <is>
          <t>farm</t>
        </is>
      </c>
      <c r="B32" s="33" t="inlineStr">
        <is>
          <t>农田</t>
        </is>
      </c>
      <c r="C32" s="33" t="inlineStr">
        <is>
          <t>资源生产</t>
        </is>
      </c>
      <c r="D32" s="43" t="n">
        <v>28</v>
      </c>
      <c r="E32" s="36">
        <f>D32+1</f>
        <v/>
      </c>
      <c r="F32" s="43" t="n">
        <v>50</v>
      </c>
      <c r="G32" s="36">
        <f>INDEX('建筑建议总览'!$H$5:$H$25,MATCH($A32,'建筑建议总览'!$A$5:$A$25,0))</f>
        <v/>
      </c>
      <c r="H32" s="44">
        <f>INDEX('建筑建议总览'!$I$5:$I$25,MATCH($A32,'建筑建议总览'!$A$5:$A$25,0))</f>
        <v/>
      </c>
      <c r="I32" s="36">
        <f>INDEX('建筑建议总览'!$J$5:$J$25,MATCH($A32,'建筑建议总览'!$A$5:$A$25,0))</f>
        <v/>
      </c>
      <c r="J32" s="44">
        <f>POWER(H32,D32-1)</f>
        <v/>
      </c>
      <c r="K32" s="44">
        <f>SUMIF($A$5:$A$328,$A32,$J$5:$J$328)</f>
        <v/>
      </c>
      <c r="L32" s="36">
        <f>IF(I32&gt;0,ROUNDDOWN(MAX(0,I32-G32*(F32-1))*J32/K32,0),0)</f>
        <v/>
      </c>
      <c r="M32" s="36">
        <f>IF(I32&gt;0,G32+L32+IF(D32=F32-1,MAX(0,I32-G32*(F32-1)-SUMIF($A$5:$A$328,$A32,$L$5:$L$328)),0),ROUNDUP(G32*POWER(INDEX('建筑总览'!$G$5:$G$25,MATCH($A32,'建筑总览'!$A$5:$A$25,0)),D32),0))</f>
        <v/>
      </c>
      <c r="N32" s="35">
        <f>M32/'参数与公式'!$B$21</f>
        <v/>
      </c>
      <c r="O32" s="36">
        <f>INDEX('建筑建议总览'!$P$5:$P$25,MATCH($A32,'建筑建议总览'!$A$5:$A$25,0))</f>
        <v/>
      </c>
      <c r="P32" s="36">
        <f>INDEX('建筑建议总览'!$Q$5:$Q$25,MATCH($A32,'建筑建议总览'!$A$5:$A$25,0))</f>
        <v/>
      </c>
      <c r="Q32" s="44">
        <f>INDEX('建筑建议总览'!$R$5:$R$25,MATCH($A32,'建筑建议总览'!$A$5:$A$25,0))</f>
        <v/>
      </c>
      <c r="R32" s="36">
        <f>INDEX('建筑建议总览'!$S$5:$S$25,MATCH($A32,'建筑建议总览'!$A$5:$A$25,0))</f>
        <v/>
      </c>
      <c r="S32" s="36">
        <f>INDEX('建筑建议总览'!$T$5:$T$25,MATCH($A32,'建筑建议总览'!$A$5:$A$25,0))</f>
        <v/>
      </c>
      <c r="T32" s="44">
        <f>POWER(Q32,D32-1)</f>
        <v/>
      </c>
      <c r="U32" s="44">
        <f>SUMIF($A$5:$A$328,$A32,$T$5:$T$328)</f>
        <v/>
      </c>
      <c r="V32" s="36">
        <f>IF(R32&gt;0,ROUNDDOWN(MAX(0,R32-O32*(F32-1))*T32/U32,0),0)</f>
        <v/>
      </c>
      <c r="W32" s="36">
        <f>IF(S32&gt;0,ROUNDDOWN(MAX(0,S32-P32*(F32-1))*T32/U32,0),0)</f>
        <v/>
      </c>
      <c r="X32" s="36">
        <f>IF(R32&gt;0,O32+V32+IF(D32=F32-1,MAX(0,R32-O32*(F32-1)-SUMIF($A$5:$A$328,$A32,$V$5:$V$328)),0),ROUNDUP(O32*POWER(INDEX('建筑总览'!$J$5:$J$25,MATCH($A32,'建筑总览'!$A$5:$A$25,0)),D32),0))</f>
        <v/>
      </c>
      <c r="Y32" s="36">
        <f>IF(P32=0,0,IF(S32&gt;0,P32+W32+IF(D32=F32-1,MAX(0,S32-P32*(F32-1)-SUMIF($A$5:$A$328,$A32,$W$5:$W$328)),0),ROUNDUP(P32*POWER(INDEX('建筑总览'!$J$5:$J$25,MATCH($A32,'建筑总览'!$A$5:$A$25,0)),D32),0)))</f>
        <v/>
      </c>
      <c r="Z32" s="36">
        <f>IF(X32=0,0,MAX(1,ROUNDUP(X32*(1-'参数与公式'!$B$17),0)))</f>
        <v/>
      </c>
      <c r="AA32" s="36">
        <f>IF(Y32=0,0,MAX(1,ROUNDUP(Y32*(1-'参数与公式'!$B$17),0)))</f>
        <v/>
      </c>
      <c r="AB32" s="33" t="inlineStr">
        <is>
          <t>预算模式末级补足余数；旧模式按指数公式</t>
        </is>
      </c>
      <c r="AC32" s="49">
        <f>IF(A32=A31,IFERROR(M32/M31,""),"")</f>
        <v/>
      </c>
      <c r="AD32" s="49">
        <f>IF(AND(A32=A31,X31&gt;0),X32/X31,"")</f>
        <v/>
      </c>
    </row>
    <row r="33" ht="30" customHeight="1">
      <c r="A33" s="33" t="inlineStr">
        <is>
          <t>farm</t>
        </is>
      </c>
      <c r="B33" s="33" t="inlineStr">
        <is>
          <t>农田</t>
        </is>
      </c>
      <c r="C33" s="33" t="inlineStr">
        <is>
          <t>资源生产</t>
        </is>
      </c>
      <c r="D33" s="43" t="n">
        <v>29</v>
      </c>
      <c r="E33" s="36">
        <f>D33+1</f>
        <v/>
      </c>
      <c r="F33" s="43" t="n">
        <v>50</v>
      </c>
      <c r="G33" s="36">
        <f>INDEX('建筑建议总览'!$H$5:$H$25,MATCH($A33,'建筑建议总览'!$A$5:$A$25,0))</f>
        <v/>
      </c>
      <c r="H33" s="44">
        <f>INDEX('建筑建议总览'!$I$5:$I$25,MATCH($A33,'建筑建议总览'!$A$5:$A$25,0))</f>
        <v/>
      </c>
      <c r="I33" s="36">
        <f>INDEX('建筑建议总览'!$J$5:$J$25,MATCH($A33,'建筑建议总览'!$A$5:$A$25,0))</f>
        <v/>
      </c>
      <c r="J33" s="44">
        <f>POWER(H33,D33-1)</f>
        <v/>
      </c>
      <c r="K33" s="44">
        <f>SUMIF($A$5:$A$328,$A33,$J$5:$J$328)</f>
        <v/>
      </c>
      <c r="L33" s="36">
        <f>IF(I33&gt;0,ROUNDDOWN(MAX(0,I33-G33*(F33-1))*J33/K33,0),0)</f>
        <v/>
      </c>
      <c r="M33" s="36">
        <f>IF(I33&gt;0,G33+L33+IF(D33=F33-1,MAX(0,I33-G33*(F33-1)-SUMIF($A$5:$A$328,$A33,$L$5:$L$328)),0),ROUNDUP(G33*POWER(INDEX('建筑总览'!$G$5:$G$25,MATCH($A33,'建筑总览'!$A$5:$A$25,0)),D33),0))</f>
        <v/>
      </c>
      <c r="N33" s="35">
        <f>M33/'参数与公式'!$B$21</f>
        <v/>
      </c>
      <c r="O33" s="36">
        <f>INDEX('建筑建议总览'!$P$5:$P$25,MATCH($A33,'建筑建议总览'!$A$5:$A$25,0))</f>
        <v/>
      </c>
      <c r="P33" s="36">
        <f>INDEX('建筑建议总览'!$Q$5:$Q$25,MATCH($A33,'建筑建议总览'!$A$5:$A$25,0))</f>
        <v/>
      </c>
      <c r="Q33" s="44">
        <f>INDEX('建筑建议总览'!$R$5:$R$25,MATCH($A33,'建筑建议总览'!$A$5:$A$25,0))</f>
        <v/>
      </c>
      <c r="R33" s="36">
        <f>INDEX('建筑建议总览'!$S$5:$S$25,MATCH($A33,'建筑建议总览'!$A$5:$A$25,0))</f>
        <v/>
      </c>
      <c r="S33" s="36">
        <f>INDEX('建筑建议总览'!$T$5:$T$25,MATCH($A33,'建筑建议总览'!$A$5:$A$25,0))</f>
        <v/>
      </c>
      <c r="T33" s="44">
        <f>POWER(Q33,D33-1)</f>
        <v/>
      </c>
      <c r="U33" s="44">
        <f>SUMIF($A$5:$A$328,$A33,$T$5:$T$328)</f>
        <v/>
      </c>
      <c r="V33" s="36">
        <f>IF(R33&gt;0,ROUNDDOWN(MAX(0,R33-O33*(F33-1))*T33/U33,0),0)</f>
        <v/>
      </c>
      <c r="W33" s="36">
        <f>IF(S33&gt;0,ROUNDDOWN(MAX(0,S33-P33*(F33-1))*T33/U33,0),0)</f>
        <v/>
      </c>
      <c r="X33" s="36">
        <f>IF(R33&gt;0,O33+V33+IF(D33=F33-1,MAX(0,R33-O33*(F33-1)-SUMIF($A$5:$A$328,$A33,$V$5:$V$328)),0),ROUNDUP(O33*POWER(INDEX('建筑总览'!$J$5:$J$25,MATCH($A33,'建筑总览'!$A$5:$A$25,0)),D33),0))</f>
        <v/>
      </c>
      <c r="Y33" s="36">
        <f>IF(P33=0,0,IF(S33&gt;0,P33+W33+IF(D33=F33-1,MAX(0,S33-P33*(F33-1)-SUMIF($A$5:$A$328,$A33,$W$5:$W$328)),0),ROUNDUP(P33*POWER(INDEX('建筑总览'!$J$5:$J$25,MATCH($A33,'建筑总览'!$A$5:$A$25,0)),D33),0)))</f>
        <v/>
      </c>
      <c r="Z33" s="36">
        <f>IF(X33=0,0,MAX(1,ROUNDUP(X33*(1-'参数与公式'!$B$17),0)))</f>
        <v/>
      </c>
      <c r="AA33" s="36">
        <f>IF(Y33=0,0,MAX(1,ROUNDUP(Y33*(1-'参数与公式'!$B$17),0)))</f>
        <v/>
      </c>
      <c r="AB33" s="33" t="inlineStr">
        <is>
          <t>预算模式末级补足余数；旧模式按指数公式</t>
        </is>
      </c>
      <c r="AC33" s="49">
        <f>IF(A33=A32,IFERROR(M33/M32,""),"")</f>
        <v/>
      </c>
      <c r="AD33" s="49">
        <f>IF(AND(A33=A32,X32&gt;0),X33/X32,"")</f>
        <v/>
      </c>
    </row>
    <row r="34" ht="30" customHeight="1">
      <c r="A34" s="33" t="inlineStr">
        <is>
          <t>farm</t>
        </is>
      </c>
      <c r="B34" s="33" t="inlineStr">
        <is>
          <t>农田</t>
        </is>
      </c>
      <c r="C34" s="33" t="inlineStr">
        <is>
          <t>资源生产</t>
        </is>
      </c>
      <c r="D34" s="43" t="n">
        <v>30</v>
      </c>
      <c r="E34" s="36">
        <f>D34+1</f>
        <v/>
      </c>
      <c r="F34" s="43" t="n">
        <v>50</v>
      </c>
      <c r="G34" s="36">
        <f>INDEX('建筑建议总览'!$H$5:$H$25,MATCH($A34,'建筑建议总览'!$A$5:$A$25,0))</f>
        <v/>
      </c>
      <c r="H34" s="44">
        <f>INDEX('建筑建议总览'!$I$5:$I$25,MATCH($A34,'建筑建议总览'!$A$5:$A$25,0))</f>
        <v/>
      </c>
      <c r="I34" s="36">
        <f>INDEX('建筑建议总览'!$J$5:$J$25,MATCH($A34,'建筑建议总览'!$A$5:$A$25,0))</f>
        <v/>
      </c>
      <c r="J34" s="44">
        <f>POWER(H34,D34-1)</f>
        <v/>
      </c>
      <c r="K34" s="44">
        <f>SUMIF($A$5:$A$328,$A34,$J$5:$J$328)</f>
        <v/>
      </c>
      <c r="L34" s="36">
        <f>IF(I34&gt;0,ROUNDDOWN(MAX(0,I34-G34*(F34-1))*J34/K34,0),0)</f>
        <v/>
      </c>
      <c r="M34" s="36">
        <f>IF(I34&gt;0,G34+L34+IF(D34=F34-1,MAX(0,I34-G34*(F34-1)-SUMIF($A$5:$A$328,$A34,$L$5:$L$328)),0),ROUNDUP(G34*POWER(INDEX('建筑总览'!$G$5:$G$25,MATCH($A34,'建筑总览'!$A$5:$A$25,0)),D34),0))</f>
        <v/>
      </c>
      <c r="N34" s="35">
        <f>M34/'参数与公式'!$B$21</f>
        <v/>
      </c>
      <c r="O34" s="36">
        <f>INDEX('建筑建议总览'!$P$5:$P$25,MATCH($A34,'建筑建议总览'!$A$5:$A$25,0))</f>
        <v/>
      </c>
      <c r="P34" s="36">
        <f>INDEX('建筑建议总览'!$Q$5:$Q$25,MATCH($A34,'建筑建议总览'!$A$5:$A$25,0))</f>
        <v/>
      </c>
      <c r="Q34" s="44">
        <f>INDEX('建筑建议总览'!$R$5:$R$25,MATCH($A34,'建筑建议总览'!$A$5:$A$25,0))</f>
        <v/>
      </c>
      <c r="R34" s="36">
        <f>INDEX('建筑建议总览'!$S$5:$S$25,MATCH($A34,'建筑建议总览'!$A$5:$A$25,0))</f>
        <v/>
      </c>
      <c r="S34" s="36">
        <f>INDEX('建筑建议总览'!$T$5:$T$25,MATCH($A34,'建筑建议总览'!$A$5:$A$25,0))</f>
        <v/>
      </c>
      <c r="T34" s="44">
        <f>POWER(Q34,D34-1)</f>
        <v/>
      </c>
      <c r="U34" s="44">
        <f>SUMIF($A$5:$A$328,$A34,$T$5:$T$328)</f>
        <v/>
      </c>
      <c r="V34" s="36">
        <f>IF(R34&gt;0,ROUNDDOWN(MAX(0,R34-O34*(F34-1))*T34/U34,0),0)</f>
        <v/>
      </c>
      <c r="W34" s="36">
        <f>IF(S34&gt;0,ROUNDDOWN(MAX(0,S34-P34*(F34-1))*T34/U34,0),0)</f>
        <v/>
      </c>
      <c r="X34" s="36">
        <f>IF(R34&gt;0,O34+V34+IF(D34=F34-1,MAX(0,R34-O34*(F34-1)-SUMIF($A$5:$A$328,$A34,$V$5:$V$328)),0),ROUNDUP(O34*POWER(INDEX('建筑总览'!$J$5:$J$25,MATCH($A34,'建筑总览'!$A$5:$A$25,0)),D34),0))</f>
        <v/>
      </c>
      <c r="Y34" s="36">
        <f>IF(P34=0,0,IF(S34&gt;0,P34+W34+IF(D34=F34-1,MAX(0,S34-P34*(F34-1)-SUMIF($A$5:$A$328,$A34,$W$5:$W$328)),0),ROUNDUP(P34*POWER(INDEX('建筑总览'!$J$5:$J$25,MATCH($A34,'建筑总览'!$A$5:$A$25,0)),D34),0)))</f>
        <v/>
      </c>
      <c r="Z34" s="36">
        <f>IF(X34=0,0,MAX(1,ROUNDUP(X34*(1-'参数与公式'!$B$17),0)))</f>
        <v/>
      </c>
      <c r="AA34" s="36">
        <f>IF(Y34=0,0,MAX(1,ROUNDUP(Y34*(1-'参数与公式'!$B$17),0)))</f>
        <v/>
      </c>
      <c r="AB34" s="33" t="inlineStr">
        <is>
          <t>预算模式末级补足余数；旧模式按指数公式</t>
        </is>
      </c>
      <c r="AC34" s="49">
        <f>IF(A34=A33,IFERROR(M34/M33,""),"")</f>
        <v/>
      </c>
      <c r="AD34" s="49">
        <f>IF(AND(A34=A33,X33&gt;0),X34/X33,"")</f>
        <v/>
      </c>
    </row>
    <row r="35" ht="30" customHeight="1">
      <c r="A35" s="33" t="inlineStr">
        <is>
          <t>farm</t>
        </is>
      </c>
      <c r="B35" s="33" t="inlineStr">
        <is>
          <t>农田</t>
        </is>
      </c>
      <c r="C35" s="33" t="inlineStr">
        <is>
          <t>资源生产</t>
        </is>
      </c>
      <c r="D35" s="43" t="n">
        <v>31</v>
      </c>
      <c r="E35" s="36">
        <f>D35+1</f>
        <v/>
      </c>
      <c r="F35" s="43" t="n">
        <v>50</v>
      </c>
      <c r="G35" s="36">
        <f>INDEX('建筑建议总览'!$H$5:$H$25,MATCH($A35,'建筑建议总览'!$A$5:$A$25,0))</f>
        <v/>
      </c>
      <c r="H35" s="44">
        <f>INDEX('建筑建议总览'!$I$5:$I$25,MATCH($A35,'建筑建议总览'!$A$5:$A$25,0))</f>
        <v/>
      </c>
      <c r="I35" s="36">
        <f>INDEX('建筑建议总览'!$J$5:$J$25,MATCH($A35,'建筑建议总览'!$A$5:$A$25,0))</f>
        <v/>
      </c>
      <c r="J35" s="44">
        <f>POWER(H35,D35-1)</f>
        <v/>
      </c>
      <c r="K35" s="44">
        <f>SUMIF($A$5:$A$328,$A35,$J$5:$J$328)</f>
        <v/>
      </c>
      <c r="L35" s="36">
        <f>IF(I35&gt;0,ROUNDDOWN(MAX(0,I35-G35*(F35-1))*J35/K35,0),0)</f>
        <v/>
      </c>
      <c r="M35" s="36">
        <f>IF(I35&gt;0,G35+L35+IF(D35=F35-1,MAX(0,I35-G35*(F35-1)-SUMIF($A$5:$A$328,$A35,$L$5:$L$328)),0),ROUNDUP(G35*POWER(INDEX('建筑总览'!$G$5:$G$25,MATCH($A35,'建筑总览'!$A$5:$A$25,0)),D35),0))</f>
        <v/>
      </c>
      <c r="N35" s="35">
        <f>M35/'参数与公式'!$B$21</f>
        <v/>
      </c>
      <c r="O35" s="36">
        <f>INDEX('建筑建议总览'!$P$5:$P$25,MATCH($A35,'建筑建议总览'!$A$5:$A$25,0))</f>
        <v/>
      </c>
      <c r="P35" s="36">
        <f>INDEX('建筑建议总览'!$Q$5:$Q$25,MATCH($A35,'建筑建议总览'!$A$5:$A$25,0))</f>
        <v/>
      </c>
      <c r="Q35" s="44">
        <f>INDEX('建筑建议总览'!$R$5:$R$25,MATCH($A35,'建筑建议总览'!$A$5:$A$25,0))</f>
        <v/>
      </c>
      <c r="R35" s="36">
        <f>INDEX('建筑建议总览'!$S$5:$S$25,MATCH($A35,'建筑建议总览'!$A$5:$A$25,0))</f>
        <v/>
      </c>
      <c r="S35" s="36">
        <f>INDEX('建筑建议总览'!$T$5:$T$25,MATCH($A35,'建筑建议总览'!$A$5:$A$25,0))</f>
        <v/>
      </c>
      <c r="T35" s="44">
        <f>POWER(Q35,D35-1)</f>
        <v/>
      </c>
      <c r="U35" s="44">
        <f>SUMIF($A$5:$A$328,$A35,$T$5:$T$328)</f>
        <v/>
      </c>
      <c r="V35" s="36">
        <f>IF(R35&gt;0,ROUNDDOWN(MAX(0,R35-O35*(F35-1))*T35/U35,0),0)</f>
        <v/>
      </c>
      <c r="W35" s="36">
        <f>IF(S35&gt;0,ROUNDDOWN(MAX(0,S35-P35*(F35-1))*T35/U35,0),0)</f>
        <v/>
      </c>
      <c r="X35" s="36">
        <f>IF(R35&gt;0,O35+V35+IF(D35=F35-1,MAX(0,R35-O35*(F35-1)-SUMIF($A$5:$A$328,$A35,$V$5:$V$328)),0),ROUNDUP(O35*POWER(INDEX('建筑总览'!$J$5:$J$25,MATCH($A35,'建筑总览'!$A$5:$A$25,0)),D35),0))</f>
        <v/>
      </c>
      <c r="Y35" s="36">
        <f>IF(P35=0,0,IF(S35&gt;0,P35+W35+IF(D35=F35-1,MAX(0,S35-P35*(F35-1)-SUMIF($A$5:$A$328,$A35,$W$5:$W$328)),0),ROUNDUP(P35*POWER(INDEX('建筑总览'!$J$5:$J$25,MATCH($A35,'建筑总览'!$A$5:$A$25,0)),D35),0)))</f>
        <v/>
      </c>
      <c r="Z35" s="36">
        <f>IF(X35=0,0,MAX(1,ROUNDUP(X35*(1-'参数与公式'!$B$17),0)))</f>
        <v/>
      </c>
      <c r="AA35" s="36">
        <f>IF(Y35=0,0,MAX(1,ROUNDUP(Y35*(1-'参数与公式'!$B$17),0)))</f>
        <v/>
      </c>
      <c r="AB35" s="33" t="inlineStr">
        <is>
          <t>预算模式末级补足余数；旧模式按指数公式</t>
        </is>
      </c>
      <c r="AC35" s="49">
        <f>IF(A35=A34,IFERROR(M35/M34,""),"")</f>
        <v/>
      </c>
      <c r="AD35" s="49">
        <f>IF(AND(A35=A34,X34&gt;0),X35/X34,"")</f>
        <v/>
      </c>
    </row>
    <row r="36" ht="30" customHeight="1">
      <c r="A36" s="33" t="inlineStr">
        <is>
          <t>farm</t>
        </is>
      </c>
      <c r="B36" s="33" t="inlineStr">
        <is>
          <t>农田</t>
        </is>
      </c>
      <c r="C36" s="33" t="inlineStr">
        <is>
          <t>资源生产</t>
        </is>
      </c>
      <c r="D36" s="43" t="n">
        <v>32</v>
      </c>
      <c r="E36" s="36">
        <f>D36+1</f>
        <v/>
      </c>
      <c r="F36" s="43" t="n">
        <v>50</v>
      </c>
      <c r="G36" s="36">
        <f>INDEX('建筑建议总览'!$H$5:$H$25,MATCH($A36,'建筑建议总览'!$A$5:$A$25,0))</f>
        <v/>
      </c>
      <c r="H36" s="44">
        <f>INDEX('建筑建议总览'!$I$5:$I$25,MATCH($A36,'建筑建议总览'!$A$5:$A$25,0))</f>
        <v/>
      </c>
      <c r="I36" s="36">
        <f>INDEX('建筑建议总览'!$J$5:$J$25,MATCH($A36,'建筑建议总览'!$A$5:$A$25,0))</f>
        <v/>
      </c>
      <c r="J36" s="44">
        <f>POWER(H36,D36-1)</f>
        <v/>
      </c>
      <c r="K36" s="44">
        <f>SUMIF($A$5:$A$328,$A36,$J$5:$J$328)</f>
        <v/>
      </c>
      <c r="L36" s="36">
        <f>IF(I36&gt;0,ROUNDDOWN(MAX(0,I36-G36*(F36-1))*J36/K36,0),0)</f>
        <v/>
      </c>
      <c r="M36" s="36">
        <f>IF(I36&gt;0,G36+L36+IF(D36=F36-1,MAX(0,I36-G36*(F36-1)-SUMIF($A$5:$A$328,$A36,$L$5:$L$328)),0),ROUNDUP(G36*POWER(INDEX('建筑总览'!$G$5:$G$25,MATCH($A36,'建筑总览'!$A$5:$A$25,0)),D36),0))</f>
        <v/>
      </c>
      <c r="N36" s="35">
        <f>M36/'参数与公式'!$B$21</f>
        <v/>
      </c>
      <c r="O36" s="36">
        <f>INDEX('建筑建议总览'!$P$5:$P$25,MATCH($A36,'建筑建议总览'!$A$5:$A$25,0))</f>
        <v/>
      </c>
      <c r="P36" s="36">
        <f>INDEX('建筑建议总览'!$Q$5:$Q$25,MATCH($A36,'建筑建议总览'!$A$5:$A$25,0))</f>
        <v/>
      </c>
      <c r="Q36" s="44">
        <f>INDEX('建筑建议总览'!$R$5:$R$25,MATCH($A36,'建筑建议总览'!$A$5:$A$25,0))</f>
        <v/>
      </c>
      <c r="R36" s="36">
        <f>INDEX('建筑建议总览'!$S$5:$S$25,MATCH($A36,'建筑建议总览'!$A$5:$A$25,0))</f>
        <v/>
      </c>
      <c r="S36" s="36">
        <f>INDEX('建筑建议总览'!$T$5:$T$25,MATCH($A36,'建筑建议总览'!$A$5:$A$25,0))</f>
        <v/>
      </c>
      <c r="T36" s="44">
        <f>POWER(Q36,D36-1)</f>
        <v/>
      </c>
      <c r="U36" s="44">
        <f>SUMIF($A$5:$A$328,$A36,$T$5:$T$328)</f>
        <v/>
      </c>
      <c r="V36" s="36">
        <f>IF(R36&gt;0,ROUNDDOWN(MAX(0,R36-O36*(F36-1))*T36/U36,0),0)</f>
        <v/>
      </c>
      <c r="W36" s="36">
        <f>IF(S36&gt;0,ROUNDDOWN(MAX(0,S36-P36*(F36-1))*T36/U36,0),0)</f>
        <v/>
      </c>
      <c r="X36" s="36">
        <f>IF(R36&gt;0,O36+V36+IF(D36=F36-1,MAX(0,R36-O36*(F36-1)-SUMIF($A$5:$A$328,$A36,$V$5:$V$328)),0),ROUNDUP(O36*POWER(INDEX('建筑总览'!$J$5:$J$25,MATCH($A36,'建筑总览'!$A$5:$A$25,0)),D36),0))</f>
        <v/>
      </c>
      <c r="Y36" s="36">
        <f>IF(P36=0,0,IF(S36&gt;0,P36+W36+IF(D36=F36-1,MAX(0,S36-P36*(F36-1)-SUMIF($A$5:$A$328,$A36,$W$5:$W$328)),0),ROUNDUP(P36*POWER(INDEX('建筑总览'!$J$5:$J$25,MATCH($A36,'建筑总览'!$A$5:$A$25,0)),D36),0)))</f>
        <v/>
      </c>
      <c r="Z36" s="36">
        <f>IF(X36=0,0,MAX(1,ROUNDUP(X36*(1-'参数与公式'!$B$17),0)))</f>
        <v/>
      </c>
      <c r="AA36" s="36">
        <f>IF(Y36=0,0,MAX(1,ROUNDUP(Y36*(1-'参数与公式'!$B$17),0)))</f>
        <v/>
      </c>
      <c r="AB36" s="33" t="inlineStr">
        <is>
          <t>预算模式末级补足余数；旧模式按指数公式</t>
        </is>
      </c>
      <c r="AC36" s="49">
        <f>IF(A36=A35,IFERROR(M36/M35,""),"")</f>
        <v/>
      </c>
      <c r="AD36" s="49">
        <f>IF(AND(A36=A35,X35&gt;0),X36/X35,"")</f>
        <v/>
      </c>
    </row>
    <row r="37" ht="30" customHeight="1">
      <c r="A37" s="33" t="inlineStr">
        <is>
          <t>farm</t>
        </is>
      </c>
      <c r="B37" s="33" t="inlineStr">
        <is>
          <t>农田</t>
        </is>
      </c>
      <c r="C37" s="33" t="inlineStr">
        <is>
          <t>资源生产</t>
        </is>
      </c>
      <c r="D37" s="43" t="n">
        <v>33</v>
      </c>
      <c r="E37" s="36">
        <f>D37+1</f>
        <v/>
      </c>
      <c r="F37" s="43" t="n">
        <v>50</v>
      </c>
      <c r="G37" s="36">
        <f>INDEX('建筑建议总览'!$H$5:$H$25,MATCH($A37,'建筑建议总览'!$A$5:$A$25,0))</f>
        <v/>
      </c>
      <c r="H37" s="44">
        <f>INDEX('建筑建议总览'!$I$5:$I$25,MATCH($A37,'建筑建议总览'!$A$5:$A$25,0))</f>
        <v/>
      </c>
      <c r="I37" s="36">
        <f>INDEX('建筑建议总览'!$J$5:$J$25,MATCH($A37,'建筑建议总览'!$A$5:$A$25,0))</f>
        <v/>
      </c>
      <c r="J37" s="44">
        <f>POWER(H37,D37-1)</f>
        <v/>
      </c>
      <c r="K37" s="44">
        <f>SUMIF($A$5:$A$328,$A37,$J$5:$J$328)</f>
        <v/>
      </c>
      <c r="L37" s="36">
        <f>IF(I37&gt;0,ROUNDDOWN(MAX(0,I37-G37*(F37-1))*J37/K37,0),0)</f>
        <v/>
      </c>
      <c r="M37" s="36">
        <f>IF(I37&gt;0,G37+L37+IF(D37=F37-1,MAX(0,I37-G37*(F37-1)-SUMIF($A$5:$A$328,$A37,$L$5:$L$328)),0),ROUNDUP(G37*POWER(INDEX('建筑总览'!$G$5:$G$25,MATCH($A37,'建筑总览'!$A$5:$A$25,0)),D37),0))</f>
        <v/>
      </c>
      <c r="N37" s="35">
        <f>M37/'参数与公式'!$B$21</f>
        <v/>
      </c>
      <c r="O37" s="36">
        <f>INDEX('建筑建议总览'!$P$5:$P$25,MATCH($A37,'建筑建议总览'!$A$5:$A$25,0))</f>
        <v/>
      </c>
      <c r="P37" s="36">
        <f>INDEX('建筑建议总览'!$Q$5:$Q$25,MATCH($A37,'建筑建议总览'!$A$5:$A$25,0))</f>
        <v/>
      </c>
      <c r="Q37" s="44">
        <f>INDEX('建筑建议总览'!$R$5:$R$25,MATCH($A37,'建筑建议总览'!$A$5:$A$25,0))</f>
        <v/>
      </c>
      <c r="R37" s="36">
        <f>INDEX('建筑建议总览'!$S$5:$S$25,MATCH($A37,'建筑建议总览'!$A$5:$A$25,0))</f>
        <v/>
      </c>
      <c r="S37" s="36">
        <f>INDEX('建筑建议总览'!$T$5:$T$25,MATCH($A37,'建筑建议总览'!$A$5:$A$25,0))</f>
        <v/>
      </c>
      <c r="T37" s="44">
        <f>POWER(Q37,D37-1)</f>
        <v/>
      </c>
      <c r="U37" s="44">
        <f>SUMIF($A$5:$A$328,$A37,$T$5:$T$328)</f>
        <v/>
      </c>
      <c r="V37" s="36">
        <f>IF(R37&gt;0,ROUNDDOWN(MAX(0,R37-O37*(F37-1))*T37/U37,0),0)</f>
        <v/>
      </c>
      <c r="W37" s="36">
        <f>IF(S37&gt;0,ROUNDDOWN(MAX(0,S37-P37*(F37-1))*T37/U37,0),0)</f>
        <v/>
      </c>
      <c r="X37" s="36">
        <f>IF(R37&gt;0,O37+V37+IF(D37=F37-1,MAX(0,R37-O37*(F37-1)-SUMIF($A$5:$A$328,$A37,$V$5:$V$328)),0),ROUNDUP(O37*POWER(INDEX('建筑总览'!$J$5:$J$25,MATCH($A37,'建筑总览'!$A$5:$A$25,0)),D37),0))</f>
        <v/>
      </c>
      <c r="Y37" s="36">
        <f>IF(P37=0,0,IF(S37&gt;0,P37+W37+IF(D37=F37-1,MAX(0,S37-P37*(F37-1)-SUMIF($A$5:$A$328,$A37,$W$5:$W$328)),0),ROUNDUP(P37*POWER(INDEX('建筑总览'!$J$5:$J$25,MATCH($A37,'建筑总览'!$A$5:$A$25,0)),D37),0)))</f>
        <v/>
      </c>
      <c r="Z37" s="36">
        <f>IF(X37=0,0,MAX(1,ROUNDUP(X37*(1-'参数与公式'!$B$17),0)))</f>
        <v/>
      </c>
      <c r="AA37" s="36">
        <f>IF(Y37=0,0,MAX(1,ROUNDUP(Y37*(1-'参数与公式'!$B$17),0)))</f>
        <v/>
      </c>
      <c r="AB37" s="33" t="inlineStr">
        <is>
          <t>预算模式末级补足余数；旧模式按指数公式</t>
        </is>
      </c>
      <c r="AC37" s="49">
        <f>IF(A37=A36,IFERROR(M37/M36,""),"")</f>
        <v/>
      </c>
      <c r="AD37" s="49">
        <f>IF(AND(A37=A36,X36&gt;0),X37/X36,"")</f>
        <v/>
      </c>
    </row>
    <row r="38" ht="30" customHeight="1">
      <c r="A38" s="33" t="inlineStr">
        <is>
          <t>farm</t>
        </is>
      </c>
      <c r="B38" s="33" t="inlineStr">
        <is>
          <t>农田</t>
        </is>
      </c>
      <c r="C38" s="33" t="inlineStr">
        <is>
          <t>资源生产</t>
        </is>
      </c>
      <c r="D38" s="43" t="n">
        <v>34</v>
      </c>
      <c r="E38" s="36">
        <f>D38+1</f>
        <v/>
      </c>
      <c r="F38" s="43" t="n">
        <v>50</v>
      </c>
      <c r="G38" s="36">
        <f>INDEX('建筑建议总览'!$H$5:$H$25,MATCH($A38,'建筑建议总览'!$A$5:$A$25,0))</f>
        <v/>
      </c>
      <c r="H38" s="44">
        <f>INDEX('建筑建议总览'!$I$5:$I$25,MATCH($A38,'建筑建议总览'!$A$5:$A$25,0))</f>
        <v/>
      </c>
      <c r="I38" s="36">
        <f>INDEX('建筑建议总览'!$J$5:$J$25,MATCH($A38,'建筑建议总览'!$A$5:$A$25,0))</f>
        <v/>
      </c>
      <c r="J38" s="44">
        <f>POWER(H38,D38-1)</f>
        <v/>
      </c>
      <c r="K38" s="44">
        <f>SUMIF($A$5:$A$328,$A38,$J$5:$J$328)</f>
        <v/>
      </c>
      <c r="L38" s="36">
        <f>IF(I38&gt;0,ROUNDDOWN(MAX(0,I38-G38*(F38-1))*J38/K38,0),0)</f>
        <v/>
      </c>
      <c r="M38" s="36">
        <f>IF(I38&gt;0,G38+L38+IF(D38=F38-1,MAX(0,I38-G38*(F38-1)-SUMIF($A$5:$A$328,$A38,$L$5:$L$328)),0),ROUNDUP(G38*POWER(INDEX('建筑总览'!$G$5:$G$25,MATCH($A38,'建筑总览'!$A$5:$A$25,0)),D38),0))</f>
        <v/>
      </c>
      <c r="N38" s="35">
        <f>M38/'参数与公式'!$B$21</f>
        <v/>
      </c>
      <c r="O38" s="36">
        <f>INDEX('建筑建议总览'!$P$5:$P$25,MATCH($A38,'建筑建议总览'!$A$5:$A$25,0))</f>
        <v/>
      </c>
      <c r="P38" s="36">
        <f>INDEX('建筑建议总览'!$Q$5:$Q$25,MATCH($A38,'建筑建议总览'!$A$5:$A$25,0))</f>
        <v/>
      </c>
      <c r="Q38" s="44">
        <f>INDEX('建筑建议总览'!$R$5:$R$25,MATCH($A38,'建筑建议总览'!$A$5:$A$25,0))</f>
        <v/>
      </c>
      <c r="R38" s="36">
        <f>INDEX('建筑建议总览'!$S$5:$S$25,MATCH($A38,'建筑建议总览'!$A$5:$A$25,0))</f>
        <v/>
      </c>
      <c r="S38" s="36">
        <f>INDEX('建筑建议总览'!$T$5:$T$25,MATCH($A38,'建筑建议总览'!$A$5:$A$25,0))</f>
        <v/>
      </c>
      <c r="T38" s="44">
        <f>POWER(Q38,D38-1)</f>
        <v/>
      </c>
      <c r="U38" s="44">
        <f>SUMIF($A$5:$A$328,$A38,$T$5:$T$328)</f>
        <v/>
      </c>
      <c r="V38" s="36">
        <f>IF(R38&gt;0,ROUNDDOWN(MAX(0,R38-O38*(F38-1))*T38/U38,0),0)</f>
        <v/>
      </c>
      <c r="W38" s="36">
        <f>IF(S38&gt;0,ROUNDDOWN(MAX(0,S38-P38*(F38-1))*T38/U38,0),0)</f>
        <v/>
      </c>
      <c r="X38" s="36">
        <f>IF(R38&gt;0,O38+V38+IF(D38=F38-1,MAX(0,R38-O38*(F38-1)-SUMIF($A$5:$A$328,$A38,$V$5:$V$328)),0),ROUNDUP(O38*POWER(INDEX('建筑总览'!$J$5:$J$25,MATCH($A38,'建筑总览'!$A$5:$A$25,0)),D38),0))</f>
        <v/>
      </c>
      <c r="Y38" s="36">
        <f>IF(P38=0,0,IF(S38&gt;0,P38+W38+IF(D38=F38-1,MAX(0,S38-P38*(F38-1)-SUMIF($A$5:$A$328,$A38,$W$5:$W$328)),0),ROUNDUP(P38*POWER(INDEX('建筑总览'!$J$5:$J$25,MATCH($A38,'建筑总览'!$A$5:$A$25,0)),D38),0)))</f>
        <v/>
      </c>
      <c r="Z38" s="36">
        <f>IF(X38=0,0,MAX(1,ROUNDUP(X38*(1-'参数与公式'!$B$17),0)))</f>
        <v/>
      </c>
      <c r="AA38" s="36">
        <f>IF(Y38=0,0,MAX(1,ROUNDUP(Y38*(1-'参数与公式'!$B$17),0)))</f>
        <v/>
      </c>
      <c r="AB38" s="33" t="inlineStr">
        <is>
          <t>预算模式末级补足余数；旧模式按指数公式</t>
        </is>
      </c>
      <c r="AC38" s="49">
        <f>IF(A38=A37,IFERROR(M38/M37,""),"")</f>
        <v/>
      </c>
      <c r="AD38" s="49">
        <f>IF(AND(A38=A37,X37&gt;0),X38/X37,"")</f>
        <v/>
      </c>
    </row>
    <row r="39" ht="30" customHeight="1">
      <c r="A39" s="33" t="inlineStr">
        <is>
          <t>farm</t>
        </is>
      </c>
      <c r="B39" s="33" t="inlineStr">
        <is>
          <t>农田</t>
        </is>
      </c>
      <c r="C39" s="33" t="inlineStr">
        <is>
          <t>资源生产</t>
        </is>
      </c>
      <c r="D39" s="43" t="n">
        <v>35</v>
      </c>
      <c r="E39" s="36">
        <f>D39+1</f>
        <v/>
      </c>
      <c r="F39" s="43" t="n">
        <v>50</v>
      </c>
      <c r="G39" s="36">
        <f>INDEX('建筑建议总览'!$H$5:$H$25,MATCH($A39,'建筑建议总览'!$A$5:$A$25,0))</f>
        <v/>
      </c>
      <c r="H39" s="44">
        <f>INDEX('建筑建议总览'!$I$5:$I$25,MATCH($A39,'建筑建议总览'!$A$5:$A$25,0))</f>
        <v/>
      </c>
      <c r="I39" s="36">
        <f>INDEX('建筑建议总览'!$J$5:$J$25,MATCH($A39,'建筑建议总览'!$A$5:$A$25,0))</f>
        <v/>
      </c>
      <c r="J39" s="44">
        <f>POWER(H39,D39-1)</f>
        <v/>
      </c>
      <c r="K39" s="44">
        <f>SUMIF($A$5:$A$328,$A39,$J$5:$J$328)</f>
        <v/>
      </c>
      <c r="L39" s="36">
        <f>IF(I39&gt;0,ROUNDDOWN(MAX(0,I39-G39*(F39-1))*J39/K39,0),0)</f>
        <v/>
      </c>
      <c r="M39" s="36">
        <f>IF(I39&gt;0,G39+L39+IF(D39=F39-1,MAX(0,I39-G39*(F39-1)-SUMIF($A$5:$A$328,$A39,$L$5:$L$328)),0),ROUNDUP(G39*POWER(INDEX('建筑总览'!$G$5:$G$25,MATCH($A39,'建筑总览'!$A$5:$A$25,0)),D39),0))</f>
        <v/>
      </c>
      <c r="N39" s="35">
        <f>M39/'参数与公式'!$B$21</f>
        <v/>
      </c>
      <c r="O39" s="36">
        <f>INDEX('建筑建议总览'!$P$5:$P$25,MATCH($A39,'建筑建议总览'!$A$5:$A$25,0))</f>
        <v/>
      </c>
      <c r="P39" s="36">
        <f>INDEX('建筑建议总览'!$Q$5:$Q$25,MATCH($A39,'建筑建议总览'!$A$5:$A$25,0))</f>
        <v/>
      </c>
      <c r="Q39" s="44">
        <f>INDEX('建筑建议总览'!$R$5:$R$25,MATCH($A39,'建筑建议总览'!$A$5:$A$25,0))</f>
        <v/>
      </c>
      <c r="R39" s="36">
        <f>INDEX('建筑建议总览'!$S$5:$S$25,MATCH($A39,'建筑建议总览'!$A$5:$A$25,0))</f>
        <v/>
      </c>
      <c r="S39" s="36">
        <f>INDEX('建筑建议总览'!$T$5:$T$25,MATCH($A39,'建筑建议总览'!$A$5:$A$25,0))</f>
        <v/>
      </c>
      <c r="T39" s="44">
        <f>POWER(Q39,D39-1)</f>
        <v/>
      </c>
      <c r="U39" s="44">
        <f>SUMIF($A$5:$A$328,$A39,$T$5:$T$328)</f>
        <v/>
      </c>
      <c r="V39" s="36">
        <f>IF(R39&gt;0,ROUNDDOWN(MAX(0,R39-O39*(F39-1))*T39/U39,0),0)</f>
        <v/>
      </c>
      <c r="W39" s="36">
        <f>IF(S39&gt;0,ROUNDDOWN(MAX(0,S39-P39*(F39-1))*T39/U39,0),0)</f>
        <v/>
      </c>
      <c r="X39" s="36">
        <f>IF(R39&gt;0,O39+V39+IF(D39=F39-1,MAX(0,R39-O39*(F39-1)-SUMIF($A$5:$A$328,$A39,$V$5:$V$328)),0),ROUNDUP(O39*POWER(INDEX('建筑总览'!$J$5:$J$25,MATCH($A39,'建筑总览'!$A$5:$A$25,0)),D39),0))</f>
        <v/>
      </c>
      <c r="Y39" s="36">
        <f>IF(P39=0,0,IF(S39&gt;0,P39+W39+IF(D39=F39-1,MAX(0,S39-P39*(F39-1)-SUMIF($A$5:$A$328,$A39,$W$5:$W$328)),0),ROUNDUP(P39*POWER(INDEX('建筑总览'!$J$5:$J$25,MATCH($A39,'建筑总览'!$A$5:$A$25,0)),D39),0)))</f>
        <v/>
      </c>
      <c r="Z39" s="36">
        <f>IF(X39=0,0,MAX(1,ROUNDUP(X39*(1-'参数与公式'!$B$17),0)))</f>
        <v/>
      </c>
      <c r="AA39" s="36">
        <f>IF(Y39=0,0,MAX(1,ROUNDUP(Y39*(1-'参数与公式'!$B$17),0)))</f>
        <v/>
      </c>
      <c r="AB39" s="33" t="inlineStr">
        <is>
          <t>预算模式末级补足余数；旧模式按指数公式</t>
        </is>
      </c>
      <c r="AC39" s="49">
        <f>IF(A39=A38,IFERROR(M39/M38,""),"")</f>
        <v/>
      </c>
      <c r="AD39" s="49">
        <f>IF(AND(A39=A38,X38&gt;0),X39/X38,"")</f>
        <v/>
      </c>
    </row>
    <row r="40" ht="30" customHeight="1">
      <c r="A40" s="33" t="inlineStr">
        <is>
          <t>farm</t>
        </is>
      </c>
      <c r="B40" s="33" t="inlineStr">
        <is>
          <t>农田</t>
        </is>
      </c>
      <c r="C40" s="33" t="inlineStr">
        <is>
          <t>资源生产</t>
        </is>
      </c>
      <c r="D40" s="43" t="n">
        <v>36</v>
      </c>
      <c r="E40" s="36">
        <f>D40+1</f>
        <v/>
      </c>
      <c r="F40" s="43" t="n">
        <v>50</v>
      </c>
      <c r="G40" s="36">
        <f>INDEX('建筑建议总览'!$H$5:$H$25,MATCH($A40,'建筑建议总览'!$A$5:$A$25,0))</f>
        <v/>
      </c>
      <c r="H40" s="44">
        <f>INDEX('建筑建议总览'!$I$5:$I$25,MATCH($A40,'建筑建议总览'!$A$5:$A$25,0))</f>
        <v/>
      </c>
      <c r="I40" s="36">
        <f>INDEX('建筑建议总览'!$J$5:$J$25,MATCH($A40,'建筑建议总览'!$A$5:$A$25,0))</f>
        <v/>
      </c>
      <c r="J40" s="44">
        <f>POWER(H40,D40-1)</f>
        <v/>
      </c>
      <c r="K40" s="44">
        <f>SUMIF($A$5:$A$328,$A40,$J$5:$J$328)</f>
        <v/>
      </c>
      <c r="L40" s="36">
        <f>IF(I40&gt;0,ROUNDDOWN(MAX(0,I40-G40*(F40-1))*J40/K40,0),0)</f>
        <v/>
      </c>
      <c r="M40" s="36">
        <f>IF(I40&gt;0,G40+L40+IF(D40=F40-1,MAX(0,I40-G40*(F40-1)-SUMIF($A$5:$A$328,$A40,$L$5:$L$328)),0),ROUNDUP(G40*POWER(INDEX('建筑总览'!$G$5:$G$25,MATCH($A40,'建筑总览'!$A$5:$A$25,0)),D40),0))</f>
        <v/>
      </c>
      <c r="N40" s="35">
        <f>M40/'参数与公式'!$B$21</f>
        <v/>
      </c>
      <c r="O40" s="36">
        <f>INDEX('建筑建议总览'!$P$5:$P$25,MATCH($A40,'建筑建议总览'!$A$5:$A$25,0))</f>
        <v/>
      </c>
      <c r="P40" s="36">
        <f>INDEX('建筑建议总览'!$Q$5:$Q$25,MATCH($A40,'建筑建议总览'!$A$5:$A$25,0))</f>
        <v/>
      </c>
      <c r="Q40" s="44">
        <f>INDEX('建筑建议总览'!$R$5:$R$25,MATCH($A40,'建筑建议总览'!$A$5:$A$25,0))</f>
        <v/>
      </c>
      <c r="R40" s="36">
        <f>INDEX('建筑建议总览'!$S$5:$S$25,MATCH($A40,'建筑建议总览'!$A$5:$A$25,0))</f>
        <v/>
      </c>
      <c r="S40" s="36">
        <f>INDEX('建筑建议总览'!$T$5:$T$25,MATCH($A40,'建筑建议总览'!$A$5:$A$25,0))</f>
        <v/>
      </c>
      <c r="T40" s="44">
        <f>POWER(Q40,D40-1)</f>
        <v/>
      </c>
      <c r="U40" s="44">
        <f>SUMIF($A$5:$A$328,$A40,$T$5:$T$328)</f>
        <v/>
      </c>
      <c r="V40" s="36">
        <f>IF(R40&gt;0,ROUNDDOWN(MAX(0,R40-O40*(F40-1))*T40/U40,0),0)</f>
        <v/>
      </c>
      <c r="W40" s="36">
        <f>IF(S40&gt;0,ROUNDDOWN(MAX(0,S40-P40*(F40-1))*T40/U40,0),0)</f>
        <v/>
      </c>
      <c r="X40" s="36">
        <f>IF(R40&gt;0,O40+V40+IF(D40=F40-1,MAX(0,R40-O40*(F40-1)-SUMIF($A$5:$A$328,$A40,$V$5:$V$328)),0),ROUNDUP(O40*POWER(INDEX('建筑总览'!$J$5:$J$25,MATCH($A40,'建筑总览'!$A$5:$A$25,0)),D40),0))</f>
        <v/>
      </c>
      <c r="Y40" s="36">
        <f>IF(P40=0,0,IF(S40&gt;0,P40+W40+IF(D40=F40-1,MAX(0,S40-P40*(F40-1)-SUMIF($A$5:$A$328,$A40,$W$5:$W$328)),0),ROUNDUP(P40*POWER(INDEX('建筑总览'!$J$5:$J$25,MATCH($A40,'建筑总览'!$A$5:$A$25,0)),D40),0)))</f>
        <v/>
      </c>
      <c r="Z40" s="36">
        <f>IF(X40=0,0,MAX(1,ROUNDUP(X40*(1-'参数与公式'!$B$17),0)))</f>
        <v/>
      </c>
      <c r="AA40" s="36">
        <f>IF(Y40=0,0,MAX(1,ROUNDUP(Y40*(1-'参数与公式'!$B$17),0)))</f>
        <v/>
      </c>
      <c r="AB40" s="33" t="inlineStr">
        <is>
          <t>预算模式末级补足余数；旧模式按指数公式</t>
        </is>
      </c>
      <c r="AC40" s="49">
        <f>IF(A40=A39,IFERROR(M40/M39,""),"")</f>
        <v/>
      </c>
      <c r="AD40" s="49">
        <f>IF(AND(A40=A39,X39&gt;0),X40/X39,"")</f>
        <v/>
      </c>
    </row>
    <row r="41" ht="30" customHeight="1">
      <c r="A41" s="33" t="inlineStr">
        <is>
          <t>farm</t>
        </is>
      </c>
      <c r="B41" s="33" t="inlineStr">
        <is>
          <t>农田</t>
        </is>
      </c>
      <c r="C41" s="33" t="inlineStr">
        <is>
          <t>资源生产</t>
        </is>
      </c>
      <c r="D41" s="43" t="n">
        <v>37</v>
      </c>
      <c r="E41" s="36">
        <f>D41+1</f>
        <v/>
      </c>
      <c r="F41" s="43" t="n">
        <v>50</v>
      </c>
      <c r="G41" s="36">
        <f>INDEX('建筑建议总览'!$H$5:$H$25,MATCH($A41,'建筑建议总览'!$A$5:$A$25,0))</f>
        <v/>
      </c>
      <c r="H41" s="44">
        <f>INDEX('建筑建议总览'!$I$5:$I$25,MATCH($A41,'建筑建议总览'!$A$5:$A$25,0))</f>
        <v/>
      </c>
      <c r="I41" s="36">
        <f>INDEX('建筑建议总览'!$J$5:$J$25,MATCH($A41,'建筑建议总览'!$A$5:$A$25,0))</f>
        <v/>
      </c>
      <c r="J41" s="44">
        <f>POWER(H41,D41-1)</f>
        <v/>
      </c>
      <c r="K41" s="44">
        <f>SUMIF($A$5:$A$328,$A41,$J$5:$J$328)</f>
        <v/>
      </c>
      <c r="L41" s="36">
        <f>IF(I41&gt;0,ROUNDDOWN(MAX(0,I41-G41*(F41-1))*J41/K41,0),0)</f>
        <v/>
      </c>
      <c r="M41" s="36">
        <f>IF(I41&gt;0,G41+L41+IF(D41=F41-1,MAX(0,I41-G41*(F41-1)-SUMIF($A$5:$A$328,$A41,$L$5:$L$328)),0),ROUNDUP(G41*POWER(INDEX('建筑总览'!$G$5:$G$25,MATCH($A41,'建筑总览'!$A$5:$A$25,0)),D41),0))</f>
        <v/>
      </c>
      <c r="N41" s="35">
        <f>M41/'参数与公式'!$B$21</f>
        <v/>
      </c>
      <c r="O41" s="36">
        <f>INDEX('建筑建议总览'!$P$5:$P$25,MATCH($A41,'建筑建议总览'!$A$5:$A$25,0))</f>
        <v/>
      </c>
      <c r="P41" s="36">
        <f>INDEX('建筑建议总览'!$Q$5:$Q$25,MATCH($A41,'建筑建议总览'!$A$5:$A$25,0))</f>
        <v/>
      </c>
      <c r="Q41" s="44">
        <f>INDEX('建筑建议总览'!$R$5:$R$25,MATCH($A41,'建筑建议总览'!$A$5:$A$25,0))</f>
        <v/>
      </c>
      <c r="R41" s="36">
        <f>INDEX('建筑建议总览'!$S$5:$S$25,MATCH($A41,'建筑建议总览'!$A$5:$A$25,0))</f>
        <v/>
      </c>
      <c r="S41" s="36">
        <f>INDEX('建筑建议总览'!$T$5:$T$25,MATCH($A41,'建筑建议总览'!$A$5:$A$25,0))</f>
        <v/>
      </c>
      <c r="T41" s="44">
        <f>POWER(Q41,D41-1)</f>
        <v/>
      </c>
      <c r="U41" s="44">
        <f>SUMIF($A$5:$A$328,$A41,$T$5:$T$328)</f>
        <v/>
      </c>
      <c r="V41" s="36">
        <f>IF(R41&gt;0,ROUNDDOWN(MAX(0,R41-O41*(F41-1))*T41/U41,0),0)</f>
        <v/>
      </c>
      <c r="W41" s="36">
        <f>IF(S41&gt;0,ROUNDDOWN(MAX(0,S41-P41*(F41-1))*T41/U41,0),0)</f>
        <v/>
      </c>
      <c r="X41" s="36">
        <f>IF(R41&gt;0,O41+V41+IF(D41=F41-1,MAX(0,R41-O41*(F41-1)-SUMIF($A$5:$A$328,$A41,$V$5:$V$328)),0),ROUNDUP(O41*POWER(INDEX('建筑总览'!$J$5:$J$25,MATCH($A41,'建筑总览'!$A$5:$A$25,0)),D41),0))</f>
        <v/>
      </c>
      <c r="Y41" s="36">
        <f>IF(P41=0,0,IF(S41&gt;0,P41+W41+IF(D41=F41-1,MAX(0,S41-P41*(F41-1)-SUMIF($A$5:$A$328,$A41,$W$5:$W$328)),0),ROUNDUP(P41*POWER(INDEX('建筑总览'!$J$5:$J$25,MATCH($A41,'建筑总览'!$A$5:$A$25,0)),D41),0)))</f>
        <v/>
      </c>
      <c r="Z41" s="36">
        <f>IF(X41=0,0,MAX(1,ROUNDUP(X41*(1-'参数与公式'!$B$17),0)))</f>
        <v/>
      </c>
      <c r="AA41" s="36">
        <f>IF(Y41=0,0,MAX(1,ROUNDUP(Y41*(1-'参数与公式'!$B$17),0)))</f>
        <v/>
      </c>
      <c r="AB41" s="33" t="inlineStr">
        <is>
          <t>预算模式末级补足余数；旧模式按指数公式</t>
        </is>
      </c>
      <c r="AC41" s="49">
        <f>IF(A41=A40,IFERROR(M41/M40,""),"")</f>
        <v/>
      </c>
      <c r="AD41" s="49">
        <f>IF(AND(A41=A40,X40&gt;0),X41/X40,"")</f>
        <v/>
      </c>
    </row>
    <row r="42" ht="30" customHeight="1">
      <c r="A42" s="33" t="inlineStr">
        <is>
          <t>farm</t>
        </is>
      </c>
      <c r="B42" s="33" t="inlineStr">
        <is>
          <t>农田</t>
        </is>
      </c>
      <c r="C42" s="33" t="inlineStr">
        <is>
          <t>资源生产</t>
        </is>
      </c>
      <c r="D42" s="43" t="n">
        <v>38</v>
      </c>
      <c r="E42" s="36">
        <f>D42+1</f>
        <v/>
      </c>
      <c r="F42" s="43" t="n">
        <v>50</v>
      </c>
      <c r="G42" s="36">
        <f>INDEX('建筑建议总览'!$H$5:$H$25,MATCH($A42,'建筑建议总览'!$A$5:$A$25,0))</f>
        <v/>
      </c>
      <c r="H42" s="44">
        <f>INDEX('建筑建议总览'!$I$5:$I$25,MATCH($A42,'建筑建议总览'!$A$5:$A$25,0))</f>
        <v/>
      </c>
      <c r="I42" s="36">
        <f>INDEX('建筑建议总览'!$J$5:$J$25,MATCH($A42,'建筑建议总览'!$A$5:$A$25,0))</f>
        <v/>
      </c>
      <c r="J42" s="44">
        <f>POWER(H42,D42-1)</f>
        <v/>
      </c>
      <c r="K42" s="44">
        <f>SUMIF($A$5:$A$328,$A42,$J$5:$J$328)</f>
        <v/>
      </c>
      <c r="L42" s="36">
        <f>IF(I42&gt;0,ROUNDDOWN(MAX(0,I42-G42*(F42-1))*J42/K42,0),0)</f>
        <v/>
      </c>
      <c r="M42" s="36">
        <f>IF(I42&gt;0,G42+L42+IF(D42=F42-1,MAX(0,I42-G42*(F42-1)-SUMIF($A$5:$A$328,$A42,$L$5:$L$328)),0),ROUNDUP(G42*POWER(INDEX('建筑总览'!$G$5:$G$25,MATCH($A42,'建筑总览'!$A$5:$A$25,0)),D42),0))</f>
        <v/>
      </c>
      <c r="N42" s="35">
        <f>M42/'参数与公式'!$B$21</f>
        <v/>
      </c>
      <c r="O42" s="36">
        <f>INDEX('建筑建议总览'!$P$5:$P$25,MATCH($A42,'建筑建议总览'!$A$5:$A$25,0))</f>
        <v/>
      </c>
      <c r="P42" s="36">
        <f>INDEX('建筑建议总览'!$Q$5:$Q$25,MATCH($A42,'建筑建议总览'!$A$5:$A$25,0))</f>
        <v/>
      </c>
      <c r="Q42" s="44">
        <f>INDEX('建筑建议总览'!$R$5:$R$25,MATCH($A42,'建筑建议总览'!$A$5:$A$25,0))</f>
        <v/>
      </c>
      <c r="R42" s="36">
        <f>INDEX('建筑建议总览'!$S$5:$S$25,MATCH($A42,'建筑建议总览'!$A$5:$A$25,0))</f>
        <v/>
      </c>
      <c r="S42" s="36">
        <f>INDEX('建筑建议总览'!$T$5:$T$25,MATCH($A42,'建筑建议总览'!$A$5:$A$25,0))</f>
        <v/>
      </c>
      <c r="T42" s="44">
        <f>POWER(Q42,D42-1)</f>
        <v/>
      </c>
      <c r="U42" s="44">
        <f>SUMIF($A$5:$A$328,$A42,$T$5:$T$328)</f>
        <v/>
      </c>
      <c r="V42" s="36">
        <f>IF(R42&gt;0,ROUNDDOWN(MAX(0,R42-O42*(F42-1))*T42/U42,0),0)</f>
        <v/>
      </c>
      <c r="W42" s="36">
        <f>IF(S42&gt;0,ROUNDDOWN(MAX(0,S42-P42*(F42-1))*T42/U42,0),0)</f>
        <v/>
      </c>
      <c r="X42" s="36">
        <f>IF(R42&gt;0,O42+V42+IF(D42=F42-1,MAX(0,R42-O42*(F42-1)-SUMIF($A$5:$A$328,$A42,$V$5:$V$328)),0),ROUNDUP(O42*POWER(INDEX('建筑总览'!$J$5:$J$25,MATCH($A42,'建筑总览'!$A$5:$A$25,0)),D42),0))</f>
        <v/>
      </c>
      <c r="Y42" s="36">
        <f>IF(P42=0,0,IF(S42&gt;0,P42+W42+IF(D42=F42-1,MAX(0,S42-P42*(F42-1)-SUMIF($A$5:$A$328,$A42,$W$5:$W$328)),0),ROUNDUP(P42*POWER(INDEX('建筑总览'!$J$5:$J$25,MATCH($A42,'建筑总览'!$A$5:$A$25,0)),D42),0)))</f>
        <v/>
      </c>
      <c r="Z42" s="36">
        <f>IF(X42=0,0,MAX(1,ROUNDUP(X42*(1-'参数与公式'!$B$17),0)))</f>
        <v/>
      </c>
      <c r="AA42" s="36">
        <f>IF(Y42=0,0,MAX(1,ROUNDUP(Y42*(1-'参数与公式'!$B$17),0)))</f>
        <v/>
      </c>
      <c r="AB42" s="33" t="inlineStr">
        <is>
          <t>预算模式末级补足余数；旧模式按指数公式</t>
        </is>
      </c>
      <c r="AC42" s="49">
        <f>IF(A42=A41,IFERROR(M42/M41,""),"")</f>
        <v/>
      </c>
      <c r="AD42" s="49">
        <f>IF(AND(A42=A41,X41&gt;0),X42/X41,"")</f>
        <v/>
      </c>
    </row>
    <row r="43" ht="30" customHeight="1">
      <c r="A43" s="33" t="inlineStr">
        <is>
          <t>farm</t>
        </is>
      </c>
      <c r="B43" s="33" t="inlineStr">
        <is>
          <t>农田</t>
        </is>
      </c>
      <c r="C43" s="33" t="inlineStr">
        <is>
          <t>资源生产</t>
        </is>
      </c>
      <c r="D43" s="43" t="n">
        <v>39</v>
      </c>
      <c r="E43" s="36">
        <f>D43+1</f>
        <v/>
      </c>
      <c r="F43" s="43" t="n">
        <v>50</v>
      </c>
      <c r="G43" s="36">
        <f>INDEX('建筑建议总览'!$H$5:$H$25,MATCH($A43,'建筑建议总览'!$A$5:$A$25,0))</f>
        <v/>
      </c>
      <c r="H43" s="44">
        <f>INDEX('建筑建议总览'!$I$5:$I$25,MATCH($A43,'建筑建议总览'!$A$5:$A$25,0))</f>
        <v/>
      </c>
      <c r="I43" s="36">
        <f>INDEX('建筑建议总览'!$J$5:$J$25,MATCH($A43,'建筑建议总览'!$A$5:$A$25,0))</f>
        <v/>
      </c>
      <c r="J43" s="44">
        <f>POWER(H43,D43-1)</f>
        <v/>
      </c>
      <c r="K43" s="44">
        <f>SUMIF($A$5:$A$328,$A43,$J$5:$J$328)</f>
        <v/>
      </c>
      <c r="L43" s="36">
        <f>IF(I43&gt;0,ROUNDDOWN(MAX(0,I43-G43*(F43-1))*J43/K43,0),0)</f>
        <v/>
      </c>
      <c r="M43" s="36">
        <f>IF(I43&gt;0,G43+L43+IF(D43=F43-1,MAX(0,I43-G43*(F43-1)-SUMIF($A$5:$A$328,$A43,$L$5:$L$328)),0),ROUNDUP(G43*POWER(INDEX('建筑总览'!$G$5:$G$25,MATCH($A43,'建筑总览'!$A$5:$A$25,0)),D43),0))</f>
        <v/>
      </c>
      <c r="N43" s="35">
        <f>M43/'参数与公式'!$B$21</f>
        <v/>
      </c>
      <c r="O43" s="36">
        <f>INDEX('建筑建议总览'!$P$5:$P$25,MATCH($A43,'建筑建议总览'!$A$5:$A$25,0))</f>
        <v/>
      </c>
      <c r="P43" s="36">
        <f>INDEX('建筑建议总览'!$Q$5:$Q$25,MATCH($A43,'建筑建议总览'!$A$5:$A$25,0))</f>
        <v/>
      </c>
      <c r="Q43" s="44">
        <f>INDEX('建筑建议总览'!$R$5:$R$25,MATCH($A43,'建筑建议总览'!$A$5:$A$25,0))</f>
        <v/>
      </c>
      <c r="R43" s="36">
        <f>INDEX('建筑建议总览'!$S$5:$S$25,MATCH($A43,'建筑建议总览'!$A$5:$A$25,0))</f>
        <v/>
      </c>
      <c r="S43" s="36">
        <f>INDEX('建筑建议总览'!$T$5:$T$25,MATCH($A43,'建筑建议总览'!$A$5:$A$25,0))</f>
        <v/>
      </c>
      <c r="T43" s="44">
        <f>POWER(Q43,D43-1)</f>
        <v/>
      </c>
      <c r="U43" s="44">
        <f>SUMIF($A$5:$A$328,$A43,$T$5:$T$328)</f>
        <v/>
      </c>
      <c r="V43" s="36">
        <f>IF(R43&gt;0,ROUNDDOWN(MAX(0,R43-O43*(F43-1))*T43/U43,0),0)</f>
        <v/>
      </c>
      <c r="W43" s="36">
        <f>IF(S43&gt;0,ROUNDDOWN(MAX(0,S43-P43*(F43-1))*T43/U43,0),0)</f>
        <v/>
      </c>
      <c r="X43" s="36">
        <f>IF(R43&gt;0,O43+V43+IF(D43=F43-1,MAX(0,R43-O43*(F43-1)-SUMIF($A$5:$A$328,$A43,$V$5:$V$328)),0),ROUNDUP(O43*POWER(INDEX('建筑总览'!$J$5:$J$25,MATCH($A43,'建筑总览'!$A$5:$A$25,0)),D43),0))</f>
        <v/>
      </c>
      <c r="Y43" s="36">
        <f>IF(P43=0,0,IF(S43&gt;0,P43+W43+IF(D43=F43-1,MAX(0,S43-P43*(F43-1)-SUMIF($A$5:$A$328,$A43,$W$5:$W$328)),0),ROUNDUP(P43*POWER(INDEX('建筑总览'!$J$5:$J$25,MATCH($A43,'建筑总览'!$A$5:$A$25,0)),D43),0)))</f>
        <v/>
      </c>
      <c r="Z43" s="36">
        <f>IF(X43=0,0,MAX(1,ROUNDUP(X43*(1-'参数与公式'!$B$17),0)))</f>
        <v/>
      </c>
      <c r="AA43" s="36">
        <f>IF(Y43=0,0,MAX(1,ROUNDUP(Y43*(1-'参数与公式'!$B$17),0)))</f>
        <v/>
      </c>
      <c r="AB43" s="33" t="inlineStr">
        <is>
          <t>预算模式末级补足余数；旧模式按指数公式</t>
        </is>
      </c>
      <c r="AC43" s="49">
        <f>IF(A43=A42,IFERROR(M43/M42,""),"")</f>
        <v/>
      </c>
      <c r="AD43" s="49">
        <f>IF(AND(A43=A42,X42&gt;0),X43/X42,"")</f>
        <v/>
      </c>
    </row>
    <row r="44" ht="30" customHeight="1">
      <c r="A44" s="33" t="inlineStr">
        <is>
          <t>farm</t>
        </is>
      </c>
      <c r="B44" s="33" t="inlineStr">
        <is>
          <t>农田</t>
        </is>
      </c>
      <c r="C44" s="33" t="inlineStr">
        <is>
          <t>资源生产</t>
        </is>
      </c>
      <c r="D44" s="43" t="n">
        <v>40</v>
      </c>
      <c r="E44" s="36">
        <f>D44+1</f>
        <v/>
      </c>
      <c r="F44" s="43" t="n">
        <v>50</v>
      </c>
      <c r="G44" s="36">
        <f>INDEX('建筑建议总览'!$H$5:$H$25,MATCH($A44,'建筑建议总览'!$A$5:$A$25,0))</f>
        <v/>
      </c>
      <c r="H44" s="44">
        <f>INDEX('建筑建议总览'!$I$5:$I$25,MATCH($A44,'建筑建议总览'!$A$5:$A$25,0))</f>
        <v/>
      </c>
      <c r="I44" s="36">
        <f>INDEX('建筑建议总览'!$J$5:$J$25,MATCH($A44,'建筑建议总览'!$A$5:$A$25,0))</f>
        <v/>
      </c>
      <c r="J44" s="44">
        <f>POWER(H44,D44-1)</f>
        <v/>
      </c>
      <c r="K44" s="44">
        <f>SUMIF($A$5:$A$328,$A44,$J$5:$J$328)</f>
        <v/>
      </c>
      <c r="L44" s="36">
        <f>IF(I44&gt;0,ROUNDDOWN(MAX(0,I44-G44*(F44-1))*J44/K44,0),0)</f>
        <v/>
      </c>
      <c r="M44" s="36">
        <f>IF(I44&gt;0,G44+L44+IF(D44=F44-1,MAX(0,I44-G44*(F44-1)-SUMIF($A$5:$A$328,$A44,$L$5:$L$328)),0),ROUNDUP(G44*POWER(INDEX('建筑总览'!$G$5:$G$25,MATCH($A44,'建筑总览'!$A$5:$A$25,0)),D44),0))</f>
        <v/>
      </c>
      <c r="N44" s="35">
        <f>M44/'参数与公式'!$B$21</f>
        <v/>
      </c>
      <c r="O44" s="36">
        <f>INDEX('建筑建议总览'!$P$5:$P$25,MATCH($A44,'建筑建议总览'!$A$5:$A$25,0))</f>
        <v/>
      </c>
      <c r="P44" s="36">
        <f>INDEX('建筑建议总览'!$Q$5:$Q$25,MATCH($A44,'建筑建议总览'!$A$5:$A$25,0))</f>
        <v/>
      </c>
      <c r="Q44" s="44">
        <f>INDEX('建筑建议总览'!$R$5:$R$25,MATCH($A44,'建筑建议总览'!$A$5:$A$25,0))</f>
        <v/>
      </c>
      <c r="R44" s="36">
        <f>INDEX('建筑建议总览'!$S$5:$S$25,MATCH($A44,'建筑建议总览'!$A$5:$A$25,0))</f>
        <v/>
      </c>
      <c r="S44" s="36">
        <f>INDEX('建筑建议总览'!$T$5:$T$25,MATCH($A44,'建筑建议总览'!$A$5:$A$25,0))</f>
        <v/>
      </c>
      <c r="T44" s="44">
        <f>POWER(Q44,D44-1)</f>
        <v/>
      </c>
      <c r="U44" s="44">
        <f>SUMIF($A$5:$A$328,$A44,$T$5:$T$328)</f>
        <v/>
      </c>
      <c r="V44" s="36">
        <f>IF(R44&gt;0,ROUNDDOWN(MAX(0,R44-O44*(F44-1))*T44/U44,0),0)</f>
        <v/>
      </c>
      <c r="W44" s="36">
        <f>IF(S44&gt;0,ROUNDDOWN(MAX(0,S44-P44*(F44-1))*T44/U44,0),0)</f>
        <v/>
      </c>
      <c r="X44" s="36">
        <f>IF(R44&gt;0,O44+V44+IF(D44=F44-1,MAX(0,R44-O44*(F44-1)-SUMIF($A$5:$A$328,$A44,$V$5:$V$328)),0),ROUNDUP(O44*POWER(INDEX('建筑总览'!$J$5:$J$25,MATCH($A44,'建筑总览'!$A$5:$A$25,0)),D44),0))</f>
        <v/>
      </c>
      <c r="Y44" s="36">
        <f>IF(P44=0,0,IF(S44&gt;0,P44+W44+IF(D44=F44-1,MAX(0,S44-P44*(F44-1)-SUMIF($A$5:$A$328,$A44,$W$5:$W$328)),0),ROUNDUP(P44*POWER(INDEX('建筑总览'!$J$5:$J$25,MATCH($A44,'建筑总览'!$A$5:$A$25,0)),D44),0)))</f>
        <v/>
      </c>
      <c r="Z44" s="36">
        <f>IF(X44=0,0,MAX(1,ROUNDUP(X44*(1-'参数与公式'!$B$17),0)))</f>
        <v/>
      </c>
      <c r="AA44" s="36">
        <f>IF(Y44=0,0,MAX(1,ROUNDUP(Y44*(1-'参数与公式'!$B$17),0)))</f>
        <v/>
      </c>
      <c r="AB44" s="33" t="inlineStr">
        <is>
          <t>预算模式末级补足余数；旧模式按指数公式</t>
        </is>
      </c>
      <c r="AC44" s="49">
        <f>IF(A44=A43,IFERROR(M44/M43,""),"")</f>
        <v/>
      </c>
      <c r="AD44" s="49">
        <f>IF(AND(A44=A43,X43&gt;0),X44/X43,"")</f>
        <v/>
      </c>
    </row>
    <row r="45" ht="30" customHeight="1">
      <c r="A45" s="33" t="inlineStr">
        <is>
          <t>farm</t>
        </is>
      </c>
      <c r="B45" s="33" t="inlineStr">
        <is>
          <t>农田</t>
        </is>
      </c>
      <c r="C45" s="33" t="inlineStr">
        <is>
          <t>资源生产</t>
        </is>
      </c>
      <c r="D45" s="43" t="n">
        <v>41</v>
      </c>
      <c r="E45" s="36">
        <f>D45+1</f>
        <v/>
      </c>
      <c r="F45" s="43" t="n">
        <v>50</v>
      </c>
      <c r="G45" s="36">
        <f>INDEX('建筑建议总览'!$H$5:$H$25,MATCH($A45,'建筑建议总览'!$A$5:$A$25,0))</f>
        <v/>
      </c>
      <c r="H45" s="44">
        <f>INDEX('建筑建议总览'!$I$5:$I$25,MATCH($A45,'建筑建议总览'!$A$5:$A$25,0))</f>
        <v/>
      </c>
      <c r="I45" s="36">
        <f>INDEX('建筑建议总览'!$J$5:$J$25,MATCH($A45,'建筑建议总览'!$A$5:$A$25,0))</f>
        <v/>
      </c>
      <c r="J45" s="44">
        <f>POWER(H45,D45-1)</f>
        <v/>
      </c>
      <c r="K45" s="44">
        <f>SUMIF($A$5:$A$328,$A45,$J$5:$J$328)</f>
        <v/>
      </c>
      <c r="L45" s="36">
        <f>IF(I45&gt;0,ROUNDDOWN(MAX(0,I45-G45*(F45-1))*J45/K45,0),0)</f>
        <v/>
      </c>
      <c r="M45" s="36">
        <f>IF(I45&gt;0,G45+L45+IF(D45=F45-1,MAX(0,I45-G45*(F45-1)-SUMIF($A$5:$A$328,$A45,$L$5:$L$328)),0),ROUNDUP(G45*POWER(INDEX('建筑总览'!$G$5:$G$25,MATCH($A45,'建筑总览'!$A$5:$A$25,0)),D45),0))</f>
        <v/>
      </c>
      <c r="N45" s="35">
        <f>M45/'参数与公式'!$B$21</f>
        <v/>
      </c>
      <c r="O45" s="36">
        <f>INDEX('建筑建议总览'!$P$5:$P$25,MATCH($A45,'建筑建议总览'!$A$5:$A$25,0))</f>
        <v/>
      </c>
      <c r="P45" s="36">
        <f>INDEX('建筑建议总览'!$Q$5:$Q$25,MATCH($A45,'建筑建议总览'!$A$5:$A$25,0))</f>
        <v/>
      </c>
      <c r="Q45" s="44">
        <f>INDEX('建筑建议总览'!$R$5:$R$25,MATCH($A45,'建筑建议总览'!$A$5:$A$25,0))</f>
        <v/>
      </c>
      <c r="R45" s="36">
        <f>INDEX('建筑建议总览'!$S$5:$S$25,MATCH($A45,'建筑建议总览'!$A$5:$A$25,0))</f>
        <v/>
      </c>
      <c r="S45" s="36">
        <f>INDEX('建筑建议总览'!$T$5:$T$25,MATCH($A45,'建筑建议总览'!$A$5:$A$25,0))</f>
        <v/>
      </c>
      <c r="T45" s="44">
        <f>POWER(Q45,D45-1)</f>
        <v/>
      </c>
      <c r="U45" s="44">
        <f>SUMIF($A$5:$A$328,$A45,$T$5:$T$328)</f>
        <v/>
      </c>
      <c r="V45" s="36">
        <f>IF(R45&gt;0,ROUNDDOWN(MAX(0,R45-O45*(F45-1))*T45/U45,0),0)</f>
        <v/>
      </c>
      <c r="W45" s="36">
        <f>IF(S45&gt;0,ROUNDDOWN(MAX(0,S45-P45*(F45-1))*T45/U45,0),0)</f>
        <v/>
      </c>
      <c r="X45" s="36">
        <f>IF(R45&gt;0,O45+V45+IF(D45=F45-1,MAX(0,R45-O45*(F45-1)-SUMIF($A$5:$A$328,$A45,$V$5:$V$328)),0),ROUNDUP(O45*POWER(INDEX('建筑总览'!$J$5:$J$25,MATCH($A45,'建筑总览'!$A$5:$A$25,0)),D45),0))</f>
        <v/>
      </c>
      <c r="Y45" s="36">
        <f>IF(P45=0,0,IF(S45&gt;0,P45+W45+IF(D45=F45-1,MAX(0,S45-P45*(F45-1)-SUMIF($A$5:$A$328,$A45,$W$5:$W$328)),0),ROUNDUP(P45*POWER(INDEX('建筑总览'!$J$5:$J$25,MATCH($A45,'建筑总览'!$A$5:$A$25,0)),D45),0)))</f>
        <v/>
      </c>
      <c r="Z45" s="36">
        <f>IF(X45=0,0,MAX(1,ROUNDUP(X45*(1-'参数与公式'!$B$17),0)))</f>
        <v/>
      </c>
      <c r="AA45" s="36">
        <f>IF(Y45=0,0,MAX(1,ROUNDUP(Y45*(1-'参数与公式'!$B$17),0)))</f>
        <v/>
      </c>
      <c r="AB45" s="33" t="inlineStr">
        <is>
          <t>预算模式末级补足余数；旧模式按指数公式</t>
        </is>
      </c>
      <c r="AC45" s="49">
        <f>IF(A45=A44,IFERROR(M45/M44,""),"")</f>
        <v/>
      </c>
      <c r="AD45" s="49">
        <f>IF(AND(A45=A44,X44&gt;0),X45/X44,"")</f>
        <v/>
      </c>
    </row>
    <row r="46" ht="30" customHeight="1">
      <c r="A46" s="33" t="inlineStr">
        <is>
          <t>farm</t>
        </is>
      </c>
      <c r="B46" s="33" t="inlineStr">
        <is>
          <t>农田</t>
        </is>
      </c>
      <c r="C46" s="33" t="inlineStr">
        <is>
          <t>资源生产</t>
        </is>
      </c>
      <c r="D46" s="43" t="n">
        <v>42</v>
      </c>
      <c r="E46" s="36">
        <f>D46+1</f>
        <v/>
      </c>
      <c r="F46" s="43" t="n">
        <v>50</v>
      </c>
      <c r="G46" s="36">
        <f>INDEX('建筑建议总览'!$H$5:$H$25,MATCH($A46,'建筑建议总览'!$A$5:$A$25,0))</f>
        <v/>
      </c>
      <c r="H46" s="44">
        <f>INDEX('建筑建议总览'!$I$5:$I$25,MATCH($A46,'建筑建议总览'!$A$5:$A$25,0))</f>
        <v/>
      </c>
      <c r="I46" s="36">
        <f>INDEX('建筑建议总览'!$J$5:$J$25,MATCH($A46,'建筑建议总览'!$A$5:$A$25,0))</f>
        <v/>
      </c>
      <c r="J46" s="44">
        <f>POWER(H46,D46-1)</f>
        <v/>
      </c>
      <c r="K46" s="44">
        <f>SUMIF($A$5:$A$328,$A46,$J$5:$J$328)</f>
        <v/>
      </c>
      <c r="L46" s="36">
        <f>IF(I46&gt;0,ROUNDDOWN(MAX(0,I46-G46*(F46-1))*J46/K46,0),0)</f>
        <v/>
      </c>
      <c r="M46" s="36">
        <f>IF(I46&gt;0,G46+L46+IF(D46=F46-1,MAX(0,I46-G46*(F46-1)-SUMIF($A$5:$A$328,$A46,$L$5:$L$328)),0),ROUNDUP(G46*POWER(INDEX('建筑总览'!$G$5:$G$25,MATCH($A46,'建筑总览'!$A$5:$A$25,0)),D46),0))</f>
        <v/>
      </c>
      <c r="N46" s="35">
        <f>M46/'参数与公式'!$B$21</f>
        <v/>
      </c>
      <c r="O46" s="36">
        <f>INDEX('建筑建议总览'!$P$5:$P$25,MATCH($A46,'建筑建议总览'!$A$5:$A$25,0))</f>
        <v/>
      </c>
      <c r="P46" s="36">
        <f>INDEX('建筑建议总览'!$Q$5:$Q$25,MATCH($A46,'建筑建议总览'!$A$5:$A$25,0))</f>
        <v/>
      </c>
      <c r="Q46" s="44">
        <f>INDEX('建筑建议总览'!$R$5:$R$25,MATCH($A46,'建筑建议总览'!$A$5:$A$25,0))</f>
        <v/>
      </c>
      <c r="R46" s="36">
        <f>INDEX('建筑建议总览'!$S$5:$S$25,MATCH($A46,'建筑建议总览'!$A$5:$A$25,0))</f>
        <v/>
      </c>
      <c r="S46" s="36">
        <f>INDEX('建筑建议总览'!$T$5:$T$25,MATCH($A46,'建筑建议总览'!$A$5:$A$25,0))</f>
        <v/>
      </c>
      <c r="T46" s="44">
        <f>POWER(Q46,D46-1)</f>
        <v/>
      </c>
      <c r="U46" s="44">
        <f>SUMIF($A$5:$A$328,$A46,$T$5:$T$328)</f>
        <v/>
      </c>
      <c r="V46" s="36">
        <f>IF(R46&gt;0,ROUNDDOWN(MAX(0,R46-O46*(F46-1))*T46/U46,0),0)</f>
        <v/>
      </c>
      <c r="W46" s="36">
        <f>IF(S46&gt;0,ROUNDDOWN(MAX(0,S46-P46*(F46-1))*T46/U46,0),0)</f>
        <v/>
      </c>
      <c r="X46" s="36">
        <f>IF(R46&gt;0,O46+V46+IF(D46=F46-1,MAX(0,R46-O46*(F46-1)-SUMIF($A$5:$A$328,$A46,$V$5:$V$328)),0),ROUNDUP(O46*POWER(INDEX('建筑总览'!$J$5:$J$25,MATCH($A46,'建筑总览'!$A$5:$A$25,0)),D46),0))</f>
        <v/>
      </c>
      <c r="Y46" s="36">
        <f>IF(P46=0,0,IF(S46&gt;0,P46+W46+IF(D46=F46-1,MAX(0,S46-P46*(F46-1)-SUMIF($A$5:$A$328,$A46,$W$5:$W$328)),0),ROUNDUP(P46*POWER(INDEX('建筑总览'!$J$5:$J$25,MATCH($A46,'建筑总览'!$A$5:$A$25,0)),D46),0)))</f>
        <v/>
      </c>
      <c r="Z46" s="36">
        <f>IF(X46=0,0,MAX(1,ROUNDUP(X46*(1-'参数与公式'!$B$17),0)))</f>
        <v/>
      </c>
      <c r="AA46" s="36">
        <f>IF(Y46=0,0,MAX(1,ROUNDUP(Y46*(1-'参数与公式'!$B$17),0)))</f>
        <v/>
      </c>
      <c r="AB46" s="33" t="inlineStr">
        <is>
          <t>预算模式末级补足余数；旧模式按指数公式</t>
        </is>
      </c>
      <c r="AC46" s="49">
        <f>IF(A46=A45,IFERROR(M46/M45,""),"")</f>
        <v/>
      </c>
      <c r="AD46" s="49">
        <f>IF(AND(A46=A45,X45&gt;0),X46/X45,"")</f>
        <v/>
      </c>
    </row>
    <row r="47" ht="30" customHeight="1">
      <c r="A47" s="33" t="inlineStr">
        <is>
          <t>farm</t>
        </is>
      </c>
      <c r="B47" s="33" t="inlineStr">
        <is>
          <t>农田</t>
        </is>
      </c>
      <c r="C47" s="33" t="inlineStr">
        <is>
          <t>资源生产</t>
        </is>
      </c>
      <c r="D47" s="43" t="n">
        <v>43</v>
      </c>
      <c r="E47" s="36">
        <f>D47+1</f>
        <v/>
      </c>
      <c r="F47" s="43" t="n">
        <v>50</v>
      </c>
      <c r="G47" s="36">
        <f>INDEX('建筑建议总览'!$H$5:$H$25,MATCH($A47,'建筑建议总览'!$A$5:$A$25,0))</f>
        <v/>
      </c>
      <c r="H47" s="44">
        <f>INDEX('建筑建议总览'!$I$5:$I$25,MATCH($A47,'建筑建议总览'!$A$5:$A$25,0))</f>
        <v/>
      </c>
      <c r="I47" s="36">
        <f>INDEX('建筑建议总览'!$J$5:$J$25,MATCH($A47,'建筑建议总览'!$A$5:$A$25,0))</f>
        <v/>
      </c>
      <c r="J47" s="44">
        <f>POWER(H47,D47-1)</f>
        <v/>
      </c>
      <c r="K47" s="44">
        <f>SUMIF($A$5:$A$328,$A47,$J$5:$J$328)</f>
        <v/>
      </c>
      <c r="L47" s="36">
        <f>IF(I47&gt;0,ROUNDDOWN(MAX(0,I47-G47*(F47-1))*J47/K47,0),0)</f>
        <v/>
      </c>
      <c r="M47" s="36">
        <f>IF(I47&gt;0,G47+L47+IF(D47=F47-1,MAX(0,I47-G47*(F47-1)-SUMIF($A$5:$A$328,$A47,$L$5:$L$328)),0),ROUNDUP(G47*POWER(INDEX('建筑总览'!$G$5:$G$25,MATCH($A47,'建筑总览'!$A$5:$A$25,0)),D47),0))</f>
        <v/>
      </c>
      <c r="N47" s="35">
        <f>M47/'参数与公式'!$B$21</f>
        <v/>
      </c>
      <c r="O47" s="36">
        <f>INDEX('建筑建议总览'!$P$5:$P$25,MATCH($A47,'建筑建议总览'!$A$5:$A$25,0))</f>
        <v/>
      </c>
      <c r="P47" s="36">
        <f>INDEX('建筑建议总览'!$Q$5:$Q$25,MATCH($A47,'建筑建议总览'!$A$5:$A$25,0))</f>
        <v/>
      </c>
      <c r="Q47" s="44">
        <f>INDEX('建筑建议总览'!$R$5:$R$25,MATCH($A47,'建筑建议总览'!$A$5:$A$25,0))</f>
        <v/>
      </c>
      <c r="R47" s="36">
        <f>INDEX('建筑建议总览'!$S$5:$S$25,MATCH($A47,'建筑建议总览'!$A$5:$A$25,0))</f>
        <v/>
      </c>
      <c r="S47" s="36">
        <f>INDEX('建筑建议总览'!$T$5:$T$25,MATCH($A47,'建筑建议总览'!$A$5:$A$25,0))</f>
        <v/>
      </c>
      <c r="T47" s="44">
        <f>POWER(Q47,D47-1)</f>
        <v/>
      </c>
      <c r="U47" s="44">
        <f>SUMIF($A$5:$A$328,$A47,$T$5:$T$328)</f>
        <v/>
      </c>
      <c r="V47" s="36">
        <f>IF(R47&gt;0,ROUNDDOWN(MAX(0,R47-O47*(F47-1))*T47/U47,0),0)</f>
        <v/>
      </c>
      <c r="W47" s="36">
        <f>IF(S47&gt;0,ROUNDDOWN(MAX(0,S47-P47*(F47-1))*T47/U47,0),0)</f>
        <v/>
      </c>
      <c r="X47" s="36">
        <f>IF(R47&gt;0,O47+V47+IF(D47=F47-1,MAX(0,R47-O47*(F47-1)-SUMIF($A$5:$A$328,$A47,$V$5:$V$328)),0),ROUNDUP(O47*POWER(INDEX('建筑总览'!$J$5:$J$25,MATCH($A47,'建筑总览'!$A$5:$A$25,0)),D47),0))</f>
        <v/>
      </c>
      <c r="Y47" s="36">
        <f>IF(P47=0,0,IF(S47&gt;0,P47+W47+IF(D47=F47-1,MAX(0,S47-P47*(F47-1)-SUMIF($A$5:$A$328,$A47,$W$5:$W$328)),0),ROUNDUP(P47*POWER(INDEX('建筑总览'!$J$5:$J$25,MATCH($A47,'建筑总览'!$A$5:$A$25,0)),D47),0)))</f>
        <v/>
      </c>
      <c r="Z47" s="36">
        <f>IF(X47=0,0,MAX(1,ROUNDUP(X47*(1-'参数与公式'!$B$17),0)))</f>
        <v/>
      </c>
      <c r="AA47" s="36">
        <f>IF(Y47=0,0,MAX(1,ROUNDUP(Y47*(1-'参数与公式'!$B$17),0)))</f>
        <v/>
      </c>
      <c r="AB47" s="33" t="inlineStr">
        <is>
          <t>预算模式末级补足余数；旧模式按指数公式</t>
        </is>
      </c>
      <c r="AC47" s="49">
        <f>IF(A47=A46,IFERROR(M47/M46,""),"")</f>
        <v/>
      </c>
      <c r="AD47" s="49">
        <f>IF(AND(A47=A46,X46&gt;0),X47/X46,"")</f>
        <v/>
      </c>
    </row>
    <row r="48" ht="30" customHeight="1">
      <c r="A48" s="33" t="inlineStr">
        <is>
          <t>farm</t>
        </is>
      </c>
      <c r="B48" s="33" t="inlineStr">
        <is>
          <t>农田</t>
        </is>
      </c>
      <c r="C48" s="33" t="inlineStr">
        <is>
          <t>资源生产</t>
        </is>
      </c>
      <c r="D48" s="43" t="n">
        <v>44</v>
      </c>
      <c r="E48" s="36">
        <f>D48+1</f>
        <v/>
      </c>
      <c r="F48" s="43" t="n">
        <v>50</v>
      </c>
      <c r="G48" s="36">
        <f>INDEX('建筑建议总览'!$H$5:$H$25,MATCH($A48,'建筑建议总览'!$A$5:$A$25,0))</f>
        <v/>
      </c>
      <c r="H48" s="44">
        <f>INDEX('建筑建议总览'!$I$5:$I$25,MATCH($A48,'建筑建议总览'!$A$5:$A$25,0))</f>
        <v/>
      </c>
      <c r="I48" s="36">
        <f>INDEX('建筑建议总览'!$J$5:$J$25,MATCH($A48,'建筑建议总览'!$A$5:$A$25,0))</f>
        <v/>
      </c>
      <c r="J48" s="44">
        <f>POWER(H48,D48-1)</f>
        <v/>
      </c>
      <c r="K48" s="44">
        <f>SUMIF($A$5:$A$328,$A48,$J$5:$J$328)</f>
        <v/>
      </c>
      <c r="L48" s="36">
        <f>IF(I48&gt;0,ROUNDDOWN(MAX(0,I48-G48*(F48-1))*J48/K48,0),0)</f>
        <v/>
      </c>
      <c r="M48" s="36">
        <f>IF(I48&gt;0,G48+L48+IF(D48=F48-1,MAX(0,I48-G48*(F48-1)-SUMIF($A$5:$A$328,$A48,$L$5:$L$328)),0),ROUNDUP(G48*POWER(INDEX('建筑总览'!$G$5:$G$25,MATCH($A48,'建筑总览'!$A$5:$A$25,0)),D48),0))</f>
        <v/>
      </c>
      <c r="N48" s="35">
        <f>M48/'参数与公式'!$B$21</f>
        <v/>
      </c>
      <c r="O48" s="36">
        <f>INDEX('建筑建议总览'!$P$5:$P$25,MATCH($A48,'建筑建议总览'!$A$5:$A$25,0))</f>
        <v/>
      </c>
      <c r="P48" s="36">
        <f>INDEX('建筑建议总览'!$Q$5:$Q$25,MATCH($A48,'建筑建议总览'!$A$5:$A$25,0))</f>
        <v/>
      </c>
      <c r="Q48" s="44">
        <f>INDEX('建筑建议总览'!$R$5:$R$25,MATCH($A48,'建筑建议总览'!$A$5:$A$25,0))</f>
        <v/>
      </c>
      <c r="R48" s="36">
        <f>INDEX('建筑建议总览'!$S$5:$S$25,MATCH($A48,'建筑建议总览'!$A$5:$A$25,0))</f>
        <v/>
      </c>
      <c r="S48" s="36">
        <f>INDEX('建筑建议总览'!$T$5:$T$25,MATCH($A48,'建筑建议总览'!$A$5:$A$25,0))</f>
        <v/>
      </c>
      <c r="T48" s="44">
        <f>POWER(Q48,D48-1)</f>
        <v/>
      </c>
      <c r="U48" s="44">
        <f>SUMIF($A$5:$A$328,$A48,$T$5:$T$328)</f>
        <v/>
      </c>
      <c r="V48" s="36">
        <f>IF(R48&gt;0,ROUNDDOWN(MAX(0,R48-O48*(F48-1))*T48/U48,0),0)</f>
        <v/>
      </c>
      <c r="W48" s="36">
        <f>IF(S48&gt;0,ROUNDDOWN(MAX(0,S48-P48*(F48-1))*T48/U48,0),0)</f>
        <v/>
      </c>
      <c r="X48" s="36">
        <f>IF(R48&gt;0,O48+V48+IF(D48=F48-1,MAX(0,R48-O48*(F48-1)-SUMIF($A$5:$A$328,$A48,$V$5:$V$328)),0),ROUNDUP(O48*POWER(INDEX('建筑总览'!$J$5:$J$25,MATCH($A48,'建筑总览'!$A$5:$A$25,0)),D48),0))</f>
        <v/>
      </c>
      <c r="Y48" s="36">
        <f>IF(P48=0,0,IF(S48&gt;0,P48+W48+IF(D48=F48-1,MAX(0,S48-P48*(F48-1)-SUMIF($A$5:$A$328,$A48,$W$5:$W$328)),0),ROUNDUP(P48*POWER(INDEX('建筑总览'!$J$5:$J$25,MATCH($A48,'建筑总览'!$A$5:$A$25,0)),D48),0)))</f>
        <v/>
      </c>
      <c r="Z48" s="36">
        <f>IF(X48=0,0,MAX(1,ROUNDUP(X48*(1-'参数与公式'!$B$17),0)))</f>
        <v/>
      </c>
      <c r="AA48" s="36">
        <f>IF(Y48=0,0,MAX(1,ROUNDUP(Y48*(1-'参数与公式'!$B$17),0)))</f>
        <v/>
      </c>
      <c r="AB48" s="33" t="inlineStr">
        <is>
          <t>预算模式末级补足余数；旧模式按指数公式</t>
        </is>
      </c>
      <c r="AC48" s="49">
        <f>IF(A48=A47,IFERROR(M48/M47,""),"")</f>
        <v/>
      </c>
      <c r="AD48" s="49">
        <f>IF(AND(A48=A47,X47&gt;0),X48/X47,"")</f>
        <v/>
      </c>
    </row>
    <row r="49" ht="30" customHeight="1">
      <c r="A49" s="33" t="inlineStr">
        <is>
          <t>farm</t>
        </is>
      </c>
      <c r="B49" s="33" t="inlineStr">
        <is>
          <t>农田</t>
        </is>
      </c>
      <c r="C49" s="33" t="inlineStr">
        <is>
          <t>资源生产</t>
        </is>
      </c>
      <c r="D49" s="43" t="n">
        <v>45</v>
      </c>
      <c r="E49" s="36">
        <f>D49+1</f>
        <v/>
      </c>
      <c r="F49" s="43" t="n">
        <v>50</v>
      </c>
      <c r="G49" s="36">
        <f>INDEX('建筑建议总览'!$H$5:$H$25,MATCH($A49,'建筑建议总览'!$A$5:$A$25,0))</f>
        <v/>
      </c>
      <c r="H49" s="44">
        <f>INDEX('建筑建议总览'!$I$5:$I$25,MATCH($A49,'建筑建议总览'!$A$5:$A$25,0))</f>
        <v/>
      </c>
      <c r="I49" s="36">
        <f>INDEX('建筑建议总览'!$J$5:$J$25,MATCH($A49,'建筑建议总览'!$A$5:$A$25,0))</f>
        <v/>
      </c>
      <c r="J49" s="44">
        <f>POWER(H49,D49-1)</f>
        <v/>
      </c>
      <c r="K49" s="44">
        <f>SUMIF($A$5:$A$328,$A49,$J$5:$J$328)</f>
        <v/>
      </c>
      <c r="L49" s="36">
        <f>IF(I49&gt;0,ROUNDDOWN(MAX(0,I49-G49*(F49-1))*J49/K49,0),0)</f>
        <v/>
      </c>
      <c r="M49" s="36">
        <f>IF(I49&gt;0,G49+L49+IF(D49=F49-1,MAX(0,I49-G49*(F49-1)-SUMIF($A$5:$A$328,$A49,$L$5:$L$328)),0),ROUNDUP(G49*POWER(INDEX('建筑总览'!$G$5:$G$25,MATCH($A49,'建筑总览'!$A$5:$A$25,0)),D49),0))</f>
        <v/>
      </c>
      <c r="N49" s="35">
        <f>M49/'参数与公式'!$B$21</f>
        <v/>
      </c>
      <c r="O49" s="36">
        <f>INDEX('建筑建议总览'!$P$5:$P$25,MATCH($A49,'建筑建议总览'!$A$5:$A$25,0))</f>
        <v/>
      </c>
      <c r="P49" s="36">
        <f>INDEX('建筑建议总览'!$Q$5:$Q$25,MATCH($A49,'建筑建议总览'!$A$5:$A$25,0))</f>
        <v/>
      </c>
      <c r="Q49" s="44">
        <f>INDEX('建筑建议总览'!$R$5:$R$25,MATCH($A49,'建筑建议总览'!$A$5:$A$25,0))</f>
        <v/>
      </c>
      <c r="R49" s="36">
        <f>INDEX('建筑建议总览'!$S$5:$S$25,MATCH($A49,'建筑建议总览'!$A$5:$A$25,0))</f>
        <v/>
      </c>
      <c r="S49" s="36">
        <f>INDEX('建筑建议总览'!$T$5:$T$25,MATCH($A49,'建筑建议总览'!$A$5:$A$25,0))</f>
        <v/>
      </c>
      <c r="T49" s="44">
        <f>POWER(Q49,D49-1)</f>
        <v/>
      </c>
      <c r="U49" s="44">
        <f>SUMIF($A$5:$A$328,$A49,$T$5:$T$328)</f>
        <v/>
      </c>
      <c r="V49" s="36">
        <f>IF(R49&gt;0,ROUNDDOWN(MAX(0,R49-O49*(F49-1))*T49/U49,0),0)</f>
        <v/>
      </c>
      <c r="W49" s="36">
        <f>IF(S49&gt;0,ROUNDDOWN(MAX(0,S49-P49*(F49-1))*T49/U49,0),0)</f>
        <v/>
      </c>
      <c r="X49" s="36">
        <f>IF(R49&gt;0,O49+V49+IF(D49=F49-1,MAX(0,R49-O49*(F49-1)-SUMIF($A$5:$A$328,$A49,$V$5:$V$328)),0),ROUNDUP(O49*POWER(INDEX('建筑总览'!$J$5:$J$25,MATCH($A49,'建筑总览'!$A$5:$A$25,0)),D49),0))</f>
        <v/>
      </c>
      <c r="Y49" s="36">
        <f>IF(P49=0,0,IF(S49&gt;0,P49+W49+IF(D49=F49-1,MAX(0,S49-P49*(F49-1)-SUMIF($A$5:$A$328,$A49,$W$5:$W$328)),0),ROUNDUP(P49*POWER(INDEX('建筑总览'!$J$5:$J$25,MATCH($A49,'建筑总览'!$A$5:$A$25,0)),D49),0)))</f>
        <v/>
      </c>
      <c r="Z49" s="36">
        <f>IF(X49=0,0,MAX(1,ROUNDUP(X49*(1-'参数与公式'!$B$17),0)))</f>
        <v/>
      </c>
      <c r="AA49" s="36">
        <f>IF(Y49=0,0,MAX(1,ROUNDUP(Y49*(1-'参数与公式'!$B$17),0)))</f>
        <v/>
      </c>
      <c r="AB49" s="33" t="inlineStr">
        <is>
          <t>预算模式末级补足余数；旧模式按指数公式</t>
        </is>
      </c>
      <c r="AC49" s="49">
        <f>IF(A49=A48,IFERROR(M49/M48,""),"")</f>
        <v/>
      </c>
      <c r="AD49" s="49">
        <f>IF(AND(A49=A48,X48&gt;0),X49/X48,"")</f>
        <v/>
      </c>
    </row>
    <row r="50" ht="30" customHeight="1">
      <c r="A50" s="33" t="inlineStr">
        <is>
          <t>farm</t>
        </is>
      </c>
      <c r="B50" s="33" t="inlineStr">
        <is>
          <t>农田</t>
        </is>
      </c>
      <c r="C50" s="33" t="inlineStr">
        <is>
          <t>资源生产</t>
        </is>
      </c>
      <c r="D50" s="43" t="n">
        <v>46</v>
      </c>
      <c r="E50" s="36">
        <f>D50+1</f>
        <v/>
      </c>
      <c r="F50" s="43" t="n">
        <v>50</v>
      </c>
      <c r="G50" s="36">
        <f>INDEX('建筑建议总览'!$H$5:$H$25,MATCH($A50,'建筑建议总览'!$A$5:$A$25,0))</f>
        <v/>
      </c>
      <c r="H50" s="44">
        <f>INDEX('建筑建议总览'!$I$5:$I$25,MATCH($A50,'建筑建议总览'!$A$5:$A$25,0))</f>
        <v/>
      </c>
      <c r="I50" s="36">
        <f>INDEX('建筑建议总览'!$J$5:$J$25,MATCH($A50,'建筑建议总览'!$A$5:$A$25,0))</f>
        <v/>
      </c>
      <c r="J50" s="44">
        <f>POWER(H50,D50-1)</f>
        <v/>
      </c>
      <c r="K50" s="44">
        <f>SUMIF($A$5:$A$328,$A50,$J$5:$J$328)</f>
        <v/>
      </c>
      <c r="L50" s="36">
        <f>IF(I50&gt;0,ROUNDDOWN(MAX(0,I50-G50*(F50-1))*J50/K50,0),0)</f>
        <v/>
      </c>
      <c r="M50" s="36">
        <f>IF(I50&gt;0,G50+L50+IF(D50=F50-1,MAX(0,I50-G50*(F50-1)-SUMIF($A$5:$A$328,$A50,$L$5:$L$328)),0),ROUNDUP(G50*POWER(INDEX('建筑总览'!$G$5:$G$25,MATCH($A50,'建筑总览'!$A$5:$A$25,0)),D50),0))</f>
        <v/>
      </c>
      <c r="N50" s="35">
        <f>M50/'参数与公式'!$B$21</f>
        <v/>
      </c>
      <c r="O50" s="36">
        <f>INDEX('建筑建议总览'!$P$5:$P$25,MATCH($A50,'建筑建议总览'!$A$5:$A$25,0))</f>
        <v/>
      </c>
      <c r="P50" s="36">
        <f>INDEX('建筑建议总览'!$Q$5:$Q$25,MATCH($A50,'建筑建议总览'!$A$5:$A$25,0))</f>
        <v/>
      </c>
      <c r="Q50" s="44">
        <f>INDEX('建筑建议总览'!$R$5:$R$25,MATCH($A50,'建筑建议总览'!$A$5:$A$25,0))</f>
        <v/>
      </c>
      <c r="R50" s="36">
        <f>INDEX('建筑建议总览'!$S$5:$S$25,MATCH($A50,'建筑建议总览'!$A$5:$A$25,0))</f>
        <v/>
      </c>
      <c r="S50" s="36">
        <f>INDEX('建筑建议总览'!$T$5:$T$25,MATCH($A50,'建筑建议总览'!$A$5:$A$25,0))</f>
        <v/>
      </c>
      <c r="T50" s="44">
        <f>POWER(Q50,D50-1)</f>
        <v/>
      </c>
      <c r="U50" s="44">
        <f>SUMIF($A$5:$A$328,$A50,$T$5:$T$328)</f>
        <v/>
      </c>
      <c r="V50" s="36">
        <f>IF(R50&gt;0,ROUNDDOWN(MAX(0,R50-O50*(F50-1))*T50/U50,0),0)</f>
        <v/>
      </c>
      <c r="W50" s="36">
        <f>IF(S50&gt;0,ROUNDDOWN(MAX(0,S50-P50*(F50-1))*T50/U50,0),0)</f>
        <v/>
      </c>
      <c r="X50" s="36">
        <f>IF(R50&gt;0,O50+V50+IF(D50=F50-1,MAX(0,R50-O50*(F50-1)-SUMIF($A$5:$A$328,$A50,$V$5:$V$328)),0),ROUNDUP(O50*POWER(INDEX('建筑总览'!$J$5:$J$25,MATCH($A50,'建筑总览'!$A$5:$A$25,0)),D50),0))</f>
        <v/>
      </c>
      <c r="Y50" s="36">
        <f>IF(P50=0,0,IF(S50&gt;0,P50+W50+IF(D50=F50-1,MAX(0,S50-P50*(F50-1)-SUMIF($A$5:$A$328,$A50,$W$5:$W$328)),0),ROUNDUP(P50*POWER(INDEX('建筑总览'!$J$5:$J$25,MATCH($A50,'建筑总览'!$A$5:$A$25,0)),D50),0)))</f>
        <v/>
      </c>
      <c r="Z50" s="36">
        <f>IF(X50=0,0,MAX(1,ROUNDUP(X50*(1-'参数与公式'!$B$17),0)))</f>
        <v/>
      </c>
      <c r="AA50" s="36">
        <f>IF(Y50=0,0,MAX(1,ROUNDUP(Y50*(1-'参数与公式'!$B$17),0)))</f>
        <v/>
      </c>
      <c r="AB50" s="33" t="inlineStr">
        <is>
          <t>预算模式末级补足余数；旧模式按指数公式</t>
        </is>
      </c>
      <c r="AC50" s="49">
        <f>IF(A50=A49,IFERROR(M50/M49,""),"")</f>
        <v/>
      </c>
      <c r="AD50" s="49">
        <f>IF(AND(A50=A49,X49&gt;0),X50/X49,"")</f>
        <v/>
      </c>
    </row>
    <row r="51" ht="30" customHeight="1">
      <c r="A51" s="33" t="inlineStr">
        <is>
          <t>farm</t>
        </is>
      </c>
      <c r="B51" s="33" t="inlineStr">
        <is>
          <t>农田</t>
        </is>
      </c>
      <c r="C51" s="33" t="inlineStr">
        <is>
          <t>资源生产</t>
        </is>
      </c>
      <c r="D51" s="43" t="n">
        <v>47</v>
      </c>
      <c r="E51" s="36">
        <f>D51+1</f>
        <v/>
      </c>
      <c r="F51" s="43" t="n">
        <v>50</v>
      </c>
      <c r="G51" s="36">
        <f>INDEX('建筑建议总览'!$H$5:$H$25,MATCH($A51,'建筑建议总览'!$A$5:$A$25,0))</f>
        <v/>
      </c>
      <c r="H51" s="44">
        <f>INDEX('建筑建议总览'!$I$5:$I$25,MATCH($A51,'建筑建议总览'!$A$5:$A$25,0))</f>
        <v/>
      </c>
      <c r="I51" s="36">
        <f>INDEX('建筑建议总览'!$J$5:$J$25,MATCH($A51,'建筑建议总览'!$A$5:$A$25,0))</f>
        <v/>
      </c>
      <c r="J51" s="44">
        <f>POWER(H51,D51-1)</f>
        <v/>
      </c>
      <c r="K51" s="44">
        <f>SUMIF($A$5:$A$328,$A51,$J$5:$J$328)</f>
        <v/>
      </c>
      <c r="L51" s="36">
        <f>IF(I51&gt;0,ROUNDDOWN(MAX(0,I51-G51*(F51-1))*J51/K51,0),0)</f>
        <v/>
      </c>
      <c r="M51" s="36">
        <f>IF(I51&gt;0,G51+L51+IF(D51=F51-1,MAX(0,I51-G51*(F51-1)-SUMIF($A$5:$A$328,$A51,$L$5:$L$328)),0),ROUNDUP(G51*POWER(INDEX('建筑总览'!$G$5:$G$25,MATCH($A51,'建筑总览'!$A$5:$A$25,0)),D51),0))</f>
        <v/>
      </c>
      <c r="N51" s="35">
        <f>M51/'参数与公式'!$B$21</f>
        <v/>
      </c>
      <c r="O51" s="36">
        <f>INDEX('建筑建议总览'!$P$5:$P$25,MATCH($A51,'建筑建议总览'!$A$5:$A$25,0))</f>
        <v/>
      </c>
      <c r="P51" s="36">
        <f>INDEX('建筑建议总览'!$Q$5:$Q$25,MATCH($A51,'建筑建议总览'!$A$5:$A$25,0))</f>
        <v/>
      </c>
      <c r="Q51" s="44">
        <f>INDEX('建筑建议总览'!$R$5:$R$25,MATCH($A51,'建筑建议总览'!$A$5:$A$25,0))</f>
        <v/>
      </c>
      <c r="R51" s="36">
        <f>INDEX('建筑建议总览'!$S$5:$S$25,MATCH($A51,'建筑建议总览'!$A$5:$A$25,0))</f>
        <v/>
      </c>
      <c r="S51" s="36">
        <f>INDEX('建筑建议总览'!$T$5:$T$25,MATCH($A51,'建筑建议总览'!$A$5:$A$25,0))</f>
        <v/>
      </c>
      <c r="T51" s="44">
        <f>POWER(Q51,D51-1)</f>
        <v/>
      </c>
      <c r="U51" s="44">
        <f>SUMIF($A$5:$A$328,$A51,$T$5:$T$328)</f>
        <v/>
      </c>
      <c r="V51" s="36">
        <f>IF(R51&gt;0,ROUNDDOWN(MAX(0,R51-O51*(F51-1))*T51/U51,0),0)</f>
        <v/>
      </c>
      <c r="W51" s="36">
        <f>IF(S51&gt;0,ROUNDDOWN(MAX(0,S51-P51*(F51-1))*T51/U51,0),0)</f>
        <v/>
      </c>
      <c r="X51" s="36">
        <f>IF(R51&gt;0,O51+V51+IF(D51=F51-1,MAX(0,R51-O51*(F51-1)-SUMIF($A$5:$A$328,$A51,$V$5:$V$328)),0),ROUNDUP(O51*POWER(INDEX('建筑总览'!$J$5:$J$25,MATCH($A51,'建筑总览'!$A$5:$A$25,0)),D51),0))</f>
        <v/>
      </c>
      <c r="Y51" s="36">
        <f>IF(P51=0,0,IF(S51&gt;0,P51+W51+IF(D51=F51-1,MAX(0,S51-P51*(F51-1)-SUMIF($A$5:$A$328,$A51,$W$5:$W$328)),0),ROUNDUP(P51*POWER(INDEX('建筑总览'!$J$5:$J$25,MATCH($A51,'建筑总览'!$A$5:$A$25,0)),D51),0)))</f>
        <v/>
      </c>
      <c r="Z51" s="36">
        <f>IF(X51=0,0,MAX(1,ROUNDUP(X51*(1-'参数与公式'!$B$17),0)))</f>
        <v/>
      </c>
      <c r="AA51" s="36">
        <f>IF(Y51=0,0,MAX(1,ROUNDUP(Y51*(1-'参数与公式'!$B$17),0)))</f>
        <v/>
      </c>
      <c r="AB51" s="33" t="inlineStr">
        <is>
          <t>预算模式末级补足余数；旧模式按指数公式</t>
        </is>
      </c>
      <c r="AC51" s="49">
        <f>IF(A51=A50,IFERROR(M51/M50,""),"")</f>
        <v/>
      </c>
      <c r="AD51" s="49">
        <f>IF(AND(A51=A50,X50&gt;0),X51/X50,"")</f>
        <v/>
      </c>
    </row>
    <row r="52" ht="30" customHeight="1">
      <c r="A52" s="33" t="inlineStr">
        <is>
          <t>farm</t>
        </is>
      </c>
      <c r="B52" s="33" t="inlineStr">
        <is>
          <t>农田</t>
        </is>
      </c>
      <c r="C52" s="33" t="inlineStr">
        <is>
          <t>资源生产</t>
        </is>
      </c>
      <c r="D52" s="43" t="n">
        <v>48</v>
      </c>
      <c r="E52" s="36">
        <f>D52+1</f>
        <v/>
      </c>
      <c r="F52" s="43" t="n">
        <v>50</v>
      </c>
      <c r="G52" s="36">
        <f>INDEX('建筑建议总览'!$H$5:$H$25,MATCH($A52,'建筑建议总览'!$A$5:$A$25,0))</f>
        <v/>
      </c>
      <c r="H52" s="44">
        <f>INDEX('建筑建议总览'!$I$5:$I$25,MATCH($A52,'建筑建议总览'!$A$5:$A$25,0))</f>
        <v/>
      </c>
      <c r="I52" s="36">
        <f>INDEX('建筑建议总览'!$J$5:$J$25,MATCH($A52,'建筑建议总览'!$A$5:$A$25,0))</f>
        <v/>
      </c>
      <c r="J52" s="44">
        <f>POWER(H52,D52-1)</f>
        <v/>
      </c>
      <c r="K52" s="44">
        <f>SUMIF($A$5:$A$328,$A52,$J$5:$J$328)</f>
        <v/>
      </c>
      <c r="L52" s="36">
        <f>IF(I52&gt;0,ROUNDDOWN(MAX(0,I52-G52*(F52-1))*J52/K52,0),0)</f>
        <v/>
      </c>
      <c r="M52" s="36">
        <f>IF(I52&gt;0,G52+L52+IF(D52=F52-1,MAX(0,I52-G52*(F52-1)-SUMIF($A$5:$A$328,$A52,$L$5:$L$328)),0),ROUNDUP(G52*POWER(INDEX('建筑总览'!$G$5:$G$25,MATCH($A52,'建筑总览'!$A$5:$A$25,0)),D52),0))</f>
        <v/>
      </c>
      <c r="N52" s="35">
        <f>M52/'参数与公式'!$B$21</f>
        <v/>
      </c>
      <c r="O52" s="36">
        <f>INDEX('建筑建议总览'!$P$5:$P$25,MATCH($A52,'建筑建议总览'!$A$5:$A$25,0))</f>
        <v/>
      </c>
      <c r="P52" s="36">
        <f>INDEX('建筑建议总览'!$Q$5:$Q$25,MATCH($A52,'建筑建议总览'!$A$5:$A$25,0))</f>
        <v/>
      </c>
      <c r="Q52" s="44">
        <f>INDEX('建筑建议总览'!$R$5:$R$25,MATCH($A52,'建筑建议总览'!$A$5:$A$25,0))</f>
        <v/>
      </c>
      <c r="R52" s="36">
        <f>INDEX('建筑建议总览'!$S$5:$S$25,MATCH($A52,'建筑建议总览'!$A$5:$A$25,0))</f>
        <v/>
      </c>
      <c r="S52" s="36">
        <f>INDEX('建筑建议总览'!$T$5:$T$25,MATCH($A52,'建筑建议总览'!$A$5:$A$25,0))</f>
        <v/>
      </c>
      <c r="T52" s="44">
        <f>POWER(Q52,D52-1)</f>
        <v/>
      </c>
      <c r="U52" s="44">
        <f>SUMIF($A$5:$A$328,$A52,$T$5:$T$328)</f>
        <v/>
      </c>
      <c r="V52" s="36">
        <f>IF(R52&gt;0,ROUNDDOWN(MAX(0,R52-O52*(F52-1))*T52/U52,0),0)</f>
        <v/>
      </c>
      <c r="W52" s="36">
        <f>IF(S52&gt;0,ROUNDDOWN(MAX(0,S52-P52*(F52-1))*T52/U52,0),0)</f>
        <v/>
      </c>
      <c r="X52" s="36">
        <f>IF(R52&gt;0,O52+V52+IF(D52=F52-1,MAX(0,R52-O52*(F52-1)-SUMIF($A$5:$A$328,$A52,$V$5:$V$328)),0),ROUNDUP(O52*POWER(INDEX('建筑总览'!$J$5:$J$25,MATCH($A52,'建筑总览'!$A$5:$A$25,0)),D52),0))</f>
        <v/>
      </c>
      <c r="Y52" s="36">
        <f>IF(P52=0,0,IF(S52&gt;0,P52+W52+IF(D52=F52-1,MAX(0,S52-P52*(F52-1)-SUMIF($A$5:$A$328,$A52,$W$5:$W$328)),0),ROUNDUP(P52*POWER(INDEX('建筑总览'!$J$5:$J$25,MATCH($A52,'建筑总览'!$A$5:$A$25,0)),D52),0)))</f>
        <v/>
      </c>
      <c r="Z52" s="36">
        <f>IF(X52=0,0,MAX(1,ROUNDUP(X52*(1-'参数与公式'!$B$17),0)))</f>
        <v/>
      </c>
      <c r="AA52" s="36">
        <f>IF(Y52=0,0,MAX(1,ROUNDUP(Y52*(1-'参数与公式'!$B$17),0)))</f>
        <v/>
      </c>
      <c r="AB52" s="33" t="inlineStr">
        <is>
          <t>预算模式末级补足余数；旧模式按指数公式</t>
        </is>
      </c>
      <c r="AC52" s="49">
        <f>IF(A52=A51,IFERROR(M52/M51,""),"")</f>
        <v/>
      </c>
      <c r="AD52" s="49">
        <f>IF(AND(A52=A51,X51&gt;0),X52/X51,"")</f>
        <v/>
      </c>
    </row>
    <row r="53" ht="30" customHeight="1">
      <c r="A53" s="33" t="inlineStr">
        <is>
          <t>farm</t>
        </is>
      </c>
      <c r="B53" s="33" t="inlineStr">
        <is>
          <t>农田</t>
        </is>
      </c>
      <c r="C53" s="33" t="inlineStr">
        <is>
          <t>资源生产</t>
        </is>
      </c>
      <c r="D53" s="43" t="n">
        <v>49</v>
      </c>
      <c r="E53" s="36">
        <f>D53+1</f>
        <v/>
      </c>
      <c r="F53" s="43" t="n">
        <v>50</v>
      </c>
      <c r="G53" s="36">
        <f>INDEX('建筑建议总览'!$H$5:$H$25,MATCH($A53,'建筑建议总览'!$A$5:$A$25,0))</f>
        <v/>
      </c>
      <c r="H53" s="44">
        <f>INDEX('建筑建议总览'!$I$5:$I$25,MATCH($A53,'建筑建议总览'!$A$5:$A$25,0))</f>
        <v/>
      </c>
      <c r="I53" s="36">
        <f>INDEX('建筑建议总览'!$J$5:$J$25,MATCH($A53,'建筑建议总览'!$A$5:$A$25,0))</f>
        <v/>
      </c>
      <c r="J53" s="44">
        <f>POWER(H53,D53-1)</f>
        <v/>
      </c>
      <c r="K53" s="44">
        <f>SUMIF($A$5:$A$328,$A53,$J$5:$J$328)</f>
        <v/>
      </c>
      <c r="L53" s="36">
        <f>IF(I53&gt;0,ROUNDDOWN(MAX(0,I53-G53*(F53-1))*J53/K53,0),0)</f>
        <v/>
      </c>
      <c r="M53" s="36">
        <f>IF(I53&gt;0,G53+L53+IF(D53=F53-1,MAX(0,I53-G53*(F53-1)-SUMIF($A$5:$A$328,$A53,$L$5:$L$328)),0),ROUNDUP(G53*POWER(INDEX('建筑总览'!$G$5:$G$25,MATCH($A53,'建筑总览'!$A$5:$A$25,0)),D53),0))</f>
        <v/>
      </c>
      <c r="N53" s="35">
        <f>M53/'参数与公式'!$B$21</f>
        <v/>
      </c>
      <c r="O53" s="36">
        <f>INDEX('建筑建议总览'!$P$5:$P$25,MATCH($A53,'建筑建议总览'!$A$5:$A$25,0))</f>
        <v/>
      </c>
      <c r="P53" s="36">
        <f>INDEX('建筑建议总览'!$Q$5:$Q$25,MATCH($A53,'建筑建议总览'!$A$5:$A$25,0))</f>
        <v/>
      </c>
      <c r="Q53" s="44">
        <f>INDEX('建筑建议总览'!$R$5:$R$25,MATCH($A53,'建筑建议总览'!$A$5:$A$25,0))</f>
        <v/>
      </c>
      <c r="R53" s="36">
        <f>INDEX('建筑建议总览'!$S$5:$S$25,MATCH($A53,'建筑建议总览'!$A$5:$A$25,0))</f>
        <v/>
      </c>
      <c r="S53" s="36">
        <f>INDEX('建筑建议总览'!$T$5:$T$25,MATCH($A53,'建筑建议总览'!$A$5:$A$25,0))</f>
        <v/>
      </c>
      <c r="T53" s="44">
        <f>POWER(Q53,D53-1)</f>
        <v/>
      </c>
      <c r="U53" s="44">
        <f>SUMIF($A$5:$A$328,$A53,$T$5:$T$328)</f>
        <v/>
      </c>
      <c r="V53" s="36">
        <f>IF(R53&gt;0,ROUNDDOWN(MAX(0,R53-O53*(F53-1))*T53/U53,0),0)</f>
        <v/>
      </c>
      <c r="W53" s="36">
        <f>IF(S53&gt;0,ROUNDDOWN(MAX(0,S53-P53*(F53-1))*T53/U53,0),0)</f>
        <v/>
      </c>
      <c r="X53" s="36">
        <f>IF(R53&gt;0,O53+V53+IF(D53=F53-1,MAX(0,R53-O53*(F53-1)-SUMIF($A$5:$A$328,$A53,$V$5:$V$328)),0),ROUNDUP(O53*POWER(INDEX('建筑总览'!$J$5:$J$25,MATCH($A53,'建筑总览'!$A$5:$A$25,0)),D53),0))</f>
        <v/>
      </c>
      <c r="Y53" s="36">
        <f>IF(P53=0,0,IF(S53&gt;0,P53+W53+IF(D53=F53-1,MAX(0,S53-P53*(F53-1)-SUMIF($A$5:$A$328,$A53,$W$5:$W$328)),0),ROUNDUP(P53*POWER(INDEX('建筑总览'!$J$5:$J$25,MATCH($A53,'建筑总览'!$A$5:$A$25,0)),D53),0)))</f>
        <v/>
      </c>
      <c r="Z53" s="36">
        <f>IF(X53=0,0,MAX(1,ROUNDUP(X53*(1-'参数与公式'!$B$17),0)))</f>
        <v/>
      </c>
      <c r="AA53" s="36">
        <f>IF(Y53=0,0,MAX(1,ROUNDUP(Y53*(1-'参数与公式'!$B$17),0)))</f>
        <v/>
      </c>
      <c r="AB53" s="33" t="inlineStr">
        <is>
          <t>预算模式末级补足余数；旧模式按指数公式</t>
        </is>
      </c>
      <c r="AC53" s="49">
        <f>IF(A53=A52,IFERROR(M53/M52,""),"")</f>
        <v/>
      </c>
      <c r="AD53" s="49">
        <f>IF(AND(A53=A52,X52&gt;0),X53/X52,"")</f>
        <v/>
      </c>
    </row>
    <row r="54" ht="30" customHeight="1">
      <c r="A54" s="33" t="inlineStr">
        <is>
          <t>tax_office</t>
        </is>
      </c>
      <c r="B54" s="33" t="inlineStr">
        <is>
          <t>税务司</t>
        </is>
      </c>
      <c r="C54" s="33" t="inlineStr">
        <is>
          <t>资源生产</t>
        </is>
      </c>
      <c r="D54" s="43" t="n">
        <v>1</v>
      </c>
      <c r="E54" s="36">
        <f>D54+1</f>
        <v/>
      </c>
      <c r="F54" s="43" t="n">
        <v>30</v>
      </c>
      <c r="G54" s="36">
        <f>INDEX('建筑建议总览'!$H$5:$H$25,MATCH($A54,'建筑建议总览'!$A$5:$A$25,0))</f>
        <v/>
      </c>
      <c r="H54" s="44">
        <f>INDEX('建筑建议总览'!$I$5:$I$25,MATCH($A54,'建筑建议总览'!$A$5:$A$25,0))</f>
        <v/>
      </c>
      <c r="I54" s="36">
        <f>INDEX('建筑建议总览'!$J$5:$J$25,MATCH($A54,'建筑建议总览'!$A$5:$A$25,0))</f>
        <v/>
      </c>
      <c r="J54" s="44">
        <f>POWER(H54,D54-1)</f>
        <v/>
      </c>
      <c r="K54" s="44">
        <f>SUMIF($A$5:$A$328,$A54,$J$5:$J$328)</f>
        <v/>
      </c>
      <c r="L54" s="36">
        <f>IF(I54&gt;0,ROUNDDOWN(MAX(0,I54-G54*(F54-1))*J54/K54,0),0)</f>
        <v/>
      </c>
      <c r="M54" s="36">
        <f>IF(I54&gt;0,G54+L54+IF(D54=F54-1,MAX(0,I54-G54*(F54-1)-SUMIF($A$5:$A$328,$A54,$L$5:$L$328)),0),ROUNDUP(G54*POWER(INDEX('建筑总览'!$G$5:$G$25,MATCH($A54,'建筑总览'!$A$5:$A$25,0)),D54),0))</f>
        <v/>
      </c>
      <c r="N54" s="35">
        <f>M54/'参数与公式'!$B$21</f>
        <v/>
      </c>
      <c r="O54" s="36">
        <f>INDEX('建筑建议总览'!$P$5:$P$25,MATCH($A54,'建筑建议总览'!$A$5:$A$25,0))</f>
        <v/>
      </c>
      <c r="P54" s="36">
        <f>INDEX('建筑建议总览'!$Q$5:$Q$25,MATCH($A54,'建筑建议总览'!$A$5:$A$25,0))</f>
        <v/>
      </c>
      <c r="Q54" s="44">
        <f>INDEX('建筑建议总览'!$R$5:$R$25,MATCH($A54,'建筑建议总览'!$A$5:$A$25,0))</f>
        <v/>
      </c>
      <c r="R54" s="36">
        <f>INDEX('建筑建议总览'!$S$5:$S$25,MATCH($A54,'建筑建议总览'!$A$5:$A$25,0))</f>
        <v/>
      </c>
      <c r="S54" s="36">
        <f>INDEX('建筑建议总览'!$T$5:$T$25,MATCH($A54,'建筑建议总览'!$A$5:$A$25,0))</f>
        <v/>
      </c>
      <c r="T54" s="44">
        <f>POWER(Q54,D54-1)</f>
        <v/>
      </c>
      <c r="U54" s="44">
        <f>SUMIF($A$5:$A$328,$A54,$T$5:$T$328)</f>
        <v/>
      </c>
      <c r="V54" s="36">
        <f>IF(R54&gt;0,ROUNDDOWN(MAX(0,R54-O54*(F54-1))*T54/U54,0),0)</f>
        <v/>
      </c>
      <c r="W54" s="36">
        <f>IF(S54&gt;0,ROUNDDOWN(MAX(0,S54-P54*(F54-1))*T54/U54,0),0)</f>
        <v/>
      </c>
      <c r="X54" s="36">
        <f>IF(R54&gt;0,O54+V54+IF(D54=F54-1,MAX(0,R54-O54*(F54-1)-SUMIF($A$5:$A$328,$A54,$V$5:$V$328)),0),ROUNDUP(O54*POWER(INDEX('建筑总览'!$J$5:$J$25,MATCH($A54,'建筑总览'!$A$5:$A$25,0)),D54),0))</f>
        <v/>
      </c>
      <c r="Y54" s="36">
        <f>IF(P54=0,0,IF(S54&gt;0,P54+W54+IF(D54=F54-1,MAX(0,S54-P54*(F54-1)-SUMIF($A$5:$A$328,$A54,$W$5:$W$328)),0),ROUNDUP(P54*POWER(INDEX('建筑总览'!$J$5:$J$25,MATCH($A54,'建筑总览'!$A$5:$A$25,0)),D54),0)))</f>
        <v/>
      </c>
      <c r="Z54" s="36">
        <f>IF(X54=0,0,MAX(1,ROUNDUP(X54*(1-'参数与公式'!$B$17),0)))</f>
        <v/>
      </c>
      <c r="AA54" s="36">
        <f>IF(Y54=0,0,MAX(1,ROUNDUP(Y54*(1-'参数与公式'!$B$17),0)))</f>
        <v/>
      </c>
      <c r="AB54" s="33" t="inlineStr">
        <is>
          <t>预算模式末级补足余数；旧模式按指数公式</t>
        </is>
      </c>
      <c r="AC54" s="49">
        <f>IF(A54=A53,IFERROR(M54/M53,""),"")</f>
        <v/>
      </c>
      <c r="AD54" s="49">
        <f>IF(AND(A54=A53,X53&gt;0),X54/X53,"")</f>
        <v/>
      </c>
    </row>
    <row r="55" ht="30" customHeight="1">
      <c r="A55" s="33" t="inlineStr">
        <is>
          <t>tax_office</t>
        </is>
      </c>
      <c r="B55" s="33" t="inlineStr">
        <is>
          <t>税务司</t>
        </is>
      </c>
      <c r="C55" s="33" t="inlineStr">
        <is>
          <t>资源生产</t>
        </is>
      </c>
      <c r="D55" s="43" t="n">
        <v>2</v>
      </c>
      <c r="E55" s="36">
        <f>D55+1</f>
        <v/>
      </c>
      <c r="F55" s="43" t="n">
        <v>30</v>
      </c>
      <c r="G55" s="36">
        <f>INDEX('建筑建议总览'!$H$5:$H$25,MATCH($A55,'建筑建议总览'!$A$5:$A$25,0))</f>
        <v/>
      </c>
      <c r="H55" s="44">
        <f>INDEX('建筑建议总览'!$I$5:$I$25,MATCH($A55,'建筑建议总览'!$A$5:$A$25,0))</f>
        <v/>
      </c>
      <c r="I55" s="36">
        <f>INDEX('建筑建议总览'!$J$5:$J$25,MATCH($A55,'建筑建议总览'!$A$5:$A$25,0))</f>
        <v/>
      </c>
      <c r="J55" s="44">
        <f>POWER(H55,D55-1)</f>
        <v/>
      </c>
      <c r="K55" s="44">
        <f>SUMIF($A$5:$A$328,$A55,$J$5:$J$328)</f>
        <v/>
      </c>
      <c r="L55" s="36">
        <f>IF(I55&gt;0,ROUNDDOWN(MAX(0,I55-G55*(F55-1))*J55/K55,0),0)</f>
        <v/>
      </c>
      <c r="M55" s="36">
        <f>IF(I55&gt;0,G55+L55+IF(D55=F55-1,MAX(0,I55-G55*(F55-1)-SUMIF($A$5:$A$328,$A55,$L$5:$L$328)),0),ROUNDUP(G55*POWER(INDEX('建筑总览'!$G$5:$G$25,MATCH($A55,'建筑总览'!$A$5:$A$25,0)),D55),0))</f>
        <v/>
      </c>
      <c r="N55" s="35">
        <f>M55/'参数与公式'!$B$21</f>
        <v/>
      </c>
      <c r="O55" s="36">
        <f>INDEX('建筑建议总览'!$P$5:$P$25,MATCH($A55,'建筑建议总览'!$A$5:$A$25,0))</f>
        <v/>
      </c>
      <c r="P55" s="36">
        <f>INDEX('建筑建议总览'!$Q$5:$Q$25,MATCH($A55,'建筑建议总览'!$A$5:$A$25,0))</f>
        <v/>
      </c>
      <c r="Q55" s="44">
        <f>INDEX('建筑建议总览'!$R$5:$R$25,MATCH($A55,'建筑建议总览'!$A$5:$A$25,0))</f>
        <v/>
      </c>
      <c r="R55" s="36">
        <f>INDEX('建筑建议总览'!$S$5:$S$25,MATCH($A55,'建筑建议总览'!$A$5:$A$25,0))</f>
        <v/>
      </c>
      <c r="S55" s="36">
        <f>INDEX('建筑建议总览'!$T$5:$T$25,MATCH($A55,'建筑建议总览'!$A$5:$A$25,0))</f>
        <v/>
      </c>
      <c r="T55" s="44">
        <f>POWER(Q55,D55-1)</f>
        <v/>
      </c>
      <c r="U55" s="44">
        <f>SUMIF($A$5:$A$328,$A55,$T$5:$T$328)</f>
        <v/>
      </c>
      <c r="V55" s="36">
        <f>IF(R55&gt;0,ROUNDDOWN(MAX(0,R55-O55*(F55-1))*T55/U55,0),0)</f>
        <v/>
      </c>
      <c r="W55" s="36">
        <f>IF(S55&gt;0,ROUNDDOWN(MAX(0,S55-P55*(F55-1))*T55/U55,0),0)</f>
        <v/>
      </c>
      <c r="X55" s="36">
        <f>IF(R55&gt;0,O55+V55+IF(D55=F55-1,MAX(0,R55-O55*(F55-1)-SUMIF($A$5:$A$328,$A55,$V$5:$V$328)),0),ROUNDUP(O55*POWER(INDEX('建筑总览'!$J$5:$J$25,MATCH($A55,'建筑总览'!$A$5:$A$25,0)),D55),0))</f>
        <v/>
      </c>
      <c r="Y55" s="36">
        <f>IF(P55=0,0,IF(S55&gt;0,P55+W55+IF(D55=F55-1,MAX(0,S55-P55*(F55-1)-SUMIF($A$5:$A$328,$A55,$W$5:$W$328)),0),ROUNDUP(P55*POWER(INDEX('建筑总览'!$J$5:$J$25,MATCH($A55,'建筑总览'!$A$5:$A$25,0)),D55),0)))</f>
        <v/>
      </c>
      <c r="Z55" s="36">
        <f>IF(X55=0,0,MAX(1,ROUNDUP(X55*(1-'参数与公式'!$B$17),0)))</f>
        <v/>
      </c>
      <c r="AA55" s="36">
        <f>IF(Y55=0,0,MAX(1,ROUNDUP(Y55*(1-'参数与公式'!$B$17),0)))</f>
        <v/>
      </c>
      <c r="AB55" s="33" t="inlineStr">
        <is>
          <t>预算模式末级补足余数；旧模式按指数公式</t>
        </is>
      </c>
      <c r="AC55" s="49">
        <f>IF(A55=A54,IFERROR(M55/M54,""),"")</f>
        <v/>
      </c>
      <c r="AD55" s="49">
        <f>IF(AND(A55=A54,X54&gt;0),X55/X54,"")</f>
        <v/>
      </c>
    </row>
    <row r="56" ht="30" customHeight="1">
      <c r="A56" s="33" t="inlineStr">
        <is>
          <t>tax_office</t>
        </is>
      </c>
      <c r="B56" s="33" t="inlineStr">
        <is>
          <t>税务司</t>
        </is>
      </c>
      <c r="C56" s="33" t="inlineStr">
        <is>
          <t>资源生产</t>
        </is>
      </c>
      <c r="D56" s="43" t="n">
        <v>3</v>
      </c>
      <c r="E56" s="36">
        <f>D56+1</f>
        <v/>
      </c>
      <c r="F56" s="43" t="n">
        <v>30</v>
      </c>
      <c r="G56" s="36">
        <f>INDEX('建筑建议总览'!$H$5:$H$25,MATCH($A56,'建筑建议总览'!$A$5:$A$25,0))</f>
        <v/>
      </c>
      <c r="H56" s="44">
        <f>INDEX('建筑建议总览'!$I$5:$I$25,MATCH($A56,'建筑建议总览'!$A$5:$A$25,0))</f>
        <v/>
      </c>
      <c r="I56" s="36">
        <f>INDEX('建筑建议总览'!$J$5:$J$25,MATCH($A56,'建筑建议总览'!$A$5:$A$25,0))</f>
        <v/>
      </c>
      <c r="J56" s="44">
        <f>POWER(H56,D56-1)</f>
        <v/>
      </c>
      <c r="K56" s="44">
        <f>SUMIF($A$5:$A$328,$A56,$J$5:$J$328)</f>
        <v/>
      </c>
      <c r="L56" s="36">
        <f>IF(I56&gt;0,ROUNDDOWN(MAX(0,I56-G56*(F56-1))*J56/K56,0),0)</f>
        <v/>
      </c>
      <c r="M56" s="36">
        <f>IF(I56&gt;0,G56+L56+IF(D56=F56-1,MAX(0,I56-G56*(F56-1)-SUMIF($A$5:$A$328,$A56,$L$5:$L$328)),0),ROUNDUP(G56*POWER(INDEX('建筑总览'!$G$5:$G$25,MATCH($A56,'建筑总览'!$A$5:$A$25,0)),D56),0))</f>
        <v/>
      </c>
      <c r="N56" s="35">
        <f>M56/'参数与公式'!$B$21</f>
        <v/>
      </c>
      <c r="O56" s="36">
        <f>INDEX('建筑建议总览'!$P$5:$P$25,MATCH($A56,'建筑建议总览'!$A$5:$A$25,0))</f>
        <v/>
      </c>
      <c r="P56" s="36">
        <f>INDEX('建筑建议总览'!$Q$5:$Q$25,MATCH($A56,'建筑建议总览'!$A$5:$A$25,0))</f>
        <v/>
      </c>
      <c r="Q56" s="44">
        <f>INDEX('建筑建议总览'!$R$5:$R$25,MATCH($A56,'建筑建议总览'!$A$5:$A$25,0))</f>
        <v/>
      </c>
      <c r="R56" s="36">
        <f>INDEX('建筑建议总览'!$S$5:$S$25,MATCH($A56,'建筑建议总览'!$A$5:$A$25,0))</f>
        <v/>
      </c>
      <c r="S56" s="36">
        <f>INDEX('建筑建议总览'!$T$5:$T$25,MATCH($A56,'建筑建议总览'!$A$5:$A$25,0))</f>
        <v/>
      </c>
      <c r="T56" s="44">
        <f>POWER(Q56,D56-1)</f>
        <v/>
      </c>
      <c r="U56" s="44">
        <f>SUMIF($A$5:$A$328,$A56,$T$5:$T$328)</f>
        <v/>
      </c>
      <c r="V56" s="36">
        <f>IF(R56&gt;0,ROUNDDOWN(MAX(0,R56-O56*(F56-1))*T56/U56,0),0)</f>
        <v/>
      </c>
      <c r="W56" s="36">
        <f>IF(S56&gt;0,ROUNDDOWN(MAX(0,S56-P56*(F56-1))*T56/U56,0),0)</f>
        <v/>
      </c>
      <c r="X56" s="36">
        <f>IF(R56&gt;0,O56+V56+IF(D56=F56-1,MAX(0,R56-O56*(F56-1)-SUMIF($A$5:$A$328,$A56,$V$5:$V$328)),0),ROUNDUP(O56*POWER(INDEX('建筑总览'!$J$5:$J$25,MATCH($A56,'建筑总览'!$A$5:$A$25,0)),D56),0))</f>
        <v/>
      </c>
      <c r="Y56" s="36">
        <f>IF(P56=0,0,IF(S56&gt;0,P56+W56+IF(D56=F56-1,MAX(0,S56-P56*(F56-1)-SUMIF($A$5:$A$328,$A56,$W$5:$W$328)),0),ROUNDUP(P56*POWER(INDEX('建筑总览'!$J$5:$J$25,MATCH($A56,'建筑总览'!$A$5:$A$25,0)),D56),0)))</f>
        <v/>
      </c>
      <c r="Z56" s="36">
        <f>IF(X56=0,0,MAX(1,ROUNDUP(X56*(1-'参数与公式'!$B$17),0)))</f>
        <v/>
      </c>
      <c r="AA56" s="36">
        <f>IF(Y56=0,0,MAX(1,ROUNDUP(Y56*(1-'参数与公式'!$B$17),0)))</f>
        <v/>
      </c>
      <c r="AB56" s="33" t="inlineStr">
        <is>
          <t>预算模式末级补足余数；旧模式按指数公式</t>
        </is>
      </c>
      <c r="AC56" s="49">
        <f>IF(A56=A55,IFERROR(M56/M55,""),"")</f>
        <v/>
      </c>
      <c r="AD56" s="49">
        <f>IF(AND(A56=A55,X55&gt;0),X56/X55,"")</f>
        <v/>
      </c>
    </row>
    <row r="57" ht="30" customHeight="1">
      <c r="A57" s="33" t="inlineStr">
        <is>
          <t>tax_office</t>
        </is>
      </c>
      <c r="B57" s="33" t="inlineStr">
        <is>
          <t>税务司</t>
        </is>
      </c>
      <c r="C57" s="33" t="inlineStr">
        <is>
          <t>资源生产</t>
        </is>
      </c>
      <c r="D57" s="43" t="n">
        <v>4</v>
      </c>
      <c r="E57" s="36">
        <f>D57+1</f>
        <v/>
      </c>
      <c r="F57" s="43" t="n">
        <v>30</v>
      </c>
      <c r="G57" s="36">
        <f>INDEX('建筑建议总览'!$H$5:$H$25,MATCH($A57,'建筑建议总览'!$A$5:$A$25,0))</f>
        <v/>
      </c>
      <c r="H57" s="44">
        <f>INDEX('建筑建议总览'!$I$5:$I$25,MATCH($A57,'建筑建议总览'!$A$5:$A$25,0))</f>
        <v/>
      </c>
      <c r="I57" s="36">
        <f>INDEX('建筑建议总览'!$J$5:$J$25,MATCH($A57,'建筑建议总览'!$A$5:$A$25,0))</f>
        <v/>
      </c>
      <c r="J57" s="44">
        <f>POWER(H57,D57-1)</f>
        <v/>
      </c>
      <c r="K57" s="44">
        <f>SUMIF($A$5:$A$328,$A57,$J$5:$J$328)</f>
        <v/>
      </c>
      <c r="L57" s="36">
        <f>IF(I57&gt;0,ROUNDDOWN(MAX(0,I57-G57*(F57-1))*J57/K57,0),0)</f>
        <v/>
      </c>
      <c r="M57" s="36">
        <f>IF(I57&gt;0,G57+L57+IF(D57=F57-1,MAX(0,I57-G57*(F57-1)-SUMIF($A$5:$A$328,$A57,$L$5:$L$328)),0),ROUNDUP(G57*POWER(INDEX('建筑总览'!$G$5:$G$25,MATCH($A57,'建筑总览'!$A$5:$A$25,0)),D57),0))</f>
        <v/>
      </c>
      <c r="N57" s="35">
        <f>M57/'参数与公式'!$B$21</f>
        <v/>
      </c>
      <c r="O57" s="36">
        <f>INDEX('建筑建议总览'!$P$5:$P$25,MATCH($A57,'建筑建议总览'!$A$5:$A$25,0))</f>
        <v/>
      </c>
      <c r="P57" s="36">
        <f>INDEX('建筑建议总览'!$Q$5:$Q$25,MATCH($A57,'建筑建议总览'!$A$5:$A$25,0))</f>
        <v/>
      </c>
      <c r="Q57" s="44">
        <f>INDEX('建筑建议总览'!$R$5:$R$25,MATCH($A57,'建筑建议总览'!$A$5:$A$25,0))</f>
        <v/>
      </c>
      <c r="R57" s="36">
        <f>INDEX('建筑建议总览'!$S$5:$S$25,MATCH($A57,'建筑建议总览'!$A$5:$A$25,0))</f>
        <v/>
      </c>
      <c r="S57" s="36">
        <f>INDEX('建筑建议总览'!$T$5:$T$25,MATCH($A57,'建筑建议总览'!$A$5:$A$25,0))</f>
        <v/>
      </c>
      <c r="T57" s="44">
        <f>POWER(Q57,D57-1)</f>
        <v/>
      </c>
      <c r="U57" s="44">
        <f>SUMIF($A$5:$A$328,$A57,$T$5:$T$328)</f>
        <v/>
      </c>
      <c r="V57" s="36">
        <f>IF(R57&gt;0,ROUNDDOWN(MAX(0,R57-O57*(F57-1))*T57/U57,0),0)</f>
        <v/>
      </c>
      <c r="W57" s="36">
        <f>IF(S57&gt;0,ROUNDDOWN(MAX(0,S57-P57*(F57-1))*T57/U57,0),0)</f>
        <v/>
      </c>
      <c r="X57" s="36">
        <f>IF(R57&gt;0,O57+V57+IF(D57=F57-1,MAX(0,R57-O57*(F57-1)-SUMIF($A$5:$A$328,$A57,$V$5:$V$328)),0),ROUNDUP(O57*POWER(INDEX('建筑总览'!$J$5:$J$25,MATCH($A57,'建筑总览'!$A$5:$A$25,0)),D57),0))</f>
        <v/>
      </c>
      <c r="Y57" s="36">
        <f>IF(P57=0,0,IF(S57&gt;0,P57+W57+IF(D57=F57-1,MAX(0,S57-P57*(F57-1)-SUMIF($A$5:$A$328,$A57,$W$5:$W$328)),0),ROUNDUP(P57*POWER(INDEX('建筑总览'!$J$5:$J$25,MATCH($A57,'建筑总览'!$A$5:$A$25,0)),D57),0)))</f>
        <v/>
      </c>
      <c r="Z57" s="36">
        <f>IF(X57=0,0,MAX(1,ROUNDUP(X57*(1-'参数与公式'!$B$17),0)))</f>
        <v/>
      </c>
      <c r="AA57" s="36">
        <f>IF(Y57=0,0,MAX(1,ROUNDUP(Y57*(1-'参数与公式'!$B$17),0)))</f>
        <v/>
      </c>
      <c r="AB57" s="33" t="inlineStr">
        <is>
          <t>预算模式末级补足余数；旧模式按指数公式</t>
        </is>
      </c>
      <c r="AC57" s="49">
        <f>IF(A57=A56,IFERROR(M57/M56,""),"")</f>
        <v/>
      </c>
      <c r="AD57" s="49">
        <f>IF(AND(A57=A56,X56&gt;0),X57/X56,"")</f>
        <v/>
      </c>
    </row>
    <row r="58" ht="30" customHeight="1">
      <c r="A58" s="33" t="inlineStr">
        <is>
          <t>tax_office</t>
        </is>
      </c>
      <c r="B58" s="33" t="inlineStr">
        <is>
          <t>税务司</t>
        </is>
      </c>
      <c r="C58" s="33" t="inlineStr">
        <is>
          <t>资源生产</t>
        </is>
      </c>
      <c r="D58" s="43" t="n">
        <v>5</v>
      </c>
      <c r="E58" s="36">
        <f>D58+1</f>
        <v/>
      </c>
      <c r="F58" s="43" t="n">
        <v>30</v>
      </c>
      <c r="G58" s="36">
        <f>INDEX('建筑建议总览'!$H$5:$H$25,MATCH($A58,'建筑建议总览'!$A$5:$A$25,0))</f>
        <v/>
      </c>
      <c r="H58" s="44">
        <f>INDEX('建筑建议总览'!$I$5:$I$25,MATCH($A58,'建筑建议总览'!$A$5:$A$25,0))</f>
        <v/>
      </c>
      <c r="I58" s="36">
        <f>INDEX('建筑建议总览'!$J$5:$J$25,MATCH($A58,'建筑建议总览'!$A$5:$A$25,0))</f>
        <v/>
      </c>
      <c r="J58" s="44">
        <f>POWER(H58,D58-1)</f>
        <v/>
      </c>
      <c r="K58" s="44">
        <f>SUMIF($A$5:$A$328,$A58,$J$5:$J$328)</f>
        <v/>
      </c>
      <c r="L58" s="36">
        <f>IF(I58&gt;0,ROUNDDOWN(MAX(0,I58-G58*(F58-1))*J58/K58,0),0)</f>
        <v/>
      </c>
      <c r="M58" s="36">
        <f>IF(I58&gt;0,G58+L58+IF(D58=F58-1,MAX(0,I58-G58*(F58-1)-SUMIF($A$5:$A$328,$A58,$L$5:$L$328)),0),ROUNDUP(G58*POWER(INDEX('建筑总览'!$G$5:$G$25,MATCH($A58,'建筑总览'!$A$5:$A$25,0)),D58),0))</f>
        <v/>
      </c>
      <c r="N58" s="35">
        <f>M58/'参数与公式'!$B$21</f>
        <v/>
      </c>
      <c r="O58" s="36">
        <f>INDEX('建筑建议总览'!$P$5:$P$25,MATCH($A58,'建筑建议总览'!$A$5:$A$25,0))</f>
        <v/>
      </c>
      <c r="P58" s="36">
        <f>INDEX('建筑建议总览'!$Q$5:$Q$25,MATCH($A58,'建筑建议总览'!$A$5:$A$25,0))</f>
        <v/>
      </c>
      <c r="Q58" s="44">
        <f>INDEX('建筑建议总览'!$R$5:$R$25,MATCH($A58,'建筑建议总览'!$A$5:$A$25,0))</f>
        <v/>
      </c>
      <c r="R58" s="36">
        <f>INDEX('建筑建议总览'!$S$5:$S$25,MATCH($A58,'建筑建议总览'!$A$5:$A$25,0))</f>
        <v/>
      </c>
      <c r="S58" s="36">
        <f>INDEX('建筑建议总览'!$T$5:$T$25,MATCH($A58,'建筑建议总览'!$A$5:$A$25,0))</f>
        <v/>
      </c>
      <c r="T58" s="44">
        <f>POWER(Q58,D58-1)</f>
        <v/>
      </c>
      <c r="U58" s="44">
        <f>SUMIF($A$5:$A$328,$A58,$T$5:$T$328)</f>
        <v/>
      </c>
      <c r="V58" s="36">
        <f>IF(R58&gt;0,ROUNDDOWN(MAX(0,R58-O58*(F58-1))*T58/U58,0),0)</f>
        <v/>
      </c>
      <c r="W58" s="36">
        <f>IF(S58&gt;0,ROUNDDOWN(MAX(0,S58-P58*(F58-1))*T58/U58,0),0)</f>
        <v/>
      </c>
      <c r="X58" s="36">
        <f>IF(R58&gt;0,O58+V58+IF(D58=F58-1,MAX(0,R58-O58*(F58-1)-SUMIF($A$5:$A$328,$A58,$V$5:$V$328)),0),ROUNDUP(O58*POWER(INDEX('建筑总览'!$J$5:$J$25,MATCH($A58,'建筑总览'!$A$5:$A$25,0)),D58),0))</f>
        <v/>
      </c>
      <c r="Y58" s="36">
        <f>IF(P58=0,0,IF(S58&gt;0,P58+W58+IF(D58=F58-1,MAX(0,S58-P58*(F58-1)-SUMIF($A$5:$A$328,$A58,$W$5:$W$328)),0),ROUNDUP(P58*POWER(INDEX('建筑总览'!$J$5:$J$25,MATCH($A58,'建筑总览'!$A$5:$A$25,0)),D58),0)))</f>
        <v/>
      </c>
      <c r="Z58" s="36">
        <f>IF(X58=0,0,MAX(1,ROUNDUP(X58*(1-'参数与公式'!$B$17),0)))</f>
        <v/>
      </c>
      <c r="AA58" s="36">
        <f>IF(Y58=0,0,MAX(1,ROUNDUP(Y58*(1-'参数与公式'!$B$17),0)))</f>
        <v/>
      </c>
      <c r="AB58" s="33" t="inlineStr">
        <is>
          <t>预算模式末级补足余数；旧模式按指数公式</t>
        </is>
      </c>
      <c r="AC58" s="49">
        <f>IF(A58=A57,IFERROR(M58/M57,""),"")</f>
        <v/>
      </c>
      <c r="AD58" s="49">
        <f>IF(AND(A58=A57,X57&gt;0),X58/X57,"")</f>
        <v/>
      </c>
    </row>
    <row r="59" ht="30" customHeight="1">
      <c r="A59" s="33" t="inlineStr">
        <is>
          <t>tax_office</t>
        </is>
      </c>
      <c r="B59" s="33" t="inlineStr">
        <is>
          <t>税务司</t>
        </is>
      </c>
      <c r="C59" s="33" t="inlineStr">
        <is>
          <t>资源生产</t>
        </is>
      </c>
      <c r="D59" s="43" t="n">
        <v>6</v>
      </c>
      <c r="E59" s="36">
        <f>D59+1</f>
        <v/>
      </c>
      <c r="F59" s="43" t="n">
        <v>30</v>
      </c>
      <c r="G59" s="36">
        <f>INDEX('建筑建议总览'!$H$5:$H$25,MATCH($A59,'建筑建议总览'!$A$5:$A$25,0))</f>
        <v/>
      </c>
      <c r="H59" s="44">
        <f>INDEX('建筑建议总览'!$I$5:$I$25,MATCH($A59,'建筑建议总览'!$A$5:$A$25,0))</f>
        <v/>
      </c>
      <c r="I59" s="36">
        <f>INDEX('建筑建议总览'!$J$5:$J$25,MATCH($A59,'建筑建议总览'!$A$5:$A$25,0))</f>
        <v/>
      </c>
      <c r="J59" s="44">
        <f>POWER(H59,D59-1)</f>
        <v/>
      </c>
      <c r="K59" s="44">
        <f>SUMIF($A$5:$A$328,$A59,$J$5:$J$328)</f>
        <v/>
      </c>
      <c r="L59" s="36">
        <f>IF(I59&gt;0,ROUNDDOWN(MAX(0,I59-G59*(F59-1))*J59/K59,0),0)</f>
        <v/>
      </c>
      <c r="M59" s="36">
        <f>IF(I59&gt;0,G59+L59+IF(D59=F59-1,MAX(0,I59-G59*(F59-1)-SUMIF($A$5:$A$328,$A59,$L$5:$L$328)),0),ROUNDUP(G59*POWER(INDEX('建筑总览'!$G$5:$G$25,MATCH($A59,'建筑总览'!$A$5:$A$25,0)),D59),0))</f>
        <v/>
      </c>
      <c r="N59" s="35">
        <f>M59/'参数与公式'!$B$21</f>
        <v/>
      </c>
      <c r="O59" s="36">
        <f>INDEX('建筑建议总览'!$P$5:$P$25,MATCH($A59,'建筑建议总览'!$A$5:$A$25,0))</f>
        <v/>
      </c>
      <c r="P59" s="36">
        <f>INDEX('建筑建议总览'!$Q$5:$Q$25,MATCH($A59,'建筑建议总览'!$A$5:$A$25,0))</f>
        <v/>
      </c>
      <c r="Q59" s="44">
        <f>INDEX('建筑建议总览'!$R$5:$R$25,MATCH($A59,'建筑建议总览'!$A$5:$A$25,0))</f>
        <v/>
      </c>
      <c r="R59" s="36">
        <f>INDEX('建筑建议总览'!$S$5:$S$25,MATCH($A59,'建筑建议总览'!$A$5:$A$25,0))</f>
        <v/>
      </c>
      <c r="S59" s="36">
        <f>INDEX('建筑建议总览'!$T$5:$T$25,MATCH($A59,'建筑建议总览'!$A$5:$A$25,0))</f>
        <v/>
      </c>
      <c r="T59" s="44">
        <f>POWER(Q59,D59-1)</f>
        <v/>
      </c>
      <c r="U59" s="44">
        <f>SUMIF($A$5:$A$328,$A59,$T$5:$T$328)</f>
        <v/>
      </c>
      <c r="V59" s="36">
        <f>IF(R59&gt;0,ROUNDDOWN(MAX(0,R59-O59*(F59-1))*T59/U59,0),0)</f>
        <v/>
      </c>
      <c r="W59" s="36">
        <f>IF(S59&gt;0,ROUNDDOWN(MAX(0,S59-P59*(F59-1))*T59/U59,0),0)</f>
        <v/>
      </c>
      <c r="X59" s="36">
        <f>IF(R59&gt;0,O59+V59+IF(D59=F59-1,MAX(0,R59-O59*(F59-1)-SUMIF($A$5:$A$328,$A59,$V$5:$V$328)),0),ROUNDUP(O59*POWER(INDEX('建筑总览'!$J$5:$J$25,MATCH($A59,'建筑总览'!$A$5:$A$25,0)),D59),0))</f>
        <v/>
      </c>
      <c r="Y59" s="36">
        <f>IF(P59=0,0,IF(S59&gt;0,P59+W59+IF(D59=F59-1,MAX(0,S59-P59*(F59-1)-SUMIF($A$5:$A$328,$A59,$W$5:$W$328)),0),ROUNDUP(P59*POWER(INDEX('建筑总览'!$J$5:$J$25,MATCH($A59,'建筑总览'!$A$5:$A$25,0)),D59),0)))</f>
        <v/>
      </c>
      <c r="Z59" s="36">
        <f>IF(X59=0,0,MAX(1,ROUNDUP(X59*(1-'参数与公式'!$B$17),0)))</f>
        <v/>
      </c>
      <c r="AA59" s="36">
        <f>IF(Y59=0,0,MAX(1,ROUNDUP(Y59*(1-'参数与公式'!$B$17),0)))</f>
        <v/>
      </c>
      <c r="AB59" s="33" t="inlineStr">
        <is>
          <t>预算模式末级补足余数；旧模式按指数公式</t>
        </is>
      </c>
      <c r="AC59" s="49">
        <f>IF(A59=A58,IFERROR(M59/M58,""),"")</f>
        <v/>
      </c>
      <c r="AD59" s="49">
        <f>IF(AND(A59=A58,X58&gt;0),X59/X58,"")</f>
        <v/>
      </c>
    </row>
    <row r="60" ht="30" customHeight="1">
      <c r="A60" s="33" t="inlineStr">
        <is>
          <t>tax_office</t>
        </is>
      </c>
      <c r="B60" s="33" t="inlineStr">
        <is>
          <t>税务司</t>
        </is>
      </c>
      <c r="C60" s="33" t="inlineStr">
        <is>
          <t>资源生产</t>
        </is>
      </c>
      <c r="D60" s="43" t="n">
        <v>7</v>
      </c>
      <c r="E60" s="36">
        <f>D60+1</f>
        <v/>
      </c>
      <c r="F60" s="43" t="n">
        <v>30</v>
      </c>
      <c r="G60" s="36">
        <f>INDEX('建筑建议总览'!$H$5:$H$25,MATCH($A60,'建筑建议总览'!$A$5:$A$25,0))</f>
        <v/>
      </c>
      <c r="H60" s="44">
        <f>INDEX('建筑建议总览'!$I$5:$I$25,MATCH($A60,'建筑建议总览'!$A$5:$A$25,0))</f>
        <v/>
      </c>
      <c r="I60" s="36">
        <f>INDEX('建筑建议总览'!$J$5:$J$25,MATCH($A60,'建筑建议总览'!$A$5:$A$25,0))</f>
        <v/>
      </c>
      <c r="J60" s="44">
        <f>POWER(H60,D60-1)</f>
        <v/>
      </c>
      <c r="K60" s="44">
        <f>SUMIF($A$5:$A$328,$A60,$J$5:$J$328)</f>
        <v/>
      </c>
      <c r="L60" s="36">
        <f>IF(I60&gt;0,ROUNDDOWN(MAX(0,I60-G60*(F60-1))*J60/K60,0),0)</f>
        <v/>
      </c>
      <c r="M60" s="36">
        <f>IF(I60&gt;0,G60+L60+IF(D60=F60-1,MAX(0,I60-G60*(F60-1)-SUMIF($A$5:$A$328,$A60,$L$5:$L$328)),0),ROUNDUP(G60*POWER(INDEX('建筑总览'!$G$5:$G$25,MATCH($A60,'建筑总览'!$A$5:$A$25,0)),D60),0))</f>
        <v/>
      </c>
      <c r="N60" s="35">
        <f>M60/'参数与公式'!$B$21</f>
        <v/>
      </c>
      <c r="O60" s="36">
        <f>INDEX('建筑建议总览'!$P$5:$P$25,MATCH($A60,'建筑建议总览'!$A$5:$A$25,0))</f>
        <v/>
      </c>
      <c r="P60" s="36">
        <f>INDEX('建筑建议总览'!$Q$5:$Q$25,MATCH($A60,'建筑建议总览'!$A$5:$A$25,0))</f>
        <v/>
      </c>
      <c r="Q60" s="44">
        <f>INDEX('建筑建议总览'!$R$5:$R$25,MATCH($A60,'建筑建议总览'!$A$5:$A$25,0))</f>
        <v/>
      </c>
      <c r="R60" s="36">
        <f>INDEX('建筑建议总览'!$S$5:$S$25,MATCH($A60,'建筑建议总览'!$A$5:$A$25,0))</f>
        <v/>
      </c>
      <c r="S60" s="36">
        <f>INDEX('建筑建议总览'!$T$5:$T$25,MATCH($A60,'建筑建议总览'!$A$5:$A$25,0))</f>
        <v/>
      </c>
      <c r="T60" s="44">
        <f>POWER(Q60,D60-1)</f>
        <v/>
      </c>
      <c r="U60" s="44">
        <f>SUMIF($A$5:$A$328,$A60,$T$5:$T$328)</f>
        <v/>
      </c>
      <c r="V60" s="36">
        <f>IF(R60&gt;0,ROUNDDOWN(MAX(0,R60-O60*(F60-1))*T60/U60,0),0)</f>
        <v/>
      </c>
      <c r="W60" s="36">
        <f>IF(S60&gt;0,ROUNDDOWN(MAX(0,S60-P60*(F60-1))*T60/U60,0),0)</f>
        <v/>
      </c>
      <c r="X60" s="36">
        <f>IF(R60&gt;0,O60+V60+IF(D60=F60-1,MAX(0,R60-O60*(F60-1)-SUMIF($A$5:$A$328,$A60,$V$5:$V$328)),0),ROUNDUP(O60*POWER(INDEX('建筑总览'!$J$5:$J$25,MATCH($A60,'建筑总览'!$A$5:$A$25,0)),D60),0))</f>
        <v/>
      </c>
      <c r="Y60" s="36">
        <f>IF(P60=0,0,IF(S60&gt;0,P60+W60+IF(D60=F60-1,MAX(0,S60-P60*(F60-1)-SUMIF($A$5:$A$328,$A60,$W$5:$W$328)),0),ROUNDUP(P60*POWER(INDEX('建筑总览'!$J$5:$J$25,MATCH($A60,'建筑总览'!$A$5:$A$25,0)),D60),0)))</f>
        <v/>
      </c>
      <c r="Z60" s="36">
        <f>IF(X60=0,0,MAX(1,ROUNDUP(X60*(1-'参数与公式'!$B$17),0)))</f>
        <v/>
      </c>
      <c r="AA60" s="36">
        <f>IF(Y60=0,0,MAX(1,ROUNDUP(Y60*(1-'参数与公式'!$B$17),0)))</f>
        <v/>
      </c>
      <c r="AB60" s="33" t="inlineStr">
        <is>
          <t>预算模式末级补足余数；旧模式按指数公式</t>
        </is>
      </c>
      <c r="AC60" s="49">
        <f>IF(A60=A59,IFERROR(M60/M59,""),"")</f>
        <v/>
      </c>
      <c r="AD60" s="49">
        <f>IF(AND(A60=A59,X59&gt;0),X60/X59,"")</f>
        <v/>
      </c>
    </row>
    <row r="61" ht="30" customHeight="1">
      <c r="A61" s="33" t="inlineStr">
        <is>
          <t>tax_office</t>
        </is>
      </c>
      <c r="B61" s="33" t="inlineStr">
        <is>
          <t>税务司</t>
        </is>
      </c>
      <c r="C61" s="33" t="inlineStr">
        <is>
          <t>资源生产</t>
        </is>
      </c>
      <c r="D61" s="43" t="n">
        <v>8</v>
      </c>
      <c r="E61" s="36">
        <f>D61+1</f>
        <v/>
      </c>
      <c r="F61" s="43" t="n">
        <v>30</v>
      </c>
      <c r="G61" s="36">
        <f>INDEX('建筑建议总览'!$H$5:$H$25,MATCH($A61,'建筑建议总览'!$A$5:$A$25,0))</f>
        <v/>
      </c>
      <c r="H61" s="44">
        <f>INDEX('建筑建议总览'!$I$5:$I$25,MATCH($A61,'建筑建议总览'!$A$5:$A$25,0))</f>
        <v/>
      </c>
      <c r="I61" s="36">
        <f>INDEX('建筑建议总览'!$J$5:$J$25,MATCH($A61,'建筑建议总览'!$A$5:$A$25,0))</f>
        <v/>
      </c>
      <c r="J61" s="44">
        <f>POWER(H61,D61-1)</f>
        <v/>
      </c>
      <c r="K61" s="44">
        <f>SUMIF($A$5:$A$328,$A61,$J$5:$J$328)</f>
        <v/>
      </c>
      <c r="L61" s="36">
        <f>IF(I61&gt;0,ROUNDDOWN(MAX(0,I61-G61*(F61-1))*J61/K61,0),0)</f>
        <v/>
      </c>
      <c r="M61" s="36">
        <f>IF(I61&gt;0,G61+L61+IF(D61=F61-1,MAX(0,I61-G61*(F61-1)-SUMIF($A$5:$A$328,$A61,$L$5:$L$328)),0),ROUNDUP(G61*POWER(INDEX('建筑总览'!$G$5:$G$25,MATCH($A61,'建筑总览'!$A$5:$A$25,0)),D61),0))</f>
        <v/>
      </c>
      <c r="N61" s="35">
        <f>M61/'参数与公式'!$B$21</f>
        <v/>
      </c>
      <c r="O61" s="36">
        <f>INDEX('建筑建议总览'!$P$5:$P$25,MATCH($A61,'建筑建议总览'!$A$5:$A$25,0))</f>
        <v/>
      </c>
      <c r="P61" s="36">
        <f>INDEX('建筑建议总览'!$Q$5:$Q$25,MATCH($A61,'建筑建议总览'!$A$5:$A$25,0))</f>
        <v/>
      </c>
      <c r="Q61" s="44">
        <f>INDEX('建筑建议总览'!$R$5:$R$25,MATCH($A61,'建筑建议总览'!$A$5:$A$25,0))</f>
        <v/>
      </c>
      <c r="R61" s="36">
        <f>INDEX('建筑建议总览'!$S$5:$S$25,MATCH($A61,'建筑建议总览'!$A$5:$A$25,0))</f>
        <v/>
      </c>
      <c r="S61" s="36">
        <f>INDEX('建筑建议总览'!$T$5:$T$25,MATCH($A61,'建筑建议总览'!$A$5:$A$25,0))</f>
        <v/>
      </c>
      <c r="T61" s="44">
        <f>POWER(Q61,D61-1)</f>
        <v/>
      </c>
      <c r="U61" s="44">
        <f>SUMIF($A$5:$A$328,$A61,$T$5:$T$328)</f>
        <v/>
      </c>
      <c r="V61" s="36">
        <f>IF(R61&gt;0,ROUNDDOWN(MAX(0,R61-O61*(F61-1))*T61/U61,0),0)</f>
        <v/>
      </c>
      <c r="W61" s="36">
        <f>IF(S61&gt;0,ROUNDDOWN(MAX(0,S61-P61*(F61-1))*T61/U61,0),0)</f>
        <v/>
      </c>
      <c r="X61" s="36">
        <f>IF(R61&gt;0,O61+V61+IF(D61=F61-1,MAX(0,R61-O61*(F61-1)-SUMIF($A$5:$A$328,$A61,$V$5:$V$328)),0),ROUNDUP(O61*POWER(INDEX('建筑总览'!$J$5:$J$25,MATCH($A61,'建筑总览'!$A$5:$A$25,0)),D61),0))</f>
        <v/>
      </c>
      <c r="Y61" s="36">
        <f>IF(P61=0,0,IF(S61&gt;0,P61+W61+IF(D61=F61-1,MAX(0,S61-P61*(F61-1)-SUMIF($A$5:$A$328,$A61,$W$5:$W$328)),0),ROUNDUP(P61*POWER(INDEX('建筑总览'!$J$5:$J$25,MATCH($A61,'建筑总览'!$A$5:$A$25,0)),D61),0)))</f>
        <v/>
      </c>
      <c r="Z61" s="36">
        <f>IF(X61=0,0,MAX(1,ROUNDUP(X61*(1-'参数与公式'!$B$17),0)))</f>
        <v/>
      </c>
      <c r="AA61" s="36">
        <f>IF(Y61=0,0,MAX(1,ROUNDUP(Y61*(1-'参数与公式'!$B$17),0)))</f>
        <v/>
      </c>
      <c r="AB61" s="33" t="inlineStr">
        <is>
          <t>预算模式末级补足余数；旧模式按指数公式</t>
        </is>
      </c>
      <c r="AC61" s="49">
        <f>IF(A61=A60,IFERROR(M61/M60,""),"")</f>
        <v/>
      </c>
      <c r="AD61" s="49">
        <f>IF(AND(A61=A60,X60&gt;0),X61/X60,"")</f>
        <v/>
      </c>
    </row>
    <row r="62" ht="30" customHeight="1">
      <c r="A62" s="33" t="inlineStr">
        <is>
          <t>tax_office</t>
        </is>
      </c>
      <c r="B62" s="33" t="inlineStr">
        <is>
          <t>税务司</t>
        </is>
      </c>
      <c r="C62" s="33" t="inlineStr">
        <is>
          <t>资源生产</t>
        </is>
      </c>
      <c r="D62" s="43" t="n">
        <v>9</v>
      </c>
      <c r="E62" s="36">
        <f>D62+1</f>
        <v/>
      </c>
      <c r="F62" s="43" t="n">
        <v>30</v>
      </c>
      <c r="G62" s="36">
        <f>INDEX('建筑建议总览'!$H$5:$H$25,MATCH($A62,'建筑建议总览'!$A$5:$A$25,0))</f>
        <v/>
      </c>
      <c r="H62" s="44">
        <f>INDEX('建筑建议总览'!$I$5:$I$25,MATCH($A62,'建筑建议总览'!$A$5:$A$25,0))</f>
        <v/>
      </c>
      <c r="I62" s="36">
        <f>INDEX('建筑建议总览'!$J$5:$J$25,MATCH($A62,'建筑建议总览'!$A$5:$A$25,0))</f>
        <v/>
      </c>
      <c r="J62" s="44">
        <f>POWER(H62,D62-1)</f>
        <v/>
      </c>
      <c r="K62" s="44">
        <f>SUMIF($A$5:$A$328,$A62,$J$5:$J$328)</f>
        <v/>
      </c>
      <c r="L62" s="36">
        <f>IF(I62&gt;0,ROUNDDOWN(MAX(0,I62-G62*(F62-1))*J62/K62,0),0)</f>
        <v/>
      </c>
      <c r="M62" s="36">
        <f>IF(I62&gt;0,G62+L62+IF(D62=F62-1,MAX(0,I62-G62*(F62-1)-SUMIF($A$5:$A$328,$A62,$L$5:$L$328)),0),ROUNDUP(G62*POWER(INDEX('建筑总览'!$G$5:$G$25,MATCH($A62,'建筑总览'!$A$5:$A$25,0)),D62),0))</f>
        <v/>
      </c>
      <c r="N62" s="35">
        <f>M62/'参数与公式'!$B$21</f>
        <v/>
      </c>
      <c r="O62" s="36">
        <f>INDEX('建筑建议总览'!$P$5:$P$25,MATCH($A62,'建筑建议总览'!$A$5:$A$25,0))</f>
        <v/>
      </c>
      <c r="P62" s="36">
        <f>INDEX('建筑建议总览'!$Q$5:$Q$25,MATCH($A62,'建筑建议总览'!$A$5:$A$25,0))</f>
        <v/>
      </c>
      <c r="Q62" s="44">
        <f>INDEX('建筑建议总览'!$R$5:$R$25,MATCH($A62,'建筑建议总览'!$A$5:$A$25,0))</f>
        <v/>
      </c>
      <c r="R62" s="36">
        <f>INDEX('建筑建议总览'!$S$5:$S$25,MATCH($A62,'建筑建议总览'!$A$5:$A$25,0))</f>
        <v/>
      </c>
      <c r="S62" s="36">
        <f>INDEX('建筑建议总览'!$T$5:$T$25,MATCH($A62,'建筑建议总览'!$A$5:$A$25,0))</f>
        <v/>
      </c>
      <c r="T62" s="44">
        <f>POWER(Q62,D62-1)</f>
        <v/>
      </c>
      <c r="U62" s="44">
        <f>SUMIF($A$5:$A$328,$A62,$T$5:$T$328)</f>
        <v/>
      </c>
      <c r="V62" s="36">
        <f>IF(R62&gt;0,ROUNDDOWN(MAX(0,R62-O62*(F62-1))*T62/U62,0),0)</f>
        <v/>
      </c>
      <c r="W62" s="36">
        <f>IF(S62&gt;0,ROUNDDOWN(MAX(0,S62-P62*(F62-1))*T62/U62,0),0)</f>
        <v/>
      </c>
      <c r="X62" s="36">
        <f>IF(R62&gt;0,O62+V62+IF(D62=F62-1,MAX(0,R62-O62*(F62-1)-SUMIF($A$5:$A$328,$A62,$V$5:$V$328)),0),ROUNDUP(O62*POWER(INDEX('建筑总览'!$J$5:$J$25,MATCH($A62,'建筑总览'!$A$5:$A$25,0)),D62),0))</f>
        <v/>
      </c>
      <c r="Y62" s="36">
        <f>IF(P62=0,0,IF(S62&gt;0,P62+W62+IF(D62=F62-1,MAX(0,S62-P62*(F62-1)-SUMIF($A$5:$A$328,$A62,$W$5:$W$328)),0),ROUNDUP(P62*POWER(INDEX('建筑总览'!$J$5:$J$25,MATCH($A62,'建筑总览'!$A$5:$A$25,0)),D62),0)))</f>
        <v/>
      </c>
      <c r="Z62" s="36">
        <f>IF(X62=0,0,MAX(1,ROUNDUP(X62*(1-'参数与公式'!$B$17),0)))</f>
        <v/>
      </c>
      <c r="AA62" s="36">
        <f>IF(Y62=0,0,MAX(1,ROUNDUP(Y62*(1-'参数与公式'!$B$17),0)))</f>
        <v/>
      </c>
      <c r="AB62" s="33" t="inlineStr">
        <is>
          <t>预算模式末级补足余数；旧模式按指数公式</t>
        </is>
      </c>
      <c r="AC62" s="49">
        <f>IF(A62=A61,IFERROR(M62/M61,""),"")</f>
        <v/>
      </c>
      <c r="AD62" s="49">
        <f>IF(AND(A62=A61,X61&gt;0),X62/X61,"")</f>
        <v/>
      </c>
    </row>
    <row r="63" ht="30" customHeight="1">
      <c r="A63" s="33" t="inlineStr">
        <is>
          <t>tax_office</t>
        </is>
      </c>
      <c r="B63" s="33" t="inlineStr">
        <is>
          <t>税务司</t>
        </is>
      </c>
      <c r="C63" s="33" t="inlineStr">
        <is>
          <t>资源生产</t>
        </is>
      </c>
      <c r="D63" s="43" t="n">
        <v>10</v>
      </c>
      <c r="E63" s="36">
        <f>D63+1</f>
        <v/>
      </c>
      <c r="F63" s="43" t="n">
        <v>30</v>
      </c>
      <c r="G63" s="36">
        <f>INDEX('建筑建议总览'!$H$5:$H$25,MATCH($A63,'建筑建议总览'!$A$5:$A$25,0))</f>
        <v/>
      </c>
      <c r="H63" s="44">
        <f>INDEX('建筑建议总览'!$I$5:$I$25,MATCH($A63,'建筑建议总览'!$A$5:$A$25,0))</f>
        <v/>
      </c>
      <c r="I63" s="36">
        <f>INDEX('建筑建议总览'!$J$5:$J$25,MATCH($A63,'建筑建议总览'!$A$5:$A$25,0))</f>
        <v/>
      </c>
      <c r="J63" s="44">
        <f>POWER(H63,D63-1)</f>
        <v/>
      </c>
      <c r="K63" s="44">
        <f>SUMIF($A$5:$A$328,$A63,$J$5:$J$328)</f>
        <v/>
      </c>
      <c r="L63" s="36">
        <f>IF(I63&gt;0,ROUNDDOWN(MAX(0,I63-G63*(F63-1))*J63/K63,0),0)</f>
        <v/>
      </c>
      <c r="M63" s="36">
        <f>IF(I63&gt;0,G63+L63+IF(D63=F63-1,MAX(0,I63-G63*(F63-1)-SUMIF($A$5:$A$328,$A63,$L$5:$L$328)),0),ROUNDUP(G63*POWER(INDEX('建筑总览'!$G$5:$G$25,MATCH($A63,'建筑总览'!$A$5:$A$25,0)),D63),0))</f>
        <v/>
      </c>
      <c r="N63" s="35">
        <f>M63/'参数与公式'!$B$21</f>
        <v/>
      </c>
      <c r="O63" s="36">
        <f>INDEX('建筑建议总览'!$P$5:$P$25,MATCH($A63,'建筑建议总览'!$A$5:$A$25,0))</f>
        <v/>
      </c>
      <c r="P63" s="36">
        <f>INDEX('建筑建议总览'!$Q$5:$Q$25,MATCH($A63,'建筑建议总览'!$A$5:$A$25,0))</f>
        <v/>
      </c>
      <c r="Q63" s="44">
        <f>INDEX('建筑建议总览'!$R$5:$R$25,MATCH($A63,'建筑建议总览'!$A$5:$A$25,0))</f>
        <v/>
      </c>
      <c r="R63" s="36">
        <f>INDEX('建筑建议总览'!$S$5:$S$25,MATCH($A63,'建筑建议总览'!$A$5:$A$25,0))</f>
        <v/>
      </c>
      <c r="S63" s="36">
        <f>INDEX('建筑建议总览'!$T$5:$T$25,MATCH($A63,'建筑建议总览'!$A$5:$A$25,0))</f>
        <v/>
      </c>
      <c r="T63" s="44">
        <f>POWER(Q63,D63-1)</f>
        <v/>
      </c>
      <c r="U63" s="44">
        <f>SUMIF($A$5:$A$328,$A63,$T$5:$T$328)</f>
        <v/>
      </c>
      <c r="V63" s="36">
        <f>IF(R63&gt;0,ROUNDDOWN(MAX(0,R63-O63*(F63-1))*T63/U63,0),0)</f>
        <v/>
      </c>
      <c r="W63" s="36">
        <f>IF(S63&gt;0,ROUNDDOWN(MAX(0,S63-P63*(F63-1))*T63/U63,0),0)</f>
        <v/>
      </c>
      <c r="X63" s="36">
        <f>IF(R63&gt;0,O63+V63+IF(D63=F63-1,MAX(0,R63-O63*(F63-1)-SUMIF($A$5:$A$328,$A63,$V$5:$V$328)),0),ROUNDUP(O63*POWER(INDEX('建筑总览'!$J$5:$J$25,MATCH($A63,'建筑总览'!$A$5:$A$25,0)),D63),0))</f>
        <v/>
      </c>
      <c r="Y63" s="36">
        <f>IF(P63=0,0,IF(S63&gt;0,P63+W63+IF(D63=F63-1,MAX(0,S63-P63*(F63-1)-SUMIF($A$5:$A$328,$A63,$W$5:$W$328)),0),ROUNDUP(P63*POWER(INDEX('建筑总览'!$J$5:$J$25,MATCH($A63,'建筑总览'!$A$5:$A$25,0)),D63),0)))</f>
        <v/>
      </c>
      <c r="Z63" s="36">
        <f>IF(X63=0,0,MAX(1,ROUNDUP(X63*(1-'参数与公式'!$B$17),0)))</f>
        <v/>
      </c>
      <c r="AA63" s="36">
        <f>IF(Y63=0,0,MAX(1,ROUNDUP(Y63*(1-'参数与公式'!$B$17),0)))</f>
        <v/>
      </c>
      <c r="AB63" s="33" t="inlineStr">
        <is>
          <t>预算模式末级补足余数；旧模式按指数公式</t>
        </is>
      </c>
      <c r="AC63" s="49">
        <f>IF(A63=A62,IFERROR(M63/M62,""),"")</f>
        <v/>
      </c>
      <c r="AD63" s="49">
        <f>IF(AND(A63=A62,X62&gt;0),X63/X62,"")</f>
        <v/>
      </c>
    </row>
    <row r="64" ht="30" customHeight="1">
      <c r="A64" s="33" t="inlineStr">
        <is>
          <t>tax_office</t>
        </is>
      </c>
      <c r="B64" s="33" t="inlineStr">
        <is>
          <t>税务司</t>
        </is>
      </c>
      <c r="C64" s="33" t="inlineStr">
        <is>
          <t>资源生产</t>
        </is>
      </c>
      <c r="D64" s="43" t="n">
        <v>11</v>
      </c>
      <c r="E64" s="36">
        <f>D64+1</f>
        <v/>
      </c>
      <c r="F64" s="43" t="n">
        <v>30</v>
      </c>
      <c r="G64" s="36">
        <f>INDEX('建筑建议总览'!$H$5:$H$25,MATCH($A64,'建筑建议总览'!$A$5:$A$25,0))</f>
        <v/>
      </c>
      <c r="H64" s="44">
        <f>INDEX('建筑建议总览'!$I$5:$I$25,MATCH($A64,'建筑建议总览'!$A$5:$A$25,0))</f>
        <v/>
      </c>
      <c r="I64" s="36">
        <f>INDEX('建筑建议总览'!$J$5:$J$25,MATCH($A64,'建筑建议总览'!$A$5:$A$25,0))</f>
        <v/>
      </c>
      <c r="J64" s="44">
        <f>POWER(H64,D64-1)</f>
        <v/>
      </c>
      <c r="K64" s="44">
        <f>SUMIF($A$5:$A$328,$A64,$J$5:$J$328)</f>
        <v/>
      </c>
      <c r="L64" s="36">
        <f>IF(I64&gt;0,ROUNDDOWN(MAX(0,I64-G64*(F64-1))*J64/K64,0),0)</f>
        <v/>
      </c>
      <c r="M64" s="36">
        <f>IF(I64&gt;0,G64+L64+IF(D64=F64-1,MAX(0,I64-G64*(F64-1)-SUMIF($A$5:$A$328,$A64,$L$5:$L$328)),0),ROUNDUP(G64*POWER(INDEX('建筑总览'!$G$5:$G$25,MATCH($A64,'建筑总览'!$A$5:$A$25,0)),D64),0))</f>
        <v/>
      </c>
      <c r="N64" s="35">
        <f>M64/'参数与公式'!$B$21</f>
        <v/>
      </c>
      <c r="O64" s="36">
        <f>INDEX('建筑建议总览'!$P$5:$P$25,MATCH($A64,'建筑建议总览'!$A$5:$A$25,0))</f>
        <v/>
      </c>
      <c r="P64" s="36">
        <f>INDEX('建筑建议总览'!$Q$5:$Q$25,MATCH($A64,'建筑建议总览'!$A$5:$A$25,0))</f>
        <v/>
      </c>
      <c r="Q64" s="44">
        <f>INDEX('建筑建议总览'!$R$5:$R$25,MATCH($A64,'建筑建议总览'!$A$5:$A$25,0))</f>
        <v/>
      </c>
      <c r="R64" s="36">
        <f>INDEX('建筑建议总览'!$S$5:$S$25,MATCH($A64,'建筑建议总览'!$A$5:$A$25,0))</f>
        <v/>
      </c>
      <c r="S64" s="36">
        <f>INDEX('建筑建议总览'!$T$5:$T$25,MATCH($A64,'建筑建议总览'!$A$5:$A$25,0))</f>
        <v/>
      </c>
      <c r="T64" s="44">
        <f>POWER(Q64,D64-1)</f>
        <v/>
      </c>
      <c r="U64" s="44">
        <f>SUMIF($A$5:$A$328,$A64,$T$5:$T$328)</f>
        <v/>
      </c>
      <c r="V64" s="36">
        <f>IF(R64&gt;0,ROUNDDOWN(MAX(0,R64-O64*(F64-1))*T64/U64,0),0)</f>
        <v/>
      </c>
      <c r="W64" s="36">
        <f>IF(S64&gt;0,ROUNDDOWN(MAX(0,S64-P64*(F64-1))*T64/U64,0),0)</f>
        <v/>
      </c>
      <c r="X64" s="36">
        <f>IF(R64&gt;0,O64+V64+IF(D64=F64-1,MAX(0,R64-O64*(F64-1)-SUMIF($A$5:$A$328,$A64,$V$5:$V$328)),0),ROUNDUP(O64*POWER(INDEX('建筑总览'!$J$5:$J$25,MATCH($A64,'建筑总览'!$A$5:$A$25,0)),D64),0))</f>
        <v/>
      </c>
      <c r="Y64" s="36">
        <f>IF(P64=0,0,IF(S64&gt;0,P64+W64+IF(D64=F64-1,MAX(0,S64-P64*(F64-1)-SUMIF($A$5:$A$328,$A64,$W$5:$W$328)),0),ROUNDUP(P64*POWER(INDEX('建筑总览'!$J$5:$J$25,MATCH($A64,'建筑总览'!$A$5:$A$25,0)),D64),0)))</f>
        <v/>
      </c>
      <c r="Z64" s="36">
        <f>IF(X64=0,0,MAX(1,ROUNDUP(X64*(1-'参数与公式'!$B$17),0)))</f>
        <v/>
      </c>
      <c r="AA64" s="36">
        <f>IF(Y64=0,0,MAX(1,ROUNDUP(Y64*(1-'参数与公式'!$B$17),0)))</f>
        <v/>
      </c>
      <c r="AB64" s="33" t="inlineStr">
        <is>
          <t>预算模式末级补足余数；旧模式按指数公式</t>
        </is>
      </c>
      <c r="AC64" s="49">
        <f>IF(A64=A63,IFERROR(M64/M63,""),"")</f>
        <v/>
      </c>
      <c r="AD64" s="49">
        <f>IF(AND(A64=A63,X63&gt;0),X64/X63,"")</f>
        <v/>
      </c>
    </row>
    <row r="65" ht="30" customHeight="1">
      <c r="A65" s="33" t="inlineStr">
        <is>
          <t>tax_office</t>
        </is>
      </c>
      <c r="B65" s="33" t="inlineStr">
        <is>
          <t>税务司</t>
        </is>
      </c>
      <c r="C65" s="33" t="inlineStr">
        <is>
          <t>资源生产</t>
        </is>
      </c>
      <c r="D65" s="43" t="n">
        <v>12</v>
      </c>
      <c r="E65" s="36">
        <f>D65+1</f>
        <v/>
      </c>
      <c r="F65" s="43" t="n">
        <v>30</v>
      </c>
      <c r="G65" s="36">
        <f>INDEX('建筑建议总览'!$H$5:$H$25,MATCH($A65,'建筑建议总览'!$A$5:$A$25,0))</f>
        <v/>
      </c>
      <c r="H65" s="44">
        <f>INDEX('建筑建议总览'!$I$5:$I$25,MATCH($A65,'建筑建议总览'!$A$5:$A$25,0))</f>
        <v/>
      </c>
      <c r="I65" s="36">
        <f>INDEX('建筑建议总览'!$J$5:$J$25,MATCH($A65,'建筑建议总览'!$A$5:$A$25,0))</f>
        <v/>
      </c>
      <c r="J65" s="44">
        <f>POWER(H65,D65-1)</f>
        <v/>
      </c>
      <c r="K65" s="44">
        <f>SUMIF($A$5:$A$328,$A65,$J$5:$J$328)</f>
        <v/>
      </c>
      <c r="L65" s="36">
        <f>IF(I65&gt;0,ROUNDDOWN(MAX(0,I65-G65*(F65-1))*J65/K65,0),0)</f>
        <v/>
      </c>
      <c r="M65" s="36">
        <f>IF(I65&gt;0,G65+L65+IF(D65=F65-1,MAX(0,I65-G65*(F65-1)-SUMIF($A$5:$A$328,$A65,$L$5:$L$328)),0),ROUNDUP(G65*POWER(INDEX('建筑总览'!$G$5:$G$25,MATCH($A65,'建筑总览'!$A$5:$A$25,0)),D65),0))</f>
        <v/>
      </c>
      <c r="N65" s="35">
        <f>M65/'参数与公式'!$B$21</f>
        <v/>
      </c>
      <c r="O65" s="36">
        <f>INDEX('建筑建议总览'!$P$5:$P$25,MATCH($A65,'建筑建议总览'!$A$5:$A$25,0))</f>
        <v/>
      </c>
      <c r="P65" s="36">
        <f>INDEX('建筑建议总览'!$Q$5:$Q$25,MATCH($A65,'建筑建议总览'!$A$5:$A$25,0))</f>
        <v/>
      </c>
      <c r="Q65" s="44">
        <f>INDEX('建筑建议总览'!$R$5:$R$25,MATCH($A65,'建筑建议总览'!$A$5:$A$25,0))</f>
        <v/>
      </c>
      <c r="R65" s="36">
        <f>INDEX('建筑建议总览'!$S$5:$S$25,MATCH($A65,'建筑建议总览'!$A$5:$A$25,0))</f>
        <v/>
      </c>
      <c r="S65" s="36">
        <f>INDEX('建筑建议总览'!$T$5:$T$25,MATCH($A65,'建筑建议总览'!$A$5:$A$25,0))</f>
        <v/>
      </c>
      <c r="T65" s="44">
        <f>POWER(Q65,D65-1)</f>
        <v/>
      </c>
      <c r="U65" s="44">
        <f>SUMIF($A$5:$A$328,$A65,$T$5:$T$328)</f>
        <v/>
      </c>
      <c r="V65" s="36">
        <f>IF(R65&gt;0,ROUNDDOWN(MAX(0,R65-O65*(F65-1))*T65/U65,0),0)</f>
        <v/>
      </c>
      <c r="W65" s="36">
        <f>IF(S65&gt;0,ROUNDDOWN(MAX(0,S65-P65*(F65-1))*T65/U65,0),0)</f>
        <v/>
      </c>
      <c r="X65" s="36">
        <f>IF(R65&gt;0,O65+V65+IF(D65=F65-1,MAX(0,R65-O65*(F65-1)-SUMIF($A$5:$A$328,$A65,$V$5:$V$328)),0),ROUNDUP(O65*POWER(INDEX('建筑总览'!$J$5:$J$25,MATCH($A65,'建筑总览'!$A$5:$A$25,0)),D65),0))</f>
        <v/>
      </c>
      <c r="Y65" s="36">
        <f>IF(P65=0,0,IF(S65&gt;0,P65+W65+IF(D65=F65-1,MAX(0,S65-P65*(F65-1)-SUMIF($A$5:$A$328,$A65,$W$5:$W$328)),0),ROUNDUP(P65*POWER(INDEX('建筑总览'!$J$5:$J$25,MATCH($A65,'建筑总览'!$A$5:$A$25,0)),D65),0)))</f>
        <v/>
      </c>
      <c r="Z65" s="36">
        <f>IF(X65=0,0,MAX(1,ROUNDUP(X65*(1-'参数与公式'!$B$17),0)))</f>
        <v/>
      </c>
      <c r="AA65" s="36">
        <f>IF(Y65=0,0,MAX(1,ROUNDUP(Y65*(1-'参数与公式'!$B$17),0)))</f>
        <v/>
      </c>
      <c r="AB65" s="33" t="inlineStr">
        <is>
          <t>预算模式末级补足余数；旧模式按指数公式</t>
        </is>
      </c>
      <c r="AC65" s="49">
        <f>IF(A65=A64,IFERROR(M65/M64,""),"")</f>
        <v/>
      </c>
      <c r="AD65" s="49">
        <f>IF(AND(A65=A64,X64&gt;0),X65/X64,"")</f>
        <v/>
      </c>
    </row>
    <row r="66" ht="30" customHeight="1">
      <c r="A66" s="33" t="inlineStr">
        <is>
          <t>tax_office</t>
        </is>
      </c>
      <c r="B66" s="33" t="inlineStr">
        <is>
          <t>税务司</t>
        </is>
      </c>
      <c r="C66" s="33" t="inlineStr">
        <is>
          <t>资源生产</t>
        </is>
      </c>
      <c r="D66" s="43" t="n">
        <v>13</v>
      </c>
      <c r="E66" s="36">
        <f>D66+1</f>
        <v/>
      </c>
      <c r="F66" s="43" t="n">
        <v>30</v>
      </c>
      <c r="G66" s="36">
        <f>INDEX('建筑建议总览'!$H$5:$H$25,MATCH($A66,'建筑建议总览'!$A$5:$A$25,0))</f>
        <v/>
      </c>
      <c r="H66" s="44">
        <f>INDEX('建筑建议总览'!$I$5:$I$25,MATCH($A66,'建筑建议总览'!$A$5:$A$25,0))</f>
        <v/>
      </c>
      <c r="I66" s="36">
        <f>INDEX('建筑建议总览'!$J$5:$J$25,MATCH($A66,'建筑建议总览'!$A$5:$A$25,0))</f>
        <v/>
      </c>
      <c r="J66" s="44">
        <f>POWER(H66,D66-1)</f>
        <v/>
      </c>
      <c r="K66" s="44">
        <f>SUMIF($A$5:$A$328,$A66,$J$5:$J$328)</f>
        <v/>
      </c>
      <c r="L66" s="36">
        <f>IF(I66&gt;0,ROUNDDOWN(MAX(0,I66-G66*(F66-1))*J66/K66,0),0)</f>
        <v/>
      </c>
      <c r="M66" s="36">
        <f>IF(I66&gt;0,G66+L66+IF(D66=F66-1,MAX(0,I66-G66*(F66-1)-SUMIF($A$5:$A$328,$A66,$L$5:$L$328)),0),ROUNDUP(G66*POWER(INDEX('建筑总览'!$G$5:$G$25,MATCH($A66,'建筑总览'!$A$5:$A$25,0)),D66),0))</f>
        <v/>
      </c>
      <c r="N66" s="35">
        <f>M66/'参数与公式'!$B$21</f>
        <v/>
      </c>
      <c r="O66" s="36">
        <f>INDEX('建筑建议总览'!$P$5:$P$25,MATCH($A66,'建筑建议总览'!$A$5:$A$25,0))</f>
        <v/>
      </c>
      <c r="P66" s="36">
        <f>INDEX('建筑建议总览'!$Q$5:$Q$25,MATCH($A66,'建筑建议总览'!$A$5:$A$25,0))</f>
        <v/>
      </c>
      <c r="Q66" s="44">
        <f>INDEX('建筑建议总览'!$R$5:$R$25,MATCH($A66,'建筑建议总览'!$A$5:$A$25,0))</f>
        <v/>
      </c>
      <c r="R66" s="36">
        <f>INDEX('建筑建议总览'!$S$5:$S$25,MATCH($A66,'建筑建议总览'!$A$5:$A$25,0))</f>
        <v/>
      </c>
      <c r="S66" s="36">
        <f>INDEX('建筑建议总览'!$T$5:$T$25,MATCH($A66,'建筑建议总览'!$A$5:$A$25,0))</f>
        <v/>
      </c>
      <c r="T66" s="44">
        <f>POWER(Q66,D66-1)</f>
        <v/>
      </c>
      <c r="U66" s="44">
        <f>SUMIF($A$5:$A$328,$A66,$T$5:$T$328)</f>
        <v/>
      </c>
      <c r="V66" s="36">
        <f>IF(R66&gt;0,ROUNDDOWN(MAX(0,R66-O66*(F66-1))*T66/U66,0),0)</f>
        <v/>
      </c>
      <c r="W66" s="36">
        <f>IF(S66&gt;0,ROUNDDOWN(MAX(0,S66-P66*(F66-1))*T66/U66,0),0)</f>
        <v/>
      </c>
      <c r="X66" s="36">
        <f>IF(R66&gt;0,O66+V66+IF(D66=F66-1,MAX(0,R66-O66*(F66-1)-SUMIF($A$5:$A$328,$A66,$V$5:$V$328)),0),ROUNDUP(O66*POWER(INDEX('建筑总览'!$J$5:$J$25,MATCH($A66,'建筑总览'!$A$5:$A$25,0)),D66),0))</f>
        <v/>
      </c>
      <c r="Y66" s="36">
        <f>IF(P66=0,0,IF(S66&gt;0,P66+W66+IF(D66=F66-1,MAX(0,S66-P66*(F66-1)-SUMIF($A$5:$A$328,$A66,$W$5:$W$328)),0),ROUNDUP(P66*POWER(INDEX('建筑总览'!$J$5:$J$25,MATCH($A66,'建筑总览'!$A$5:$A$25,0)),D66),0)))</f>
        <v/>
      </c>
      <c r="Z66" s="36">
        <f>IF(X66=0,0,MAX(1,ROUNDUP(X66*(1-'参数与公式'!$B$17),0)))</f>
        <v/>
      </c>
      <c r="AA66" s="36">
        <f>IF(Y66=0,0,MAX(1,ROUNDUP(Y66*(1-'参数与公式'!$B$17),0)))</f>
        <v/>
      </c>
      <c r="AB66" s="33" t="inlineStr">
        <is>
          <t>预算模式末级补足余数；旧模式按指数公式</t>
        </is>
      </c>
      <c r="AC66" s="49">
        <f>IF(A66=A65,IFERROR(M66/M65,""),"")</f>
        <v/>
      </c>
      <c r="AD66" s="49">
        <f>IF(AND(A66=A65,X65&gt;0),X66/X65,"")</f>
        <v/>
      </c>
    </row>
    <row r="67" ht="30" customHeight="1">
      <c r="A67" s="33" t="inlineStr">
        <is>
          <t>tax_office</t>
        </is>
      </c>
      <c r="B67" s="33" t="inlineStr">
        <is>
          <t>税务司</t>
        </is>
      </c>
      <c r="C67" s="33" t="inlineStr">
        <is>
          <t>资源生产</t>
        </is>
      </c>
      <c r="D67" s="43" t="n">
        <v>14</v>
      </c>
      <c r="E67" s="36">
        <f>D67+1</f>
        <v/>
      </c>
      <c r="F67" s="43" t="n">
        <v>30</v>
      </c>
      <c r="G67" s="36">
        <f>INDEX('建筑建议总览'!$H$5:$H$25,MATCH($A67,'建筑建议总览'!$A$5:$A$25,0))</f>
        <v/>
      </c>
      <c r="H67" s="44">
        <f>INDEX('建筑建议总览'!$I$5:$I$25,MATCH($A67,'建筑建议总览'!$A$5:$A$25,0))</f>
        <v/>
      </c>
      <c r="I67" s="36">
        <f>INDEX('建筑建议总览'!$J$5:$J$25,MATCH($A67,'建筑建议总览'!$A$5:$A$25,0))</f>
        <v/>
      </c>
      <c r="J67" s="44">
        <f>POWER(H67,D67-1)</f>
        <v/>
      </c>
      <c r="K67" s="44">
        <f>SUMIF($A$5:$A$328,$A67,$J$5:$J$328)</f>
        <v/>
      </c>
      <c r="L67" s="36">
        <f>IF(I67&gt;0,ROUNDDOWN(MAX(0,I67-G67*(F67-1))*J67/K67,0),0)</f>
        <v/>
      </c>
      <c r="M67" s="36">
        <f>IF(I67&gt;0,G67+L67+IF(D67=F67-1,MAX(0,I67-G67*(F67-1)-SUMIF($A$5:$A$328,$A67,$L$5:$L$328)),0),ROUNDUP(G67*POWER(INDEX('建筑总览'!$G$5:$G$25,MATCH($A67,'建筑总览'!$A$5:$A$25,0)),D67),0))</f>
        <v/>
      </c>
      <c r="N67" s="35">
        <f>M67/'参数与公式'!$B$21</f>
        <v/>
      </c>
      <c r="O67" s="36">
        <f>INDEX('建筑建议总览'!$P$5:$P$25,MATCH($A67,'建筑建议总览'!$A$5:$A$25,0))</f>
        <v/>
      </c>
      <c r="P67" s="36">
        <f>INDEX('建筑建议总览'!$Q$5:$Q$25,MATCH($A67,'建筑建议总览'!$A$5:$A$25,0))</f>
        <v/>
      </c>
      <c r="Q67" s="44">
        <f>INDEX('建筑建议总览'!$R$5:$R$25,MATCH($A67,'建筑建议总览'!$A$5:$A$25,0))</f>
        <v/>
      </c>
      <c r="R67" s="36">
        <f>INDEX('建筑建议总览'!$S$5:$S$25,MATCH($A67,'建筑建议总览'!$A$5:$A$25,0))</f>
        <v/>
      </c>
      <c r="S67" s="36">
        <f>INDEX('建筑建议总览'!$T$5:$T$25,MATCH($A67,'建筑建议总览'!$A$5:$A$25,0))</f>
        <v/>
      </c>
      <c r="T67" s="44">
        <f>POWER(Q67,D67-1)</f>
        <v/>
      </c>
      <c r="U67" s="44">
        <f>SUMIF($A$5:$A$328,$A67,$T$5:$T$328)</f>
        <v/>
      </c>
      <c r="V67" s="36">
        <f>IF(R67&gt;0,ROUNDDOWN(MAX(0,R67-O67*(F67-1))*T67/U67,0),0)</f>
        <v/>
      </c>
      <c r="W67" s="36">
        <f>IF(S67&gt;0,ROUNDDOWN(MAX(0,S67-P67*(F67-1))*T67/U67,0),0)</f>
        <v/>
      </c>
      <c r="X67" s="36">
        <f>IF(R67&gt;0,O67+V67+IF(D67=F67-1,MAX(0,R67-O67*(F67-1)-SUMIF($A$5:$A$328,$A67,$V$5:$V$328)),0),ROUNDUP(O67*POWER(INDEX('建筑总览'!$J$5:$J$25,MATCH($A67,'建筑总览'!$A$5:$A$25,0)),D67),0))</f>
        <v/>
      </c>
      <c r="Y67" s="36">
        <f>IF(P67=0,0,IF(S67&gt;0,P67+W67+IF(D67=F67-1,MAX(0,S67-P67*(F67-1)-SUMIF($A$5:$A$328,$A67,$W$5:$W$328)),0),ROUNDUP(P67*POWER(INDEX('建筑总览'!$J$5:$J$25,MATCH($A67,'建筑总览'!$A$5:$A$25,0)),D67),0)))</f>
        <v/>
      </c>
      <c r="Z67" s="36">
        <f>IF(X67=0,0,MAX(1,ROUNDUP(X67*(1-'参数与公式'!$B$17),0)))</f>
        <v/>
      </c>
      <c r="AA67" s="36">
        <f>IF(Y67=0,0,MAX(1,ROUNDUP(Y67*(1-'参数与公式'!$B$17),0)))</f>
        <v/>
      </c>
      <c r="AB67" s="33" t="inlineStr">
        <is>
          <t>预算模式末级补足余数；旧模式按指数公式</t>
        </is>
      </c>
      <c r="AC67" s="49">
        <f>IF(A67=A66,IFERROR(M67/M66,""),"")</f>
        <v/>
      </c>
      <c r="AD67" s="49">
        <f>IF(AND(A67=A66,X66&gt;0),X67/X66,"")</f>
        <v/>
      </c>
    </row>
    <row r="68" ht="30" customHeight="1">
      <c r="A68" s="33" t="inlineStr">
        <is>
          <t>tax_office</t>
        </is>
      </c>
      <c r="B68" s="33" t="inlineStr">
        <is>
          <t>税务司</t>
        </is>
      </c>
      <c r="C68" s="33" t="inlineStr">
        <is>
          <t>资源生产</t>
        </is>
      </c>
      <c r="D68" s="43" t="n">
        <v>15</v>
      </c>
      <c r="E68" s="36">
        <f>D68+1</f>
        <v/>
      </c>
      <c r="F68" s="43" t="n">
        <v>30</v>
      </c>
      <c r="G68" s="36">
        <f>INDEX('建筑建议总览'!$H$5:$H$25,MATCH($A68,'建筑建议总览'!$A$5:$A$25,0))</f>
        <v/>
      </c>
      <c r="H68" s="44">
        <f>INDEX('建筑建议总览'!$I$5:$I$25,MATCH($A68,'建筑建议总览'!$A$5:$A$25,0))</f>
        <v/>
      </c>
      <c r="I68" s="36">
        <f>INDEX('建筑建议总览'!$J$5:$J$25,MATCH($A68,'建筑建议总览'!$A$5:$A$25,0))</f>
        <v/>
      </c>
      <c r="J68" s="44">
        <f>POWER(H68,D68-1)</f>
        <v/>
      </c>
      <c r="K68" s="44">
        <f>SUMIF($A$5:$A$328,$A68,$J$5:$J$328)</f>
        <v/>
      </c>
      <c r="L68" s="36">
        <f>IF(I68&gt;0,ROUNDDOWN(MAX(0,I68-G68*(F68-1))*J68/K68,0),0)</f>
        <v/>
      </c>
      <c r="M68" s="36">
        <f>IF(I68&gt;0,G68+L68+IF(D68=F68-1,MAX(0,I68-G68*(F68-1)-SUMIF($A$5:$A$328,$A68,$L$5:$L$328)),0),ROUNDUP(G68*POWER(INDEX('建筑总览'!$G$5:$G$25,MATCH($A68,'建筑总览'!$A$5:$A$25,0)),D68),0))</f>
        <v/>
      </c>
      <c r="N68" s="35">
        <f>M68/'参数与公式'!$B$21</f>
        <v/>
      </c>
      <c r="O68" s="36">
        <f>INDEX('建筑建议总览'!$P$5:$P$25,MATCH($A68,'建筑建议总览'!$A$5:$A$25,0))</f>
        <v/>
      </c>
      <c r="P68" s="36">
        <f>INDEX('建筑建议总览'!$Q$5:$Q$25,MATCH($A68,'建筑建议总览'!$A$5:$A$25,0))</f>
        <v/>
      </c>
      <c r="Q68" s="44">
        <f>INDEX('建筑建议总览'!$R$5:$R$25,MATCH($A68,'建筑建议总览'!$A$5:$A$25,0))</f>
        <v/>
      </c>
      <c r="R68" s="36">
        <f>INDEX('建筑建议总览'!$S$5:$S$25,MATCH($A68,'建筑建议总览'!$A$5:$A$25,0))</f>
        <v/>
      </c>
      <c r="S68" s="36">
        <f>INDEX('建筑建议总览'!$T$5:$T$25,MATCH($A68,'建筑建议总览'!$A$5:$A$25,0))</f>
        <v/>
      </c>
      <c r="T68" s="44">
        <f>POWER(Q68,D68-1)</f>
        <v/>
      </c>
      <c r="U68" s="44">
        <f>SUMIF($A$5:$A$328,$A68,$T$5:$T$328)</f>
        <v/>
      </c>
      <c r="V68" s="36">
        <f>IF(R68&gt;0,ROUNDDOWN(MAX(0,R68-O68*(F68-1))*T68/U68,0),0)</f>
        <v/>
      </c>
      <c r="W68" s="36">
        <f>IF(S68&gt;0,ROUNDDOWN(MAX(0,S68-P68*(F68-1))*T68/U68,0),0)</f>
        <v/>
      </c>
      <c r="X68" s="36">
        <f>IF(R68&gt;0,O68+V68+IF(D68=F68-1,MAX(0,R68-O68*(F68-1)-SUMIF($A$5:$A$328,$A68,$V$5:$V$328)),0),ROUNDUP(O68*POWER(INDEX('建筑总览'!$J$5:$J$25,MATCH($A68,'建筑总览'!$A$5:$A$25,0)),D68),0))</f>
        <v/>
      </c>
      <c r="Y68" s="36">
        <f>IF(P68=0,0,IF(S68&gt;0,P68+W68+IF(D68=F68-1,MAX(0,S68-P68*(F68-1)-SUMIF($A$5:$A$328,$A68,$W$5:$W$328)),0),ROUNDUP(P68*POWER(INDEX('建筑总览'!$J$5:$J$25,MATCH($A68,'建筑总览'!$A$5:$A$25,0)),D68),0)))</f>
        <v/>
      </c>
      <c r="Z68" s="36">
        <f>IF(X68=0,0,MAX(1,ROUNDUP(X68*(1-'参数与公式'!$B$17),0)))</f>
        <v/>
      </c>
      <c r="AA68" s="36">
        <f>IF(Y68=0,0,MAX(1,ROUNDUP(Y68*(1-'参数与公式'!$B$17),0)))</f>
        <v/>
      </c>
      <c r="AB68" s="33" t="inlineStr">
        <is>
          <t>预算模式末级补足余数；旧模式按指数公式</t>
        </is>
      </c>
      <c r="AC68" s="49">
        <f>IF(A68=A67,IFERROR(M68/M67,""),"")</f>
        <v/>
      </c>
      <c r="AD68" s="49">
        <f>IF(AND(A68=A67,X67&gt;0),X68/X67,"")</f>
        <v/>
      </c>
    </row>
    <row r="69" ht="30" customHeight="1">
      <c r="A69" s="33" t="inlineStr">
        <is>
          <t>tax_office</t>
        </is>
      </c>
      <c r="B69" s="33" t="inlineStr">
        <is>
          <t>税务司</t>
        </is>
      </c>
      <c r="C69" s="33" t="inlineStr">
        <is>
          <t>资源生产</t>
        </is>
      </c>
      <c r="D69" s="43" t="n">
        <v>16</v>
      </c>
      <c r="E69" s="36">
        <f>D69+1</f>
        <v/>
      </c>
      <c r="F69" s="43" t="n">
        <v>30</v>
      </c>
      <c r="G69" s="36">
        <f>INDEX('建筑建议总览'!$H$5:$H$25,MATCH($A69,'建筑建议总览'!$A$5:$A$25,0))</f>
        <v/>
      </c>
      <c r="H69" s="44">
        <f>INDEX('建筑建议总览'!$I$5:$I$25,MATCH($A69,'建筑建议总览'!$A$5:$A$25,0))</f>
        <v/>
      </c>
      <c r="I69" s="36">
        <f>INDEX('建筑建议总览'!$J$5:$J$25,MATCH($A69,'建筑建议总览'!$A$5:$A$25,0))</f>
        <v/>
      </c>
      <c r="J69" s="44">
        <f>POWER(H69,D69-1)</f>
        <v/>
      </c>
      <c r="K69" s="44">
        <f>SUMIF($A$5:$A$328,$A69,$J$5:$J$328)</f>
        <v/>
      </c>
      <c r="L69" s="36">
        <f>IF(I69&gt;0,ROUNDDOWN(MAX(0,I69-G69*(F69-1))*J69/K69,0),0)</f>
        <v/>
      </c>
      <c r="M69" s="36">
        <f>IF(I69&gt;0,G69+L69+IF(D69=F69-1,MAX(0,I69-G69*(F69-1)-SUMIF($A$5:$A$328,$A69,$L$5:$L$328)),0),ROUNDUP(G69*POWER(INDEX('建筑总览'!$G$5:$G$25,MATCH($A69,'建筑总览'!$A$5:$A$25,0)),D69),0))</f>
        <v/>
      </c>
      <c r="N69" s="35">
        <f>M69/'参数与公式'!$B$21</f>
        <v/>
      </c>
      <c r="O69" s="36">
        <f>INDEX('建筑建议总览'!$P$5:$P$25,MATCH($A69,'建筑建议总览'!$A$5:$A$25,0))</f>
        <v/>
      </c>
      <c r="P69" s="36">
        <f>INDEX('建筑建议总览'!$Q$5:$Q$25,MATCH($A69,'建筑建议总览'!$A$5:$A$25,0))</f>
        <v/>
      </c>
      <c r="Q69" s="44">
        <f>INDEX('建筑建议总览'!$R$5:$R$25,MATCH($A69,'建筑建议总览'!$A$5:$A$25,0))</f>
        <v/>
      </c>
      <c r="R69" s="36">
        <f>INDEX('建筑建议总览'!$S$5:$S$25,MATCH($A69,'建筑建议总览'!$A$5:$A$25,0))</f>
        <v/>
      </c>
      <c r="S69" s="36">
        <f>INDEX('建筑建议总览'!$T$5:$T$25,MATCH($A69,'建筑建议总览'!$A$5:$A$25,0))</f>
        <v/>
      </c>
      <c r="T69" s="44">
        <f>POWER(Q69,D69-1)</f>
        <v/>
      </c>
      <c r="U69" s="44">
        <f>SUMIF($A$5:$A$328,$A69,$T$5:$T$328)</f>
        <v/>
      </c>
      <c r="V69" s="36">
        <f>IF(R69&gt;0,ROUNDDOWN(MAX(0,R69-O69*(F69-1))*T69/U69,0),0)</f>
        <v/>
      </c>
      <c r="W69" s="36">
        <f>IF(S69&gt;0,ROUNDDOWN(MAX(0,S69-P69*(F69-1))*T69/U69,0),0)</f>
        <v/>
      </c>
      <c r="X69" s="36">
        <f>IF(R69&gt;0,O69+V69+IF(D69=F69-1,MAX(0,R69-O69*(F69-1)-SUMIF($A$5:$A$328,$A69,$V$5:$V$328)),0),ROUNDUP(O69*POWER(INDEX('建筑总览'!$J$5:$J$25,MATCH($A69,'建筑总览'!$A$5:$A$25,0)),D69),0))</f>
        <v/>
      </c>
      <c r="Y69" s="36">
        <f>IF(P69=0,0,IF(S69&gt;0,P69+W69+IF(D69=F69-1,MAX(0,S69-P69*(F69-1)-SUMIF($A$5:$A$328,$A69,$W$5:$W$328)),0),ROUNDUP(P69*POWER(INDEX('建筑总览'!$J$5:$J$25,MATCH($A69,'建筑总览'!$A$5:$A$25,0)),D69),0)))</f>
        <v/>
      </c>
      <c r="Z69" s="36">
        <f>IF(X69=0,0,MAX(1,ROUNDUP(X69*(1-'参数与公式'!$B$17),0)))</f>
        <v/>
      </c>
      <c r="AA69" s="36">
        <f>IF(Y69=0,0,MAX(1,ROUNDUP(Y69*(1-'参数与公式'!$B$17),0)))</f>
        <v/>
      </c>
      <c r="AB69" s="33" t="inlineStr">
        <is>
          <t>预算模式末级补足余数；旧模式按指数公式</t>
        </is>
      </c>
      <c r="AC69" s="49">
        <f>IF(A69=A68,IFERROR(M69/M68,""),"")</f>
        <v/>
      </c>
      <c r="AD69" s="49">
        <f>IF(AND(A69=A68,X68&gt;0),X69/X68,"")</f>
        <v/>
      </c>
    </row>
    <row r="70" ht="30" customHeight="1">
      <c r="A70" s="33" t="inlineStr">
        <is>
          <t>tax_office</t>
        </is>
      </c>
      <c r="B70" s="33" t="inlineStr">
        <is>
          <t>税务司</t>
        </is>
      </c>
      <c r="C70" s="33" t="inlineStr">
        <is>
          <t>资源生产</t>
        </is>
      </c>
      <c r="D70" s="43" t="n">
        <v>17</v>
      </c>
      <c r="E70" s="36">
        <f>D70+1</f>
        <v/>
      </c>
      <c r="F70" s="43" t="n">
        <v>30</v>
      </c>
      <c r="G70" s="36">
        <f>INDEX('建筑建议总览'!$H$5:$H$25,MATCH($A70,'建筑建议总览'!$A$5:$A$25,0))</f>
        <v/>
      </c>
      <c r="H70" s="44">
        <f>INDEX('建筑建议总览'!$I$5:$I$25,MATCH($A70,'建筑建议总览'!$A$5:$A$25,0))</f>
        <v/>
      </c>
      <c r="I70" s="36">
        <f>INDEX('建筑建议总览'!$J$5:$J$25,MATCH($A70,'建筑建议总览'!$A$5:$A$25,0))</f>
        <v/>
      </c>
      <c r="J70" s="44">
        <f>POWER(H70,D70-1)</f>
        <v/>
      </c>
      <c r="K70" s="44">
        <f>SUMIF($A$5:$A$328,$A70,$J$5:$J$328)</f>
        <v/>
      </c>
      <c r="L70" s="36">
        <f>IF(I70&gt;0,ROUNDDOWN(MAX(0,I70-G70*(F70-1))*J70/K70,0),0)</f>
        <v/>
      </c>
      <c r="M70" s="36">
        <f>IF(I70&gt;0,G70+L70+IF(D70=F70-1,MAX(0,I70-G70*(F70-1)-SUMIF($A$5:$A$328,$A70,$L$5:$L$328)),0),ROUNDUP(G70*POWER(INDEX('建筑总览'!$G$5:$G$25,MATCH($A70,'建筑总览'!$A$5:$A$25,0)),D70),0))</f>
        <v/>
      </c>
      <c r="N70" s="35">
        <f>M70/'参数与公式'!$B$21</f>
        <v/>
      </c>
      <c r="O70" s="36">
        <f>INDEX('建筑建议总览'!$P$5:$P$25,MATCH($A70,'建筑建议总览'!$A$5:$A$25,0))</f>
        <v/>
      </c>
      <c r="P70" s="36">
        <f>INDEX('建筑建议总览'!$Q$5:$Q$25,MATCH($A70,'建筑建议总览'!$A$5:$A$25,0))</f>
        <v/>
      </c>
      <c r="Q70" s="44">
        <f>INDEX('建筑建议总览'!$R$5:$R$25,MATCH($A70,'建筑建议总览'!$A$5:$A$25,0))</f>
        <v/>
      </c>
      <c r="R70" s="36">
        <f>INDEX('建筑建议总览'!$S$5:$S$25,MATCH($A70,'建筑建议总览'!$A$5:$A$25,0))</f>
        <v/>
      </c>
      <c r="S70" s="36">
        <f>INDEX('建筑建议总览'!$T$5:$T$25,MATCH($A70,'建筑建议总览'!$A$5:$A$25,0))</f>
        <v/>
      </c>
      <c r="T70" s="44">
        <f>POWER(Q70,D70-1)</f>
        <v/>
      </c>
      <c r="U70" s="44">
        <f>SUMIF($A$5:$A$328,$A70,$T$5:$T$328)</f>
        <v/>
      </c>
      <c r="V70" s="36">
        <f>IF(R70&gt;0,ROUNDDOWN(MAX(0,R70-O70*(F70-1))*T70/U70,0),0)</f>
        <v/>
      </c>
      <c r="W70" s="36">
        <f>IF(S70&gt;0,ROUNDDOWN(MAX(0,S70-P70*(F70-1))*T70/U70,0),0)</f>
        <v/>
      </c>
      <c r="X70" s="36">
        <f>IF(R70&gt;0,O70+V70+IF(D70=F70-1,MAX(0,R70-O70*(F70-1)-SUMIF($A$5:$A$328,$A70,$V$5:$V$328)),0),ROUNDUP(O70*POWER(INDEX('建筑总览'!$J$5:$J$25,MATCH($A70,'建筑总览'!$A$5:$A$25,0)),D70),0))</f>
        <v/>
      </c>
      <c r="Y70" s="36">
        <f>IF(P70=0,0,IF(S70&gt;0,P70+W70+IF(D70=F70-1,MAX(0,S70-P70*(F70-1)-SUMIF($A$5:$A$328,$A70,$W$5:$W$328)),0),ROUNDUP(P70*POWER(INDEX('建筑总览'!$J$5:$J$25,MATCH($A70,'建筑总览'!$A$5:$A$25,0)),D70),0)))</f>
        <v/>
      </c>
      <c r="Z70" s="36">
        <f>IF(X70=0,0,MAX(1,ROUNDUP(X70*(1-'参数与公式'!$B$17),0)))</f>
        <v/>
      </c>
      <c r="AA70" s="36">
        <f>IF(Y70=0,0,MAX(1,ROUNDUP(Y70*(1-'参数与公式'!$B$17),0)))</f>
        <v/>
      </c>
      <c r="AB70" s="33" t="inlineStr">
        <is>
          <t>预算模式末级补足余数；旧模式按指数公式</t>
        </is>
      </c>
      <c r="AC70" s="49">
        <f>IF(A70=A69,IFERROR(M70/M69,""),"")</f>
        <v/>
      </c>
      <c r="AD70" s="49">
        <f>IF(AND(A70=A69,X69&gt;0),X70/X69,"")</f>
        <v/>
      </c>
    </row>
    <row r="71" ht="30" customHeight="1">
      <c r="A71" s="33" t="inlineStr">
        <is>
          <t>tax_office</t>
        </is>
      </c>
      <c r="B71" s="33" t="inlineStr">
        <is>
          <t>税务司</t>
        </is>
      </c>
      <c r="C71" s="33" t="inlineStr">
        <is>
          <t>资源生产</t>
        </is>
      </c>
      <c r="D71" s="43" t="n">
        <v>18</v>
      </c>
      <c r="E71" s="36">
        <f>D71+1</f>
        <v/>
      </c>
      <c r="F71" s="43" t="n">
        <v>30</v>
      </c>
      <c r="G71" s="36">
        <f>INDEX('建筑建议总览'!$H$5:$H$25,MATCH($A71,'建筑建议总览'!$A$5:$A$25,0))</f>
        <v/>
      </c>
      <c r="H71" s="44">
        <f>INDEX('建筑建议总览'!$I$5:$I$25,MATCH($A71,'建筑建议总览'!$A$5:$A$25,0))</f>
        <v/>
      </c>
      <c r="I71" s="36">
        <f>INDEX('建筑建议总览'!$J$5:$J$25,MATCH($A71,'建筑建议总览'!$A$5:$A$25,0))</f>
        <v/>
      </c>
      <c r="J71" s="44">
        <f>POWER(H71,D71-1)</f>
        <v/>
      </c>
      <c r="K71" s="44">
        <f>SUMIF($A$5:$A$328,$A71,$J$5:$J$328)</f>
        <v/>
      </c>
      <c r="L71" s="36">
        <f>IF(I71&gt;0,ROUNDDOWN(MAX(0,I71-G71*(F71-1))*J71/K71,0),0)</f>
        <v/>
      </c>
      <c r="M71" s="36">
        <f>IF(I71&gt;0,G71+L71+IF(D71=F71-1,MAX(0,I71-G71*(F71-1)-SUMIF($A$5:$A$328,$A71,$L$5:$L$328)),0),ROUNDUP(G71*POWER(INDEX('建筑总览'!$G$5:$G$25,MATCH($A71,'建筑总览'!$A$5:$A$25,0)),D71),0))</f>
        <v/>
      </c>
      <c r="N71" s="35">
        <f>M71/'参数与公式'!$B$21</f>
        <v/>
      </c>
      <c r="O71" s="36">
        <f>INDEX('建筑建议总览'!$P$5:$P$25,MATCH($A71,'建筑建议总览'!$A$5:$A$25,0))</f>
        <v/>
      </c>
      <c r="P71" s="36">
        <f>INDEX('建筑建议总览'!$Q$5:$Q$25,MATCH($A71,'建筑建议总览'!$A$5:$A$25,0))</f>
        <v/>
      </c>
      <c r="Q71" s="44">
        <f>INDEX('建筑建议总览'!$R$5:$R$25,MATCH($A71,'建筑建议总览'!$A$5:$A$25,0))</f>
        <v/>
      </c>
      <c r="R71" s="36">
        <f>INDEX('建筑建议总览'!$S$5:$S$25,MATCH($A71,'建筑建议总览'!$A$5:$A$25,0))</f>
        <v/>
      </c>
      <c r="S71" s="36">
        <f>INDEX('建筑建议总览'!$T$5:$T$25,MATCH($A71,'建筑建议总览'!$A$5:$A$25,0))</f>
        <v/>
      </c>
      <c r="T71" s="44">
        <f>POWER(Q71,D71-1)</f>
        <v/>
      </c>
      <c r="U71" s="44">
        <f>SUMIF($A$5:$A$328,$A71,$T$5:$T$328)</f>
        <v/>
      </c>
      <c r="V71" s="36">
        <f>IF(R71&gt;0,ROUNDDOWN(MAX(0,R71-O71*(F71-1))*T71/U71,0),0)</f>
        <v/>
      </c>
      <c r="W71" s="36">
        <f>IF(S71&gt;0,ROUNDDOWN(MAX(0,S71-P71*(F71-1))*T71/U71,0),0)</f>
        <v/>
      </c>
      <c r="X71" s="36">
        <f>IF(R71&gt;0,O71+V71+IF(D71=F71-1,MAX(0,R71-O71*(F71-1)-SUMIF($A$5:$A$328,$A71,$V$5:$V$328)),0),ROUNDUP(O71*POWER(INDEX('建筑总览'!$J$5:$J$25,MATCH($A71,'建筑总览'!$A$5:$A$25,0)),D71),0))</f>
        <v/>
      </c>
      <c r="Y71" s="36">
        <f>IF(P71=0,0,IF(S71&gt;0,P71+W71+IF(D71=F71-1,MAX(0,S71-P71*(F71-1)-SUMIF($A$5:$A$328,$A71,$W$5:$W$328)),0),ROUNDUP(P71*POWER(INDEX('建筑总览'!$J$5:$J$25,MATCH($A71,'建筑总览'!$A$5:$A$25,0)),D71),0)))</f>
        <v/>
      </c>
      <c r="Z71" s="36">
        <f>IF(X71=0,0,MAX(1,ROUNDUP(X71*(1-'参数与公式'!$B$17),0)))</f>
        <v/>
      </c>
      <c r="AA71" s="36">
        <f>IF(Y71=0,0,MAX(1,ROUNDUP(Y71*(1-'参数与公式'!$B$17),0)))</f>
        <v/>
      </c>
      <c r="AB71" s="33" t="inlineStr">
        <is>
          <t>预算模式末级补足余数；旧模式按指数公式</t>
        </is>
      </c>
      <c r="AC71" s="49">
        <f>IF(A71=A70,IFERROR(M71/M70,""),"")</f>
        <v/>
      </c>
      <c r="AD71" s="49">
        <f>IF(AND(A71=A70,X70&gt;0),X71/X70,"")</f>
        <v/>
      </c>
    </row>
    <row r="72" ht="30" customHeight="1">
      <c r="A72" s="33" t="inlineStr">
        <is>
          <t>tax_office</t>
        </is>
      </c>
      <c r="B72" s="33" t="inlineStr">
        <is>
          <t>税务司</t>
        </is>
      </c>
      <c r="C72" s="33" t="inlineStr">
        <is>
          <t>资源生产</t>
        </is>
      </c>
      <c r="D72" s="43" t="n">
        <v>19</v>
      </c>
      <c r="E72" s="36">
        <f>D72+1</f>
        <v/>
      </c>
      <c r="F72" s="43" t="n">
        <v>30</v>
      </c>
      <c r="G72" s="36">
        <f>INDEX('建筑建议总览'!$H$5:$H$25,MATCH($A72,'建筑建议总览'!$A$5:$A$25,0))</f>
        <v/>
      </c>
      <c r="H72" s="44">
        <f>INDEX('建筑建议总览'!$I$5:$I$25,MATCH($A72,'建筑建议总览'!$A$5:$A$25,0))</f>
        <v/>
      </c>
      <c r="I72" s="36">
        <f>INDEX('建筑建议总览'!$J$5:$J$25,MATCH($A72,'建筑建议总览'!$A$5:$A$25,0))</f>
        <v/>
      </c>
      <c r="J72" s="44">
        <f>POWER(H72,D72-1)</f>
        <v/>
      </c>
      <c r="K72" s="44">
        <f>SUMIF($A$5:$A$328,$A72,$J$5:$J$328)</f>
        <v/>
      </c>
      <c r="L72" s="36">
        <f>IF(I72&gt;0,ROUNDDOWN(MAX(0,I72-G72*(F72-1))*J72/K72,0),0)</f>
        <v/>
      </c>
      <c r="M72" s="36">
        <f>IF(I72&gt;0,G72+L72+IF(D72=F72-1,MAX(0,I72-G72*(F72-1)-SUMIF($A$5:$A$328,$A72,$L$5:$L$328)),0),ROUNDUP(G72*POWER(INDEX('建筑总览'!$G$5:$G$25,MATCH($A72,'建筑总览'!$A$5:$A$25,0)),D72),0))</f>
        <v/>
      </c>
      <c r="N72" s="35">
        <f>M72/'参数与公式'!$B$21</f>
        <v/>
      </c>
      <c r="O72" s="36">
        <f>INDEX('建筑建议总览'!$P$5:$P$25,MATCH($A72,'建筑建议总览'!$A$5:$A$25,0))</f>
        <v/>
      </c>
      <c r="P72" s="36">
        <f>INDEX('建筑建议总览'!$Q$5:$Q$25,MATCH($A72,'建筑建议总览'!$A$5:$A$25,0))</f>
        <v/>
      </c>
      <c r="Q72" s="44">
        <f>INDEX('建筑建议总览'!$R$5:$R$25,MATCH($A72,'建筑建议总览'!$A$5:$A$25,0))</f>
        <v/>
      </c>
      <c r="R72" s="36">
        <f>INDEX('建筑建议总览'!$S$5:$S$25,MATCH($A72,'建筑建议总览'!$A$5:$A$25,0))</f>
        <v/>
      </c>
      <c r="S72" s="36">
        <f>INDEX('建筑建议总览'!$T$5:$T$25,MATCH($A72,'建筑建议总览'!$A$5:$A$25,0))</f>
        <v/>
      </c>
      <c r="T72" s="44">
        <f>POWER(Q72,D72-1)</f>
        <v/>
      </c>
      <c r="U72" s="44">
        <f>SUMIF($A$5:$A$328,$A72,$T$5:$T$328)</f>
        <v/>
      </c>
      <c r="V72" s="36">
        <f>IF(R72&gt;0,ROUNDDOWN(MAX(0,R72-O72*(F72-1))*T72/U72,0),0)</f>
        <v/>
      </c>
      <c r="W72" s="36">
        <f>IF(S72&gt;0,ROUNDDOWN(MAX(0,S72-P72*(F72-1))*T72/U72,0),0)</f>
        <v/>
      </c>
      <c r="X72" s="36">
        <f>IF(R72&gt;0,O72+V72+IF(D72=F72-1,MAX(0,R72-O72*(F72-1)-SUMIF($A$5:$A$328,$A72,$V$5:$V$328)),0),ROUNDUP(O72*POWER(INDEX('建筑总览'!$J$5:$J$25,MATCH($A72,'建筑总览'!$A$5:$A$25,0)),D72),0))</f>
        <v/>
      </c>
      <c r="Y72" s="36">
        <f>IF(P72=0,0,IF(S72&gt;0,P72+W72+IF(D72=F72-1,MAX(0,S72-P72*(F72-1)-SUMIF($A$5:$A$328,$A72,$W$5:$W$328)),0),ROUNDUP(P72*POWER(INDEX('建筑总览'!$J$5:$J$25,MATCH($A72,'建筑总览'!$A$5:$A$25,0)),D72),0)))</f>
        <v/>
      </c>
      <c r="Z72" s="36">
        <f>IF(X72=0,0,MAX(1,ROUNDUP(X72*(1-'参数与公式'!$B$17),0)))</f>
        <v/>
      </c>
      <c r="AA72" s="36">
        <f>IF(Y72=0,0,MAX(1,ROUNDUP(Y72*(1-'参数与公式'!$B$17),0)))</f>
        <v/>
      </c>
      <c r="AB72" s="33" t="inlineStr">
        <is>
          <t>预算模式末级补足余数；旧模式按指数公式</t>
        </is>
      </c>
      <c r="AC72" s="49">
        <f>IF(A72=A71,IFERROR(M72/M71,""),"")</f>
        <v/>
      </c>
      <c r="AD72" s="49">
        <f>IF(AND(A72=A71,X71&gt;0),X72/X71,"")</f>
        <v/>
      </c>
    </row>
    <row r="73" ht="30" customHeight="1">
      <c r="A73" s="33" t="inlineStr">
        <is>
          <t>tax_office</t>
        </is>
      </c>
      <c r="B73" s="33" t="inlineStr">
        <is>
          <t>税务司</t>
        </is>
      </c>
      <c r="C73" s="33" t="inlineStr">
        <is>
          <t>资源生产</t>
        </is>
      </c>
      <c r="D73" s="43" t="n">
        <v>20</v>
      </c>
      <c r="E73" s="36">
        <f>D73+1</f>
        <v/>
      </c>
      <c r="F73" s="43" t="n">
        <v>30</v>
      </c>
      <c r="G73" s="36">
        <f>INDEX('建筑建议总览'!$H$5:$H$25,MATCH($A73,'建筑建议总览'!$A$5:$A$25,0))</f>
        <v/>
      </c>
      <c r="H73" s="44">
        <f>INDEX('建筑建议总览'!$I$5:$I$25,MATCH($A73,'建筑建议总览'!$A$5:$A$25,0))</f>
        <v/>
      </c>
      <c r="I73" s="36">
        <f>INDEX('建筑建议总览'!$J$5:$J$25,MATCH($A73,'建筑建议总览'!$A$5:$A$25,0))</f>
        <v/>
      </c>
      <c r="J73" s="44">
        <f>POWER(H73,D73-1)</f>
        <v/>
      </c>
      <c r="K73" s="44">
        <f>SUMIF($A$5:$A$328,$A73,$J$5:$J$328)</f>
        <v/>
      </c>
      <c r="L73" s="36">
        <f>IF(I73&gt;0,ROUNDDOWN(MAX(0,I73-G73*(F73-1))*J73/K73,0),0)</f>
        <v/>
      </c>
      <c r="M73" s="36">
        <f>IF(I73&gt;0,G73+L73+IF(D73=F73-1,MAX(0,I73-G73*(F73-1)-SUMIF($A$5:$A$328,$A73,$L$5:$L$328)),0),ROUNDUP(G73*POWER(INDEX('建筑总览'!$G$5:$G$25,MATCH($A73,'建筑总览'!$A$5:$A$25,0)),D73),0))</f>
        <v/>
      </c>
      <c r="N73" s="35">
        <f>M73/'参数与公式'!$B$21</f>
        <v/>
      </c>
      <c r="O73" s="36">
        <f>INDEX('建筑建议总览'!$P$5:$P$25,MATCH($A73,'建筑建议总览'!$A$5:$A$25,0))</f>
        <v/>
      </c>
      <c r="P73" s="36">
        <f>INDEX('建筑建议总览'!$Q$5:$Q$25,MATCH($A73,'建筑建议总览'!$A$5:$A$25,0))</f>
        <v/>
      </c>
      <c r="Q73" s="44">
        <f>INDEX('建筑建议总览'!$R$5:$R$25,MATCH($A73,'建筑建议总览'!$A$5:$A$25,0))</f>
        <v/>
      </c>
      <c r="R73" s="36">
        <f>INDEX('建筑建议总览'!$S$5:$S$25,MATCH($A73,'建筑建议总览'!$A$5:$A$25,0))</f>
        <v/>
      </c>
      <c r="S73" s="36">
        <f>INDEX('建筑建议总览'!$T$5:$T$25,MATCH($A73,'建筑建议总览'!$A$5:$A$25,0))</f>
        <v/>
      </c>
      <c r="T73" s="44">
        <f>POWER(Q73,D73-1)</f>
        <v/>
      </c>
      <c r="U73" s="44">
        <f>SUMIF($A$5:$A$328,$A73,$T$5:$T$328)</f>
        <v/>
      </c>
      <c r="V73" s="36">
        <f>IF(R73&gt;0,ROUNDDOWN(MAX(0,R73-O73*(F73-1))*T73/U73,0),0)</f>
        <v/>
      </c>
      <c r="W73" s="36">
        <f>IF(S73&gt;0,ROUNDDOWN(MAX(0,S73-P73*(F73-1))*T73/U73,0),0)</f>
        <v/>
      </c>
      <c r="X73" s="36">
        <f>IF(R73&gt;0,O73+V73+IF(D73=F73-1,MAX(0,R73-O73*(F73-1)-SUMIF($A$5:$A$328,$A73,$V$5:$V$328)),0),ROUNDUP(O73*POWER(INDEX('建筑总览'!$J$5:$J$25,MATCH($A73,'建筑总览'!$A$5:$A$25,0)),D73),0))</f>
        <v/>
      </c>
      <c r="Y73" s="36">
        <f>IF(P73=0,0,IF(S73&gt;0,P73+W73+IF(D73=F73-1,MAX(0,S73-P73*(F73-1)-SUMIF($A$5:$A$328,$A73,$W$5:$W$328)),0),ROUNDUP(P73*POWER(INDEX('建筑总览'!$J$5:$J$25,MATCH($A73,'建筑总览'!$A$5:$A$25,0)),D73),0)))</f>
        <v/>
      </c>
      <c r="Z73" s="36">
        <f>IF(X73=0,0,MAX(1,ROUNDUP(X73*(1-'参数与公式'!$B$17),0)))</f>
        <v/>
      </c>
      <c r="AA73" s="36">
        <f>IF(Y73=0,0,MAX(1,ROUNDUP(Y73*(1-'参数与公式'!$B$17),0)))</f>
        <v/>
      </c>
      <c r="AB73" s="33" t="inlineStr">
        <is>
          <t>预算模式末级补足余数；旧模式按指数公式</t>
        </is>
      </c>
      <c r="AC73" s="49">
        <f>IF(A73=A72,IFERROR(M73/M72,""),"")</f>
        <v/>
      </c>
      <c r="AD73" s="49">
        <f>IF(AND(A73=A72,X72&gt;0),X73/X72,"")</f>
        <v/>
      </c>
    </row>
    <row r="74" ht="30" customHeight="1">
      <c r="A74" s="33" t="inlineStr">
        <is>
          <t>tax_office</t>
        </is>
      </c>
      <c r="B74" s="33" t="inlineStr">
        <is>
          <t>税务司</t>
        </is>
      </c>
      <c r="C74" s="33" t="inlineStr">
        <is>
          <t>资源生产</t>
        </is>
      </c>
      <c r="D74" s="43" t="n">
        <v>21</v>
      </c>
      <c r="E74" s="36">
        <f>D74+1</f>
        <v/>
      </c>
      <c r="F74" s="43" t="n">
        <v>30</v>
      </c>
      <c r="G74" s="36">
        <f>INDEX('建筑建议总览'!$H$5:$H$25,MATCH($A74,'建筑建议总览'!$A$5:$A$25,0))</f>
        <v/>
      </c>
      <c r="H74" s="44">
        <f>INDEX('建筑建议总览'!$I$5:$I$25,MATCH($A74,'建筑建议总览'!$A$5:$A$25,0))</f>
        <v/>
      </c>
      <c r="I74" s="36">
        <f>INDEX('建筑建议总览'!$J$5:$J$25,MATCH($A74,'建筑建议总览'!$A$5:$A$25,0))</f>
        <v/>
      </c>
      <c r="J74" s="44">
        <f>POWER(H74,D74-1)</f>
        <v/>
      </c>
      <c r="K74" s="44">
        <f>SUMIF($A$5:$A$328,$A74,$J$5:$J$328)</f>
        <v/>
      </c>
      <c r="L74" s="36">
        <f>IF(I74&gt;0,ROUNDDOWN(MAX(0,I74-G74*(F74-1))*J74/K74,0),0)</f>
        <v/>
      </c>
      <c r="M74" s="36">
        <f>IF(I74&gt;0,G74+L74+IF(D74=F74-1,MAX(0,I74-G74*(F74-1)-SUMIF($A$5:$A$328,$A74,$L$5:$L$328)),0),ROUNDUP(G74*POWER(INDEX('建筑总览'!$G$5:$G$25,MATCH($A74,'建筑总览'!$A$5:$A$25,0)),D74),0))</f>
        <v/>
      </c>
      <c r="N74" s="35">
        <f>M74/'参数与公式'!$B$21</f>
        <v/>
      </c>
      <c r="O74" s="36">
        <f>INDEX('建筑建议总览'!$P$5:$P$25,MATCH($A74,'建筑建议总览'!$A$5:$A$25,0))</f>
        <v/>
      </c>
      <c r="P74" s="36">
        <f>INDEX('建筑建议总览'!$Q$5:$Q$25,MATCH($A74,'建筑建议总览'!$A$5:$A$25,0))</f>
        <v/>
      </c>
      <c r="Q74" s="44">
        <f>INDEX('建筑建议总览'!$R$5:$R$25,MATCH($A74,'建筑建议总览'!$A$5:$A$25,0))</f>
        <v/>
      </c>
      <c r="R74" s="36">
        <f>INDEX('建筑建议总览'!$S$5:$S$25,MATCH($A74,'建筑建议总览'!$A$5:$A$25,0))</f>
        <v/>
      </c>
      <c r="S74" s="36">
        <f>INDEX('建筑建议总览'!$T$5:$T$25,MATCH($A74,'建筑建议总览'!$A$5:$A$25,0))</f>
        <v/>
      </c>
      <c r="T74" s="44">
        <f>POWER(Q74,D74-1)</f>
        <v/>
      </c>
      <c r="U74" s="44">
        <f>SUMIF($A$5:$A$328,$A74,$T$5:$T$328)</f>
        <v/>
      </c>
      <c r="V74" s="36">
        <f>IF(R74&gt;0,ROUNDDOWN(MAX(0,R74-O74*(F74-1))*T74/U74,0),0)</f>
        <v/>
      </c>
      <c r="W74" s="36">
        <f>IF(S74&gt;0,ROUNDDOWN(MAX(0,S74-P74*(F74-1))*T74/U74,0),0)</f>
        <v/>
      </c>
      <c r="X74" s="36">
        <f>IF(R74&gt;0,O74+V74+IF(D74=F74-1,MAX(0,R74-O74*(F74-1)-SUMIF($A$5:$A$328,$A74,$V$5:$V$328)),0),ROUNDUP(O74*POWER(INDEX('建筑总览'!$J$5:$J$25,MATCH($A74,'建筑总览'!$A$5:$A$25,0)),D74),0))</f>
        <v/>
      </c>
      <c r="Y74" s="36">
        <f>IF(P74=0,0,IF(S74&gt;0,P74+W74+IF(D74=F74-1,MAX(0,S74-P74*(F74-1)-SUMIF($A$5:$A$328,$A74,$W$5:$W$328)),0),ROUNDUP(P74*POWER(INDEX('建筑总览'!$J$5:$J$25,MATCH($A74,'建筑总览'!$A$5:$A$25,0)),D74),0)))</f>
        <v/>
      </c>
      <c r="Z74" s="36">
        <f>IF(X74=0,0,MAX(1,ROUNDUP(X74*(1-'参数与公式'!$B$17),0)))</f>
        <v/>
      </c>
      <c r="AA74" s="36">
        <f>IF(Y74=0,0,MAX(1,ROUNDUP(Y74*(1-'参数与公式'!$B$17),0)))</f>
        <v/>
      </c>
      <c r="AB74" s="33" t="inlineStr">
        <is>
          <t>预算模式末级补足余数；旧模式按指数公式</t>
        </is>
      </c>
      <c r="AC74" s="49">
        <f>IF(A74=A73,IFERROR(M74/M73,""),"")</f>
        <v/>
      </c>
      <c r="AD74" s="49">
        <f>IF(AND(A74=A73,X73&gt;0),X74/X73,"")</f>
        <v/>
      </c>
    </row>
    <row r="75" ht="30" customHeight="1">
      <c r="A75" s="33" t="inlineStr">
        <is>
          <t>tax_office</t>
        </is>
      </c>
      <c r="B75" s="33" t="inlineStr">
        <is>
          <t>税务司</t>
        </is>
      </c>
      <c r="C75" s="33" t="inlineStr">
        <is>
          <t>资源生产</t>
        </is>
      </c>
      <c r="D75" s="43" t="n">
        <v>22</v>
      </c>
      <c r="E75" s="36">
        <f>D75+1</f>
        <v/>
      </c>
      <c r="F75" s="43" t="n">
        <v>30</v>
      </c>
      <c r="G75" s="36">
        <f>INDEX('建筑建议总览'!$H$5:$H$25,MATCH($A75,'建筑建议总览'!$A$5:$A$25,0))</f>
        <v/>
      </c>
      <c r="H75" s="44">
        <f>INDEX('建筑建议总览'!$I$5:$I$25,MATCH($A75,'建筑建议总览'!$A$5:$A$25,0))</f>
        <v/>
      </c>
      <c r="I75" s="36">
        <f>INDEX('建筑建议总览'!$J$5:$J$25,MATCH($A75,'建筑建议总览'!$A$5:$A$25,0))</f>
        <v/>
      </c>
      <c r="J75" s="44">
        <f>POWER(H75,D75-1)</f>
        <v/>
      </c>
      <c r="K75" s="44">
        <f>SUMIF($A$5:$A$328,$A75,$J$5:$J$328)</f>
        <v/>
      </c>
      <c r="L75" s="36">
        <f>IF(I75&gt;0,ROUNDDOWN(MAX(0,I75-G75*(F75-1))*J75/K75,0),0)</f>
        <v/>
      </c>
      <c r="M75" s="36">
        <f>IF(I75&gt;0,G75+L75+IF(D75=F75-1,MAX(0,I75-G75*(F75-1)-SUMIF($A$5:$A$328,$A75,$L$5:$L$328)),0),ROUNDUP(G75*POWER(INDEX('建筑总览'!$G$5:$G$25,MATCH($A75,'建筑总览'!$A$5:$A$25,0)),D75),0))</f>
        <v/>
      </c>
      <c r="N75" s="35">
        <f>M75/'参数与公式'!$B$21</f>
        <v/>
      </c>
      <c r="O75" s="36">
        <f>INDEX('建筑建议总览'!$P$5:$P$25,MATCH($A75,'建筑建议总览'!$A$5:$A$25,0))</f>
        <v/>
      </c>
      <c r="P75" s="36">
        <f>INDEX('建筑建议总览'!$Q$5:$Q$25,MATCH($A75,'建筑建议总览'!$A$5:$A$25,0))</f>
        <v/>
      </c>
      <c r="Q75" s="44">
        <f>INDEX('建筑建议总览'!$R$5:$R$25,MATCH($A75,'建筑建议总览'!$A$5:$A$25,0))</f>
        <v/>
      </c>
      <c r="R75" s="36">
        <f>INDEX('建筑建议总览'!$S$5:$S$25,MATCH($A75,'建筑建议总览'!$A$5:$A$25,0))</f>
        <v/>
      </c>
      <c r="S75" s="36">
        <f>INDEX('建筑建议总览'!$T$5:$T$25,MATCH($A75,'建筑建议总览'!$A$5:$A$25,0))</f>
        <v/>
      </c>
      <c r="T75" s="44">
        <f>POWER(Q75,D75-1)</f>
        <v/>
      </c>
      <c r="U75" s="44">
        <f>SUMIF($A$5:$A$328,$A75,$T$5:$T$328)</f>
        <v/>
      </c>
      <c r="V75" s="36">
        <f>IF(R75&gt;0,ROUNDDOWN(MAX(0,R75-O75*(F75-1))*T75/U75,0),0)</f>
        <v/>
      </c>
      <c r="W75" s="36">
        <f>IF(S75&gt;0,ROUNDDOWN(MAX(0,S75-P75*(F75-1))*T75/U75,0),0)</f>
        <v/>
      </c>
      <c r="X75" s="36">
        <f>IF(R75&gt;0,O75+V75+IF(D75=F75-1,MAX(0,R75-O75*(F75-1)-SUMIF($A$5:$A$328,$A75,$V$5:$V$328)),0),ROUNDUP(O75*POWER(INDEX('建筑总览'!$J$5:$J$25,MATCH($A75,'建筑总览'!$A$5:$A$25,0)),D75),0))</f>
        <v/>
      </c>
      <c r="Y75" s="36">
        <f>IF(P75=0,0,IF(S75&gt;0,P75+W75+IF(D75=F75-1,MAX(0,S75-P75*(F75-1)-SUMIF($A$5:$A$328,$A75,$W$5:$W$328)),0),ROUNDUP(P75*POWER(INDEX('建筑总览'!$J$5:$J$25,MATCH($A75,'建筑总览'!$A$5:$A$25,0)),D75),0)))</f>
        <v/>
      </c>
      <c r="Z75" s="36">
        <f>IF(X75=0,0,MAX(1,ROUNDUP(X75*(1-'参数与公式'!$B$17),0)))</f>
        <v/>
      </c>
      <c r="AA75" s="36">
        <f>IF(Y75=0,0,MAX(1,ROUNDUP(Y75*(1-'参数与公式'!$B$17),0)))</f>
        <v/>
      </c>
      <c r="AB75" s="33" t="inlineStr">
        <is>
          <t>预算模式末级补足余数；旧模式按指数公式</t>
        </is>
      </c>
      <c r="AC75" s="49">
        <f>IF(A75=A74,IFERROR(M75/M74,""),"")</f>
        <v/>
      </c>
      <c r="AD75" s="49">
        <f>IF(AND(A75=A74,X74&gt;0),X75/X74,"")</f>
        <v/>
      </c>
    </row>
    <row r="76" ht="30" customHeight="1">
      <c r="A76" s="33" t="inlineStr">
        <is>
          <t>tax_office</t>
        </is>
      </c>
      <c r="B76" s="33" t="inlineStr">
        <is>
          <t>税务司</t>
        </is>
      </c>
      <c r="C76" s="33" t="inlineStr">
        <is>
          <t>资源生产</t>
        </is>
      </c>
      <c r="D76" s="43" t="n">
        <v>23</v>
      </c>
      <c r="E76" s="36">
        <f>D76+1</f>
        <v/>
      </c>
      <c r="F76" s="43" t="n">
        <v>30</v>
      </c>
      <c r="G76" s="36">
        <f>INDEX('建筑建议总览'!$H$5:$H$25,MATCH($A76,'建筑建议总览'!$A$5:$A$25,0))</f>
        <v/>
      </c>
      <c r="H76" s="44">
        <f>INDEX('建筑建议总览'!$I$5:$I$25,MATCH($A76,'建筑建议总览'!$A$5:$A$25,0))</f>
        <v/>
      </c>
      <c r="I76" s="36">
        <f>INDEX('建筑建议总览'!$J$5:$J$25,MATCH($A76,'建筑建议总览'!$A$5:$A$25,0))</f>
        <v/>
      </c>
      <c r="J76" s="44">
        <f>POWER(H76,D76-1)</f>
        <v/>
      </c>
      <c r="K76" s="44">
        <f>SUMIF($A$5:$A$328,$A76,$J$5:$J$328)</f>
        <v/>
      </c>
      <c r="L76" s="36">
        <f>IF(I76&gt;0,ROUNDDOWN(MAX(0,I76-G76*(F76-1))*J76/K76,0),0)</f>
        <v/>
      </c>
      <c r="M76" s="36">
        <f>IF(I76&gt;0,G76+L76+IF(D76=F76-1,MAX(0,I76-G76*(F76-1)-SUMIF($A$5:$A$328,$A76,$L$5:$L$328)),0),ROUNDUP(G76*POWER(INDEX('建筑总览'!$G$5:$G$25,MATCH($A76,'建筑总览'!$A$5:$A$25,0)),D76),0))</f>
        <v/>
      </c>
      <c r="N76" s="35">
        <f>M76/'参数与公式'!$B$21</f>
        <v/>
      </c>
      <c r="O76" s="36">
        <f>INDEX('建筑建议总览'!$P$5:$P$25,MATCH($A76,'建筑建议总览'!$A$5:$A$25,0))</f>
        <v/>
      </c>
      <c r="P76" s="36">
        <f>INDEX('建筑建议总览'!$Q$5:$Q$25,MATCH($A76,'建筑建议总览'!$A$5:$A$25,0))</f>
        <v/>
      </c>
      <c r="Q76" s="44">
        <f>INDEX('建筑建议总览'!$R$5:$R$25,MATCH($A76,'建筑建议总览'!$A$5:$A$25,0))</f>
        <v/>
      </c>
      <c r="R76" s="36">
        <f>INDEX('建筑建议总览'!$S$5:$S$25,MATCH($A76,'建筑建议总览'!$A$5:$A$25,0))</f>
        <v/>
      </c>
      <c r="S76" s="36">
        <f>INDEX('建筑建议总览'!$T$5:$T$25,MATCH($A76,'建筑建议总览'!$A$5:$A$25,0))</f>
        <v/>
      </c>
      <c r="T76" s="44">
        <f>POWER(Q76,D76-1)</f>
        <v/>
      </c>
      <c r="U76" s="44">
        <f>SUMIF($A$5:$A$328,$A76,$T$5:$T$328)</f>
        <v/>
      </c>
      <c r="V76" s="36">
        <f>IF(R76&gt;0,ROUNDDOWN(MAX(0,R76-O76*(F76-1))*T76/U76,0),0)</f>
        <v/>
      </c>
      <c r="W76" s="36">
        <f>IF(S76&gt;0,ROUNDDOWN(MAX(0,S76-P76*(F76-1))*T76/U76,0),0)</f>
        <v/>
      </c>
      <c r="X76" s="36">
        <f>IF(R76&gt;0,O76+V76+IF(D76=F76-1,MAX(0,R76-O76*(F76-1)-SUMIF($A$5:$A$328,$A76,$V$5:$V$328)),0),ROUNDUP(O76*POWER(INDEX('建筑总览'!$J$5:$J$25,MATCH($A76,'建筑总览'!$A$5:$A$25,0)),D76),0))</f>
        <v/>
      </c>
      <c r="Y76" s="36">
        <f>IF(P76=0,0,IF(S76&gt;0,P76+W76+IF(D76=F76-1,MAX(0,S76-P76*(F76-1)-SUMIF($A$5:$A$328,$A76,$W$5:$W$328)),0),ROUNDUP(P76*POWER(INDEX('建筑总览'!$J$5:$J$25,MATCH($A76,'建筑总览'!$A$5:$A$25,0)),D76),0)))</f>
        <v/>
      </c>
      <c r="Z76" s="36">
        <f>IF(X76=0,0,MAX(1,ROUNDUP(X76*(1-'参数与公式'!$B$17),0)))</f>
        <v/>
      </c>
      <c r="AA76" s="36">
        <f>IF(Y76=0,0,MAX(1,ROUNDUP(Y76*(1-'参数与公式'!$B$17),0)))</f>
        <v/>
      </c>
      <c r="AB76" s="33" t="inlineStr">
        <is>
          <t>预算模式末级补足余数；旧模式按指数公式</t>
        </is>
      </c>
      <c r="AC76" s="49">
        <f>IF(A76=A75,IFERROR(M76/M75,""),"")</f>
        <v/>
      </c>
      <c r="AD76" s="49">
        <f>IF(AND(A76=A75,X75&gt;0),X76/X75,"")</f>
        <v/>
      </c>
    </row>
    <row r="77" ht="30" customHeight="1">
      <c r="A77" s="33" t="inlineStr">
        <is>
          <t>tax_office</t>
        </is>
      </c>
      <c r="B77" s="33" t="inlineStr">
        <is>
          <t>税务司</t>
        </is>
      </c>
      <c r="C77" s="33" t="inlineStr">
        <is>
          <t>资源生产</t>
        </is>
      </c>
      <c r="D77" s="43" t="n">
        <v>24</v>
      </c>
      <c r="E77" s="36">
        <f>D77+1</f>
        <v/>
      </c>
      <c r="F77" s="43" t="n">
        <v>30</v>
      </c>
      <c r="G77" s="36">
        <f>INDEX('建筑建议总览'!$H$5:$H$25,MATCH($A77,'建筑建议总览'!$A$5:$A$25,0))</f>
        <v/>
      </c>
      <c r="H77" s="44">
        <f>INDEX('建筑建议总览'!$I$5:$I$25,MATCH($A77,'建筑建议总览'!$A$5:$A$25,0))</f>
        <v/>
      </c>
      <c r="I77" s="36">
        <f>INDEX('建筑建议总览'!$J$5:$J$25,MATCH($A77,'建筑建议总览'!$A$5:$A$25,0))</f>
        <v/>
      </c>
      <c r="J77" s="44">
        <f>POWER(H77,D77-1)</f>
        <v/>
      </c>
      <c r="K77" s="44">
        <f>SUMIF($A$5:$A$328,$A77,$J$5:$J$328)</f>
        <v/>
      </c>
      <c r="L77" s="36">
        <f>IF(I77&gt;0,ROUNDDOWN(MAX(0,I77-G77*(F77-1))*J77/K77,0),0)</f>
        <v/>
      </c>
      <c r="M77" s="36">
        <f>IF(I77&gt;0,G77+L77+IF(D77=F77-1,MAX(0,I77-G77*(F77-1)-SUMIF($A$5:$A$328,$A77,$L$5:$L$328)),0),ROUNDUP(G77*POWER(INDEX('建筑总览'!$G$5:$G$25,MATCH($A77,'建筑总览'!$A$5:$A$25,0)),D77),0))</f>
        <v/>
      </c>
      <c r="N77" s="35">
        <f>M77/'参数与公式'!$B$21</f>
        <v/>
      </c>
      <c r="O77" s="36">
        <f>INDEX('建筑建议总览'!$P$5:$P$25,MATCH($A77,'建筑建议总览'!$A$5:$A$25,0))</f>
        <v/>
      </c>
      <c r="P77" s="36">
        <f>INDEX('建筑建议总览'!$Q$5:$Q$25,MATCH($A77,'建筑建议总览'!$A$5:$A$25,0))</f>
        <v/>
      </c>
      <c r="Q77" s="44">
        <f>INDEX('建筑建议总览'!$R$5:$R$25,MATCH($A77,'建筑建议总览'!$A$5:$A$25,0))</f>
        <v/>
      </c>
      <c r="R77" s="36">
        <f>INDEX('建筑建议总览'!$S$5:$S$25,MATCH($A77,'建筑建议总览'!$A$5:$A$25,0))</f>
        <v/>
      </c>
      <c r="S77" s="36">
        <f>INDEX('建筑建议总览'!$T$5:$T$25,MATCH($A77,'建筑建议总览'!$A$5:$A$25,0))</f>
        <v/>
      </c>
      <c r="T77" s="44">
        <f>POWER(Q77,D77-1)</f>
        <v/>
      </c>
      <c r="U77" s="44">
        <f>SUMIF($A$5:$A$328,$A77,$T$5:$T$328)</f>
        <v/>
      </c>
      <c r="V77" s="36">
        <f>IF(R77&gt;0,ROUNDDOWN(MAX(0,R77-O77*(F77-1))*T77/U77,0),0)</f>
        <v/>
      </c>
      <c r="W77" s="36">
        <f>IF(S77&gt;0,ROUNDDOWN(MAX(0,S77-P77*(F77-1))*T77/U77,0),0)</f>
        <v/>
      </c>
      <c r="X77" s="36">
        <f>IF(R77&gt;0,O77+V77+IF(D77=F77-1,MAX(0,R77-O77*(F77-1)-SUMIF($A$5:$A$328,$A77,$V$5:$V$328)),0),ROUNDUP(O77*POWER(INDEX('建筑总览'!$J$5:$J$25,MATCH($A77,'建筑总览'!$A$5:$A$25,0)),D77),0))</f>
        <v/>
      </c>
      <c r="Y77" s="36">
        <f>IF(P77=0,0,IF(S77&gt;0,P77+W77+IF(D77=F77-1,MAX(0,S77-P77*(F77-1)-SUMIF($A$5:$A$328,$A77,$W$5:$W$328)),0),ROUNDUP(P77*POWER(INDEX('建筑总览'!$J$5:$J$25,MATCH($A77,'建筑总览'!$A$5:$A$25,0)),D77),0)))</f>
        <v/>
      </c>
      <c r="Z77" s="36">
        <f>IF(X77=0,0,MAX(1,ROUNDUP(X77*(1-'参数与公式'!$B$17),0)))</f>
        <v/>
      </c>
      <c r="AA77" s="36">
        <f>IF(Y77=0,0,MAX(1,ROUNDUP(Y77*(1-'参数与公式'!$B$17),0)))</f>
        <v/>
      </c>
      <c r="AB77" s="33" t="inlineStr">
        <is>
          <t>预算模式末级补足余数；旧模式按指数公式</t>
        </is>
      </c>
      <c r="AC77" s="49">
        <f>IF(A77=A76,IFERROR(M77/M76,""),"")</f>
        <v/>
      </c>
      <c r="AD77" s="49">
        <f>IF(AND(A77=A76,X76&gt;0),X77/X76,"")</f>
        <v/>
      </c>
    </row>
    <row r="78" ht="30" customHeight="1">
      <c r="A78" s="33" t="inlineStr">
        <is>
          <t>tax_office</t>
        </is>
      </c>
      <c r="B78" s="33" t="inlineStr">
        <is>
          <t>税务司</t>
        </is>
      </c>
      <c r="C78" s="33" t="inlineStr">
        <is>
          <t>资源生产</t>
        </is>
      </c>
      <c r="D78" s="43" t="n">
        <v>25</v>
      </c>
      <c r="E78" s="36">
        <f>D78+1</f>
        <v/>
      </c>
      <c r="F78" s="43" t="n">
        <v>30</v>
      </c>
      <c r="G78" s="36">
        <f>INDEX('建筑建议总览'!$H$5:$H$25,MATCH($A78,'建筑建议总览'!$A$5:$A$25,0))</f>
        <v/>
      </c>
      <c r="H78" s="44">
        <f>INDEX('建筑建议总览'!$I$5:$I$25,MATCH($A78,'建筑建议总览'!$A$5:$A$25,0))</f>
        <v/>
      </c>
      <c r="I78" s="36">
        <f>INDEX('建筑建议总览'!$J$5:$J$25,MATCH($A78,'建筑建议总览'!$A$5:$A$25,0))</f>
        <v/>
      </c>
      <c r="J78" s="44">
        <f>POWER(H78,D78-1)</f>
        <v/>
      </c>
      <c r="K78" s="44">
        <f>SUMIF($A$5:$A$328,$A78,$J$5:$J$328)</f>
        <v/>
      </c>
      <c r="L78" s="36">
        <f>IF(I78&gt;0,ROUNDDOWN(MAX(0,I78-G78*(F78-1))*J78/K78,0),0)</f>
        <v/>
      </c>
      <c r="M78" s="36">
        <f>IF(I78&gt;0,G78+L78+IF(D78=F78-1,MAX(0,I78-G78*(F78-1)-SUMIF($A$5:$A$328,$A78,$L$5:$L$328)),0),ROUNDUP(G78*POWER(INDEX('建筑总览'!$G$5:$G$25,MATCH($A78,'建筑总览'!$A$5:$A$25,0)),D78),0))</f>
        <v/>
      </c>
      <c r="N78" s="35">
        <f>M78/'参数与公式'!$B$21</f>
        <v/>
      </c>
      <c r="O78" s="36">
        <f>INDEX('建筑建议总览'!$P$5:$P$25,MATCH($A78,'建筑建议总览'!$A$5:$A$25,0))</f>
        <v/>
      </c>
      <c r="P78" s="36">
        <f>INDEX('建筑建议总览'!$Q$5:$Q$25,MATCH($A78,'建筑建议总览'!$A$5:$A$25,0))</f>
        <v/>
      </c>
      <c r="Q78" s="44">
        <f>INDEX('建筑建议总览'!$R$5:$R$25,MATCH($A78,'建筑建议总览'!$A$5:$A$25,0))</f>
        <v/>
      </c>
      <c r="R78" s="36">
        <f>INDEX('建筑建议总览'!$S$5:$S$25,MATCH($A78,'建筑建议总览'!$A$5:$A$25,0))</f>
        <v/>
      </c>
      <c r="S78" s="36">
        <f>INDEX('建筑建议总览'!$T$5:$T$25,MATCH($A78,'建筑建议总览'!$A$5:$A$25,0))</f>
        <v/>
      </c>
      <c r="T78" s="44">
        <f>POWER(Q78,D78-1)</f>
        <v/>
      </c>
      <c r="U78" s="44">
        <f>SUMIF($A$5:$A$328,$A78,$T$5:$T$328)</f>
        <v/>
      </c>
      <c r="V78" s="36">
        <f>IF(R78&gt;0,ROUNDDOWN(MAX(0,R78-O78*(F78-1))*T78/U78,0),0)</f>
        <v/>
      </c>
      <c r="W78" s="36">
        <f>IF(S78&gt;0,ROUNDDOWN(MAX(0,S78-P78*(F78-1))*T78/U78,0),0)</f>
        <v/>
      </c>
      <c r="X78" s="36">
        <f>IF(R78&gt;0,O78+V78+IF(D78=F78-1,MAX(0,R78-O78*(F78-1)-SUMIF($A$5:$A$328,$A78,$V$5:$V$328)),0),ROUNDUP(O78*POWER(INDEX('建筑总览'!$J$5:$J$25,MATCH($A78,'建筑总览'!$A$5:$A$25,0)),D78),0))</f>
        <v/>
      </c>
      <c r="Y78" s="36">
        <f>IF(P78=0,0,IF(S78&gt;0,P78+W78+IF(D78=F78-1,MAX(0,S78-P78*(F78-1)-SUMIF($A$5:$A$328,$A78,$W$5:$W$328)),0),ROUNDUP(P78*POWER(INDEX('建筑总览'!$J$5:$J$25,MATCH($A78,'建筑总览'!$A$5:$A$25,0)),D78),0)))</f>
        <v/>
      </c>
      <c r="Z78" s="36">
        <f>IF(X78=0,0,MAX(1,ROUNDUP(X78*(1-'参数与公式'!$B$17),0)))</f>
        <v/>
      </c>
      <c r="AA78" s="36">
        <f>IF(Y78=0,0,MAX(1,ROUNDUP(Y78*(1-'参数与公式'!$B$17),0)))</f>
        <v/>
      </c>
      <c r="AB78" s="33" t="inlineStr">
        <is>
          <t>预算模式末级补足余数；旧模式按指数公式</t>
        </is>
      </c>
      <c r="AC78" s="49">
        <f>IF(A78=A77,IFERROR(M78/M77,""),"")</f>
        <v/>
      </c>
      <c r="AD78" s="49">
        <f>IF(AND(A78=A77,X77&gt;0),X78/X77,"")</f>
        <v/>
      </c>
    </row>
    <row r="79" ht="30" customHeight="1">
      <c r="A79" s="33" t="inlineStr">
        <is>
          <t>tax_office</t>
        </is>
      </c>
      <c r="B79" s="33" t="inlineStr">
        <is>
          <t>税务司</t>
        </is>
      </c>
      <c r="C79" s="33" t="inlineStr">
        <is>
          <t>资源生产</t>
        </is>
      </c>
      <c r="D79" s="43" t="n">
        <v>26</v>
      </c>
      <c r="E79" s="36">
        <f>D79+1</f>
        <v/>
      </c>
      <c r="F79" s="43" t="n">
        <v>30</v>
      </c>
      <c r="G79" s="36">
        <f>INDEX('建筑建议总览'!$H$5:$H$25,MATCH($A79,'建筑建议总览'!$A$5:$A$25,0))</f>
        <v/>
      </c>
      <c r="H79" s="44">
        <f>INDEX('建筑建议总览'!$I$5:$I$25,MATCH($A79,'建筑建议总览'!$A$5:$A$25,0))</f>
        <v/>
      </c>
      <c r="I79" s="36">
        <f>INDEX('建筑建议总览'!$J$5:$J$25,MATCH($A79,'建筑建议总览'!$A$5:$A$25,0))</f>
        <v/>
      </c>
      <c r="J79" s="44">
        <f>POWER(H79,D79-1)</f>
        <v/>
      </c>
      <c r="K79" s="44">
        <f>SUMIF($A$5:$A$328,$A79,$J$5:$J$328)</f>
        <v/>
      </c>
      <c r="L79" s="36">
        <f>IF(I79&gt;0,ROUNDDOWN(MAX(0,I79-G79*(F79-1))*J79/K79,0),0)</f>
        <v/>
      </c>
      <c r="M79" s="36">
        <f>IF(I79&gt;0,G79+L79+IF(D79=F79-1,MAX(0,I79-G79*(F79-1)-SUMIF($A$5:$A$328,$A79,$L$5:$L$328)),0),ROUNDUP(G79*POWER(INDEX('建筑总览'!$G$5:$G$25,MATCH($A79,'建筑总览'!$A$5:$A$25,0)),D79),0))</f>
        <v/>
      </c>
      <c r="N79" s="35">
        <f>M79/'参数与公式'!$B$21</f>
        <v/>
      </c>
      <c r="O79" s="36">
        <f>INDEX('建筑建议总览'!$P$5:$P$25,MATCH($A79,'建筑建议总览'!$A$5:$A$25,0))</f>
        <v/>
      </c>
      <c r="P79" s="36">
        <f>INDEX('建筑建议总览'!$Q$5:$Q$25,MATCH($A79,'建筑建议总览'!$A$5:$A$25,0))</f>
        <v/>
      </c>
      <c r="Q79" s="44">
        <f>INDEX('建筑建议总览'!$R$5:$R$25,MATCH($A79,'建筑建议总览'!$A$5:$A$25,0))</f>
        <v/>
      </c>
      <c r="R79" s="36">
        <f>INDEX('建筑建议总览'!$S$5:$S$25,MATCH($A79,'建筑建议总览'!$A$5:$A$25,0))</f>
        <v/>
      </c>
      <c r="S79" s="36">
        <f>INDEX('建筑建议总览'!$T$5:$T$25,MATCH($A79,'建筑建议总览'!$A$5:$A$25,0))</f>
        <v/>
      </c>
      <c r="T79" s="44">
        <f>POWER(Q79,D79-1)</f>
        <v/>
      </c>
      <c r="U79" s="44">
        <f>SUMIF($A$5:$A$328,$A79,$T$5:$T$328)</f>
        <v/>
      </c>
      <c r="V79" s="36">
        <f>IF(R79&gt;0,ROUNDDOWN(MAX(0,R79-O79*(F79-1))*T79/U79,0),0)</f>
        <v/>
      </c>
      <c r="W79" s="36">
        <f>IF(S79&gt;0,ROUNDDOWN(MAX(0,S79-P79*(F79-1))*T79/U79,0),0)</f>
        <v/>
      </c>
      <c r="X79" s="36">
        <f>IF(R79&gt;0,O79+V79+IF(D79=F79-1,MAX(0,R79-O79*(F79-1)-SUMIF($A$5:$A$328,$A79,$V$5:$V$328)),0),ROUNDUP(O79*POWER(INDEX('建筑总览'!$J$5:$J$25,MATCH($A79,'建筑总览'!$A$5:$A$25,0)),D79),0))</f>
        <v/>
      </c>
      <c r="Y79" s="36">
        <f>IF(P79=0,0,IF(S79&gt;0,P79+W79+IF(D79=F79-1,MAX(0,S79-P79*(F79-1)-SUMIF($A$5:$A$328,$A79,$W$5:$W$328)),0),ROUNDUP(P79*POWER(INDEX('建筑总览'!$J$5:$J$25,MATCH($A79,'建筑总览'!$A$5:$A$25,0)),D79),0)))</f>
        <v/>
      </c>
      <c r="Z79" s="36">
        <f>IF(X79=0,0,MAX(1,ROUNDUP(X79*(1-'参数与公式'!$B$17),0)))</f>
        <v/>
      </c>
      <c r="AA79" s="36">
        <f>IF(Y79=0,0,MAX(1,ROUNDUP(Y79*(1-'参数与公式'!$B$17),0)))</f>
        <v/>
      </c>
      <c r="AB79" s="33" t="inlineStr">
        <is>
          <t>预算模式末级补足余数；旧模式按指数公式</t>
        </is>
      </c>
      <c r="AC79" s="49">
        <f>IF(A79=A78,IFERROR(M79/M78,""),"")</f>
        <v/>
      </c>
      <c r="AD79" s="49">
        <f>IF(AND(A79=A78,X78&gt;0),X79/X78,"")</f>
        <v/>
      </c>
    </row>
    <row r="80" ht="30" customHeight="1">
      <c r="A80" s="33" t="inlineStr">
        <is>
          <t>tax_office</t>
        </is>
      </c>
      <c r="B80" s="33" t="inlineStr">
        <is>
          <t>税务司</t>
        </is>
      </c>
      <c r="C80" s="33" t="inlineStr">
        <is>
          <t>资源生产</t>
        </is>
      </c>
      <c r="D80" s="43" t="n">
        <v>27</v>
      </c>
      <c r="E80" s="36">
        <f>D80+1</f>
        <v/>
      </c>
      <c r="F80" s="43" t="n">
        <v>30</v>
      </c>
      <c r="G80" s="36">
        <f>INDEX('建筑建议总览'!$H$5:$H$25,MATCH($A80,'建筑建议总览'!$A$5:$A$25,0))</f>
        <v/>
      </c>
      <c r="H80" s="44">
        <f>INDEX('建筑建议总览'!$I$5:$I$25,MATCH($A80,'建筑建议总览'!$A$5:$A$25,0))</f>
        <v/>
      </c>
      <c r="I80" s="36">
        <f>INDEX('建筑建议总览'!$J$5:$J$25,MATCH($A80,'建筑建议总览'!$A$5:$A$25,0))</f>
        <v/>
      </c>
      <c r="J80" s="44">
        <f>POWER(H80,D80-1)</f>
        <v/>
      </c>
      <c r="K80" s="44">
        <f>SUMIF($A$5:$A$328,$A80,$J$5:$J$328)</f>
        <v/>
      </c>
      <c r="L80" s="36">
        <f>IF(I80&gt;0,ROUNDDOWN(MAX(0,I80-G80*(F80-1))*J80/K80,0),0)</f>
        <v/>
      </c>
      <c r="M80" s="36">
        <f>IF(I80&gt;0,G80+L80+IF(D80=F80-1,MAX(0,I80-G80*(F80-1)-SUMIF($A$5:$A$328,$A80,$L$5:$L$328)),0),ROUNDUP(G80*POWER(INDEX('建筑总览'!$G$5:$G$25,MATCH($A80,'建筑总览'!$A$5:$A$25,0)),D80),0))</f>
        <v/>
      </c>
      <c r="N80" s="35">
        <f>M80/'参数与公式'!$B$21</f>
        <v/>
      </c>
      <c r="O80" s="36">
        <f>INDEX('建筑建议总览'!$P$5:$P$25,MATCH($A80,'建筑建议总览'!$A$5:$A$25,0))</f>
        <v/>
      </c>
      <c r="P80" s="36">
        <f>INDEX('建筑建议总览'!$Q$5:$Q$25,MATCH($A80,'建筑建议总览'!$A$5:$A$25,0))</f>
        <v/>
      </c>
      <c r="Q80" s="44">
        <f>INDEX('建筑建议总览'!$R$5:$R$25,MATCH($A80,'建筑建议总览'!$A$5:$A$25,0))</f>
        <v/>
      </c>
      <c r="R80" s="36">
        <f>INDEX('建筑建议总览'!$S$5:$S$25,MATCH($A80,'建筑建议总览'!$A$5:$A$25,0))</f>
        <v/>
      </c>
      <c r="S80" s="36">
        <f>INDEX('建筑建议总览'!$T$5:$T$25,MATCH($A80,'建筑建议总览'!$A$5:$A$25,0))</f>
        <v/>
      </c>
      <c r="T80" s="44">
        <f>POWER(Q80,D80-1)</f>
        <v/>
      </c>
      <c r="U80" s="44">
        <f>SUMIF($A$5:$A$328,$A80,$T$5:$T$328)</f>
        <v/>
      </c>
      <c r="V80" s="36">
        <f>IF(R80&gt;0,ROUNDDOWN(MAX(0,R80-O80*(F80-1))*T80/U80,0),0)</f>
        <v/>
      </c>
      <c r="W80" s="36">
        <f>IF(S80&gt;0,ROUNDDOWN(MAX(0,S80-P80*(F80-1))*T80/U80,0),0)</f>
        <v/>
      </c>
      <c r="X80" s="36">
        <f>IF(R80&gt;0,O80+V80+IF(D80=F80-1,MAX(0,R80-O80*(F80-1)-SUMIF($A$5:$A$328,$A80,$V$5:$V$328)),0),ROUNDUP(O80*POWER(INDEX('建筑总览'!$J$5:$J$25,MATCH($A80,'建筑总览'!$A$5:$A$25,0)),D80),0))</f>
        <v/>
      </c>
      <c r="Y80" s="36">
        <f>IF(P80=0,0,IF(S80&gt;0,P80+W80+IF(D80=F80-1,MAX(0,S80-P80*(F80-1)-SUMIF($A$5:$A$328,$A80,$W$5:$W$328)),0),ROUNDUP(P80*POWER(INDEX('建筑总览'!$J$5:$J$25,MATCH($A80,'建筑总览'!$A$5:$A$25,0)),D80),0)))</f>
        <v/>
      </c>
      <c r="Z80" s="36">
        <f>IF(X80=0,0,MAX(1,ROUNDUP(X80*(1-'参数与公式'!$B$17),0)))</f>
        <v/>
      </c>
      <c r="AA80" s="36">
        <f>IF(Y80=0,0,MAX(1,ROUNDUP(Y80*(1-'参数与公式'!$B$17),0)))</f>
        <v/>
      </c>
      <c r="AB80" s="33" t="inlineStr">
        <is>
          <t>预算模式末级补足余数；旧模式按指数公式</t>
        </is>
      </c>
      <c r="AC80" s="49">
        <f>IF(A80=A79,IFERROR(M80/M79,""),"")</f>
        <v/>
      </c>
      <c r="AD80" s="49">
        <f>IF(AND(A80=A79,X79&gt;0),X80/X79,"")</f>
        <v/>
      </c>
    </row>
    <row r="81" ht="30" customHeight="1">
      <c r="A81" s="33" t="inlineStr">
        <is>
          <t>tax_office</t>
        </is>
      </c>
      <c r="B81" s="33" t="inlineStr">
        <is>
          <t>税务司</t>
        </is>
      </c>
      <c r="C81" s="33" t="inlineStr">
        <is>
          <t>资源生产</t>
        </is>
      </c>
      <c r="D81" s="43" t="n">
        <v>28</v>
      </c>
      <c r="E81" s="36">
        <f>D81+1</f>
        <v/>
      </c>
      <c r="F81" s="43" t="n">
        <v>30</v>
      </c>
      <c r="G81" s="36">
        <f>INDEX('建筑建议总览'!$H$5:$H$25,MATCH($A81,'建筑建议总览'!$A$5:$A$25,0))</f>
        <v/>
      </c>
      <c r="H81" s="44">
        <f>INDEX('建筑建议总览'!$I$5:$I$25,MATCH($A81,'建筑建议总览'!$A$5:$A$25,0))</f>
        <v/>
      </c>
      <c r="I81" s="36">
        <f>INDEX('建筑建议总览'!$J$5:$J$25,MATCH($A81,'建筑建议总览'!$A$5:$A$25,0))</f>
        <v/>
      </c>
      <c r="J81" s="44">
        <f>POWER(H81,D81-1)</f>
        <v/>
      </c>
      <c r="K81" s="44">
        <f>SUMIF($A$5:$A$328,$A81,$J$5:$J$328)</f>
        <v/>
      </c>
      <c r="L81" s="36">
        <f>IF(I81&gt;0,ROUNDDOWN(MAX(0,I81-G81*(F81-1))*J81/K81,0),0)</f>
        <v/>
      </c>
      <c r="M81" s="36">
        <f>IF(I81&gt;0,G81+L81+IF(D81=F81-1,MAX(0,I81-G81*(F81-1)-SUMIF($A$5:$A$328,$A81,$L$5:$L$328)),0),ROUNDUP(G81*POWER(INDEX('建筑总览'!$G$5:$G$25,MATCH($A81,'建筑总览'!$A$5:$A$25,0)),D81),0))</f>
        <v/>
      </c>
      <c r="N81" s="35">
        <f>M81/'参数与公式'!$B$21</f>
        <v/>
      </c>
      <c r="O81" s="36">
        <f>INDEX('建筑建议总览'!$P$5:$P$25,MATCH($A81,'建筑建议总览'!$A$5:$A$25,0))</f>
        <v/>
      </c>
      <c r="P81" s="36">
        <f>INDEX('建筑建议总览'!$Q$5:$Q$25,MATCH($A81,'建筑建议总览'!$A$5:$A$25,0))</f>
        <v/>
      </c>
      <c r="Q81" s="44">
        <f>INDEX('建筑建议总览'!$R$5:$R$25,MATCH($A81,'建筑建议总览'!$A$5:$A$25,0))</f>
        <v/>
      </c>
      <c r="R81" s="36">
        <f>INDEX('建筑建议总览'!$S$5:$S$25,MATCH($A81,'建筑建议总览'!$A$5:$A$25,0))</f>
        <v/>
      </c>
      <c r="S81" s="36">
        <f>INDEX('建筑建议总览'!$T$5:$T$25,MATCH($A81,'建筑建议总览'!$A$5:$A$25,0))</f>
        <v/>
      </c>
      <c r="T81" s="44">
        <f>POWER(Q81,D81-1)</f>
        <v/>
      </c>
      <c r="U81" s="44">
        <f>SUMIF($A$5:$A$328,$A81,$T$5:$T$328)</f>
        <v/>
      </c>
      <c r="V81" s="36">
        <f>IF(R81&gt;0,ROUNDDOWN(MAX(0,R81-O81*(F81-1))*T81/U81,0),0)</f>
        <v/>
      </c>
      <c r="W81" s="36">
        <f>IF(S81&gt;0,ROUNDDOWN(MAX(0,S81-P81*(F81-1))*T81/U81,0),0)</f>
        <v/>
      </c>
      <c r="X81" s="36">
        <f>IF(R81&gt;0,O81+V81+IF(D81=F81-1,MAX(0,R81-O81*(F81-1)-SUMIF($A$5:$A$328,$A81,$V$5:$V$328)),0),ROUNDUP(O81*POWER(INDEX('建筑总览'!$J$5:$J$25,MATCH($A81,'建筑总览'!$A$5:$A$25,0)),D81),0))</f>
        <v/>
      </c>
      <c r="Y81" s="36">
        <f>IF(P81=0,0,IF(S81&gt;0,P81+W81+IF(D81=F81-1,MAX(0,S81-P81*(F81-1)-SUMIF($A$5:$A$328,$A81,$W$5:$W$328)),0),ROUNDUP(P81*POWER(INDEX('建筑总览'!$J$5:$J$25,MATCH($A81,'建筑总览'!$A$5:$A$25,0)),D81),0)))</f>
        <v/>
      </c>
      <c r="Z81" s="36">
        <f>IF(X81=0,0,MAX(1,ROUNDUP(X81*(1-'参数与公式'!$B$17),0)))</f>
        <v/>
      </c>
      <c r="AA81" s="36">
        <f>IF(Y81=0,0,MAX(1,ROUNDUP(Y81*(1-'参数与公式'!$B$17),0)))</f>
        <v/>
      </c>
      <c r="AB81" s="33" t="inlineStr">
        <is>
          <t>预算模式末级补足余数；旧模式按指数公式</t>
        </is>
      </c>
      <c r="AC81" s="49">
        <f>IF(A81=A80,IFERROR(M81/M80,""),"")</f>
        <v/>
      </c>
      <c r="AD81" s="49">
        <f>IF(AND(A81=A80,X80&gt;0),X81/X80,"")</f>
        <v/>
      </c>
    </row>
    <row r="82" ht="30" customHeight="1">
      <c r="A82" s="33" t="inlineStr">
        <is>
          <t>tax_office</t>
        </is>
      </c>
      <c r="B82" s="33" t="inlineStr">
        <is>
          <t>税务司</t>
        </is>
      </c>
      <c r="C82" s="33" t="inlineStr">
        <is>
          <t>资源生产</t>
        </is>
      </c>
      <c r="D82" s="43" t="n">
        <v>29</v>
      </c>
      <c r="E82" s="36">
        <f>D82+1</f>
        <v/>
      </c>
      <c r="F82" s="43" t="n">
        <v>30</v>
      </c>
      <c r="G82" s="36">
        <f>INDEX('建筑建议总览'!$H$5:$H$25,MATCH($A82,'建筑建议总览'!$A$5:$A$25,0))</f>
        <v/>
      </c>
      <c r="H82" s="44">
        <f>INDEX('建筑建议总览'!$I$5:$I$25,MATCH($A82,'建筑建议总览'!$A$5:$A$25,0))</f>
        <v/>
      </c>
      <c r="I82" s="36">
        <f>INDEX('建筑建议总览'!$J$5:$J$25,MATCH($A82,'建筑建议总览'!$A$5:$A$25,0))</f>
        <v/>
      </c>
      <c r="J82" s="44">
        <f>POWER(H82,D82-1)</f>
        <v/>
      </c>
      <c r="K82" s="44">
        <f>SUMIF($A$5:$A$328,$A82,$J$5:$J$328)</f>
        <v/>
      </c>
      <c r="L82" s="36">
        <f>IF(I82&gt;0,ROUNDDOWN(MAX(0,I82-G82*(F82-1))*J82/K82,0),0)</f>
        <v/>
      </c>
      <c r="M82" s="36">
        <f>IF(I82&gt;0,G82+L82+IF(D82=F82-1,MAX(0,I82-G82*(F82-1)-SUMIF($A$5:$A$328,$A82,$L$5:$L$328)),0),ROUNDUP(G82*POWER(INDEX('建筑总览'!$G$5:$G$25,MATCH($A82,'建筑总览'!$A$5:$A$25,0)),D82),0))</f>
        <v/>
      </c>
      <c r="N82" s="35">
        <f>M82/'参数与公式'!$B$21</f>
        <v/>
      </c>
      <c r="O82" s="36">
        <f>INDEX('建筑建议总览'!$P$5:$P$25,MATCH($A82,'建筑建议总览'!$A$5:$A$25,0))</f>
        <v/>
      </c>
      <c r="P82" s="36">
        <f>INDEX('建筑建议总览'!$Q$5:$Q$25,MATCH($A82,'建筑建议总览'!$A$5:$A$25,0))</f>
        <v/>
      </c>
      <c r="Q82" s="44">
        <f>INDEX('建筑建议总览'!$R$5:$R$25,MATCH($A82,'建筑建议总览'!$A$5:$A$25,0))</f>
        <v/>
      </c>
      <c r="R82" s="36">
        <f>INDEX('建筑建议总览'!$S$5:$S$25,MATCH($A82,'建筑建议总览'!$A$5:$A$25,0))</f>
        <v/>
      </c>
      <c r="S82" s="36">
        <f>INDEX('建筑建议总览'!$T$5:$T$25,MATCH($A82,'建筑建议总览'!$A$5:$A$25,0))</f>
        <v/>
      </c>
      <c r="T82" s="44">
        <f>POWER(Q82,D82-1)</f>
        <v/>
      </c>
      <c r="U82" s="44">
        <f>SUMIF($A$5:$A$328,$A82,$T$5:$T$328)</f>
        <v/>
      </c>
      <c r="V82" s="36">
        <f>IF(R82&gt;0,ROUNDDOWN(MAX(0,R82-O82*(F82-1))*T82/U82,0),0)</f>
        <v/>
      </c>
      <c r="W82" s="36">
        <f>IF(S82&gt;0,ROUNDDOWN(MAX(0,S82-P82*(F82-1))*T82/U82,0),0)</f>
        <v/>
      </c>
      <c r="X82" s="36">
        <f>IF(R82&gt;0,O82+V82+IF(D82=F82-1,MAX(0,R82-O82*(F82-1)-SUMIF($A$5:$A$328,$A82,$V$5:$V$328)),0),ROUNDUP(O82*POWER(INDEX('建筑总览'!$J$5:$J$25,MATCH($A82,'建筑总览'!$A$5:$A$25,0)),D82),0))</f>
        <v/>
      </c>
      <c r="Y82" s="36">
        <f>IF(P82=0,0,IF(S82&gt;0,P82+W82+IF(D82=F82-1,MAX(0,S82-P82*(F82-1)-SUMIF($A$5:$A$328,$A82,$W$5:$W$328)),0),ROUNDUP(P82*POWER(INDEX('建筑总览'!$J$5:$J$25,MATCH($A82,'建筑总览'!$A$5:$A$25,0)),D82),0)))</f>
        <v/>
      </c>
      <c r="Z82" s="36">
        <f>IF(X82=0,0,MAX(1,ROUNDUP(X82*(1-'参数与公式'!$B$17),0)))</f>
        <v/>
      </c>
      <c r="AA82" s="36">
        <f>IF(Y82=0,0,MAX(1,ROUNDUP(Y82*(1-'参数与公式'!$B$17),0)))</f>
        <v/>
      </c>
      <c r="AB82" s="33" t="inlineStr">
        <is>
          <t>预算模式末级补足余数；旧模式按指数公式</t>
        </is>
      </c>
      <c r="AC82" s="49">
        <f>IF(A82=A81,IFERROR(M82/M81,""),"")</f>
        <v/>
      </c>
      <c r="AD82" s="49">
        <f>IF(AND(A82=A81,X81&gt;0),X82/X81,"")</f>
        <v/>
      </c>
    </row>
    <row r="83" ht="30" customHeight="1">
      <c r="A83" s="33" t="inlineStr">
        <is>
          <t>bathhouse</t>
        </is>
      </c>
      <c r="B83" s="33" t="inlineStr">
        <is>
          <t>澡堂</t>
        </is>
      </c>
      <c r="C83" s="33" t="inlineStr">
        <is>
          <t>资源生产</t>
        </is>
      </c>
      <c r="D83" s="43" t="n">
        <v>1</v>
      </c>
      <c r="E83" s="36">
        <f>D83+1</f>
        <v/>
      </c>
      <c r="F83" s="43" t="n">
        <v>20</v>
      </c>
      <c r="G83" s="36">
        <f>INDEX('建筑建议总览'!$H$5:$H$25,MATCH($A83,'建筑建议总览'!$A$5:$A$25,0))</f>
        <v/>
      </c>
      <c r="H83" s="44">
        <f>INDEX('建筑建议总览'!$I$5:$I$25,MATCH($A83,'建筑建议总览'!$A$5:$A$25,0))</f>
        <v/>
      </c>
      <c r="I83" s="36">
        <f>INDEX('建筑建议总览'!$J$5:$J$25,MATCH($A83,'建筑建议总览'!$A$5:$A$25,0))</f>
        <v/>
      </c>
      <c r="J83" s="44">
        <f>POWER(H83,D83-1)</f>
        <v/>
      </c>
      <c r="K83" s="44">
        <f>SUMIF($A$5:$A$328,$A83,$J$5:$J$328)</f>
        <v/>
      </c>
      <c r="L83" s="36">
        <f>IF(I83&gt;0,ROUNDDOWN(MAX(0,I83-G83*(F83-1))*J83/K83,0),0)</f>
        <v/>
      </c>
      <c r="M83" s="36">
        <f>IF(I83&gt;0,G83+L83+IF(D83=F83-1,MAX(0,I83-G83*(F83-1)-SUMIF($A$5:$A$328,$A83,$L$5:$L$328)),0),ROUNDUP(G83*POWER(INDEX('建筑总览'!$G$5:$G$25,MATCH($A83,'建筑总览'!$A$5:$A$25,0)),D83),0))</f>
        <v/>
      </c>
      <c r="N83" s="35">
        <f>M83/'参数与公式'!$B$21</f>
        <v/>
      </c>
      <c r="O83" s="36">
        <f>INDEX('建筑建议总览'!$P$5:$P$25,MATCH($A83,'建筑建议总览'!$A$5:$A$25,0))</f>
        <v/>
      </c>
      <c r="P83" s="36">
        <f>INDEX('建筑建议总览'!$Q$5:$Q$25,MATCH($A83,'建筑建议总览'!$A$5:$A$25,0))</f>
        <v/>
      </c>
      <c r="Q83" s="44">
        <f>INDEX('建筑建议总览'!$R$5:$R$25,MATCH($A83,'建筑建议总览'!$A$5:$A$25,0))</f>
        <v/>
      </c>
      <c r="R83" s="36">
        <f>INDEX('建筑建议总览'!$S$5:$S$25,MATCH($A83,'建筑建议总览'!$A$5:$A$25,0))</f>
        <v/>
      </c>
      <c r="S83" s="36">
        <f>INDEX('建筑建议总览'!$T$5:$T$25,MATCH($A83,'建筑建议总览'!$A$5:$A$25,0))</f>
        <v/>
      </c>
      <c r="T83" s="44">
        <f>POWER(Q83,D83-1)</f>
        <v/>
      </c>
      <c r="U83" s="44">
        <f>SUMIF($A$5:$A$328,$A83,$T$5:$T$328)</f>
        <v/>
      </c>
      <c r="V83" s="36">
        <f>IF(R83&gt;0,ROUNDDOWN(MAX(0,R83-O83*(F83-1))*T83/U83,0),0)</f>
        <v/>
      </c>
      <c r="W83" s="36">
        <f>IF(S83&gt;0,ROUNDDOWN(MAX(0,S83-P83*(F83-1))*T83/U83,0),0)</f>
        <v/>
      </c>
      <c r="X83" s="36">
        <f>IF(R83&gt;0,O83+V83+IF(D83=F83-1,MAX(0,R83-O83*(F83-1)-SUMIF($A$5:$A$328,$A83,$V$5:$V$328)),0),ROUNDUP(O83*POWER(INDEX('建筑总览'!$J$5:$J$25,MATCH($A83,'建筑总览'!$A$5:$A$25,0)),D83),0))</f>
        <v/>
      </c>
      <c r="Y83" s="36">
        <f>IF(P83=0,0,IF(S83&gt;0,P83+W83+IF(D83=F83-1,MAX(0,S83-P83*(F83-1)-SUMIF($A$5:$A$328,$A83,$W$5:$W$328)),0),ROUNDUP(P83*POWER(INDEX('建筑总览'!$J$5:$J$25,MATCH($A83,'建筑总览'!$A$5:$A$25,0)),D83),0)))</f>
        <v/>
      </c>
      <c r="Z83" s="36">
        <f>IF(X83=0,0,MAX(1,ROUNDUP(X83*(1-'参数与公式'!$B$17),0)))</f>
        <v/>
      </c>
      <c r="AA83" s="36">
        <f>IF(Y83=0,0,MAX(1,ROUNDUP(Y83*(1-'参数与公式'!$B$17),0)))</f>
        <v/>
      </c>
      <c r="AB83" s="33" t="inlineStr">
        <is>
          <t>预算模式末级补足余数；旧模式按指数公式</t>
        </is>
      </c>
      <c r="AC83" s="49">
        <f>IF(A83=A82,IFERROR(M83/M82,""),"")</f>
        <v/>
      </c>
      <c r="AD83" s="49">
        <f>IF(AND(A83=A82,X82&gt;0),X83/X82,"")</f>
        <v/>
      </c>
    </row>
    <row r="84" ht="30" customHeight="1">
      <c r="A84" s="33" t="inlineStr">
        <is>
          <t>bathhouse</t>
        </is>
      </c>
      <c r="B84" s="33" t="inlineStr">
        <is>
          <t>澡堂</t>
        </is>
      </c>
      <c r="C84" s="33" t="inlineStr">
        <is>
          <t>资源生产</t>
        </is>
      </c>
      <c r="D84" s="43" t="n">
        <v>2</v>
      </c>
      <c r="E84" s="36">
        <f>D84+1</f>
        <v/>
      </c>
      <c r="F84" s="43" t="n">
        <v>20</v>
      </c>
      <c r="G84" s="36">
        <f>INDEX('建筑建议总览'!$H$5:$H$25,MATCH($A84,'建筑建议总览'!$A$5:$A$25,0))</f>
        <v/>
      </c>
      <c r="H84" s="44">
        <f>INDEX('建筑建议总览'!$I$5:$I$25,MATCH($A84,'建筑建议总览'!$A$5:$A$25,0))</f>
        <v/>
      </c>
      <c r="I84" s="36">
        <f>INDEX('建筑建议总览'!$J$5:$J$25,MATCH($A84,'建筑建议总览'!$A$5:$A$25,0))</f>
        <v/>
      </c>
      <c r="J84" s="44">
        <f>POWER(H84,D84-1)</f>
        <v/>
      </c>
      <c r="K84" s="44">
        <f>SUMIF($A$5:$A$328,$A84,$J$5:$J$328)</f>
        <v/>
      </c>
      <c r="L84" s="36">
        <f>IF(I84&gt;0,ROUNDDOWN(MAX(0,I84-G84*(F84-1))*J84/K84,0),0)</f>
        <v/>
      </c>
      <c r="M84" s="36">
        <f>IF(I84&gt;0,G84+L84+IF(D84=F84-1,MAX(0,I84-G84*(F84-1)-SUMIF($A$5:$A$328,$A84,$L$5:$L$328)),0),ROUNDUP(G84*POWER(INDEX('建筑总览'!$G$5:$G$25,MATCH($A84,'建筑总览'!$A$5:$A$25,0)),D84),0))</f>
        <v/>
      </c>
      <c r="N84" s="35">
        <f>M84/'参数与公式'!$B$21</f>
        <v/>
      </c>
      <c r="O84" s="36">
        <f>INDEX('建筑建议总览'!$P$5:$P$25,MATCH($A84,'建筑建议总览'!$A$5:$A$25,0))</f>
        <v/>
      </c>
      <c r="P84" s="36">
        <f>INDEX('建筑建议总览'!$Q$5:$Q$25,MATCH($A84,'建筑建议总览'!$A$5:$A$25,0))</f>
        <v/>
      </c>
      <c r="Q84" s="44">
        <f>INDEX('建筑建议总览'!$R$5:$R$25,MATCH($A84,'建筑建议总览'!$A$5:$A$25,0))</f>
        <v/>
      </c>
      <c r="R84" s="36">
        <f>INDEX('建筑建议总览'!$S$5:$S$25,MATCH($A84,'建筑建议总览'!$A$5:$A$25,0))</f>
        <v/>
      </c>
      <c r="S84" s="36">
        <f>INDEX('建筑建议总览'!$T$5:$T$25,MATCH($A84,'建筑建议总览'!$A$5:$A$25,0))</f>
        <v/>
      </c>
      <c r="T84" s="44">
        <f>POWER(Q84,D84-1)</f>
        <v/>
      </c>
      <c r="U84" s="44">
        <f>SUMIF($A$5:$A$328,$A84,$T$5:$T$328)</f>
        <v/>
      </c>
      <c r="V84" s="36">
        <f>IF(R84&gt;0,ROUNDDOWN(MAX(0,R84-O84*(F84-1))*T84/U84,0),0)</f>
        <v/>
      </c>
      <c r="W84" s="36">
        <f>IF(S84&gt;0,ROUNDDOWN(MAX(0,S84-P84*(F84-1))*T84/U84,0),0)</f>
        <v/>
      </c>
      <c r="X84" s="36">
        <f>IF(R84&gt;0,O84+V84+IF(D84=F84-1,MAX(0,R84-O84*(F84-1)-SUMIF($A$5:$A$328,$A84,$V$5:$V$328)),0),ROUNDUP(O84*POWER(INDEX('建筑总览'!$J$5:$J$25,MATCH($A84,'建筑总览'!$A$5:$A$25,0)),D84),0))</f>
        <v/>
      </c>
      <c r="Y84" s="36">
        <f>IF(P84=0,0,IF(S84&gt;0,P84+W84+IF(D84=F84-1,MAX(0,S84-P84*(F84-1)-SUMIF($A$5:$A$328,$A84,$W$5:$W$328)),0),ROUNDUP(P84*POWER(INDEX('建筑总览'!$J$5:$J$25,MATCH($A84,'建筑总览'!$A$5:$A$25,0)),D84),0)))</f>
        <v/>
      </c>
      <c r="Z84" s="36">
        <f>IF(X84=0,0,MAX(1,ROUNDUP(X84*(1-'参数与公式'!$B$17),0)))</f>
        <v/>
      </c>
      <c r="AA84" s="36">
        <f>IF(Y84=0,0,MAX(1,ROUNDUP(Y84*(1-'参数与公式'!$B$17),0)))</f>
        <v/>
      </c>
      <c r="AB84" s="33" t="inlineStr">
        <is>
          <t>预算模式末级补足余数；旧模式按指数公式</t>
        </is>
      </c>
      <c r="AC84" s="49">
        <f>IF(A84=A83,IFERROR(M84/M83,""),"")</f>
        <v/>
      </c>
      <c r="AD84" s="49">
        <f>IF(AND(A84=A83,X83&gt;0),X84/X83,"")</f>
        <v/>
      </c>
    </row>
    <row r="85" ht="30" customHeight="1">
      <c r="A85" s="33" t="inlineStr">
        <is>
          <t>bathhouse</t>
        </is>
      </c>
      <c r="B85" s="33" t="inlineStr">
        <is>
          <t>澡堂</t>
        </is>
      </c>
      <c r="C85" s="33" t="inlineStr">
        <is>
          <t>资源生产</t>
        </is>
      </c>
      <c r="D85" s="43" t="n">
        <v>3</v>
      </c>
      <c r="E85" s="36">
        <f>D85+1</f>
        <v/>
      </c>
      <c r="F85" s="43" t="n">
        <v>20</v>
      </c>
      <c r="G85" s="36">
        <f>INDEX('建筑建议总览'!$H$5:$H$25,MATCH($A85,'建筑建议总览'!$A$5:$A$25,0))</f>
        <v/>
      </c>
      <c r="H85" s="44">
        <f>INDEX('建筑建议总览'!$I$5:$I$25,MATCH($A85,'建筑建议总览'!$A$5:$A$25,0))</f>
        <v/>
      </c>
      <c r="I85" s="36">
        <f>INDEX('建筑建议总览'!$J$5:$J$25,MATCH($A85,'建筑建议总览'!$A$5:$A$25,0))</f>
        <v/>
      </c>
      <c r="J85" s="44">
        <f>POWER(H85,D85-1)</f>
        <v/>
      </c>
      <c r="K85" s="44">
        <f>SUMIF($A$5:$A$328,$A85,$J$5:$J$328)</f>
        <v/>
      </c>
      <c r="L85" s="36">
        <f>IF(I85&gt;0,ROUNDDOWN(MAX(0,I85-G85*(F85-1))*J85/K85,0),0)</f>
        <v/>
      </c>
      <c r="M85" s="36">
        <f>IF(I85&gt;0,G85+L85+IF(D85=F85-1,MAX(0,I85-G85*(F85-1)-SUMIF($A$5:$A$328,$A85,$L$5:$L$328)),0),ROUNDUP(G85*POWER(INDEX('建筑总览'!$G$5:$G$25,MATCH($A85,'建筑总览'!$A$5:$A$25,0)),D85),0))</f>
        <v/>
      </c>
      <c r="N85" s="35">
        <f>M85/'参数与公式'!$B$21</f>
        <v/>
      </c>
      <c r="O85" s="36">
        <f>INDEX('建筑建议总览'!$P$5:$P$25,MATCH($A85,'建筑建议总览'!$A$5:$A$25,0))</f>
        <v/>
      </c>
      <c r="P85" s="36">
        <f>INDEX('建筑建议总览'!$Q$5:$Q$25,MATCH($A85,'建筑建议总览'!$A$5:$A$25,0))</f>
        <v/>
      </c>
      <c r="Q85" s="44">
        <f>INDEX('建筑建议总览'!$R$5:$R$25,MATCH($A85,'建筑建议总览'!$A$5:$A$25,0))</f>
        <v/>
      </c>
      <c r="R85" s="36">
        <f>INDEX('建筑建议总览'!$S$5:$S$25,MATCH($A85,'建筑建议总览'!$A$5:$A$25,0))</f>
        <v/>
      </c>
      <c r="S85" s="36">
        <f>INDEX('建筑建议总览'!$T$5:$T$25,MATCH($A85,'建筑建议总览'!$A$5:$A$25,0))</f>
        <v/>
      </c>
      <c r="T85" s="44">
        <f>POWER(Q85,D85-1)</f>
        <v/>
      </c>
      <c r="U85" s="44">
        <f>SUMIF($A$5:$A$328,$A85,$T$5:$T$328)</f>
        <v/>
      </c>
      <c r="V85" s="36">
        <f>IF(R85&gt;0,ROUNDDOWN(MAX(0,R85-O85*(F85-1))*T85/U85,0),0)</f>
        <v/>
      </c>
      <c r="W85" s="36">
        <f>IF(S85&gt;0,ROUNDDOWN(MAX(0,S85-P85*(F85-1))*T85/U85,0),0)</f>
        <v/>
      </c>
      <c r="X85" s="36">
        <f>IF(R85&gt;0,O85+V85+IF(D85=F85-1,MAX(0,R85-O85*(F85-1)-SUMIF($A$5:$A$328,$A85,$V$5:$V$328)),0),ROUNDUP(O85*POWER(INDEX('建筑总览'!$J$5:$J$25,MATCH($A85,'建筑总览'!$A$5:$A$25,0)),D85),0))</f>
        <v/>
      </c>
      <c r="Y85" s="36">
        <f>IF(P85=0,0,IF(S85&gt;0,P85+W85+IF(D85=F85-1,MAX(0,S85-P85*(F85-1)-SUMIF($A$5:$A$328,$A85,$W$5:$W$328)),0),ROUNDUP(P85*POWER(INDEX('建筑总览'!$J$5:$J$25,MATCH($A85,'建筑总览'!$A$5:$A$25,0)),D85),0)))</f>
        <v/>
      </c>
      <c r="Z85" s="36">
        <f>IF(X85=0,0,MAX(1,ROUNDUP(X85*(1-'参数与公式'!$B$17),0)))</f>
        <v/>
      </c>
      <c r="AA85" s="36">
        <f>IF(Y85=0,0,MAX(1,ROUNDUP(Y85*(1-'参数与公式'!$B$17),0)))</f>
        <v/>
      </c>
      <c r="AB85" s="33" t="inlineStr">
        <is>
          <t>预算模式末级补足余数；旧模式按指数公式</t>
        </is>
      </c>
      <c r="AC85" s="49">
        <f>IF(A85=A84,IFERROR(M85/M84,""),"")</f>
        <v/>
      </c>
      <c r="AD85" s="49">
        <f>IF(AND(A85=A84,X84&gt;0),X85/X84,"")</f>
        <v/>
      </c>
    </row>
    <row r="86" ht="30" customHeight="1">
      <c r="A86" s="33" t="inlineStr">
        <is>
          <t>bathhouse</t>
        </is>
      </c>
      <c r="B86" s="33" t="inlineStr">
        <is>
          <t>澡堂</t>
        </is>
      </c>
      <c r="C86" s="33" t="inlineStr">
        <is>
          <t>资源生产</t>
        </is>
      </c>
      <c r="D86" s="43" t="n">
        <v>4</v>
      </c>
      <c r="E86" s="36">
        <f>D86+1</f>
        <v/>
      </c>
      <c r="F86" s="43" t="n">
        <v>20</v>
      </c>
      <c r="G86" s="36">
        <f>INDEX('建筑建议总览'!$H$5:$H$25,MATCH($A86,'建筑建议总览'!$A$5:$A$25,0))</f>
        <v/>
      </c>
      <c r="H86" s="44">
        <f>INDEX('建筑建议总览'!$I$5:$I$25,MATCH($A86,'建筑建议总览'!$A$5:$A$25,0))</f>
        <v/>
      </c>
      <c r="I86" s="36">
        <f>INDEX('建筑建议总览'!$J$5:$J$25,MATCH($A86,'建筑建议总览'!$A$5:$A$25,0))</f>
        <v/>
      </c>
      <c r="J86" s="44">
        <f>POWER(H86,D86-1)</f>
        <v/>
      </c>
      <c r="K86" s="44">
        <f>SUMIF($A$5:$A$328,$A86,$J$5:$J$328)</f>
        <v/>
      </c>
      <c r="L86" s="36">
        <f>IF(I86&gt;0,ROUNDDOWN(MAX(0,I86-G86*(F86-1))*J86/K86,0),0)</f>
        <v/>
      </c>
      <c r="M86" s="36">
        <f>IF(I86&gt;0,G86+L86+IF(D86=F86-1,MAX(0,I86-G86*(F86-1)-SUMIF($A$5:$A$328,$A86,$L$5:$L$328)),0),ROUNDUP(G86*POWER(INDEX('建筑总览'!$G$5:$G$25,MATCH($A86,'建筑总览'!$A$5:$A$25,0)),D86),0))</f>
        <v/>
      </c>
      <c r="N86" s="35">
        <f>M86/'参数与公式'!$B$21</f>
        <v/>
      </c>
      <c r="O86" s="36">
        <f>INDEX('建筑建议总览'!$P$5:$P$25,MATCH($A86,'建筑建议总览'!$A$5:$A$25,0))</f>
        <v/>
      </c>
      <c r="P86" s="36">
        <f>INDEX('建筑建议总览'!$Q$5:$Q$25,MATCH($A86,'建筑建议总览'!$A$5:$A$25,0))</f>
        <v/>
      </c>
      <c r="Q86" s="44">
        <f>INDEX('建筑建议总览'!$R$5:$R$25,MATCH($A86,'建筑建议总览'!$A$5:$A$25,0))</f>
        <v/>
      </c>
      <c r="R86" s="36">
        <f>INDEX('建筑建议总览'!$S$5:$S$25,MATCH($A86,'建筑建议总览'!$A$5:$A$25,0))</f>
        <v/>
      </c>
      <c r="S86" s="36">
        <f>INDEX('建筑建议总览'!$T$5:$T$25,MATCH($A86,'建筑建议总览'!$A$5:$A$25,0))</f>
        <v/>
      </c>
      <c r="T86" s="44">
        <f>POWER(Q86,D86-1)</f>
        <v/>
      </c>
      <c r="U86" s="44">
        <f>SUMIF($A$5:$A$328,$A86,$T$5:$T$328)</f>
        <v/>
      </c>
      <c r="V86" s="36">
        <f>IF(R86&gt;0,ROUNDDOWN(MAX(0,R86-O86*(F86-1))*T86/U86,0),0)</f>
        <v/>
      </c>
      <c r="W86" s="36">
        <f>IF(S86&gt;0,ROUNDDOWN(MAX(0,S86-P86*(F86-1))*T86/U86,0),0)</f>
        <v/>
      </c>
      <c r="X86" s="36">
        <f>IF(R86&gt;0,O86+V86+IF(D86=F86-1,MAX(0,R86-O86*(F86-1)-SUMIF($A$5:$A$328,$A86,$V$5:$V$328)),0),ROUNDUP(O86*POWER(INDEX('建筑总览'!$J$5:$J$25,MATCH($A86,'建筑总览'!$A$5:$A$25,0)),D86),0))</f>
        <v/>
      </c>
      <c r="Y86" s="36">
        <f>IF(P86=0,0,IF(S86&gt;0,P86+W86+IF(D86=F86-1,MAX(0,S86-P86*(F86-1)-SUMIF($A$5:$A$328,$A86,$W$5:$W$328)),0),ROUNDUP(P86*POWER(INDEX('建筑总览'!$J$5:$J$25,MATCH($A86,'建筑总览'!$A$5:$A$25,0)),D86),0)))</f>
        <v/>
      </c>
      <c r="Z86" s="36">
        <f>IF(X86=0,0,MAX(1,ROUNDUP(X86*(1-'参数与公式'!$B$17),0)))</f>
        <v/>
      </c>
      <c r="AA86" s="36">
        <f>IF(Y86=0,0,MAX(1,ROUNDUP(Y86*(1-'参数与公式'!$B$17),0)))</f>
        <v/>
      </c>
      <c r="AB86" s="33" t="inlineStr">
        <is>
          <t>预算模式末级补足余数；旧模式按指数公式</t>
        </is>
      </c>
      <c r="AC86" s="49">
        <f>IF(A86=A85,IFERROR(M86/M85,""),"")</f>
        <v/>
      </c>
      <c r="AD86" s="49">
        <f>IF(AND(A86=A85,X85&gt;0),X86/X85,"")</f>
        <v/>
      </c>
    </row>
    <row r="87" ht="30" customHeight="1">
      <c r="A87" s="33" t="inlineStr">
        <is>
          <t>bathhouse</t>
        </is>
      </c>
      <c r="B87" s="33" t="inlineStr">
        <is>
          <t>澡堂</t>
        </is>
      </c>
      <c r="C87" s="33" t="inlineStr">
        <is>
          <t>资源生产</t>
        </is>
      </c>
      <c r="D87" s="43" t="n">
        <v>5</v>
      </c>
      <c r="E87" s="36">
        <f>D87+1</f>
        <v/>
      </c>
      <c r="F87" s="43" t="n">
        <v>20</v>
      </c>
      <c r="G87" s="36">
        <f>INDEX('建筑建议总览'!$H$5:$H$25,MATCH($A87,'建筑建议总览'!$A$5:$A$25,0))</f>
        <v/>
      </c>
      <c r="H87" s="44">
        <f>INDEX('建筑建议总览'!$I$5:$I$25,MATCH($A87,'建筑建议总览'!$A$5:$A$25,0))</f>
        <v/>
      </c>
      <c r="I87" s="36">
        <f>INDEX('建筑建议总览'!$J$5:$J$25,MATCH($A87,'建筑建议总览'!$A$5:$A$25,0))</f>
        <v/>
      </c>
      <c r="J87" s="44">
        <f>POWER(H87,D87-1)</f>
        <v/>
      </c>
      <c r="K87" s="44">
        <f>SUMIF($A$5:$A$328,$A87,$J$5:$J$328)</f>
        <v/>
      </c>
      <c r="L87" s="36">
        <f>IF(I87&gt;0,ROUNDDOWN(MAX(0,I87-G87*(F87-1))*J87/K87,0),0)</f>
        <v/>
      </c>
      <c r="M87" s="36">
        <f>IF(I87&gt;0,G87+L87+IF(D87=F87-1,MAX(0,I87-G87*(F87-1)-SUMIF($A$5:$A$328,$A87,$L$5:$L$328)),0),ROUNDUP(G87*POWER(INDEX('建筑总览'!$G$5:$G$25,MATCH($A87,'建筑总览'!$A$5:$A$25,0)),D87),0))</f>
        <v/>
      </c>
      <c r="N87" s="35">
        <f>M87/'参数与公式'!$B$21</f>
        <v/>
      </c>
      <c r="O87" s="36">
        <f>INDEX('建筑建议总览'!$P$5:$P$25,MATCH($A87,'建筑建议总览'!$A$5:$A$25,0))</f>
        <v/>
      </c>
      <c r="P87" s="36">
        <f>INDEX('建筑建议总览'!$Q$5:$Q$25,MATCH($A87,'建筑建议总览'!$A$5:$A$25,0))</f>
        <v/>
      </c>
      <c r="Q87" s="44">
        <f>INDEX('建筑建议总览'!$R$5:$R$25,MATCH($A87,'建筑建议总览'!$A$5:$A$25,0))</f>
        <v/>
      </c>
      <c r="R87" s="36">
        <f>INDEX('建筑建议总览'!$S$5:$S$25,MATCH($A87,'建筑建议总览'!$A$5:$A$25,0))</f>
        <v/>
      </c>
      <c r="S87" s="36">
        <f>INDEX('建筑建议总览'!$T$5:$T$25,MATCH($A87,'建筑建议总览'!$A$5:$A$25,0))</f>
        <v/>
      </c>
      <c r="T87" s="44">
        <f>POWER(Q87,D87-1)</f>
        <v/>
      </c>
      <c r="U87" s="44">
        <f>SUMIF($A$5:$A$328,$A87,$T$5:$T$328)</f>
        <v/>
      </c>
      <c r="V87" s="36">
        <f>IF(R87&gt;0,ROUNDDOWN(MAX(0,R87-O87*(F87-1))*T87/U87,0),0)</f>
        <v/>
      </c>
      <c r="W87" s="36">
        <f>IF(S87&gt;0,ROUNDDOWN(MAX(0,S87-P87*(F87-1))*T87/U87,0),0)</f>
        <v/>
      </c>
      <c r="X87" s="36">
        <f>IF(R87&gt;0,O87+V87+IF(D87=F87-1,MAX(0,R87-O87*(F87-1)-SUMIF($A$5:$A$328,$A87,$V$5:$V$328)),0),ROUNDUP(O87*POWER(INDEX('建筑总览'!$J$5:$J$25,MATCH($A87,'建筑总览'!$A$5:$A$25,0)),D87),0))</f>
        <v/>
      </c>
      <c r="Y87" s="36">
        <f>IF(P87=0,0,IF(S87&gt;0,P87+W87+IF(D87=F87-1,MAX(0,S87-P87*(F87-1)-SUMIF($A$5:$A$328,$A87,$W$5:$W$328)),0),ROUNDUP(P87*POWER(INDEX('建筑总览'!$J$5:$J$25,MATCH($A87,'建筑总览'!$A$5:$A$25,0)),D87),0)))</f>
        <v/>
      </c>
      <c r="Z87" s="36">
        <f>IF(X87=0,0,MAX(1,ROUNDUP(X87*(1-'参数与公式'!$B$17),0)))</f>
        <v/>
      </c>
      <c r="AA87" s="36">
        <f>IF(Y87=0,0,MAX(1,ROUNDUP(Y87*(1-'参数与公式'!$B$17),0)))</f>
        <v/>
      </c>
      <c r="AB87" s="33" t="inlineStr">
        <is>
          <t>预算模式末级补足余数；旧模式按指数公式</t>
        </is>
      </c>
      <c r="AC87" s="49">
        <f>IF(A87=A86,IFERROR(M87/M86,""),"")</f>
        <v/>
      </c>
      <c r="AD87" s="49">
        <f>IF(AND(A87=A86,X86&gt;0),X87/X86,"")</f>
        <v/>
      </c>
    </row>
    <row r="88" ht="30" customHeight="1">
      <c r="A88" s="33" t="inlineStr">
        <is>
          <t>bathhouse</t>
        </is>
      </c>
      <c r="B88" s="33" t="inlineStr">
        <is>
          <t>澡堂</t>
        </is>
      </c>
      <c r="C88" s="33" t="inlineStr">
        <is>
          <t>资源生产</t>
        </is>
      </c>
      <c r="D88" s="43" t="n">
        <v>6</v>
      </c>
      <c r="E88" s="36">
        <f>D88+1</f>
        <v/>
      </c>
      <c r="F88" s="43" t="n">
        <v>20</v>
      </c>
      <c r="G88" s="36">
        <f>INDEX('建筑建议总览'!$H$5:$H$25,MATCH($A88,'建筑建议总览'!$A$5:$A$25,0))</f>
        <v/>
      </c>
      <c r="H88" s="44">
        <f>INDEX('建筑建议总览'!$I$5:$I$25,MATCH($A88,'建筑建议总览'!$A$5:$A$25,0))</f>
        <v/>
      </c>
      <c r="I88" s="36">
        <f>INDEX('建筑建议总览'!$J$5:$J$25,MATCH($A88,'建筑建议总览'!$A$5:$A$25,0))</f>
        <v/>
      </c>
      <c r="J88" s="44">
        <f>POWER(H88,D88-1)</f>
        <v/>
      </c>
      <c r="K88" s="44">
        <f>SUMIF($A$5:$A$328,$A88,$J$5:$J$328)</f>
        <v/>
      </c>
      <c r="L88" s="36">
        <f>IF(I88&gt;0,ROUNDDOWN(MAX(0,I88-G88*(F88-1))*J88/K88,0),0)</f>
        <v/>
      </c>
      <c r="M88" s="36">
        <f>IF(I88&gt;0,G88+L88+IF(D88=F88-1,MAX(0,I88-G88*(F88-1)-SUMIF($A$5:$A$328,$A88,$L$5:$L$328)),0),ROUNDUP(G88*POWER(INDEX('建筑总览'!$G$5:$G$25,MATCH($A88,'建筑总览'!$A$5:$A$25,0)),D88),0))</f>
        <v/>
      </c>
      <c r="N88" s="35">
        <f>M88/'参数与公式'!$B$21</f>
        <v/>
      </c>
      <c r="O88" s="36">
        <f>INDEX('建筑建议总览'!$P$5:$P$25,MATCH($A88,'建筑建议总览'!$A$5:$A$25,0))</f>
        <v/>
      </c>
      <c r="P88" s="36">
        <f>INDEX('建筑建议总览'!$Q$5:$Q$25,MATCH($A88,'建筑建议总览'!$A$5:$A$25,0))</f>
        <v/>
      </c>
      <c r="Q88" s="44">
        <f>INDEX('建筑建议总览'!$R$5:$R$25,MATCH($A88,'建筑建议总览'!$A$5:$A$25,0))</f>
        <v/>
      </c>
      <c r="R88" s="36">
        <f>INDEX('建筑建议总览'!$S$5:$S$25,MATCH($A88,'建筑建议总览'!$A$5:$A$25,0))</f>
        <v/>
      </c>
      <c r="S88" s="36">
        <f>INDEX('建筑建议总览'!$T$5:$T$25,MATCH($A88,'建筑建议总览'!$A$5:$A$25,0))</f>
        <v/>
      </c>
      <c r="T88" s="44">
        <f>POWER(Q88,D88-1)</f>
        <v/>
      </c>
      <c r="U88" s="44">
        <f>SUMIF($A$5:$A$328,$A88,$T$5:$T$328)</f>
        <v/>
      </c>
      <c r="V88" s="36">
        <f>IF(R88&gt;0,ROUNDDOWN(MAX(0,R88-O88*(F88-1))*T88/U88,0),0)</f>
        <v/>
      </c>
      <c r="W88" s="36">
        <f>IF(S88&gt;0,ROUNDDOWN(MAX(0,S88-P88*(F88-1))*T88/U88,0),0)</f>
        <v/>
      </c>
      <c r="X88" s="36">
        <f>IF(R88&gt;0,O88+V88+IF(D88=F88-1,MAX(0,R88-O88*(F88-1)-SUMIF($A$5:$A$328,$A88,$V$5:$V$328)),0),ROUNDUP(O88*POWER(INDEX('建筑总览'!$J$5:$J$25,MATCH($A88,'建筑总览'!$A$5:$A$25,0)),D88),0))</f>
        <v/>
      </c>
      <c r="Y88" s="36">
        <f>IF(P88=0,0,IF(S88&gt;0,P88+W88+IF(D88=F88-1,MAX(0,S88-P88*(F88-1)-SUMIF($A$5:$A$328,$A88,$W$5:$W$328)),0),ROUNDUP(P88*POWER(INDEX('建筑总览'!$J$5:$J$25,MATCH($A88,'建筑总览'!$A$5:$A$25,0)),D88),0)))</f>
        <v/>
      </c>
      <c r="Z88" s="36">
        <f>IF(X88=0,0,MAX(1,ROUNDUP(X88*(1-'参数与公式'!$B$17),0)))</f>
        <v/>
      </c>
      <c r="AA88" s="36">
        <f>IF(Y88=0,0,MAX(1,ROUNDUP(Y88*(1-'参数与公式'!$B$17),0)))</f>
        <v/>
      </c>
      <c r="AB88" s="33" t="inlineStr">
        <is>
          <t>预算模式末级补足余数；旧模式按指数公式</t>
        </is>
      </c>
      <c r="AC88" s="49">
        <f>IF(A88=A87,IFERROR(M88/M87,""),"")</f>
        <v/>
      </c>
      <c r="AD88" s="49">
        <f>IF(AND(A88=A87,X87&gt;0),X88/X87,"")</f>
        <v/>
      </c>
    </row>
    <row r="89" ht="30" customHeight="1">
      <c r="A89" s="33" t="inlineStr">
        <is>
          <t>bathhouse</t>
        </is>
      </c>
      <c r="B89" s="33" t="inlineStr">
        <is>
          <t>澡堂</t>
        </is>
      </c>
      <c r="C89" s="33" t="inlineStr">
        <is>
          <t>资源生产</t>
        </is>
      </c>
      <c r="D89" s="43" t="n">
        <v>7</v>
      </c>
      <c r="E89" s="36">
        <f>D89+1</f>
        <v/>
      </c>
      <c r="F89" s="43" t="n">
        <v>20</v>
      </c>
      <c r="G89" s="36">
        <f>INDEX('建筑建议总览'!$H$5:$H$25,MATCH($A89,'建筑建议总览'!$A$5:$A$25,0))</f>
        <v/>
      </c>
      <c r="H89" s="44">
        <f>INDEX('建筑建议总览'!$I$5:$I$25,MATCH($A89,'建筑建议总览'!$A$5:$A$25,0))</f>
        <v/>
      </c>
      <c r="I89" s="36">
        <f>INDEX('建筑建议总览'!$J$5:$J$25,MATCH($A89,'建筑建议总览'!$A$5:$A$25,0))</f>
        <v/>
      </c>
      <c r="J89" s="44">
        <f>POWER(H89,D89-1)</f>
        <v/>
      </c>
      <c r="K89" s="44">
        <f>SUMIF($A$5:$A$328,$A89,$J$5:$J$328)</f>
        <v/>
      </c>
      <c r="L89" s="36">
        <f>IF(I89&gt;0,ROUNDDOWN(MAX(0,I89-G89*(F89-1))*J89/K89,0),0)</f>
        <v/>
      </c>
      <c r="M89" s="36">
        <f>IF(I89&gt;0,G89+L89+IF(D89=F89-1,MAX(0,I89-G89*(F89-1)-SUMIF($A$5:$A$328,$A89,$L$5:$L$328)),0),ROUNDUP(G89*POWER(INDEX('建筑总览'!$G$5:$G$25,MATCH($A89,'建筑总览'!$A$5:$A$25,0)),D89),0))</f>
        <v/>
      </c>
      <c r="N89" s="35">
        <f>M89/'参数与公式'!$B$21</f>
        <v/>
      </c>
      <c r="O89" s="36">
        <f>INDEX('建筑建议总览'!$P$5:$P$25,MATCH($A89,'建筑建议总览'!$A$5:$A$25,0))</f>
        <v/>
      </c>
      <c r="P89" s="36">
        <f>INDEX('建筑建议总览'!$Q$5:$Q$25,MATCH($A89,'建筑建议总览'!$A$5:$A$25,0))</f>
        <v/>
      </c>
      <c r="Q89" s="44">
        <f>INDEX('建筑建议总览'!$R$5:$R$25,MATCH($A89,'建筑建议总览'!$A$5:$A$25,0))</f>
        <v/>
      </c>
      <c r="R89" s="36">
        <f>INDEX('建筑建议总览'!$S$5:$S$25,MATCH($A89,'建筑建议总览'!$A$5:$A$25,0))</f>
        <v/>
      </c>
      <c r="S89" s="36">
        <f>INDEX('建筑建议总览'!$T$5:$T$25,MATCH($A89,'建筑建议总览'!$A$5:$A$25,0))</f>
        <v/>
      </c>
      <c r="T89" s="44">
        <f>POWER(Q89,D89-1)</f>
        <v/>
      </c>
      <c r="U89" s="44">
        <f>SUMIF($A$5:$A$328,$A89,$T$5:$T$328)</f>
        <v/>
      </c>
      <c r="V89" s="36">
        <f>IF(R89&gt;0,ROUNDDOWN(MAX(0,R89-O89*(F89-1))*T89/U89,0),0)</f>
        <v/>
      </c>
      <c r="W89" s="36">
        <f>IF(S89&gt;0,ROUNDDOWN(MAX(0,S89-P89*(F89-1))*T89/U89,0),0)</f>
        <v/>
      </c>
      <c r="X89" s="36">
        <f>IF(R89&gt;0,O89+V89+IF(D89=F89-1,MAX(0,R89-O89*(F89-1)-SUMIF($A$5:$A$328,$A89,$V$5:$V$328)),0),ROUNDUP(O89*POWER(INDEX('建筑总览'!$J$5:$J$25,MATCH($A89,'建筑总览'!$A$5:$A$25,0)),D89),0))</f>
        <v/>
      </c>
      <c r="Y89" s="36">
        <f>IF(P89=0,0,IF(S89&gt;0,P89+W89+IF(D89=F89-1,MAX(0,S89-P89*(F89-1)-SUMIF($A$5:$A$328,$A89,$W$5:$W$328)),0),ROUNDUP(P89*POWER(INDEX('建筑总览'!$J$5:$J$25,MATCH($A89,'建筑总览'!$A$5:$A$25,0)),D89),0)))</f>
        <v/>
      </c>
      <c r="Z89" s="36">
        <f>IF(X89=0,0,MAX(1,ROUNDUP(X89*(1-'参数与公式'!$B$17),0)))</f>
        <v/>
      </c>
      <c r="AA89" s="36">
        <f>IF(Y89=0,0,MAX(1,ROUNDUP(Y89*(1-'参数与公式'!$B$17),0)))</f>
        <v/>
      </c>
      <c r="AB89" s="33" t="inlineStr">
        <is>
          <t>预算模式末级补足余数；旧模式按指数公式</t>
        </is>
      </c>
      <c r="AC89" s="49">
        <f>IF(A89=A88,IFERROR(M89/M88,""),"")</f>
        <v/>
      </c>
      <c r="AD89" s="49">
        <f>IF(AND(A89=A88,X88&gt;0),X89/X88,"")</f>
        <v/>
      </c>
    </row>
    <row r="90" ht="30" customHeight="1">
      <c r="A90" s="33" t="inlineStr">
        <is>
          <t>bathhouse</t>
        </is>
      </c>
      <c r="B90" s="33" t="inlineStr">
        <is>
          <t>澡堂</t>
        </is>
      </c>
      <c r="C90" s="33" t="inlineStr">
        <is>
          <t>资源生产</t>
        </is>
      </c>
      <c r="D90" s="43" t="n">
        <v>8</v>
      </c>
      <c r="E90" s="36">
        <f>D90+1</f>
        <v/>
      </c>
      <c r="F90" s="43" t="n">
        <v>20</v>
      </c>
      <c r="G90" s="36">
        <f>INDEX('建筑建议总览'!$H$5:$H$25,MATCH($A90,'建筑建议总览'!$A$5:$A$25,0))</f>
        <v/>
      </c>
      <c r="H90" s="44">
        <f>INDEX('建筑建议总览'!$I$5:$I$25,MATCH($A90,'建筑建议总览'!$A$5:$A$25,0))</f>
        <v/>
      </c>
      <c r="I90" s="36">
        <f>INDEX('建筑建议总览'!$J$5:$J$25,MATCH($A90,'建筑建议总览'!$A$5:$A$25,0))</f>
        <v/>
      </c>
      <c r="J90" s="44">
        <f>POWER(H90,D90-1)</f>
        <v/>
      </c>
      <c r="K90" s="44">
        <f>SUMIF($A$5:$A$328,$A90,$J$5:$J$328)</f>
        <v/>
      </c>
      <c r="L90" s="36">
        <f>IF(I90&gt;0,ROUNDDOWN(MAX(0,I90-G90*(F90-1))*J90/K90,0),0)</f>
        <v/>
      </c>
      <c r="M90" s="36">
        <f>IF(I90&gt;0,G90+L90+IF(D90=F90-1,MAX(0,I90-G90*(F90-1)-SUMIF($A$5:$A$328,$A90,$L$5:$L$328)),0),ROUNDUP(G90*POWER(INDEX('建筑总览'!$G$5:$G$25,MATCH($A90,'建筑总览'!$A$5:$A$25,0)),D90),0))</f>
        <v/>
      </c>
      <c r="N90" s="35">
        <f>M90/'参数与公式'!$B$21</f>
        <v/>
      </c>
      <c r="O90" s="36">
        <f>INDEX('建筑建议总览'!$P$5:$P$25,MATCH($A90,'建筑建议总览'!$A$5:$A$25,0))</f>
        <v/>
      </c>
      <c r="P90" s="36">
        <f>INDEX('建筑建议总览'!$Q$5:$Q$25,MATCH($A90,'建筑建议总览'!$A$5:$A$25,0))</f>
        <v/>
      </c>
      <c r="Q90" s="44">
        <f>INDEX('建筑建议总览'!$R$5:$R$25,MATCH($A90,'建筑建议总览'!$A$5:$A$25,0))</f>
        <v/>
      </c>
      <c r="R90" s="36">
        <f>INDEX('建筑建议总览'!$S$5:$S$25,MATCH($A90,'建筑建议总览'!$A$5:$A$25,0))</f>
        <v/>
      </c>
      <c r="S90" s="36">
        <f>INDEX('建筑建议总览'!$T$5:$T$25,MATCH($A90,'建筑建议总览'!$A$5:$A$25,0))</f>
        <v/>
      </c>
      <c r="T90" s="44">
        <f>POWER(Q90,D90-1)</f>
        <v/>
      </c>
      <c r="U90" s="44">
        <f>SUMIF($A$5:$A$328,$A90,$T$5:$T$328)</f>
        <v/>
      </c>
      <c r="V90" s="36">
        <f>IF(R90&gt;0,ROUNDDOWN(MAX(0,R90-O90*(F90-1))*T90/U90,0),0)</f>
        <v/>
      </c>
      <c r="W90" s="36">
        <f>IF(S90&gt;0,ROUNDDOWN(MAX(0,S90-P90*(F90-1))*T90/U90,0),0)</f>
        <v/>
      </c>
      <c r="X90" s="36">
        <f>IF(R90&gt;0,O90+V90+IF(D90=F90-1,MAX(0,R90-O90*(F90-1)-SUMIF($A$5:$A$328,$A90,$V$5:$V$328)),0),ROUNDUP(O90*POWER(INDEX('建筑总览'!$J$5:$J$25,MATCH($A90,'建筑总览'!$A$5:$A$25,0)),D90),0))</f>
        <v/>
      </c>
      <c r="Y90" s="36">
        <f>IF(P90=0,0,IF(S90&gt;0,P90+W90+IF(D90=F90-1,MAX(0,S90-P90*(F90-1)-SUMIF($A$5:$A$328,$A90,$W$5:$W$328)),0),ROUNDUP(P90*POWER(INDEX('建筑总览'!$J$5:$J$25,MATCH($A90,'建筑总览'!$A$5:$A$25,0)),D90),0)))</f>
        <v/>
      </c>
      <c r="Z90" s="36">
        <f>IF(X90=0,0,MAX(1,ROUNDUP(X90*(1-'参数与公式'!$B$17),0)))</f>
        <v/>
      </c>
      <c r="AA90" s="36">
        <f>IF(Y90=0,0,MAX(1,ROUNDUP(Y90*(1-'参数与公式'!$B$17),0)))</f>
        <v/>
      </c>
      <c r="AB90" s="33" t="inlineStr">
        <is>
          <t>预算模式末级补足余数；旧模式按指数公式</t>
        </is>
      </c>
      <c r="AC90" s="49">
        <f>IF(A90=A89,IFERROR(M90/M89,""),"")</f>
        <v/>
      </c>
      <c r="AD90" s="49">
        <f>IF(AND(A90=A89,X89&gt;0),X90/X89,"")</f>
        <v/>
      </c>
    </row>
    <row r="91" ht="30" customHeight="1">
      <c r="A91" s="33" t="inlineStr">
        <is>
          <t>bathhouse</t>
        </is>
      </c>
      <c r="B91" s="33" t="inlineStr">
        <is>
          <t>澡堂</t>
        </is>
      </c>
      <c r="C91" s="33" t="inlineStr">
        <is>
          <t>资源生产</t>
        </is>
      </c>
      <c r="D91" s="43" t="n">
        <v>9</v>
      </c>
      <c r="E91" s="36">
        <f>D91+1</f>
        <v/>
      </c>
      <c r="F91" s="43" t="n">
        <v>20</v>
      </c>
      <c r="G91" s="36">
        <f>INDEX('建筑建议总览'!$H$5:$H$25,MATCH($A91,'建筑建议总览'!$A$5:$A$25,0))</f>
        <v/>
      </c>
      <c r="H91" s="44">
        <f>INDEX('建筑建议总览'!$I$5:$I$25,MATCH($A91,'建筑建议总览'!$A$5:$A$25,0))</f>
        <v/>
      </c>
      <c r="I91" s="36">
        <f>INDEX('建筑建议总览'!$J$5:$J$25,MATCH($A91,'建筑建议总览'!$A$5:$A$25,0))</f>
        <v/>
      </c>
      <c r="J91" s="44">
        <f>POWER(H91,D91-1)</f>
        <v/>
      </c>
      <c r="K91" s="44">
        <f>SUMIF($A$5:$A$328,$A91,$J$5:$J$328)</f>
        <v/>
      </c>
      <c r="L91" s="36">
        <f>IF(I91&gt;0,ROUNDDOWN(MAX(0,I91-G91*(F91-1))*J91/K91,0),0)</f>
        <v/>
      </c>
      <c r="M91" s="36">
        <f>IF(I91&gt;0,G91+L91+IF(D91=F91-1,MAX(0,I91-G91*(F91-1)-SUMIF($A$5:$A$328,$A91,$L$5:$L$328)),0),ROUNDUP(G91*POWER(INDEX('建筑总览'!$G$5:$G$25,MATCH($A91,'建筑总览'!$A$5:$A$25,0)),D91),0))</f>
        <v/>
      </c>
      <c r="N91" s="35">
        <f>M91/'参数与公式'!$B$21</f>
        <v/>
      </c>
      <c r="O91" s="36">
        <f>INDEX('建筑建议总览'!$P$5:$P$25,MATCH($A91,'建筑建议总览'!$A$5:$A$25,0))</f>
        <v/>
      </c>
      <c r="P91" s="36">
        <f>INDEX('建筑建议总览'!$Q$5:$Q$25,MATCH($A91,'建筑建议总览'!$A$5:$A$25,0))</f>
        <v/>
      </c>
      <c r="Q91" s="44">
        <f>INDEX('建筑建议总览'!$R$5:$R$25,MATCH($A91,'建筑建议总览'!$A$5:$A$25,0))</f>
        <v/>
      </c>
      <c r="R91" s="36">
        <f>INDEX('建筑建议总览'!$S$5:$S$25,MATCH($A91,'建筑建议总览'!$A$5:$A$25,0))</f>
        <v/>
      </c>
      <c r="S91" s="36">
        <f>INDEX('建筑建议总览'!$T$5:$T$25,MATCH($A91,'建筑建议总览'!$A$5:$A$25,0))</f>
        <v/>
      </c>
      <c r="T91" s="44">
        <f>POWER(Q91,D91-1)</f>
        <v/>
      </c>
      <c r="U91" s="44">
        <f>SUMIF($A$5:$A$328,$A91,$T$5:$T$328)</f>
        <v/>
      </c>
      <c r="V91" s="36">
        <f>IF(R91&gt;0,ROUNDDOWN(MAX(0,R91-O91*(F91-1))*T91/U91,0),0)</f>
        <v/>
      </c>
      <c r="W91" s="36">
        <f>IF(S91&gt;0,ROUNDDOWN(MAX(0,S91-P91*(F91-1))*T91/U91,0),0)</f>
        <v/>
      </c>
      <c r="X91" s="36">
        <f>IF(R91&gt;0,O91+V91+IF(D91=F91-1,MAX(0,R91-O91*(F91-1)-SUMIF($A$5:$A$328,$A91,$V$5:$V$328)),0),ROUNDUP(O91*POWER(INDEX('建筑总览'!$J$5:$J$25,MATCH($A91,'建筑总览'!$A$5:$A$25,0)),D91),0))</f>
        <v/>
      </c>
      <c r="Y91" s="36">
        <f>IF(P91=0,0,IF(S91&gt;0,P91+W91+IF(D91=F91-1,MAX(0,S91-P91*(F91-1)-SUMIF($A$5:$A$328,$A91,$W$5:$W$328)),0),ROUNDUP(P91*POWER(INDEX('建筑总览'!$J$5:$J$25,MATCH($A91,'建筑总览'!$A$5:$A$25,0)),D91),0)))</f>
        <v/>
      </c>
      <c r="Z91" s="36">
        <f>IF(X91=0,0,MAX(1,ROUNDUP(X91*(1-'参数与公式'!$B$17),0)))</f>
        <v/>
      </c>
      <c r="AA91" s="36">
        <f>IF(Y91=0,0,MAX(1,ROUNDUP(Y91*(1-'参数与公式'!$B$17),0)))</f>
        <v/>
      </c>
      <c r="AB91" s="33" t="inlineStr">
        <is>
          <t>预算模式末级补足余数；旧模式按指数公式</t>
        </is>
      </c>
      <c r="AC91" s="49">
        <f>IF(A91=A90,IFERROR(M91/M90,""),"")</f>
        <v/>
      </c>
      <c r="AD91" s="49">
        <f>IF(AND(A91=A90,X90&gt;0),X91/X90,"")</f>
        <v/>
      </c>
    </row>
    <row r="92" ht="30" customHeight="1">
      <c r="A92" s="33" t="inlineStr">
        <is>
          <t>bathhouse</t>
        </is>
      </c>
      <c r="B92" s="33" t="inlineStr">
        <is>
          <t>澡堂</t>
        </is>
      </c>
      <c r="C92" s="33" t="inlineStr">
        <is>
          <t>资源生产</t>
        </is>
      </c>
      <c r="D92" s="43" t="n">
        <v>10</v>
      </c>
      <c r="E92" s="36">
        <f>D92+1</f>
        <v/>
      </c>
      <c r="F92" s="43" t="n">
        <v>20</v>
      </c>
      <c r="G92" s="36">
        <f>INDEX('建筑建议总览'!$H$5:$H$25,MATCH($A92,'建筑建议总览'!$A$5:$A$25,0))</f>
        <v/>
      </c>
      <c r="H92" s="44">
        <f>INDEX('建筑建议总览'!$I$5:$I$25,MATCH($A92,'建筑建议总览'!$A$5:$A$25,0))</f>
        <v/>
      </c>
      <c r="I92" s="36">
        <f>INDEX('建筑建议总览'!$J$5:$J$25,MATCH($A92,'建筑建议总览'!$A$5:$A$25,0))</f>
        <v/>
      </c>
      <c r="J92" s="44">
        <f>POWER(H92,D92-1)</f>
        <v/>
      </c>
      <c r="K92" s="44">
        <f>SUMIF($A$5:$A$328,$A92,$J$5:$J$328)</f>
        <v/>
      </c>
      <c r="L92" s="36">
        <f>IF(I92&gt;0,ROUNDDOWN(MAX(0,I92-G92*(F92-1))*J92/K92,0),0)</f>
        <v/>
      </c>
      <c r="M92" s="36">
        <f>IF(I92&gt;0,G92+L92+IF(D92=F92-1,MAX(0,I92-G92*(F92-1)-SUMIF($A$5:$A$328,$A92,$L$5:$L$328)),0),ROUNDUP(G92*POWER(INDEX('建筑总览'!$G$5:$G$25,MATCH($A92,'建筑总览'!$A$5:$A$25,0)),D92),0))</f>
        <v/>
      </c>
      <c r="N92" s="35">
        <f>M92/'参数与公式'!$B$21</f>
        <v/>
      </c>
      <c r="O92" s="36">
        <f>INDEX('建筑建议总览'!$P$5:$P$25,MATCH($A92,'建筑建议总览'!$A$5:$A$25,0))</f>
        <v/>
      </c>
      <c r="P92" s="36">
        <f>INDEX('建筑建议总览'!$Q$5:$Q$25,MATCH($A92,'建筑建议总览'!$A$5:$A$25,0))</f>
        <v/>
      </c>
      <c r="Q92" s="44">
        <f>INDEX('建筑建议总览'!$R$5:$R$25,MATCH($A92,'建筑建议总览'!$A$5:$A$25,0))</f>
        <v/>
      </c>
      <c r="R92" s="36">
        <f>INDEX('建筑建议总览'!$S$5:$S$25,MATCH($A92,'建筑建议总览'!$A$5:$A$25,0))</f>
        <v/>
      </c>
      <c r="S92" s="36">
        <f>INDEX('建筑建议总览'!$T$5:$T$25,MATCH($A92,'建筑建议总览'!$A$5:$A$25,0))</f>
        <v/>
      </c>
      <c r="T92" s="44">
        <f>POWER(Q92,D92-1)</f>
        <v/>
      </c>
      <c r="U92" s="44">
        <f>SUMIF($A$5:$A$328,$A92,$T$5:$T$328)</f>
        <v/>
      </c>
      <c r="V92" s="36">
        <f>IF(R92&gt;0,ROUNDDOWN(MAX(0,R92-O92*(F92-1))*T92/U92,0),0)</f>
        <v/>
      </c>
      <c r="W92" s="36">
        <f>IF(S92&gt;0,ROUNDDOWN(MAX(0,S92-P92*(F92-1))*T92/U92,0),0)</f>
        <v/>
      </c>
      <c r="X92" s="36">
        <f>IF(R92&gt;0,O92+V92+IF(D92=F92-1,MAX(0,R92-O92*(F92-1)-SUMIF($A$5:$A$328,$A92,$V$5:$V$328)),0),ROUNDUP(O92*POWER(INDEX('建筑总览'!$J$5:$J$25,MATCH($A92,'建筑总览'!$A$5:$A$25,0)),D92),0))</f>
        <v/>
      </c>
      <c r="Y92" s="36">
        <f>IF(P92=0,0,IF(S92&gt;0,P92+W92+IF(D92=F92-1,MAX(0,S92-P92*(F92-1)-SUMIF($A$5:$A$328,$A92,$W$5:$W$328)),0),ROUNDUP(P92*POWER(INDEX('建筑总览'!$J$5:$J$25,MATCH($A92,'建筑总览'!$A$5:$A$25,0)),D92),0)))</f>
        <v/>
      </c>
      <c r="Z92" s="36">
        <f>IF(X92=0,0,MAX(1,ROUNDUP(X92*(1-'参数与公式'!$B$17),0)))</f>
        <v/>
      </c>
      <c r="AA92" s="36">
        <f>IF(Y92=0,0,MAX(1,ROUNDUP(Y92*(1-'参数与公式'!$B$17),0)))</f>
        <v/>
      </c>
      <c r="AB92" s="33" t="inlineStr">
        <is>
          <t>预算模式末级补足余数；旧模式按指数公式</t>
        </is>
      </c>
      <c r="AC92" s="49">
        <f>IF(A92=A91,IFERROR(M92/M91,""),"")</f>
        <v/>
      </c>
      <c r="AD92" s="49">
        <f>IF(AND(A92=A91,X91&gt;0),X92/X91,"")</f>
        <v/>
      </c>
    </row>
    <row r="93" ht="30" customHeight="1">
      <c r="A93" s="33" t="inlineStr">
        <is>
          <t>bathhouse</t>
        </is>
      </c>
      <c r="B93" s="33" t="inlineStr">
        <is>
          <t>澡堂</t>
        </is>
      </c>
      <c r="C93" s="33" t="inlineStr">
        <is>
          <t>资源生产</t>
        </is>
      </c>
      <c r="D93" s="43" t="n">
        <v>11</v>
      </c>
      <c r="E93" s="36">
        <f>D93+1</f>
        <v/>
      </c>
      <c r="F93" s="43" t="n">
        <v>20</v>
      </c>
      <c r="G93" s="36">
        <f>INDEX('建筑建议总览'!$H$5:$H$25,MATCH($A93,'建筑建议总览'!$A$5:$A$25,0))</f>
        <v/>
      </c>
      <c r="H93" s="44">
        <f>INDEX('建筑建议总览'!$I$5:$I$25,MATCH($A93,'建筑建议总览'!$A$5:$A$25,0))</f>
        <v/>
      </c>
      <c r="I93" s="36">
        <f>INDEX('建筑建议总览'!$J$5:$J$25,MATCH($A93,'建筑建议总览'!$A$5:$A$25,0))</f>
        <v/>
      </c>
      <c r="J93" s="44">
        <f>POWER(H93,D93-1)</f>
        <v/>
      </c>
      <c r="K93" s="44">
        <f>SUMIF($A$5:$A$328,$A93,$J$5:$J$328)</f>
        <v/>
      </c>
      <c r="L93" s="36">
        <f>IF(I93&gt;0,ROUNDDOWN(MAX(0,I93-G93*(F93-1))*J93/K93,0),0)</f>
        <v/>
      </c>
      <c r="M93" s="36">
        <f>IF(I93&gt;0,G93+L93+IF(D93=F93-1,MAX(0,I93-G93*(F93-1)-SUMIF($A$5:$A$328,$A93,$L$5:$L$328)),0),ROUNDUP(G93*POWER(INDEX('建筑总览'!$G$5:$G$25,MATCH($A93,'建筑总览'!$A$5:$A$25,0)),D93),0))</f>
        <v/>
      </c>
      <c r="N93" s="35">
        <f>M93/'参数与公式'!$B$21</f>
        <v/>
      </c>
      <c r="O93" s="36">
        <f>INDEX('建筑建议总览'!$P$5:$P$25,MATCH($A93,'建筑建议总览'!$A$5:$A$25,0))</f>
        <v/>
      </c>
      <c r="P93" s="36">
        <f>INDEX('建筑建议总览'!$Q$5:$Q$25,MATCH($A93,'建筑建议总览'!$A$5:$A$25,0))</f>
        <v/>
      </c>
      <c r="Q93" s="44">
        <f>INDEX('建筑建议总览'!$R$5:$R$25,MATCH($A93,'建筑建议总览'!$A$5:$A$25,0))</f>
        <v/>
      </c>
      <c r="R93" s="36">
        <f>INDEX('建筑建议总览'!$S$5:$S$25,MATCH($A93,'建筑建议总览'!$A$5:$A$25,0))</f>
        <v/>
      </c>
      <c r="S93" s="36">
        <f>INDEX('建筑建议总览'!$T$5:$T$25,MATCH($A93,'建筑建议总览'!$A$5:$A$25,0))</f>
        <v/>
      </c>
      <c r="T93" s="44">
        <f>POWER(Q93,D93-1)</f>
        <v/>
      </c>
      <c r="U93" s="44">
        <f>SUMIF($A$5:$A$328,$A93,$T$5:$T$328)</f>
        <v/>
      </c>
      <c r="V93" s="36">
        <f>IF(R93&gt;0,ROUNDDOWN(MAX(0,R93-O93*(F93-1))*T93/U93,0),0)</f>
        <v/>
      </c>
      <c r="W93" s="36">
        <f>IF(S93&gt;0,ROUNDDOWN(MAX(0,S93-P93*(F93-1))*T93/U93,0),0)</f>
        <v/>
      </c>
      <c r="X93" s="36">
        <f>IF(R93&gt;0,O93+V93+IF(D93=F93-1,MAX(0,R93-O93*(F93-1)-SUMIF($A$5:$A$328,$A93,$V$5:$V$328)),0),ROUNDUP(O93*POWER(INDEX('建筑总览'!$J$5:$J$25,MATCH($A93,'建筑总览'!$A$5:$A$25,0)),D93),0))</f>
        <v/>
      </c>
      <c r="Y93" s="36">
        <f>IF(P93=0,0,IF(S93&gt;0,P93+W93+IF(D93=F93-1,MAX(0,S93-P93*(F93-1)-SUMIF($A$5:$A$328,$A93,$W$5:$W$328)),0),ROUNDUP(P93*POWER(INDEX('建筑总览'!$J$5:$J$25,MATCH($A93,'建筑总览'!$A$5:$A$25,0)),D93),0)))</f>
        <v/>
      </c>
      <c r="Z93" s="36">
        <f>IF(X93=0,0,MAX(1,ROUNDUP(X93*(1-'参数与公式'!$B$17),0)))</f>
        <v/>
      </c>
      <c r="AA93" s="36">
        <f>IF(Y93=0,0,MAX(1,ROUNDUP(Y93*(1-'参数与公式'!$B$17),0)))</f>
        <v/>
      </c>
      <c r="AB93" s="33" t="inlineStr">
        <is>
          <t>预算模式末级补足余数；旧模式按指数公式</t>
        </is>
      </c>
      <c r="AC93" s="49">
        <f>IF(A93=A92,IFERROR(M93/M92,""),"")</f>
        <v/>
      </c>
      <c r="AD93" s="49">
        <f>IF(AND(A93=A92,X92&gt;0),X93/X92,"")</f>
        <v/>
      </c>
    </row>
    <row r="94" ht="30" customHeight="1">
      <c r="A94" s="33" t="inlineStr">
        <is>
          <t>bathhouse</t>
        </is>
      </c>
      <c r="B94" s="33" t="inlineStr">
        <is>
          <t>澡堂</t>
        </is>
      </c>
      <c r="C94" s="33" t="inlineStr">
        <is>
          <t>资源生产</t>
        </is>
      </c>
      <c r="D94" s="43" t="n">
        <v>12</v>
      </c>
      <c r="E94" s="36">
        <f>D94+1</f>
        <v/>
      </c>
      <c r="F94" s="43" t="n">
        <v>20</v>
      </c>
      <c r="G94" s="36">
        <f>INDEX('建筑建议总览'!$H$5:$H$25,MATCH($A94,'建筑建议总览'!$A$5:$A$25,0))</f>
        <v/>
      </c>
      <c r="H94" s="44">
        <f>INDEX('建筑建议总览'!$I$5:$I$25,MATCH($A94,'建筑建议总览'!$A$5:$A$25,0))</f>
        <v/>
      </c>
      <c r="I94" s="36">
        <f>INDEX('建筑建议总览'!$J$5:$J$25,MATCH($A94,'建筑建议总览'!$A$5:$A$25,0))</f>
        <v/>
      </c>
      <c r="J94" s="44">
        <f>POWER(H94,D94-1)</f>
        <v/>
      </c>
      <c r="K94" s="44">
        <f>SUMIF($A$5:$A$328,$A94,$J$5:$J$328)</f>
        <v/>
      </c>
      <c r="L94" s="36">
        <f>IF(I94&gt;0,ROUNDDOWN(MAX(0,I94-G94*(F94-1))*J94/K94,0),0)</f>
        <v/>
      </c>
      <c r="M94" s="36">
        <f>IF(I94&gt;0,G94+L94+IF(D94=F94-1,MAX(0,I94-G94*(F94-1)-SUMIF($A$5:$A$328,$A94,$L$5:$L$328)),0),ROUNDUP(G94*POWER(INDEX('建筑总览'!$G$5:$G$25,MATCH($A94,'建筑总览'!$A$5:$A$25,0)),D94),0))</f>
        <v/>
      </c>
      <c r="N94" s="35">
        <f>M94/'参数与公式'!$B$21</f>
        <v/>
      </c>
      <c r="O94" s="36">
        <f>INDEX('建筑建议总览'!$P$5:$P$25,MATCH($A94,'建筑建议总览'!$A$5:$A$25,0))</f>
        <v/>
      </c>
      <c r="P94" s="36">
        <f>INDEX('建筑建议总览'!$Q$5:$Q$25,MATCH($A94,'建筑建议总览'!$A$5:$A$25,0))</f>
        <v/>
      </c>
      <c r="Q94" s="44">
        <f>INDEX('建筑建议总览'!$R$5:$R$25,MATCH($A94,'建筑建议总览'!$A$5:$A$25,0))</f>
        <v/>
      </c>
      <c r="R94" s="36">
        <f>INDEX('建筑建议总览'!$S$5:$S$25,MATCH($A94,'建筑建议总览'!$A$5:$A$25,0))</f>
        <v/>
      </c>
      <c r="S94" s="36">
        <f>INDEX('建筑建议总览'!$T$5:$T$25,MATCH($A94,'建筑建议总览'!$A$5:$A$25,0))</f>
        <v/>
      </c>
      <c r="T94" s="44">
        <f>POWER(Q94,D94-1)</f>
        <v/>
      </c>
      <c r="U94" s="44">
        <f>SUMIF($A$5:$A$328,$A94,$T$5:$T$328)</f>
        <v/>
      </c>
      <c r="V94" s="36">
        <f>IF(R94&gt;0,ROUNDDOWN(MAX(0,R94-O94*(F94-1))*T94/U94,0),0)</f>
        <v/>
      </c>
      <c r="W94" s="36">
        <f>IF(S94&gt;0,ROUNDDOWN(MAX(0,S94-P94*(F94-1))*T94/U94,0),0)</f>
        <v/>
      </c>
      <c r="X94" s="36">
        <f>IF(R94&gt;0,O94+V94+IF(D94=F94-1,MAX(0,R94-O94*(F94-1)-SUMIF($A$5:$A$328,$A94,$V$5:$V$328)),0),ROUNDUP(O94*POWER(INDEX('建筑总览'!$J$5:$J$25,MATCH($A94,'建筑总览'!$A$5:$A$25,0)),D94),0))</f>
        <v/>
      </c>
      <c r="Y94" s="36">
        <f>IF(P94=0,0,IF(S94&gt;0,P94+W94+IF(D94=F94-1,MAX(0,S94-P94*(F94-1)-SUMIF($A$5:$A$328,$A94,$W$5:$W$328)),0),ROUNDUP(P94*POWER(INDEX('建筑总览'!$J$5:$J$25,MATCH($A94,'建筑总览'!$A$5:$A$25,0)),D94),0)))</f>
        <v/>
      </c>
      <c r="Z94" s="36">
        <f>IF(X94=0,0,MAX(1,ROUNDUP(X94*(1-'参数与公式'!$B$17),0)))</f>
        <v/>
      </c>
      <c r="AA94" s="36">
        <f>IF(Y94=0,0,MAX(1,ROUNDUP(Y94*(1-'参数与公式'!$B$17),0)))</f>
        <v/>
      </c>
      <c r="AB94" s="33" t="inlineStr">
        <is>
          <t>预算模式末级补足余数；旧模式按指数公式</t>
        </is>
      </c>
      <c r="AC94" s="49">
        <f>IF(A94=A93,IFERROR(M94/M93,""),"")</f>
        <v/>
      </c>
      <c r="AD94" s="49">
        <f>IF(AND(A94=A93,X93&gt;0),X94/X93,"")</f>
        <v/>
      </c>
    </row>
    <row r="95" ht="30" customHeight="1">
      <c r="A95" s="33" t="inlineStr">
        <is>
          <t>bathhouse</t>
        </is>
      </c>
      <c r="B95" s="33" t="inlineStr">
        <is>
          <t>澡堂</t>
        </is>
      </c>
      <c r="C95" s="33" t="inlineStr">
        <is>
          <t>资源生产</t>
        </is>
      </c>
      <c r="D95" s="43" t="n">
        <v>13</v>
      </c>
      <c r="E95" s="36">
        <f>D95+1</f>
        <v/>
      </c>
      <c r="F95" s="43" t="n">
        <v>20</v>
      </c>
      <c r="G95" s="36">
        <f>INDEX('建筑建议总览'!$H$5:$H$25,MATCH($A95,'建筑建议总览'!$A$5:$A$25,0))</f>
        <v/>
      </c>
      <c r="H95" s="44">
        <f>INDEX('建筑建议总览'!$I$5:$I$25,MATCH($A95,'建筑建议总览'!$A$5:$A$25,0))</f>
        <v/>
      </c>
      <c r="I95" s="36">
        <f>INDEX('建筑建议总览'!$J$5:$J$25,MATCH($A95,'建筑建议总览'!$A$5:$A$25,0))</f>
        <v/>
      </c>
      <c r="J95" s="44">
        <f>POWER(H95,D95-1)</f>
        <v/>
      </c>
      <c r="K95" s="44">
        <f>SUMIF($A$5:$A$328,$A95,$J$5:$J$328)</f>
        <v/>
      </c>
      <c r="L95" s="36">
        <f>IF(I95&gt;0,ROUNDDOWN(MAX(0,I95-G95*(F95-1))*J95/K95,0),0)</f>
        <v/>
      </c>
      <c r="M95" s="36">
        <f>IF(I95&gt;0,G95+L95+IF(D95=F95-1,MAX(0,I95-G95*(F95-1)-SUMIF($A$5:$A$328,$A95,$L$5:$L$328)),0),ROUNDUP(G95*POWER(INDEX('建筑总览'!$G$5:$G$25,MATCH($A95,'建筑总览'!$A$5:$A$25,0)),D95),0))</f>
        <v/>
      </c>
      <c r="N95" s="35">
        <f>M95/'参数与公式'!$B$21</f>
        <v/>
      </c>
      <c r="O95" s="36">
        <f>INDEX('建筑建议总览'!$P$5:$P$25,MATCH($A95,'建筑建议总览'!$A$5:$A$25,0))</f>
        <v/>
      </c>
      <c r="P95" s="36">
        <f>INDEX('建筑建议总览'!$Q$5:$Q$25,MATCH($A95,'建筑建议总览'!$A$5:$A$25,0))</f>
        <v/>
      </c>
      <c r="Q95" s="44">
        <f>INDEX('建筑建议总览'!$R$5:$R$25,MATCH($A95,'建筑建议总览'!$A$5:$A$25,0))</f>
        <v/>
      </c>
      <c r="R95" s="36">
        <f>INDEX('建筑建议总览'!$S$5:$S$25,MATCH($A95,'建筑建议总览'!$A$5:$A$25,0))</f>
        <v/>
      </c>
      <c r="S95" s="36">
        <f>INDEX('建筑建议总览'!$T$5:$T$25,MATCH($A95,'建筑建议总览'!$A$5:$A$25,0))</f>
        <v/>
      </c>
      <c r="T95" s="44">
        <f>POWER(Q95,D95-1)</f>
        <v/>
      </c>
      <c r="U95" s="44">
        <f>SUMIF($A$5:$A$328,$A95,$T$5:$T$328)</f>
        <v/>
      </c>
      <c r="V95" s="36">
        <f>IF(R95&gt;0,ROUNDDOWN(MAX(0,R95-O95*(F95-1))*T95/U95,0),0)</f>
        <v/>
      </c>
      <c r="W95" s="36">
        <f>IF(S95&gt;0,ROUNDDOWN(MAX(0,S95-P95*(F95-1))*T95/U95,0),0)</f>
        <v/>
      </c>
      <c r="X95" s="36">
        <f>IF(R95&gt;0,O95+V95+IF(D95=F95-1,MAX(0,R95-O95*(F95-1)-SUMIF($A$5:$A$328,$A95,$V$5:$V$328)),0),ROUNDUP(O95*POWER(INDEX('建筑总览'!$J$5:$J$25,MATCH($A95,'建筑总览'!$A$5:$A$25,0)),D95),0))</f>
        <v/>
      </c>
      <c r="Y95" s="36">
        <f>IF(P95=0,0,IF(S95&gt;0,P95+W95+IF(D95=F95-1,MAX(0,S95-P95*(F95-1)-SUMIF($A$5:$A$328,$A95,$W$5:$W$328)),0),ROUNDUP(P95*POWER(INDEX('建筑总览'!$J$5:$J$25,MATCH($A95,'建筑总览'!$A$5:$A$25,0)),D95),0)))</f>
        <v/>
      </c>
      <c r="Z95" s="36">
        <f>IF(X95=0,0,MAX(1,ROUNDUP(X95*(1-'参数与公式'!$B$17),0)))</f>
        <v/>
      </c>
      <c r="AA95" s="36">
        <f>IF(Y95=0,0,MAX(1,ROUNDUP(Y95*(1-'参数与公式'!$B$17),0)))</f>
        <v/>
      </c>
      <c r="AB95" s="33" t="inlineStr">
        <is>
          <t>预算模式末级补足余数；旧模式按指数公式</t>
        </is>
      </c>
      <c r="AC95" s="49">
        <f>IF(A95=A94,IFERROR(M95/M94,""),"")</f>
        <v/>
      </c>
      <c r="AD95" s="49">
        <f>IF(AND(A95=A94,X94&gt;0),X95/X94,"")</f>
        <v/>
      </c>
    </row>
    <row r="96" ht="30" customHeight="1">
      <c r="A96" s="33" t="inlineStr">
        <is>
          <t>bathhouse</t>
        </is>
      </c>
      <c r="B96" s="33" t="inlineStr">
        <is>
          <t>澡堂</t>
        </is>
      </c>
      <c r="C96" s="33" t="inlineStr">
        <is>
          <t>资源生产</t>
        </is>
      </c>
      <c r="D96" s="43" t="n">
        <v>14</v>
      </c>
      <c r="E96" s="36">
        <f>D96+1</f>
        <v/>
      </c>
      <c r="F96" s="43" t="n">
        <v>20</v>
      </c>
      <c r="G96" s="36">
        <f>INDEX('建筑建议总览'!$H$5:$H$25,MATCH($A96,'建筑建议总览'!$A$5:$A$25,0))</f>
        <v/>
      </c>
      <c r="H96" s="44">
        <f>INDEX('建筑建议总览'!$I$5:$I$25,MATCH($A96,'建筑建议总览'!$A$5:$A$25,0))</f>
        <v/>
      </c>
      <c r="I96" s="36">
        <f>INDEX('建筑建议总览'!$J$5:$J$25,MATCH($A96,'建筑建议总览'!$A$5:$A$25,0))</f>
        <v/>
      </c>
      <c r="J96" s="44">
        <f>POWER(H96,D96-1)</f>
        <v/>
      </c>
      <c r="K96" s="44">
        <f>SUMIF($A$5:$A$328,$A96,$J$5:$J$328)</f>
        <v/>
      </c>
      <c r="L96" s="36">
        <f>IF(I96&gt;0,ROUNDDOWN(MAX(0,I96-G96*(F96-1))*J96/K96,0),0)</f>
        <v/>
      </c>
      <c r="M96" s="36">
        <f>IF(I96&gt;0,G96+L96+IF(D96=F96-1,MAX(0,I96-G96*(F96-1)-SUMIF($A$5:$A$328,$A96,$L$5:$L$328)),0),ROUNDUP(G96*POWER(INDEX('建筑总览'!$G$5:$G$25,MATCH($A96,'建筑总览'!$A$5:$A$25,0)),D96),0))</f>
        <v/>
      </c>
      <c r="N96" s="35">
        <f>M96/'参数与公式'!$B$21</f>
        <v/>
      </c>
      <c r="O96" s="36">
        <f>INDEX('建筑建议总览'!$P$5:$P$25,MATCH($A96,'建筑建议总览'!$A$5:$A$25,0))</f>
        <v/>
      </c>
      <c r="P96" s="36">
        <f>INDEX('建筑建议总览'!$Q$5:$Q$25,MATCH($A96,'建筑建议总览'!$A$5:$A$25,0))</f>
        <v/>
      </c>
      <c r="Q96" s="44">
        <f>INDEX('建筑建议总览'!$R$5:$R$25,MATCH($A96,'建筑建议总览'!$A$5:$A$25,0))</f>
        <v/>
      </c>
      <c r="R96" s="36">
        <f>INDEX('建筑建议总览'!$S$5:$S$25,MATCH($A96,'建筑建议总览'!$A$5:$A$25,0))</f>
        <v/>
      </c>
      <c r="S96" s="36">
        <f>INDEX('建筑建议总览'!$T$5:$T$25,MATCH($A96,'建筑建议总览'!$A$5:$A$25,0))</f>
        <v/>
      </c>
      <c r="T96" s="44">
        <f>POWER(Q96,D96-1)</f>
        <v/>
      </c>
      <c r="U96" s="44">
        <f>SUMIF($A$5:$A$328,$A96,$T$5:$T$328)</f>
        <v/>
      </c>
      <c r="V96" s="36">
        <f>IF(R96&gt;0,ROUNDDOWN(MAX(0,R96-O96*(F96-1))*T96/U96,0),0)</f>
        <v/>
      </c>
      <c r="W96" s="36">
        <f>IF(S96&gt;0,ROUNDDOWN(MAX(0,S96-P96*(F96-1))*T96/U96,0),0)</f>
        <v/>
      </c>
      <c r="X96" s="36">
        <f>IF(R96&gt;0,O96+V96+IF(D96=F96-1,MAX(0,R96-O96*(F96-1)-SUMIF($A$5:$A$328,$A96,$V$5:$V$328)),0),ROUNDUP(O96*POWER(INDEX('建筑总览'!$J$5:$J$25,MATCH($A96,'建筑总览'!$A$5:$A$25,0)),D96),0))</f>
        <v/>
      </c>
      <c r="Y96" s="36">
        <f>IF(P96=0,0,IF(S96&gt;0,P96+W96+IF(D96=F96-1,MAX(0,S96-P96*(F96-1)-SUMIF($A$5:$A$328,$A96,$W$5:$W$328)),0),ROUNDUP(P96*POWER(INDEX('建筑总览'!$J$5:$J$25,MATCH($A96,'建筑总览'!$A$5:$A$25,0)),D96),0)))</f>
        <v/>
      </c>
      <c r="Z96" s="36">
        <f>IF(X96=0,0,MAX(1,ROUNDUP(X96*(1-'参数与公式'!$B$17),0)))</f>
        <v/>
      </c>
      <c r="AA96" s="36">
        <f>IF(Y96=0,0,MAX(1,ROUNDUP(Y96*(1-'参数与公式'!$B$17),0)))</f>
        <v/>
      </c>
      <c r="AB96" s="33" t="inlineStr">
        <is>
          <t>预算模式末级补足余数；旧模式按指数公式</t>
        </is>
      </c>
      <c r="AC96" s="49">
        <f>IF(A96=A95,IFERROR(M96/M95,""),"")</f>
        <v/>
      </c>
      <c r="AD96" s="49">
        <f>IF(AND(A96=A95,X95&gt;0),X96/X95,"")</f>
        <v/>
      </c>
    </row>
    <row r="97" ht="30" customHeight="1">
      <c r="A97" s="33" t="inlineStr">
        <is>
          <t>bathhouse</t>
        </is>
      </c>
      <c r="B97" s="33" t="inlineStr">
        <is>
          <t>澡堂</t>
        </is>
      </c>
      <c r="C97" s="33" t="inlineStr">
        <is>
          <t>资源生产</t>
        </is>
      </c>
      <c r="D97" s="43" t="n">
        <v>15</v>
      </c>
      <c r="E97" s="36">
        <f>D97+1</f>
        <v/>
      </c>
      <c r="F97" s="43" t="n">
        <v>20</v>
      </c>
      <c r="G97" s="36">
        <f>INDEX('建筑建议总览'!$H$5:$H$25,MATCH($A97,'建筑建议总览'!$A$5:$A$25,0))</f>
        <v/>
      </c>
      <c r="H97" s="44">
        <f>INDEX('建筑建议总览'!$I$5:$I$25,MATCH($A97,'建筑建议总览'!$A$5:$A$25,0))</f>
        <v/>
      </c>
      <c r="I97" s="36">
        <f>INDEX('建筑建议总览'!$J$5:$J$25,MATCH($A97,'建筑建议总览'!$A$5:$A$25,0))</f>
        <v/>
      </c>
      <c r="J97" s="44">
        <f>POWER(H97,D97-1)</f>
        <v/>
      </c>
      <c r="K97" s="44">
        <f>SUMIF($A$5:$A$328,$A97,$J$5:$J$328)</f>
        <v/>
      </c>
      <c r="L97" s="36">
        <f>IF(I97&gt;0,ROUNDDOWN(MAX(0,I97-G97*(F97-1))*J97/K97,0),0)</f>
        <v/>
      </c>
      <c r="M97" s="36">
        <f>IF(I97&gt;0,G97+L97+IF(D97=F97-1,MAX(0,I97-G97*(F97-1)-SUMIF($A$5:$A$328,$A97,$L$5:$L$328)),0),ROUNDUP(G97*POWER(INDEX('建筑总览'!$G$5:$G$25,MATCH($A97,'建筑总览'!$A$5:$A$25,0)),D97),0))</f>
        <v/>
      </c>
      <c r="N97" s="35">
        <f>M97/'参数与公式'!$B$21</f>
        <v/>
      </c>
      <c r="O97" s="36">
        <f>INDEX('建筑建议总览'!$P$5:$P$25,MATCH($A97,'建筑建议总览'!$A$5:$A$25,0))</f>
        <v/>
      </c>
      <c r="P97" s="36">
        <f>INDEX('建筑建议总览'!$Q$5:$Q$25,MATCH($A97,'建筑建议总览'!$A$5:$A$25,0))</f>
        <v/>
      </c>
      <c r="Q97" s="44">
        <f>INDEX('建筑建议总览'!$R$5:$R$25,MATCH($A97,'建筑建议总览'!$A$5:$A$25,0))</f>
        <v/>
      </c>
      <c r="R97" s="36">
        <f>INDEX('建筑建议总览'!$S$5:$S$25,MATCH($A97,'建筑建议总览'!$A$5:$A$25,0))</f>
        <v/>
      </c>
      <c r="S97" s="36">
        <f>INDEX('建筑建议总览'!$T$5:$T$25,MATCH($A97,'建筑建议总览'!$A$5:$A$25,0))</f>
        <v/>
      </c>
      <c r="T97" s="44">
        <f>POWER(Q97,D97-1)</f>
        <v/>
      </c>
      <c r="U97" s="44">
        <f>SUMIF($A$5:$A$328,$A97,$T$5:$T$328)</f>
        <v/>
      </c>
      <c r="V97" s="36">
        <f>IF(R97&gt;0,ROUNDDOWN(MAX(0,R97-O97*(F97-1))*T97/U97,0),0)</f>
        <v/>
      </c>
      <c r="W97" s="36">
        <f>IF(S97&gt;0,ROUNDDOWN(MAX(0,S97-P97*(F97-1))*T97/U97,0),0)</f>
        <v/>
      </c>
      <c r="X97" s="36">
        <f>IF(R97&gt;0,O97+V97+IF(D97=F97-1,MAX(0,R97-O97*(F97-1)-SUMIF($A$5:$A$328,$A97,$V$5:$V$328)),0),ROUNDUP(O97*POWER(INDEX('建筑总览'!$J$5:$J$25,MATCH($A97,'建筑总览'!$A$5:$A$25,0)),D97),0))</f>
        <v/>
      </c>
      <c r="Y97" s="36">
        <f>IF(P97=0,0,IF(S97&gt;0,P97+W97+IF(D97=F97-1,MAX(0,S97-P97*(F97-1)-SUMIF($A$5:$A$328,$A97,$W$5:$W$328)),0),ROUNDUP(P97*POWER(INDEX('建筑总览'!$J$5:$J$25,MATCH($A97,'建筑总览'!$A$5:$A$25,0)),D97),0)))</f>
        <v/>
      </c>
      <c r="Z97" s="36">
        <f>IF(X97=0,0,MAX(1,ROUNDUP(X97*(1-'参数与公式'!$B$17),0)))</f>
        <v/>
      </c>
      <c r="AA97" s="36">
        <f>IF(Y97=0,0,MAX(1,ROUNDUP(Y97*(1-'参数与公式'!$B$17),0)))</f>
        <v/>
      </c>
      <c r="AB97" s="33" t="inlineStr">
        <is>
          <t>预算模式末级补足余数；旧模式按指数公式</t>
        </is>
      </c>
      <c r="AC97" s="49">
        <f>IF(A97=A96,IFERROR(M97/M96,""),"")</f>
        <v/>
      </c>
      <c r="AD97" s="49">
        <f>IF(AND(A97=A96,X96&gt;0),X97/X96,"")</f>
        <v/>
      </c>
    </row>
    <row r="98" ht="30" customHeight="1">
      <c r="A98" s="33" t="inlineStr">
        <is>
          <t>bathhouse</t>
        </is>
      </c>
      <c r="B98" s="33" t="inlineStr">
        <is>
          <t>澡堂</t>
        </is>
      </c>
      <c r="C98" s="33" t="inlineStr">
        <is>
          <t>资源生产</t>
        </is>
      </c>
      <c r="D98" s="43" t="n">
        <v>16</v>
      </c>
      <c r="E98" s="36">
        <f>D98+1</f>
        <v/>
      </c>
      <c r="F98" s="43" t="n">
        <v>20</v>
      </c>
      <c r="G98" s="36">
        <f>INDEX('建筑建议总览'!$H$5:$H$25,MATCH($A98,'建筑建议总览'!$A$5:$A$25,0))</f>
        <v/>
      </c>
      <c r="H98" s="44">
        <f>INDEX('建筑建议总览'!$I$5:$I$25,MATCH($A98,'建筑建议总览'!$A$5:$A$25,0))</f>
        <v/>
      </c>
      <c r="I98" s="36">
        <f>INDEX('建筑建议总览'!$J$5:$J$25,MATCH($A98,'建筑建议总览'!$A$5:$A$25,0))</f>
        <v/>
      </c>
      <c r="J98" s="44">
        <f>POWER(H98,D98-1)</f>
        <v/>
      </c>
      <c r="K98" s="44">
        <f>SUMIF($A$5:$A$328,$A98,$J$5:$J$328)</f>
        <v/>
      </c>
      <c r="L98" s="36">
        <f>IF(I98&gt;0,ROUNDDOWN(MAX(0,I98-G98*(F98-1))*J98/K98,0),0)</f>
        <v/>
      </c>
      <c r="M98" s="36">
        <f>IF(I98&gt;0,G98+L98+IF(D98=F98-1,MAX(0,I98-G98*(F98-1)-SUMIF($A$5:$A$328,$A98,$L$5:$L$328)),0),ROUNDUP(G98*POWER(INDEX('建筑总览'!$G$5:$G$25,MATCH($A98,'建筑总览'!$A$5:$A$25,0)),D98),0))</f>
        <v/>
      </c>
      <c r="N98" s="35">
        <f>M98/'参数与公式'!$B$21</f>
        <v/>
      </c>
      <c r="O98" s="36">
        <f>INDEX('建筑建议总览'!$P$5:$P$25,MATCH($A98,'建筑建议总览'!$A$5:$A$25,0))</f>
        <v/>
      </c>
      <c r="P98" s="36">
        <f>INDEX('建筑建议总览'!$Q$5:$Q$25,MATCH($A98,'建筑建议总览'!$A$5:$A$25,0))</f>
        <v/>
      </c>
      <c r="Q98" s="44">
        <f>INDEX('建筑建议总览'!$R$5:$R$25,MATCH($A98,'建筑建议总览'!$A$5:$A$25,0))</f>
        <v/>
      </c>
      <c r="R98" s="36">
        <f>INDEX('建筑建议总览'!$S$5:$S$25,MATCH($A98,'建筑建议总览'!$A$5:$A$25,0))</f>
        <v/>
      </c>
      <c r="S98" s="36">
        <f>INDEX('建筑建议总览'!$T$5:$T$25,MATCH($A98,'建筑建议总览'!$A$5:$A$25,0))</f>
        <v/>
      </c>
      <c r="T98" s="44">
        <f>POWER(Q98,D98-1)</f>
        <v/>
      </c>
      <c r="U98" s="44">
        <f>SUMIF($A$5:$A$328,$A98,$T$5:$T$328)</f>
        <v/>
      </c>
      <c r="V98" s="36">
        <f>IF(R98&gt;0,ROUNDDOWN(MAX(0,R98-O98*(F98-1))*T98/U98,0),0)</f>
        <v/>
      </c>
      <c r="W98" s="36">
        <f>IF(S98&gt;0,ROUNDDOWN(MAX(0,S98-P98*(F98-1))*T98/U98,0),0)</f>
        <v/>
      </c>
      <c r="X98" s="36">
        <f>IF(R98&gt;0,O98+V98+IF(D98=F98-1,MAX(0,R98-O98*(F98-1)-SUMIF($A$5:$A$328,$A98,$V$5:$V$328)),0),ROUNDUP(O98*POWER(INDEX('建筑总览'!$J$5:$J$25,MATCH($A98,'建筑总览'!$A$5:$A$25,0)),D98),0))</f>
        <v/>
      </c>
      <c r="Y98" s="36">
        <f>IF(P98=0,0,IF(S98&gt;0,P98+W98+IF(D98=F98-1,MAX(0,S98-P98*(F98-1)-SUMIF($A$5:$A$328,$A98,$W$5:$W$328)),0),ROUNDUP(P98*POWER(INDEX('建筑总览'!$J$5:$J$25,MATCH($A98,'建筑总览'!$A$5:$A$25,0)),D98),0)))</f>
        <v/>
      </c>
      <c r="Z98" s="36">
        <f>IF(X98=0,0,MAX(1,ROUNDUP(X98*(1-'参数与公式'!$B$17),0)))</f>
        <v/>
      </c>
      <c r="AA98" s="36">
        <f>IF(Y98=0,0,MAX(1,ROUNDUP(Y98*(1-'参数与公式'!$B$17),0)))</f>
        <v/>
      </c>
      <c r="AB98" s="33" t="inlineStr">
        <is>
          <t>预算模式末级补足余数；旧模式按指数公式</t>
        </is>
      </c>
      <c r="AC98" s="49">
        <f>IF(A98=A97,IFERROR(M98/M97,""),"")</f>
        <v/>
      </c>
      <c r="AD98" s="49">
        <f>IF(AND(A98=A97,X97&gt;0),X98/X97,"")</f>
        <v/>
      </c>
    </row>
    <row r="99" ht="30" customHeight="1">
      <c r="A99" s="33" t="inlineStr">
        <is>
          <t>bathhouse</t>
        </is>
      </c>
      <c r="B99" s="33" t="inlineStr">
        <is>
          <t>澡堂</t>
        </is>
      </c>
      <c r="C99" s="33" t="inlineStr">
        <is>
          <t>资源生产</t>
        </is>
      </c>
      <c r="D99" s="43" t="n">
        <v>17</v>
      </c>
      <c r="E99" s="36">
        <f>D99+1</f>
        <v/>
      </c>
      <c r="F99" s="43" t="n">
        <v>20</v>
      </c>
      <c r="G99" s="36">
        <f>INDEX('建筑建议总览'!$H$5:$H$25,MATCH($A99,'建筑建议总览'!$A$5:$A$25,0))</f>
        <v/>
      </c>
      <c r="H99" s="44">
        <f>INDEX('建筑建议总览'!$I$5:$I$25,MATCH($A99,'建筑建议总览'!$A$5:$A$25,0))</f>
        <v/>
      </c>
      <c r="I99" s="36">
        <f>INDEX('建筑建议总览'!$J$5:$J$25,MATCH($A99,'建筑建议总览'!$A$5:$A$25,0))</f>
        <v/>
      </c>
      <c r="J99" s="44">
        <f>POWER(H99,D99-1)</f>
        <v/>
      </c>
      <c r="K99" s="44">
        <f>SUMIF($A$5:$A$328,$A99,$J$5:$J$328)</f>
        <v/>
      </c>
      <c r="L99" s="36">
        <f>IF(I99&gt;0,ROUNDDOWN(MAX(0,I99-G99*(F99-1))*J99/K99,0),0)</f>
        <v/>
      </c>
      <c r="M99" s="36">
        <f>IF(I99&gt;0,G99+L99+IF(D99=F99-1,MAX(0,I99-G99*(F99-1)-SUMIF($A$5:$A$328,$A99,$L$5:$L$328)),0),ROUNDUP(G99*POWER(INDEX('建筑总览'!$G$5:$G$25,MATCH($A99,'建筑总览'!$A$5:$A$25,0)),D99),0))</f>
        <v/>
      </c>
      <c r="N99" s="35">
        <f>M99/'参数与公式'!$B$21</f>
        <v/>
      </c>
      <c r="O99" s="36">
        <f>INDEX('建筑建议总览'!$P$5:$P$25,MATCH($A99,'建筑建议总览'!$A$5:$A$25,0))</f>
        <v/>
      </c>
      <c r="P99" s="36">
        <f>INDEX('建筑建议总览'!$Q$5:$Q$25,MATCH($A99,'建筑建议总览'!$A$5:$A$25,0))</f>
        <v/>
      </c>
      <c r="Q99" s="44">
        <f>INDEX('建筑建议总览'!$R$5:$R$25,MATCH($A99,'建筑建议总览'!$A$5:$A$25,0))</f>
        <v/>
      </c>
      <c r="R99" s="36">
        <f>INDEX('建筑建议总览'!$S$5:$S$25,MATCH($A99,'建筑建议总览'!$A$5:$A$25,0))</f>
        <v/>
      </c>
      <c r="S99" s="36">
        <f>INDEX('建筑建议总览'!$T$5:$T$25,MATCH($A99,'建筑建议总览'!$A$5:$A$25,0))</f>
        <v/>
      </c>
      <c r="T99" s="44">
        <f>POWER(Q99,D99-1)</f>
        <v/>
      </c>
      <c r="U99" s="44">
        <f>SUMIF($A$5:$A$328,$A99,$T$5:$T$328)</f>
        <v/>
      </c>
      <c r="V99" s="36">
        <f>IF(R99&gt;0,ROUNDDOWN(MAX(0,R99-O99*(F99-1))*T99/U99,0),0)</f>
        <v/>
      </c>
      <c r="W99" s="36">
        <f>IF(S99&gt;0,ROUNDDOWN(MAX(0,S99-P99*(F99-1))*T99/U99,0),0)</f>
        <v/>
      </c>
      <c r="X99" s="36">
        <f>IF(R99&gt;0,O99+V99+IF(D99=F99-1,MAX(0,R99-O99*(F99-1)-SUMIF($A$5:$A$328,$A99,$V$5:$V$328)),0),ROUNDUP(O99*POWER(INDEX('建筑总览'!$J$5:$J$25,MATCH($A99,'建筑总览'!$A$5:$A$25,0)),D99),0))</f>
        <v/>
      </c>
      <c r="Y99" s="36">
        <f>IF(P99=0,0,IF(S99&gt;0,P99+W99+IF(D99=F99-1,MAX(0,S99-P99*(F99-1)-SUMIF($A$5:$A$328,$A99,$W$5:$W$328)),0),ROUNDUP(P99*POWER(INDEX('建筑总览'!$J$5:$J$25,MATCH($A99,'建筑总览'!$A$5:$A$25,0)),D99),0)))</f>
        <v/>
      </c>
      <c r="Z99" s="36">
        <f>IF(X99=0,0,MAX(1,ROUNDUP(X99*(1-'参数与公式'!$B$17),0)))</f>
        <v/>
      </c>
      <c r="AA99" s="36">
        <f>IF(Y99=0,0,MAX(1,ROUNDUP(Y99*(1-'参数与公式'!$B$17),0)))</f>
        <v/>
      </c>
      <c r="AB99" s="33" t="inlineStr">
        <is>
          <t>预算模式末级补足余数；旧模式按指数公式</t>
        </is>
      </c>
      <c r="AC99" s="49">
        <f>IF(A99=A98,IFERROR(M99/M98,""),"")</f>
        <v/>
      </c>
      <c r="AD99" s="49">
        <f>IF(AND(A99=A98,X98&gt;0),X99/X98,"")</f>
        <v/>
      </c>
    </row>
    <row r="100" ht="30" customHeight="1">
      <c r="A100" s="33" t="inlineStr">
        <is>
          <t>bathhouse</t>
        </is>
      </c>
      <c r="B100" s="33" t="inlineStr">
        <is>
          <t>澡堂</t>
        </is>
      </c>
      <c r="C100" s="33" t="inlineStr">
        <is>
          <t>资源生产</t>
        </is>
      </c>
      <c r="D100" s="43" t="n">
        <v>18</v>
      </c>
      <c r="E100" s="36">
        <f>D100+1</f>
        <v/>
      </c>
      <c r="F100" s="43" t="n">
        <v>20</v>
      </c>
      <c r="G100" s="36">
        <f>INDEX('建筑建议总览'!$H$5:$H$25,MATCH($A100,'建筑建议总览'!$A$5:$A$25,0))</f>
        <v/>
      </c>
      <c r="H100" s="44">
        <f>INDEX('建筑建议总览'!$I$5:$I$25,MATCH($A100,'建筑建议总览'!$A$5:$A$25,0))</f>
        <v/>
      </c>
      <c r="I100" s="36">
        <f>INDEX('建筑建议总览'!$J$5:$J$25,MATCH($A100,'建筑建议总览'!$A$5:$A$25,0))</f>
        <v/>
      </c>
      <c r="J100" s="44">
        <f>POWER(H100,D100-1)</f>
        <v/>
      </c>
      <c r="K100" s="44">
        <f>SUMIF($A$5:$A$328,$A100,$J$5:$J$328)</f>
        <v/>
      </c>
      <c r="L100" s="36">
        <f>IF(I100&gt;0,ROUNDDOWN(MAX(0,I100-G100*(F100-1))*J100/K100,0),0)</f>
        <v/>
      </c>
      <c r="M100" s="36">
        <f>IF(I100&gt;0,G100+L100+IF(D100=F100-1,MAX(0,I100-G100*(F100-1)-SUMIF($A$5:$A$328,$A100,$L$5:$L$328)),0),ROUNDUP(G100*POWER(INDEX('建筑总览'!$G$5:$G$25,MATCH($A100,'建筑总览'!$A$5:$A$25,0)),D100),0))</f>
        <v/>
      </c>
      <c r="N100" s="35">
        <f>M100/'参数与公式'!$B$21</f>
        <v/>
      </c>
      <c r="O100" s="36">
        <f>INDEX('建筑建议总览'!$P$5:$P$25,MATCH($A100,'建筑建议总览'!$A$5:$A$25,0))</f>
        <v/>
      </c>
      <c r="P100" s="36">
        <f>INDEX('建筑建议总览'!$Q$5:$Q$25,MATCH($A100,'建筑建议总览'!$A$5:$A$25,0))</f>
        <v/>
      </c>
      <c r="Q100" s="44">
        <f>INDEX('建筑建议总览'!$R$5:$R$25,MATCH($A100,'建筑建议总览'!$A$5:$A$25,0))</f>
        <v/>
      </c>
      <c r="R100" s="36">
        <f>INDEX('建筑建议总览'!$S$5:$S$25,MATCH($A100,'建筑建议总览'!$A$5:$A$25,0))</f>
        <v/>
      </c>
      <c r="S100" s="36">
        <f>INDEX('建筑建议总览'!$T$5:$T$25,MATCH($A100,'建筑建议总览'!$A$5:$A$25,0))</f>
        <v/>
      </c>
      <c r="T100" s="44">
        <f>POWER(Q100,D100-1)</f>
        <v/>
      </c>
      <c r="U100" s="44">
        <f>SUMIF($A$5:$A$328,$A100,$T$5:$T$328)</f>
        <v/>
      </c>
      <c r="V100" s="36">
        <f>IF(R100&gt;0,ROUNDDOWN(MAX(0,R100-O100*(F100-1))*T100/U100,0),0)</f>
        <v/>
      </c>
      <c r="W100" s="36">
        <f>IF(S100&gt;0,ROUNDDOWN(MAX(0,S100-P100*(F100-1))*T100/U100,0),0)</f>
        <v/>
      </c>
      <c r="X100" s="36">
        <f>IF(R100&gt;0,O100+V100+IF(D100=F100-1,MAX(0,R100-O100*(F100-1)-SUMIF($A$5:$A$328,$A100,$V$5:$V$328)),0),ROUNDUP(O100*POWER(INDEX('建筑总览'!$J$5:$J$25,MATCH($A100,'建筑总览'!$A$5:$A$25,0)),D100),0))</f>
        <v/>
      </c>
      <c r="Y100" s="36">
        <f>IF(P100=0,0,IF(S100&gt;0,P100+W100+IF(D100=F100-1,MAX(0,S100-P100*(F100-1)-SUMIF($A$5:$A$328,$A100,$W$5:$W$328)),0),ROUNDUP(P100*POWER(INDEX('建筑总览'!$J$5:$J$25,MATCH($A100,'建筑总览'!$A$5:$A$25,0)),D100),0)))</f>
        <v/>
      </c>
      <c r="Z100" s="36">
        <f>IF(X100=0,0,MAX(1,ROUNDUP(X100*(1-'参数与公式'!$B$17),0)))</f>
        <v/>
      </c>
      <c r="AA100" s="36">
        <f>IF(Y100=0,0,MAX(1,ROUNDUP(Y100*(1-'参数与公式'!$B$17),0)))</f>
        <v/>
      </c>
      <c r="AB100" s="33" t="inlineStr">
        <is>
          <t>预算模式末级补足余数；旧模式按指数公式</t>
        </is>
      </c>
      <c r="AC100" s="49">
        <f>IF(A100=A99,IFERROR(M100/M99,""),"")</f>
        <v/>
      </c>
      <c r="AD100" s="49">
        <f>IF(AND(A100=A99,X99&gt;0),X100/X99,"")</f>
        <v/>
      </c>
    </row>
    <row r="101" ht="30" customHeight="1">
      <c r="A101" s="33" t="inlineStr">
        <is>
          <t>bathhouse</t>
        </is>
      </c>
      <c r="B101" s="33" t="inlineStr">
        <is>
          <t>澡堂</t>
        </is>
      </c>
      <c r="C101" s="33" t="inlineStr">
        <is>
          <t>资源生产</t>
        </is>
      </c>
      <c r="D101" s="43" t="n">
        <v>19</v>
      </c>
      <c r="E101" s="36">
        <f>D101+1</f>
        <v/>
      </c>
      <c r="F101" s="43" t="n">
        <v>20</v>
      </c>
      <c r="G101" s="36">
        <f>INDEX('建筑建议总览'!$H$5:$H$25,MATCH($A101,'建筑建议总览'!$A$5:$A$25,0))</f>
        <v/>
      </c>
      <c r="H101" s="44">
        <f>INDEX('建筑建议总览'!$I$5:$I$25,MATCH($A101,'建筑建议总览'!$A$5:$A$25,0))</f>
        <v/>
      </c>
      <c r="I101" s="36">
        <f>INDEX('建筑建议总览'!$J$5:$J$25,MATCH($A101,'建筑建议总览'!$A$5:$A$25,0))</f>
        <v/>
      </c>
      <c r="J101" s="44">
        <f>POWER(H101,D101-1)</f>
        <v/>
      </c>
      <c r="K101" s="44">
        <f>SUMIF($A$5:$A$328,$A101,$J$5:$J$328)</f>
        <v/>
      </c>
      <c r="L101" s="36">
        <f>IF(I101&gt;0,ROUNDDOWN(MAX(0,I101-G101*(F101-1))*J101/K101,0),0)</f>
        <v/>
      </c>
      <c r="M101" s="36">
        <f>IF(I101&gt;0,G101+L101+IF(D101=F101-1,MAX(0,I101-G101*(F101-1)-SUMIF($A$5:$A$328,$A101,$L$5:$L$328)),0),ROUNDUP(G101*POWER(INDEX('建筑总览'!$G$5:$G$25,MATCH($A101,'建筑总览'!$A$5:$A$25,0)),D101),0))</f>
        <v/>
      </c>
      <c r="N101" s="35">
        <f>M101/'参数与公式'!$B$21</f>
        <v/>
      </c>
      <c r="O101" s="36">
        <f>INDEX('建筑建议总览'!$P$5:$P$25,MATCH($A101,'建筑建议总览'!$A$5:$A$25,0))</f>
        <v/>
      </c>
      <c r="P101" s="36">
        <f>INDEX('建筑建议总览'!$Q$5:$Q$25,MATCH($A101,'建筑建议总览'!$A$5:$A$25,0))</f>
        <v/>
      </c>
      <c r="Q101" s="44">
        <f>INDEX('建筑建议总览'!$R$5:$R$25,MATCH($A101,'建筑建议总览'!$A$5:$A$25,0))</f>
        <v/>
      </c>
      <c r="R101" s="36">
        <f>INDEX('建筑建议总览'!$S$5:$S$25,MATCH($A101,'建筑建议总览'!$A$5:$A$25,0))</f>
        <v/>
      </c>
      <c r="S101" s="36">
        <f>INDEX('建筑建议总览'!$T$5:$T$25,MATCH($A101,'建筑建议总览'!$A$5:$A$25,0))</f>
        <v/>
      </c>
      <c r="T101" s="44">
        <f>POWER(Q101,D101-1)</f>
        <v/>
      </c>
      <c r="U101" s="44">
        <f>SUMIF($A$5:$A$328,$A101,$T$5:$T$328)</f>
        <v/>
      </c>
      <c r="V101" s="36">
        <f>IF(R101&gt;0,ROUNDDOWN(MAX(0,R101-O101*(F101-1))*T101/U101,0),0)</f>
        <v/>
      </c>
      <c r="W101" s="36">
        <f>IF(S101&gt;0,ROUNDDOWN(MAX(0,S101-P101*(F101-1))*T101/U101,0),0)</f>
        <v/>
      </c>
      <c r="X101" s="36">
        <f>IF(R101&gt;0,O101+V101+IF(D101=F101-1,MAX(0,R101-O101*(F101-1)-SUMIF($A$5:$A$328,$A101,$V$5:$V$328)),0),ROUNDUP(O101*POWER(INDEX('建筑总览'!$J$5:$J$25,MATCH($A101,'建筑总览'!$A$5:$A$25,0)),D101),0))</f>
        <v/>
      </c>
      <c r="Y101" s="36">
        <f>IF(P101=0,0,IF(S101&gt;0,P101+W101+IF(D101=F101-1,MAX(0,S101-P101*(F101-1)-SUMIF($A$5:$A$328,$A101,$W$5:$W$328)),0),ROUNDUP(P101*POWER(INDEX('建筑总览'!$J$5:$J$25,MATCH($A101,'建筑总览'!$A$5:$A$25,0)),D101),0)))</f>
        <v/>
      </c>
      <c r="Z101" s="36">
        <f>IF(X101=0,0,MAX(1,ROUNDUP(X101*(1-'参数与公式'!$B$17),0)))</f>
        <v/>
      </c>
      <c r="AA101" s="36">
        <f>IF(Y101=0,0,MAX(1,ROUNDUP(Y101*(1-'参数与公式'!$B$17),0)))</f>
        <v/>
      </c>
      <c r="AB101" s="33" t="inlineStr">
        <is>
          <t>预算模式末级补足余数；旧模式按指数公式</t>
        </is>
      </c>
      <c r="AC101" s="49">
        <f>IF(A101=A100,IFERROR(M101/M100,""),"")</f>
        <v/>
      </c>
      <c r="AD101" s="49">
        <f>IF(AND(A101=A100,X100&gt;0),X101/X100,"")</f>
        <v/>
      </c>
    </row>
    <row r="102" ht="30" customHeight="1">
      <c r="A102" s="33" t="inlineStr">
        <is>
          <t>latrine</t>
        </is>
      </c>
      <c r="B102" s="33" t="inlineStr">
        <is>
          <t>茅厕</t>
        </is>
      </c>
      <c r="C102" s="33" t="inlineStr">
        <is>
          <t>资源生产</t>
        </is>
      </c>
      <c r="D102" s="43" t="n">
        <v>1</v>
      </c>
      <c r="E102" s="36">
        <f>D102+1</f>
        <v/>
      </c>
      <c r="F102" s="43" t="n">
        <v>20</v>
      </c>
      <c r="G102" s="36">
        <f>INDEX('建筑建议总览'!$H$5:$H$25,MATCH($A102,'建筑建议总览'!$A$5:$A$25,0))</f>
        <v/>
      </c>
      <c r="H102" s="44">
        <f>INDEX('建筑建议总览'!$I$5:$I$25,MATCH($A102,'建筑建议总览'!$A$5:$A$25,0))</f>
        <v/>
      </c>
      <c r="I102" s="36">
        <f>INDEX('建筑建议总览'!$J$5:$J$25,MATCH($A102,'建筑建议总览'!$A$5:$A$25,0))</f>
        <v/>
      </c>
      <c r="J102" s="44">
        <f>POWER(H102,D102-1)</f>
        <v/>
      </c>
      <c r="K102" s="44">
        <f>SUMIF($A$5:$A$328,$A102,$J$5:$J$328)</f>
        <v/>
      </c>
      <c r="L102" s="36">
        <f>IF(I102&gt;0,ROUNDDOWN(MAX(0,I102-G102*(F102-1))*J102/K102,0),0)</f>
        <v/>
      </c>
      <c r="M102" s="36">
        <f>IF(I102&gt;0,G102+L102+IF(D102=F102-1,MAX(0,I102-G102*(F102-1)-SUMIF($A$5:$A$328,$A102,$L$5:$L$328)),0),ROUNDUP(G102*POWER(INDEX('建筑总览'!$G$5:$G$25,MATCH($A102,'建筑总览'!$A$5:$A$25,0)),D102),0))</f>
        <v/>
      </c>
      <c r="N102" s="35">
        <f>M102/'参数与公式'!$B$21</f>
        <v/>
      </c>
      <c r="O102" s="36">
        <f>INDEX('建筑建议总览'!$P$5:$P$25,MATCH($A102,'建筑建议总览'!$A$5:$A$25,0))</f>
        <v/>
      </c>
      <c r="P102" s="36">
        <f>INDEX('建筑建议总览'!$Q$5:$Q$25,MATCH($A102,'建筑建议总览'!$A$5:$A$25,0))</f>
        <v/>
      </c>
      <c r="Q102" s="44">
        <f>INDEX('建筑建议总览'!$R$5:$R$25,MATCH($A102,'建筑建议总览'!$A$5:$A$25,0))</f>
        <v/>
      </c>
      <c r="R102" s="36">
        <f>INDEX('建筑建议总览'!$S$5:$S$25,MATCH($A102,'建筑建议总览'!$A$5:$A$25,0))</f>
        <v/>
      </c>
      <c r="S102" s="36">
        <f>INDEX('建筑建议总览'!$T$5:$T$25,MATCH($A102,'建筑建议总览'!$A$5:$A$25,0))</f>
        <v/>
      </c>
      <c r="T102" s="44">
        <f>POWER(Q102,D102-1)</f>
        <v/>
      </c>
      <c r="U102" s="44">
        <f>SUMIF($A$5:$A$328,$A102,$T$5:$T$328)</f>
        <v/>
      </c>
      <c r="V102" s="36">
        <f>IF(R102&gt;0,ROUNDDOWN(MAX(0,R102-O102*(F102-1))*T102/U102,0),0)</f>
        <v/>
      </c>
      <c r="W102" s="36">
        <f>IF(S102&gt;0,ROUNDDOWN(MAX(0,S102-P102*(F102-1))*T102/U102,0),0)</f>
        <v/>
      </c>
      <c r="X102" s="36">
        <f>IF(R102&gt;0,O102+V102+IF(D102=F102-1,MAX(0,R102-O102*(F102-1)-SUMIF($A$5:$A$328,$A102,$V$5:$V$328)),0),ROUNDUP(O102*POWER(INDEX('建筑总览'!$J$5:$J$25,MATCH($A102,'建筑总览'!$A$5:$A$25,0)),D102),0))</f>
        <v/>
      </c>
      <c r="Y102" s="36">
        <f>IF(P102=0,0,IF(S102&gt;0,P102+W102+IF(D102=F102-1,MAX(0,S102-P102*(F102-1)-SUMIF($A$5:$A$328,$A102,$W$5:$W$328)),0),ROUNDUP(P102*POWER(INDEX('建筑总览'!$J$5:$J$25,MATCH($A102,'建筑总览'!$A$5:$A$25,0)),D102),0)))</f>
        <v/>
      </c>
      <c r="Z102" s="36">
        <f>IF(X102=0,0,MAX(1,ROUNDUP(X102*(1-'参数与公式'!$B$17),0)))</f>
        <v/>
      </c>
      <c r="AA102" s="36">
        <f>IF(Y102=0,0,MAX(1,ROUNDUP(Y102*(1-'参数与公式'!$B$17),0)))</f>
        <v/>
      </c>
      <c r="AB102" s="33" t="inlineStr">
        <is>
          <t>预算模式末级补足余数；旧模式按指数公式</t>
        </is>
      </c>
      <c r="AC102" s="49">
        <f>IF(A102=A101,IFERROR(M102/M101,""),"")</f>
        <v/>
      </c>
      <c r="AD102" s="49">
        <f>IF(AND(A102=A101,X101&gt;0),X102/X101,"")</f>
        <v/>
      </c>
    </row>
    <row r="103" ht="30" customHeight="1">
      <c r="A103" s="33" t="inlineStr">
        <is>
          <t>latrine</t>
        </is>
      </c>
      <c r="B103" s="33" t="inlineStr">
        <is>
          <t>茅厕</t>
        </is>
      </c>
      <c r="C103" s="33" t="inlineStr">
        <is>
          <t>资源生产</t>
        </is>
      </c>
      <c r="D103" s="43" t="n">
        <v>2</v>
      </c>
      <c r="E103" s="36">
        <f>D103+1</f>
        <v/>
      </c>
      <c r="F103" s="43" t="n">
        <v>20</v>
      </c>
      <c r="G103" s="36">
        <f>INDEX('建筑建议总览'!$H$5:$H$25,MATCH($A103,'建筑建议总览'!$A$5:$A$25,0))</f>
        <v/>
      </c>
      <c r="H103" s="44">
        <f>INDEX('建筑建议总览'!$I$5:$I$25,MATCH($A103,'建筑建议总览'!$A$5:$A$25,0))</f>
        <v/>
      </c>
      <c r="I103" s="36">
        <f>INDEX('建筑建议总览'!$J$5:$J$25,MATCH($A103,'建筑建议总览'!$A$5:$A$25,0))</f>
        <v/>
      </c>
      <c r="J103" s="44">
        <f>POWER(H103,D103-1)</f>
        <v/>
      </c>
      <c r="K103" s="44">
        <f>SUMIF($A$5:$A$328,$A103,$J$5:$J$328)</f>
        <v/>
      </c>
      <c r="L103" s="36">
        <f>IF(I103&gt;0,ROUNDDOWN(MAX(0,I103-G103*(F103-1))*J103/K103,0),0)</f>
        <v/>
      </c>
      <c r="M103" s="36">
        <f>IF(I103&gt;0,G103+L103+IF(D103=F103-1,MAX(0,I103-G103*(F103-1)-SUMIF($A$5:$A$328,$A103,$L$5:$L$328)),0),ROUNDUP(G103*POWER(INDEX('建筑总览'!$G$5:$G$25,MATCH($A103,'建筑总览'!$A$5:$A$25,0)),D103),0))</f>
        <v/>
      </c>
      <c r="N103" s="35">
        <f>M103/'参数与公式'!$B$21</f>
        <v/>
      </c>
      <c r="O103" s="36">
        <f>INDEX('建筑建议总览'!$P$5:$P$25,MATCH($A103,'建筑建议总览'!$A$5:$A$25,0))</f>
        <v/>
      </c>
      <c r="P103" s="36">
        <f>INDEX('建筑建议总览'!$Q$5:$Q$25,MATCH($A103,'建筑建议总览'!$A$5:$A$25,0))</f>
        <v/>
      </c>
      <c r="Q103" s="44">
        <f>INDEX('建筑建议总览'!$R$5:$R$25,MATCH($A103,'建筑建议总览'!$A$5:$A$25,0))</f>
        <v/>
      </c>
      <c r="R103" s="36">
        <f>INDEX('建筑建议总览'!$S$5:$S$25,MATCH($A103,'建筑建议总览'!$A$5:$A$25,0))</f>
        <v/>
      </c>
      <c r="S103" s="36">
        <f>INDEX('建筑建议总览'!$T$5:$T$25,MATCH($A103,'建筑建议总览'!$A$5:$A$25,0))</f>
        <v/>
      </c>
      <c r="T103" s="44">
        <f>POWER(Q103,D103-1)</f>
        <v/>
      </c>
      <c r="U103" s="44">
        <f>SUMIF($A$5:$A$328,$A103,$T$5:$T$328)</f>
        <v/>
      </c>
      <c r="V103" s="36">
        <f>IF(R103&gt;0,ROUNDDOWN(MAX(0,R103-O103*(F103-1))*T103/U103,0),0)</f>
        <v/>
      </c>
      <c r="W103" s="36">
        <f>IF(S103&gt;0,ROUNDDOWN(MAX(0,S103-P103*(F103-1))*T103/U103,0),0)</f>
        <v/>
      </c>
      <c r="X103" s="36">
        <f>IF(R103&gt;0,O103+V103+IF(D103=F103-1,MAX(0,R103-O103*(F103-1)-SUMIF($A$5:$A$328,$A103,$V$5:$V$328)),0),ROUNDUP(O103*POWER(INDEX('建筑总览'!$J$5:$J$25,MATCH($A103,'建筑总览'!$A$5:$A$25,0)),D103),0))</f>
        <v/>
      </c>
      <c r="Y103" s="36">
        <f>IF(P103=0,0,IF(S103&gt;0,P103+W103+IF(D103=F103-1,MAX(0,S103-P103*(F103-1)-SUMIF($A$5:$A$328,$A103,$W$5:$W$328)),0),ROUNDUP(P103*POWER(INDEX('建筑总览'!$J$5:$J$25,MATCH($A103,'建筑总览'!$A$5:$A$25,0)),D103),0)))</f>
        <v/>
      </c>
      <c r="Z103" s="36">
        <f>IF(X103=0,0,MAX(1,ROUNDUP(X103*(1-'参数与公式'!$B$17),0)))</f>
        <v/>
      </c>
      <c r="AA103" s="36">
        <f>IF(Y103=0,0,MAX(1,ROUNDUP(Y103*(1-'参数与公式'!$B$17),0)))</f>
        <v/>
      </c>
      <c r="AB103" s="33" t="inlineStr">
        <is>
          <t>预算模式末级补足余数；旧模式按指数公式</t>
        </is>
      </c>
      <c r="AC103" s="49">
        <f>IF(A103=A102,IFERROR(M103/M102,""),"")</f>
        <v/>
      </c>
      <c r="AD103" s="49">
        <f>IF(AND(A103=A102,X102&gt;0),X103/X102,"")</f>
        <v/>
      </c>
    </row>
    <row r="104" ht="30" customHeight="1">
      <c r="A104" s="33" t="inlineStr">
        <is>
          <t>latrine</t>
        </is>
      </c>
      <c r="B104" s="33" t="inlineStr">
        <is>
          <t>茅厕</t>
        </is>
      </c>
      <c r="C104" s="33" t="inlineStr">
        <is>
          <t>资源生产</t>
        </is>
      </c>
      <c r="D104" s="43" t="n">
        <v>3</v>
      </c>
      <c r="E104" s="36">
        <f>D104+1</f>
        <v/>
      </c>
      <c r="F104" s="43" t="n">
        <v>20</v>
      </c>
      <c r="G104" s="36">
        <f>INDEX('建筑建议总览'!$H$5:$H$25,MATCH($A104,'建筑建议总览'!$A$5:$A$25,0))</f>
        <v/>
      </c>
      <c r="H104" s="44">
        <f>INDEX('建筑建议总览'!$I$5:$I$25,MATCH($A104,'建筑建议总览'!$A$5:$A$25,0))</f>
        <v/>
      </c>
      <c r="I104" s="36">
        <f>INDEX('建筑建议总览'!$J$5:$J$25,MATCH($A104,'建筑建议总览'!$A$5:$A$25,0))</f>
        <v/>
      </c>
      <c r="J104" s="44">
        <f>POWER(H104,D104-1)</f>
        <v/>
      </c>
      <c r="K104" s="44">
        <f>SUMIF($A$5:$A$328,$A104,$J$5:$J$328)</f>
        <v/>
      </c>
      <c r="L104" s="36">
        <f>IF(I104&gt;0,ROUNDDOWN(MAX(0,I104-G104*(F104-1))*J104/K104,0),0)</f>
        <v/>
      </c>
      <c r="M104" s="36">
        <f>IF(I104&gt;0,G104+L104+IF(D104=F104-1,MAX(0,I104-G104*(F104-1)-SUMIF($A$5:$A$328,$A104,$L$5:$L$328)),0),ROUNDUP(G104*POWER(INDEX('建筑总览'!$G$5:$G$25,MATCH($A104,'建筑总览'!$A$5:$A$25,0)),D104),0))</f>
        <v/>
      </c>
      <c r="N104" s="35">
        <f>M104/'参数与公式'!$B$21</f>
        <v/>
      </c>
      <c r="O104" s="36">
        <f>INDEX('建筑建议总览'!$P$5:$P$25,MATCH($A104,'建筑建议总览'!$A$5:$A$25,0))</f>
        <v/>
      </c>
      <c r="P104" s="36">
        <f>INDEX('建筑建议总览'!$Q$5:$Q$25,MATCH($A104,'建筑建议总览'!$A$5:$A$25,0))</f>
        <v/>
      </c>
      <c r="Q104" s="44">
        <f>INDEX('建筑建议总览'!$R$5:$R$25,MATCH($A104,'建筑建议总览'!$A$5:$A$25,0))</f>
        <v/>
      </c>
      <c r="R104" s="36">
        <f>INDEX('建筑建议总览'!$S$5:$S$25,MATCH($A104,'建筑建议总览'!$A$5:$A$25,0))</f>
        <v/>
      </c>
      <c r="S104" s="36">
        <f>INDEX('建筑建议总览'!$T$5:$T$25,MATCH($A104,'建筑建议总览'!$A$5:$A$25,0))</f>
        <v/>
      </c>
      <c r="T104" s="44">
        <f>POWER(Q104,D104-1)</f>
        <v/>
      </c>
      <c r="U104" s="44">
        <f>SUMIF($A$5:$A$328,$A104,$T$5:$T$328)</f>
        <v/>
      </c>
      <c r="V104" s="36">
        <f>IF(R104&gt;0,ROUNDDOWN(MAX(0,R104-O104*(F104-1))*T104/U104,0),0)</f>
        <v/>
      </c>
      <c r="W104" s="36">
        <f>IF(S104&gt;0,ROUNDDOWN(MAX(0,S104-P104*(F104-1))*T104/U104,0),0)</f>
        <v/>
      </c>
      <c r="X104" s="36">
        <f>IF(R104&gt;0,O104+V104+IF(D104=F104-1,MAX(0,R104-O104*(F104-1)-SUMIF($A$5:$A$328,$A104,$V$5:$V$328)),0),ROUNDUP(O104*POWER(INDEX('建筑总览'!$J$5:$J$25,MATCH($A104,'建筑总览'!$A$5:$A$25,0)),D104),0))</f>
        <v/>
      </c>
      <c r="Y104" s="36">
        <f>IF(P104=0,0,IF(S104&gt;0,P104+W104+IF(D104=F104-1,MAX(0,S104-P104*(F104-1)-SUMIF($A$5:$A$328,$A104,$W$5:$W$328)),0),ROUNDUP(P104*POWER(INDEX('建筑总览'!$J$5:$J$25,MATCH($A104,'建筑总览'!$A$5:$A$25,0)),D104),0)))</f>
        <v/>
      </c>
      <c r="Z104" s="36">
        <f>IF(X104=0,0,MAX(1,ROUNDUP(X104*(1-'参数与公式'!$B$17),0)))</f>
        <v/>
      </c>
      <c r="AA104" s="36">
        <f>IF(Y104=0,0,MAX(1,ROUNDUP(Y104*(1-'参数与公式'!$B$17),0)))</f>
        <v/>
      </c>
      <c r="AB104" s="33" t="inlineStr">
        <is>
          <t>预算模式末级补足余数；旧模式按指数公式</t>
        </is>
      </c>
      <c r="AC104" s="49">
        <f>IF(A104=A103,IFERROR(M104/M103,""),"")</f>
        <v/>
      </c>
      <c r="AD104" s="49">
        <f>IF(AND(A104=A103,X103&gt;0),X104/X103,"")</f>
        <v/>
      </c>
    </row>
    <row r="105" ht="30" customHeight="1">
      <c r="A105" s="33" t="inlineStr">
        <is>
          <t>latrine</t>
        </is>
      </c>
      <c r="B105" s="33" t="inlineStr">
        <is>
          <t>茅厕</t>
        </is>
      </c>
      <c r="C105" s="33" t="inlineStr">
        <is>
          <t>资源生产</t>
        </is>
      </c>
      <c r="D105" s="43" t="n">
        <v>4</v>
      </c>
      <c r="E105" s="36">
        <f>D105+1</f>
        <v/>
      </c>
      <c r="F105" s="43" t="n">
        <v>20</v>
      </c>
      <c r="G105" s="36">
        <f>INDEX('建筑建议总览'!$H$5:$H$25,MATCH($A105,'建筑建议总览'!$A$5:$A$25,0))</f>
        <v/>
      </c>
      <c r="H105" s="44">
        <f>INDEX('建筑建议总览'!$I$5:$I$25,MATCH($A105,'建筑建议总览'!$A$5:$A$25,0))</f>
        <v/>
      </c>
      <c r="I105" s="36">
        <f>INDEX('建筑建议总览'!$J$5:$J$25,MATCH($A105,'建筑建议总览'!$A$5:$A$25,0))</f>
        <v/>
      </c>
      <c r="J105" s="44">
        <f>POWER(H105,D105-1)</f>
        <v/>
      </c>
      <c r="K105" s="44">
        <f>SUMIF($A$5:$A$328,$A105,$J$5:$J$328)</f>
        <v/>
      </c>
      <c r="L105" s="36">
        <f>IF(I105&gt;0,ROUNDDOWN(MAX(0,I105-G105*(F105-1))*J105/K105,0),0)</f>
        <v/>
      </c>
      <c r="M105" s="36">
        <f>IF(I105&gt;0,G105+L105+IF(D105=F105-1,MAX(0,I105-G105*(F105-1)-SUMIF($A$5:$A$328,$A105,$L$5:$L$328)),0),ROUNDUP(G105*POWER(INDEX('建筑总览'!$G$5:$G$25,MATCH($A105,'建筑总览'!$A$5:$A$25,0)),D105),0))</f>
        <v/>
      </c>
      <c r="N105" s="35">
        <f>M105/'参数与公式'!$B$21</f>
        <v/>
      </c>
      <c r="O105" s="36">
        <f>INDEX('建筑建议总览'!$P$5:$P$25,MATCH($A105,'建筑建议总览'!$A$5:$A$25,0))</f>
        <v/>
      </c>
      <c r="P105" s="36">
        <f>INDEX('建筑建议总览'!$Q$5:$Q$25,MATCH($A105,'建筑建议总览'!$A$5:$A$25,0))</f>
        <v/>
      </c>
      <c r="Q105" s="44">
        <f>INDEX('建筑建议总览'!$R$5:$R$25,MATCH($A105,'建筑建议总览'!$A$5:$A$25,0))</f>
        <v/>
      </c>
      <c r="R105" s="36">
        <f>INDEX('建筑建议总览'!$S$5:$S$25,MATCH($A105,'建筑建议总览'!$A$5:$A$25,0))</f>
        <v/>
      </c>
      <c r="S105" s="36">
        <f>INDEX('建筑建议总览'!$T$5:$T$25,MATCH($A105,'建筑建议总览'!$A$5:$A$25,0))</f>
        <v/>
      </c>
      <c r="T105" s="44">
        <f>POWER(Q105,D105-1)</f>
        <v/>
      </c>
      <c r="U105" s="44">
        <f>SUMIF($A$5:$A$328,$A105,$T$5:$T$328)</f>
        <v/>
      </c>
      <c r="V105" s="36">
        <f>IF(R105&gt;0,ROUNDDOWN(MAX(0,R105-O105*(F105-1))*T105/U105,0),0)</f>
        <v/>
      </c>
      <c r="W105" s="36">
        <f>IF(S105&gt;0,ROUNDDOWN(MAX(0,S105-P105*(F105-1))*T105/U105,0),0)</f>
        <v/>
      </c>
      <c r="X105" s="36">
        <f>IF(R105&gt;0,O105+V105+IF(D105=F105-1,MAX(0,R105-O105*(F105-1)-SUMIF($A$5:$A$328,$A105,$V$5:$V$328)),0),ROUNDUP(O105*POWER(INDEX('建筑总览'!$J$5:$J$25,MATCH($A105,'建筑总览'!$A$5:$A$25,0)),D105),0))</f>
        <v/>
      </c>
      <c r="Y105" s="36">
        <f>IF(P105=0,0,IF(S105&gt;0,P105+W105+IF(D105=F105-1,MAX(0,S105-P105*(F105-1)-SUMIF($A$5:$A$328,$A105,$W$5:$W$328)),0),ROUNDUP(P105*POWER(INDEX('建筑总览'!$J$5:$J$25,MATCH($A105,'建筑总览'!$A$5:$A$25,0)),D105),0)))</f>
        <v/>
      </c>
      <c r="Z105" s="36">
        <f>IF(X105=0,0,MAX(1,ROUNDUP(X105*(1-'参数与公式'!$B$17),0)))</f>
        <v/>
      </c>
      <c r="AA105" s="36">
        <f>IF(Y105=0,0,MAX(1,ROUNDUP(Y105*(1-'参数与公式'!$B$17),0)))</f>
        <v/>
      </c>
      <c r="AB105" s="33" t="inlineStr">
        <is>
          <t>预算模式末级补足余数；旧模式按指数公式</t>
        </is>
      </c>
      <c r="AC105" s="49">
        <f>IF(A105=A104,IFERROR(M105/M104,""),"")</f>
        <v/>
      </c>
      <c r="AD105" s="49">
        <f>IF(AND(A105=A104,X104&gt;0),X105/X104,"")</f>
        <v/>
      </c>
    </row>
    <row r="106" ht="30" customHeight="1">
      <c r="A106" s="33" t="inlineStr">
        <is>
          <t>latrine</t>
        </is>
      </c>
      <c r="B106" s="33" t="inlineStr">
        <is>
          <t>茅厕</t>
        </is>
      </c>
      <c r="C106" s="33" t="inlineStr">
        <is>
          <t>资源生产</t>
        </is>
      </c>
      <c r="D106" s="43" t="n">
        <v>5</v>
      </c>
      <c r="E106" s="36">
        <f>D106+1</f>
        <v/>
      </c>
      <c r="F106" s="43" t="n">
        <v>20</v>
      </c>
      <c r="G106" s="36">
        <f>INDEX('建筑建议总览'!$H$5:$H$25,MATCH($A106,'建筑建议总览'!$A$5:$A$25,0))</f>
        <v/>
      </c>
      <c r="H106" s="44">
        <f>INDEX('建筑建议总览'!$I$5:$I$25,MATCH($A106,'建筑建议总览'!$A$5:$A$25,0))</f>
        <v/>
      </c>
      <c r="I106" s="36">
        <f>INDEX('建筑建议总览'!$J$5:$J$25,MATCH($A106,'建筑建议总览'!$A$5:$A$25,0))</f>
        <v/>
      </c>
      <c r="J106" s="44">
        <f>POWER(H106,D106-1)</f>
        <v/>
      </c>
      <c r="K106" s="44">
        <f>SUMIF($A$5:$A$328,$A106,$J$5:$J$328)</f>
        <v/>
      </c>
      <c r="L106" s="36">
        <f>IF(I106&gt;0,ROUNDDOWN(MAX(0,I106-G106*(F106-1))*J106/K106,0),0)</f>
        <v/>
      </c>
      <c r="M106" s="36">
        <f>IF(I106&gt;0,G106+L106+IF(D106=F106-1,MAX(0,I106-G106*(F106-1)-SUMIF($A$5:$A$328,$A106,$L$5:$L$328)),0),ROUNDUP(G106*POWER(INDEX('建筑总览'!$G$5:$G$25,MATCH($A106,'建筑总览'!$A$5:$A$25,0)),D106),0))</f>
        <v/>
      </c>
      <c r="N106" s="35">
        <f>M106/'参数与公式'!$B$21</f>
        <v/>
      </c>
      <c r="O106" s="36">
        <f>INDEX('建筑建议总览'!$P$5:$P$25,MATCH($A106,'建筑建议总览'!$A$5:$A$25,0))</f>
        <v/>
      </c>
      <c r="P106" s="36">
        <f>INDEX('建筑建议总览'!$Q$5:$Q$25,MATCH($A106,'建筑建议总览'!$A$5:$A$25,0))</f>
        <v/>
      </c>
      <c r="Q106" s="44">
        <f>INDEX('建筑建议总览'!$R$5:$R$25,MATCH($A106,'建筑建议总览'!$A$5:$A$25,0))</f>
        <v/>
      </c>
      <c r="R106" s="36">
        <f>INDEX('建筑建议总览'!$S$5:$S$25,MATCH($A106,'建筑建议总览'!$A$5:$A$25,0))</f>
        <v/>
      </c>
      <c r="S106" s="36">
        <f>INDEX('建筑建议总览'!$T$5:$T$25,MATCH($A106,'建筑建议总览'!$A$5:$A$25,0))</f>
        <v/>
      </c>
      <c r="T106" s="44">
        <f>POWER(Q106,D106-1)</f>
        <v/>
      </c>
      <c r="U106" s="44">
        <f>SUMIF($A$5:$A$328,$A106,$T$5:$T$328)</f>
        <v/>
      </c>
      <c r="V106" s="36">
        <f>IF(R106&gt;0,ROUNDDOWN(MAX(0,R106-O106*(F106-1))*T106/U106,0),0)</f>
        <v/>
      </c>
      <c r="W106" s="36">
        <f>IF(S106&gt;0,ROUNDDOWN(MAX(0,S106-P106*(F106-1))*T106/U106,0),0)</f>
        <v/>
      </c>
      <c r="X106" s="36">
        <f>IF(R106&gt;0,O106+V106+IF(D106=F106-1,MAX(0,R106-O106*(F106-1)-SUMIF($A$5:$A$328,$A106,$V$5:$V$328)),0),ROUNDUP(O106*POWER(INDEX('建筑总览'!$J$5:$J$25,MATCH($A106,'建筑总览'!$A$5:$A$25,0)),D106),0))</f>
        <v/>
      </c>
      <c r="Y106" s="36">
        <f>IF(P106=0,0,IF(S106&gt;0,P106+W106+IF(D106=F106-1,MAX(0,S106-P106*(F106-1)-SUMIF($A$5:$A$328,$A106,$W$5:$W$328)),0),ROUNDUP(P106*POWER(INDEX('建筑总览'!$J$5:$J$25,MATCH($A106,'建筑总览'!$A$5:$A$25,0)),D106),0)))</f>
        <v/>
      </c>
      <c r="Z106" s="36">
        <f>IF(X106=0,0,MAX(1,ROUNDUP(X106*(1-'参数与公式'!$B$17),0)))</f>
        <v/>
      </c>
      <c r="AA106" s="36">
        <f>IF(Y106=0,0,MAX(1,ROUNDUP(Y106*(1-'参数与公式'!$B$17),0)))</f>
        <v/>
      </c>
      <c r="AB106" s="33" t="inlineStr">
        <is>
          <t>预算模式末级补足余数；旧模式按指数公式</t>
        </is>
      </c>
      <c r="AC106" s="49">
        <f>IF(A106=A105,IFERROR(M106/M105,""),"")</f>
        <v/>
      </c>
      <c r="AD106" s="49">
        <f>IF(AND(A106=A105,X105&gt;0),X106/X105,"")</f>
        <v/>
      </c>
    </row>
    <row r="107" ht="30" customHeight="1">
      <c r="A107" s="33" t="inlineStr">
        <is>
          <t>latrine</t>
        </is>
      </c>
      <c r="B107" s="33" t="inlineStr">
        <is>
          <t>茅厕</t>
        </is>
      </c>
      <c r="C107" s="33" t="inlineStr">
        <is>
          <t>资源生产</t>
        </is>
      </c>
      <c r="D107" s="43" t="n">
        <v>6</v>
      </c>
      <c r="E107" s="36">
        <f>D107+1</f>
        <v/>
      </c>
      <c r="F107" s="43" t="n">
        <v>20</v>
      </c>
      <c r="G107" s="36">
        <f>INDEX('建筑建议总览'!$H$5:$H$25,MATCH($A107,'建筑建议总览'!$A$5:$A$25,0))</f>
        <v/>
      </c>
      <c r="H107" s="44">
        <f>INDEX('建筑建议总览'!$I$5:$I$25,MATCH($A107,'建筑建议总览'!$A$5:$A$25,0))</f>
        <v/>
      </c>
      <c r="I107" s="36">
        <f>INDEX('建筑建议总览'!$J$5:$J$25,MATCH($A107,'建筑建议总览'!$A$5:$A$25,0))</f>
        <v/>
      </c>
      <c r="J107" s="44">
        <f>POWER(H107,D107-1)</f>
        <v/>
      </c>
      <c r="K107" s="44">
        <f>SUMIF($A$5:$A$328,$A107,$J$5:$J$328)</f>
        <v/>
      </c>
      <c r="L107" s="36">
        <f>IF(I107&gt;0,ROUNDDOWN(MAX(0,I107-G107*(F107-1))*J107/K107,0),0)</f>
        <v/>
      </c>
      <c r="M107" s="36">
        <f>IF(I107&gt;0,G107+L107+IF(D107=F107-1,MAX(0,I107-G107*(F107-1)-SUMIF($A$5:$A$328,$A107,$L$5:$L$328)),0),ROUNDUP(G107*POWER(INDEX('建筑总览'!$G$5:$G$25,MATCH($A107,'建筑总览'!$A$5:$A$25,0)),D107),0))</f>
        <v/>
      </c>
      <c r="N107" s="35">
        <f>M107/'参数与公式'!$B$21</f>
        <v/>
      </c>
      <c r="O107" s="36">
        <f>INDEX('建筑建议总览'!$P$5:$P$25,MATCH($A107,'建筑建议总览'!$A$5:$A$25,0))</f>
        <v/>
      </c>
      <c r="P107" s="36">
        <f>INDEX('建筑建议总览'!$Q$5:$Q$25,MATCH($A107,'建筑建议总览'!$A$5:$A$25,0))</f>
        <v/>
      </c>
      <c r="Q107" s="44">
        <f>INDEX('建筑建议总览'!$R$5:$R$25,MATCH($A107,'建筑建议总览'!$A$5:$A$25,0))</f>
        <v/>
      </c>
      <c r="R107" s="36">
        <f>INDEX('建筑建议总览'!$S$5:$S$25,MATCH($A107,'建筑建议总览'!$A$5:$A$25,0))</f>
        <v/>
      </c>
      <c r="S107" s="36">
        <f>INDEX('建筑建议总览'!$T$5:$T$25,MATCH($A107,'建筑建议总览'!$A$5:$A$25,0))</f>
        <v/>
      </c>
      <c r="T107" s="44">
        <f>POWER(Q107,D107-1)</f>
        <v/>
      </c>
      <c r="U107" s="44">
        <f>SUMIF($A$5:$A$328,$A107,$T$5:$T$328)</f>
        <v/>
      </c>
      <c r="V107" s="36">
        <f>IF(R107&gt;0,ROUNDDOWN(MAX(0,R107-O107*(F107-1))*T107/U107,0),0)</f>
        <v/>
      </c>
      <c r="W107" s="36">
        <f>IF(S107&gt;0,ROUNDDOWN(MAX(0,S107-P107*(F107-1))*T107/U107,0),0)</f>
        <v/>
      </c>
      <c r="X107" s="36">
        <f>IF(R107&gt;0,O107+V107+IF(D107=F107-1,MAX(0,R107-O107*(F107-1)-SUMIF($A$5:$A$328,$A107,$V$5:$V$328)),0),ROUNDUP(O107*POWER(INDEX('建筑总览'!$J$5:$J$25,MATCH($A107,'建筑总览'!$A$5:$A$25,0)),D107),0))</f>
        <v/>
      </c>
      <c r="Y107" s="36">
        <f>IF(P107=0,0,IF(S107&gt;0,P107+W107+IF(D107=F107-1,MAX(0,S107-P107*(F107-1)-SUMIF($A$5:$A$328,$A107,$W$5:$W$328)),0),ROUNDUP(P107*POWER(INDEX('建筑总览'!$J$5:$J$25,MATCH($A107,'建筑总览'!$A$5:$A$25,0)),D107),0)))</f>
        <v/>
      </c>
      <c r="Z107" s="36">
        <f>IF(X107=0,0,MAX(1,ROUNDUP(X107*(1-'参数与公式'!$B$17),0)))</f>
        <v/>
      </c>
      <c r="AA107" s="36">
        <f>IF(Y107=0,0,MAX(1,ROUNDUP(Y107*(1-'参数与公式'!$B$17),0)))</f>
        <v/>
      </c>
      <c r="AB107" s="33" t="inlineStr">
        <is>
          <t>预算模式末级补足余数；旧模式按指数公式</t>
        </is>
      </c>
      <c r="AC107" s="49">
        <f>IF(A107=A106,IFERROR(M107/M106,""),"")</f>
        <v/>
      </c>
      <c r="AD107" s="49">
        <f>IF(AND(A107=A106,X106&gt;0),X107/X106,"")</f>
        <v/>
      </c>
    </row>
    <row r="108" ht="30" customHeight="1">
      <c r="A108" s="33" t="inlineStr">
        <is>
          <t>latrine</t>
        </is>
      </c>
      <c r="B108" s="33" t="inlineStr">
        <is>
          <t>茅厕</t>
        </is>
      </c>
      <c r="C108" s="33" t="inlineStr">
        <is>
          <t>资源生产</t>
        </is>
      </c>
      <c r="D108" s="43" t="n">
        <v>7</v>
      </c>
      <c r="E108" s="36">
        <f>D108+1</f>
        <v/>
      </c>
      <c r="F108" s="43" t="n">
        <v>20</v>
      </c>
      <c r="G108" s="36">
        <f>INDEX('建筑建议总览'!$H$5:$H$25,MATCH($A108,'建筑建议总览'!$A$5:$A$25,0))</f>
        <v/>
      </c>
      <c r="H108" s="44">
        <f>INDEX('建筑建议总览'!$I$5:$I$25,MATCH($A108,'建筑建议总览'!$A$5:$A$25,0))</f>
        <v/>
      </c>
      <c r="I108" s="36">
        <f>INDEX('建筑建议总览'!$J$5:$J$25,MATCH($A108,'建筑建议总览'!$A$5:$A$25,0))</f>
        <v/>
      </c>
      <c r="J108" s="44">
        <f>POWER(H108,D108-1)</f>
        <v/>
      </c>
      <c r="K108" s="44">
        <f>SUMIF($A$5:$A$328,$A108,$J$5:$J$328)</f>
        <v/>
      </c>
      <c r="L108" s="36">
        <f>IF(I108&gt;0,ROUNDDOWN(MAX(0,I108-G108*(F108-1))*J108/K108,0),0)</f>
        <v/>
      </c>
      <c r="M108" s="36">
        <f>IF(I108&gt;0,G108+L108+IF(D108=F108-1,MAX(0,I108-G108*(F108-1)-SUMIF($A$5:$A$328,$A108,$L$5:$L$328)),0),ROUNDUP(G108*POWER(INDEX('建筑总览'!$G$5:$G$25,MATCH($A108,'建筑总览'!$A$5:$A$25,0)),D108),0))</f>
        <v/>
      </c>
      <c r="N108" s="35">
        <f>M108/'参数与公式'!$B$21</f>
        <v/>
      </c>
      <c r="O108" s="36">
        <f>INDEX('建筑建议总览'!$P$5:$P$25,MATCH($A108,'建筑建议总览'!$A$5:$A$25,0))</f>
        <v/>
      </c>
      <c r="P108" s="36">
        <f>INDEX('建筑建议总览'!$Q$5:$Q$25,MATCH($A108,'建筑建议总览'!$A$5:$A$25,0))</f>
        <v/>
      </c>
      <c r="Q108" s="44">
        <f>INDEX('建筑建议总览'!$R$5:$R$25,MATCH($A108,'建筑建议总览'!$A$5:$A$25,0))</f>
        <v/>
      </c>
      <c r="R108" s="36">
        <f>INDEX('建筑建议总览'!$S$5:$S$25,MATCH($A108,'建筑建议总览'!$A$5:$A$25,0))</f>
        <v/>
      </c>
      <c r="S108" s="36">
        <f>INDEX('建筑建议总览'!$T$5:$T$25,MATCH($A108,'建筑建议总览'!$A$5:$A$25,0))</f>
        <v/>
      </c>
      <c r="T108" s="44">
        <f>POWER(Q108,D108-1)</f>
        <v/>
      </c>
      <c r="U108" s="44">
        <f>SUMIF($A$5:$A$328,$A108,$T$5:$T$328)</f>
        <v/>
      </c>
      <c r="V108" s="36">
        <f>IF(R108&gt;0,ROUNDDOWN(MAX(0,R108-O108*(F108-1))*T108/U108,0),0)</f>
        <v/>
      </c>
      <c r="W108" s="36">
        <f>IF(S108&gt;0,ROUNDDOWN(MAX(0,S108-P108*(F108-1))*T108/U108,0),0)</f>
        <v/>
      </c>
      <c r="X108" s="36">
        <f>IF(R108&gt;0,O108+V108+IF(D108=F108-1,MAX(0,R108-O108*(F108-1)-SUMIF($A$5:$A$328,$A108,$V$5:$V$328)),0),ROUNDUP(O108*POWER(INDEX('建筑总览'!$J$5:$J$25,MATCH($A108,'建筑总览'!$A$5:$A$25,0)),D108),0))</f>
        <v/>
      </c>
      <c r="Y108" s="36">
        <f>IF(P108=0,0,IF(S108&gt;0,P108+W108+IF(D108=F108-1,MAX(0,S108-P108*(F108-1)-SUMIF($A$5:$A$328,$A108,$W$5:$W$328)),0),ROUNDUP(P108*POWER(INDEX('建筑总览'!$J$5:$J$25,MATCH($A108,'建筑总览'!$A$5:$A$25,0)),D108),0)))</f>
        <v/>
      </c>
      <c r="Z108" s="36">
        <f>IF(X108=0,0,MAX(1,ROUNDUP(X108*(1-'参数与公式'!$B$17),0)))</f>
        <v/>
      </c>
      <c r="AA108" s="36">
        <f>IF(Y108=0,0,MAX(1,ROUNDUP(Y108*(1-'参数与公式'!$B$17),0)))</f>
        <v/>
      </c>
      <c r="AB108" s="33" t="inlineStr">
        <is>
          <t>预算模式末级补足余数；旧模式按指数公式</t>
        </is>
      </c>
      <c r="AC108" s="49">
        <f>IF(A108=A107,IFERROR(M108/M107,""),"")</f>
        <v/>
      </c>
      <c r="AD108" s="49">
        <f>IF(AND(A108=A107,X107&gt;0),X108/X107,"")</f>
        <v/>
      </c>
    </row>
    <row r="109" ht="30" customHeight="1">
      <c r="A109" s="33" t="inlineStr">
        <is>
          <t>latrine</t>
        </is>
      </c>
      <c r="B109" s="33" t="inlineStr">
        <is>
          <t>茅厕</t>
        </is>
      </c>
      <c r="C109" s="33" t="inlineStr">
        <is>
          <t>资源生产</t>
        </is>
      </c>
      <c r="D109" s="43" t="n">
        <v>8</v>
      </c>
      <c r="E109" s="36">
        <f>D109+1</f>
        <v/>
      </c>
      <c r="F109" s="43" t="n">
        <v>20</v>
      </c>
      <c r="G109" s="36">
        <f>INDEX('建筑建议总览'!$H$5:$H$25,MATCH($A109,'建筑建议总览'!$A$5:$A$25,0))</f>
        <v/>
      </c>
      <c r="H109" s="44">
        <f>INDEX('建筑建议总览'!$I$5:$I$25,MATCH($A109,'建筑建议总览'!$A$5:$A$25,0))</f>
        <v/>
      </c>
      <c r="I109" s="36">
        <f>INDEX('建筑建议总览'!$J$5:$J$25,MATCH($A109,'建筑建议总览'!$A$5:$A$25,0))</f>
        <v/>
      </c>
      <c r="J109" s="44">
        <f>POWER(H109,D109-1)</f>
        <v/>
      </c>
      <c r="K109" s="44">
        <f>SUMIF($A$5:$A$328,$A109,$J$5:$J$328)</f>
        <v/>
      </c>
      <c r="L109" s="36">
        <f>IF(I109&gt;0,ROUNDDOWN(MAX(0,I109-G109*(F109-1))*J109/K109,0),0)</f>
        <v/>
      </c>
      <c r="M109" s="36">
        <f>IF(I109&gt;0,G109+L109+IF(D109=F109-1,MAX(0,I109-G109*(F109-1)-SUMIF($A$5:$A$328,$A109,$L$5:$L$328)),0),ROUNDUP(G109*POWER(INDEX('建筑总览'!$G$5:$G$25,MATCH($A109,'建筑总览'!$A$5:$A$25,0)),D109),0))</f>
        <v/>
      </c>
      <c r="N109" s="35">
        <f>M109/'参数与公式'!$B$21</f>
        <v/>
      </c>
      <c r="O109" s="36">
        <f>INDEX('建筑建议总览'!$P$5:$P$25,MATCH($A109,'建筑建议总览'!$A$5:$A$25,0))</f>
        <v/>
      </c>
      <c r="P109" s="36">
        <f>INDEX('建筑建议总览'!$Q$5:$Q$25,MATCH($A109,'建筑建议总览'!$A$5:$A$25,0))</f>
        <v/>
      </c>
      <c r="Q109" s="44">
        <f>INDEX('建筑建议总览'!$R$5:$R$25,MATCH($A109,'建筑建议总览'!$A$5:$A$25,0))</f>
        <v/>
      </c>
      <c r="R109" s="36">
        <f>INDEX('建筑建议总览'!$S$5:$S$25,MATCH($A109,'建筑建议总览'!$A$5:$A$25,0))</f>
        <v/>
      </c>
      <c r="S109" s="36">
        <f>INDEX('建筑建议总览'!$T$5:$T$25,MATCH($A109,'建筑建议总览'!$A$5:$A$25,0))</f>
        <v/>
      </c>
      <c r="T109" s="44">
        <f>POWER(Q109,D109-1)</f>
        <v/>
      </c>
      <c r="U109" s="44">
        <f>SUMIF($A$5:$A$328,$A109,$T$5:$T$328)</f>
        <v/>
      </c>
      <c r="V109" s="36">
        <f>IF(R109&gt;0,ROUNDDOWN(MAX(0,R109-O109*(F109-1))*T109/U109,0),0)</f>
        <v/>
      </c>
      <c r="W109" s="36">
        <f>IF(S109&gt;0,ROUNDDOWN(MAX(0,S109-P109*(F109-1))*T109/U109,0),0)</f>
        <v/>
      </c>
      <c r="X109" s="36">
        <f>IF(R109&gt;0,O109+V109+IF(D109=F109-1,MAX(0,R109-O109*(F109-1)-SUMIF($A$5:$A$328,$A109,$V$5:$V$328)),0),ROUNDUP(O109*POWER(INDEX('建筑总览'!$J$5:$J$25,MATCH($A109,'建筑总览'!$A$5:$A$25,0)),D109),0))</f>
        <v/>
      </c>
      <c r="Y109" s="36">
        <f>IF(P109=0,0,IF(S109&gt;0,P109+W109+IF(D109=F109-1,MAX(0,S109-P109*(F109-1)-SUMIF($A$5:$A$328,$A109,$W$5:$W$328)),0),ROUNDUP(P109*POWER(INDEX('建筑总览'!$J$5:$J$25,MATCH($A109,'建筑总览'!$A$5:$A$25,0)),D109),0)))</f>
        <v/>
      </c>
      <c r="Z109" s="36">
        <f>IF(X109=0,0,MAX(1,ROUNDUP(X109*(1-'参数与公式'!$B$17),0)))</f>
        <v/>
      </c>
      <c r="AA109" s="36">
        <f>IF(Y109=0,0,MAX(1,ROUNDUP(Y109*(1-'参数与公式'!$B$17),0)))</f>
        <v/>
      </c>
      <c r="AB109" s="33" t="inlineStr">
        <is>
          <t>预算模式末级补足余数；旧模式按指数公式</t>
        </is>
      </c>
      <c r="AC109" s="49">
        <f>IF(A109=A108,IFERROR(M109/M108,""),"")</f>
        <v/>
      </c>
      <c r="AD109" s="49">
        <f>IF(AND(A109=A108,X108&gt;0),X109/X108,"")</f>
        <v/>
      </c>
    </row>
    <row r="110" ht="30" customHeight="1">
      <c r="A110" s="33" t="inlineStr">
        <is>
          <t>latrine</t>
        </is>
      </c>
      <c r="B110" s="33" t="inlineStr">
        <is>
          <t>茅厕</t>
        </is>
      </c>
      <c r="C110" s="33" t="inlineStr">
        <is>
          <t>资源生产</t>
        </is>
      </c>
      <c r="D110" s="43" t="n">
        <v>9</v>
      </c>
      <c r="E110" s="36">
        <f>D110+1</f>
        <v/>
      </c>
      <c r="F110" s="43" t="n">
        <v>20</v>
      </c>
      <c r="G110" s="36">
        <f>INDEX('建筑建议总览'!$H$5:$H$25,MATCH($A110,'建筑建议总览'!$A$5:$A$25,0))</f>
        <v/>
      </c>
      <c r="H110" s="44">
        <f>INDEX('建筑建议总览'!$I$5:$I$25,MATCH($A110,'建筑建议总览'!$A$5:$A$25,0))</f>
        <v/>
      </c>
      <c r="I110" s="36">
        <f>INDEX('建筑建议总览'!$J$5:$J$25,MATCH($A110,'建筑建议总览'!$A$5:$A$25,0))</f>
        <v/>
      </c>
      <c r="J110" s="44">
        <f>POWER(H110,D110-1)</f>
        <v/>
      </c>
      <c r="K110" s="44">
        <f>SUMIF($A$5:$A$328,$A110,$J$5:$J$328)</f>
        <v/>
      </c>
      <c r="L110" s="36">
        <f>IF(I110&gt;0,ROUNDDOWN(MAX(0,I110-G110*(F110-1))*J110/K110,0),0)</f>
        <v/>
      </c>
      <c r="M110" s="36">
        <f>IF(I110&gt;0,G110+L110+IF(D110=F110-1,MAX(0,I110-G110*(F110-1)-SUMIF($A$5:$A$328,$A110,$L$5:$L$328)),0),ROUNDUP(G110*POWER(INDEX('建筑总览'!$G$5:$G$25,MATCH($A110,'建筑总览'!$A$5:$A$25,0)),D110),0))</f>
        <v/>
      </c>
      <c r="N110" s="35">
        <f>M110/'参数与公式'!$B$21</f>
        <v/>
      </c>
      <c r="O110" s="36">
        <f>INDEX('建筑建议总览'!$P$5:$P$25,MATCH($A110,'建筑建议总览'!$A$5:$A$25,0))</f>
        <v/>
      </c>
      <c r="P110" s="36">
        <f>INDEX('建筑建议总览'!$Q$5:$Q$25,MATCH($A110,'建筑建议总览'!$A$5:$A$25,0))</f>
        <v/>
      </c>
      <c r="Q110" s="44">
        <f>INDEX('建筑建议总览'!$R$5:$R$25,MATCH($A110,'建筑建议总览'!$A$5:$A$25,0))</f>
        <v/>
      </c>
      <c r="R110" s="36">
        <f>INDEX('建筑建议总览'!$S$5:$S$25,MATCH($A110,'建筑建议总览'!$A$5:$A$25,0))</f>
        <v/>
      </c>
      <c r="S110" s="36">
        <f>INDEX('建筑建议总览'!$T$5:$T$25,MATCH($A110,'建筑建议总览'!$A$5:$A$25,0))</f>
        <v/>
      </c>
      <c r="T110" s="44">
        <f>POWER(Q110,D110-1)</f>
        <v/>
      </c>
      <c r="U110" s="44">
        <f>SUMIF($A$5:$A$328,$A110,$T$5:$T$328)</f>
        <v/>
      </c>
      <c r="V110" s="36">
        <f>IF(R110&gt;0,ROUNDDOWN(MAX(0,R110-O110*(F110-1))*T110/U110,0),0)</f>
        <v/>
      </c>
      <c r="W110" s="36">
        <f>IF(S110&gt;0,ROUNDDOWN(MAX(0,S110-P110*(F110-1))*T110/U110,0),0)</f>
        <v/>
      </c>
      <c r="X110" s="36">
        <f>IF(R110&gt;0,O110+V110+IF(D110=F110-1,MAX(0,R110-O110*(F110-1)-SUMIF($A$5:$A$328,$A110,$V$5:$V$328)),0),ROUNDUP(O110*POWER(INDEX('建筑总览'!$J$5:$J$25,MATCH($A110,'建筑总览'!$A$5:$A$25,0)),D110),0))</f>
        <v/>
      </c>
      <c r="Y110" s="36">
        <f>IF(P110=0,0,IF(S110&gt;0,P110+W110+IF(D110=F110-1,MAX(0,S110-P110*(F110-1)-SUMIF($A$5:$A$328,$A110,$W$5:$W$328)),0),ROUNDUP(P110*POWER(INDEX('建筑总览'!$J$5:$J$25,MATCH($A110,'建筑总览'!$A$5:$A$25,0)),D110),0)))</f>
        <v/>
      </c>
      <c r="Z110" s="36">
        <f>IF(X110=0,0,MAX(1,ROUNDUP(X110*(1-'参数与公式'!$B$17),0)))</f>
        <v/>
      </c>
      <c r="AA110" s="36">
        <f>IF(Y110=0,0,MAX(1,ROUNDUP(Y110*(1-'参数与公式'!$B$17),0)))</f>
        <v/>
      </c>
      <c r="AB110" s="33" t="inlineStr">
        <is>
          <t>预算模式末级补足余数；旧模式按指数公式</t>
        </is>
      </c>
      <c r="AC110" s="49">
        <f>IF(A110=A109,IFERROR(M110/M109,""),"")</f>
        <v/>
      </c>
      <c r="AD110" s="49">
        <f>IF(AND(A110=A109,X109&gt;0),X110/X109,"")</f>
        <v/>
      </c>
    </row>
    <row r="111" ht="30" customHeight="1">
      <c r="A111" s="33" t="inlineStr">
        <is>
          <t>latrine</t>
        </is>
      </c>
      <c r="B111" s="33" t="inlineStr">
        <is>
          <t>茅厕</t>
        </is>
      </c>
      <c r="C111" s="33" t="inlineStr">
        <is>
          <t>资源生产</t>
        </is>
      </c>
      <c r="D111" s="43" t="n">
        <v>10</v>
      </c>
      <c r="E111" s="36">
        <f>D111+1</f>
        <v/>
      </c>
      <c r="F111" s="43" t="n">
        <v>20</v>
      </c>
      <c r="G111" s="36">
        <f>INDEX('建筑建议总览'!$H$5:$H$25,MATCH($A111,'建筑建议总览'!$A$5:$A$25,0))</f>
        <v/>
      </c>
      <c r="H111" s="44">
        <f>INDEX('建筑建议总览'!$I$5:$I$25,MATCH($A111,'建筑建议总览'!$A$5:$A$25,0))</f>
        <v/>
      </c>
      <c r="I111" s="36">
        <f>INDEX('建筑建议总览'!$J$5:$J$25,MATCH($A111,'建筑建议总览'!$A$5:$A$25,0))</f>
        <v/>
      </c>
      <c r="J111" s="44">
        <f>POWER(H111,D111-1)</f>
        <v/>
      </c>
      <c r="K111" s="44">
        <f>SUMIF($A$5:$A$328,$A111,$J$5:$J$328)</f>
        <v/>
      </c>
      <c r="L111" s="36">
        <f>IF(I111&gt;0,ROUNDDOWN(MAX(0,I111-G111*(F111-1))*J111/K111,0),0)</f>
        <v/>
      </c>
      <c r="M111" s="36">
        <f>IF(I111&gt;0,G111+L111+IF(D111=F111-1,MAX(0,I111-G111*(F111-1)-SUMIF($A$5:$A$328,$A111,$L$5:$L$328)),0),ROUNDUP(G111*POWER(INDEX('建筑总览'!$G$5:$G$25,MATCH($A111,'建筑总览'!$A$5:$A$25,0)),D111),0))</f>
        <v/>
      </c>
      <c r="N111" s="35">
        <f>M111/'参数与公式'!$B$21</f>
        <v/>
      </c>
      <c r="O111" s="36">
        <f>INDEX('建筑建议总览'!$P$5:$P$25,MATCH($A111,'建筑建议总览'!$A$5:$A$25,0))</f>
        <v/>
      </c>
      <c r="P111" s="36">
        <f>INDEX('建筑建议总览'!$Q$5:$Q$25,MATCH($A111,'建筑建议总览'!$A$5:$A$25,0))</f>
        <v/>
      </c>
      <c r="Q111" s="44">
        <f>INDEX('建筑建议总览'!$R$5:$R$25,MATCH($A111,'建筑建议总览'!$A$5:$A$25,0))</f>
        <v/>
      </c>
      <c r="R111" s="36">
        <f>INDEX('建筑建议总览'!$S$5:$S$25,MATCH($A111,'建筑建议总览'!$A$5:$A$25,0))</f>
        <v/>
      </c>
      <c r="S111" s="36">
        <f>INDEX('建筑建议总览'!$T$5:$T$25,MATCH($A111,'建筑建议总览'!$A$5:$A$25,0))</f>
        <v/>
      </c>
      <c r="T111" s="44">
        <f>POWER(Q111,D111-1)</f>
        <v/>
      </c>
      <c r="U111" s="44">
        <f>SUMIF($A$5:$A$328,$A111,$T$5:$T$328)</f>
        <v/>
      </c>
      <c r="V111" s="36">
        <f>IF(R111&gt;0,ROUNDDOWN(MAX(0,R111-O111*(F111-1))*T111/U111,0),0)</f>
        <v/>
      </c>
      <c r="W111" s="36">
        <f>IF(S111&gt;0,ROUNDDOWN(MAX(0,S111-P111*(F111-1))*T111/U111,0),0)</f>
        <v/>
      </c>
      <c r="X111" s="36">
        <f>IF(R111&gt;0,O111+V111+IF(D111=F111-1,MAX(0,R111-O111*(F111-1)-SUMIF($A$5:$A$328,$A111,$V$5:$V$328)),0),ROUNDUP(O111*POWER(INDEX('建筑总览'!$J$5:$J$25,MATCH($A111,'建筑总览'!$A$5:$A$25,0)),D111),0))</f>
        <v/>
      </c>
      <c r="Y111" s="36">
        <f>IF(P111=0,0,IF(S111&gt;0,P111+W111+IF(D111=F111-1,MAX(0,S111-P111*(F111-1)-SUMIF($A$5:$A$328,$A111,$W$5:$W$328)),0),ROUNDUP(P111*POWER(INDEX('建筑总览'!$J$5:$J$25,MATCH($A111,'建筑总览'!$A$5:$A$25,0)),D111),0)))</f>
        <v/>
      </c>
      <c r="Z111" s="36">
        <f>IF(X111=0,0,MAX(1,ROUNDUP(X111*(1-'参数与公式'!$B$17),0)))</f>
        <v/>
      </c>
      <c r="AA111" s="36">
        <f>IF(Y111=0,0,MAX(1,ROUNDUP(Y111*(1-'参数与公式'!$B$17),0)))</f>
        <v/>
      </c>
      <c r="AB111" s="33" t="inlineStr">
        <is>
          <t>预算模式末级补足余数；旧模式按指数公式</t>
        </is>
      </c>
      <c r="AC111" s="49">
        <f>IF(A111=A110,IFERROR(M111/M110,""),"")</f>
        <v/>
      </c>
      <c r="AD111" s="49">
        <f>IF(AND(A111=A110,X110&gt;0),X111/X110,"")</f>
        <v/>
      </c>
    </row>
    <row r="112" ht="30" customHeight="1">
      <c r="A112" s="33" t="inlineStr">
        <is>
          <t>latrine</t>
        </is>
      </c>
      <c r="B112" s="33" t="inlineStr">
        <is>
          <t>茅厕</t>
        </is>
      </c>
      <c r="C112" s="33" t="inlineStr">
        <is>
          <t>资源生产</t>
        </is>
      </c>
      <c r="D112" s="43" t="n">
        <v>11</v>
      </c>
      <c r="E112" s="36">
        <f>D112+1</f>
        <v/>
      </c>
      <c r="F112" s="43" t="n">
        <v>20</v>
      </c>
      <c r="G112" s="36">
        <f>INDEX('建筑建议总览'!$H$5:$H$25,MATCH($A112,'建筑建议总览'!$A$5:$A$25,0))</f>
        <v/>
      </c>
      <c r="H112" s="44">
        <f>INDEX('建筑建议总览'!$I$5:$I$25,MATCH($A112,'建筑建议总览'!$A$5:$A$25,0))</f>
        <v/>
      </c>
      <c r="I112" s="36">
        <f>INDEX('建筑建议总览'!$J$5:$J$25,MATCH($A112,'建筑建议总览'!$A$5:$A$25,0))</f>
        <v/>
      </c>
      <c r="J112" s="44">
        <f>POWER(H112,D112-1)</f>
        <v/>
      </c>
      <c r="K112" s="44">
        <f>SUMIF($A$5:$A$328,$A112,$J$5:$J$328)</f>
        <v/>
      </c>
      <c r="L112" s="36">
        <f>IF(I112&gt;0,ROUNDDOWN(MAX(0,I112-G112*(F112-1))*J112/K112,0),0)</f>
        <v/>
      </c>
      <c r="M112" s="36">
        <f>IF(I112&gt;0,G112+L112+IF(D112=F112-1,MAX(0,I112-G112*(F112-1)-SUMIF($A$5:$A$328,$A112,$L$5:$L$328)),0),ROUNDUP(G112*POWER(INDEX('建筑总览'!$G$5:$G$25,MATCH($A112,'建筑总览'!$A$5:$A$25,0)),D112),0))</f>
        <v/>
      </c>
      <c r="N112" s="35">
        <f>M112/'参数与公式'!$B$21</f>
        <v/>
      </c>
      <c r="O112" s="36">
        <f>INDEX('建筑建议总览'!$P$5:$P$25,MATCH($A112,'建筑建议总览'!$A$5:$A$25,0))</f>
        <v/>
      </c>
      <c r="P112" s="36">
        <f>INDEX('建筑建议总览'!$Q$5:$Q$25,MATCH($A112,'建筑建议总览'!$A$5:$A$25,0))</f>
        <v/>
      </c>
      <c r="Q112" s="44">
        <f>INDEX('建筑建议总览'!$R$5:$R$25,MATCH($A112,'建筑建议总览'!$A$5:$A$25,0))</f>
        <v/>
      </c>
      <c r="R112" s="36">
        <f>INDEX('建筑建议总览'!$S$5:$S$25,MATCH($A112,'建筑建议总览'!$A$5:$A$25,0))</f>
        <v/>
      </c>
      <c r="S112" s="36">
        <f>INDEX('建筑建议总览'!$T$5:$T$25,MATCH($A112,'建筑建议总览'!$A$5:$A$25,0))</f>
        <v/>
      </c>
      <c r="T112" s="44">
        <f>POWER(Q112,D112-1)</f>
        <v/>
      </c>
      <c r="U112" s="44">
        <f>SUMIF($A$5:$A$328,$A112,$T$5:$T$328)</f>
        <v/>
      </c>
      <c r="V112" s="36">
        <f>IF(R112&gt;0,ROUNDDOWN(MAX(0,R112-O112*(F112-1))*T112/U112,0),0)</f>
        <v/>
      </c>
      <c r="W112" s="36">
        <f>IF(S112&gt;0,ROUNDDOWN(MAX(0,S112-P112*(F112-1))*T112/U112,0),0)</f>
        <v/>
      </c>
      <c r="X112" s="36">
        <f>IF(R112&gt;0,O112+V112+IF(D112=F112-1,MAX(0,R112-O112*(F112-1)-SUMIF($A$5:$A$328,$A112,$V$5:$V$328)),0),ROUNDUP(O112*POWER(INDEX('建筑总览'!$J$5:$J$25,MATCH($A112,'建筑总览'!$A$5:$A$25,0)),D112),0))</f>
        <v/>
      </c>
      <c r="Y112" s="36">
        <f>IF(P112=0,0,IF(S112&gt;0,P112+W112+IF(D112=F112-1,MAX(0,S112-P112*(F112-1)-SUMIF($A$5:$A$328,$A112,$W$5:$W$328)),0),ROUNDUP(P112*POWER(INDEX('建筑总览'!$J$5:$J$25,MATCH($A112,'建筑总览'!$A$5:$A$25,0)),D112),0)))</f>
        <v/>
      </c>
      <c r="Z112" s="36">
        <f>IF(X112=0,0,MAX(1,ROUNDUP(X112*(1-'参数与公式'!$B$17),0)))</f>
        <v/>
      </c>
      <c r="AA112" s="36">
        <f>IF(Y112=0,0,MAX(1,ROUNDUP(Y112*(1-'参数与公式'!$B$17),0)))</f>
        <v/>
      </c>
      <c r="AB112" s="33" t="inlineStr">
        <is>
          <t>预算模式末级补足余数；旧模式按指数公式</t>
        </is>
      </c>
      <c r="AC112" s="49">
        <f>IF(A112=A111,IFERROR(M112/M111,""),"")</f>
        <v/>
      </c>
      <c r="AD112" s="49">
        <f>IF(AND(A112=A111,X111&gt;0),X112/X111,"")</f>
        <v/>
      </c>
    </row>
    <row r="113" ht="30" customHeight="1">
      <c r="A113" s="33" t="inlineStr">
        <is>
          <t>latrine</t>
        </is>
      </c>
      <c r="B113" s="33" t="inlineStr">
        <is>
          <t>茅厕</t>
        </is>
      </c>
      <c r="C113" s="33" t="inlineStr">
        <is>
          <t>资源生产</t>
        </is>
      </c>
      <c r="D113" s="43" t="n">
        <v>12</v>
      </c>
      <c r="E113" s="36">
        <f>D113+1</f>
        <v/>
      </c>
      <c r="F113" s="43" t="n">
        <v>20</v>
      </c>
      <c r="G113" s="36">
        <f>INDEX('建筑建议总览'!$H$5:$H$25,MATCH($A113,'建筑建议总览'!$A$5:$A$25,0))</f>
        <v/>
      </c>
      <c r="H113" s="44">
        <f>INDEX('建筑建议总览'!$I$5:$I$25,MATCH($A113,'建筑建议总览'!$A$5:$A$25,0))</f>
        <v/>
      </c>
      <c r="I113" s="36">
        <f>INDEX('建筑建议总览'!$J$5:$J$25,MATCH($A113,'建筑建议总览'!$A$5:$A$25,0))</f>
        <v/>
      </c>
      <c r="J113" s="44">
        <f>POWER(H113,D113-1)</f>
        <v/>
      </c>
      <c r="K113" s="44">
        <f>SUMIF($A$5:$A$328,$A113,$J$5:$J$328)</f>
        <v/>
      </c>
      <c r="L113" s="36">
        <f>IF(I113&gt;0,ROUNDDOWN(MAX(0,I113-G113*(F113-1))*J113/K113,0),0)</f>
        <v/>
      </c>
      <c r="M113" s="36">
        <f>IF(I113&gt;0,G113+L113+IF(D113=F113-1,MAX(0,I113-G113*(F113-1)-SUMIF($A$5:$A$328,$A113,$L$5:$L$328)),0),ROUNDUP(G113*POWER(INDEX('建筑总览'!$G$5:$G$25,MATCH($A113,'建筑总览'!$A$5:$A$25,0)),D113),0))</f>
        <v/>
      </c>
      <c r="N113" s="35">
        <f>M113/'参数与公式'!$B$21</f>
        <v/>
      </c>
      <c r="O113" s="36">
        <f>INDEX('建筑建议总览'!$P$5:$P$25,MATCH($A113,'建筑建议总览'!$A$5:$A$25,0))</f>
        <v/>
      </c>
      <c r="P113" s="36">
        <f>INDEX('建筑建议总览'!$Q$5:$Q$25,MATCH($A113,'建筑建议总览'!$A$5:$A$25,0))</f>
        <v/>
      </c>
      <c r="Q113" s="44">
        <f>INDEX('建筑建议总览'!$R$5:$R$25,MATCH($A113,'建筑建议总览'!$A$5:$A$25,0))</f>
        <v/>
      </c>
      <c r="R113" s="36">
        <f>INDEX('建筑建议总览'!$S$5:$S$25,MATCH($A113,'建筑建议总览'!$A$5:$A$25,0))</f>
        <v/>
      </c>
      <c r="S113" s="36">
        <f>INDEX('建筑建议总览'!$T$5:$T$25,MATCH($A113,'建筑建议总览'!$A$5:$A$25,0))</f>
        <v/>
      </c>
      <c r="T113" s="44">
        <f>POWER(Q113,D113-1)</f>
        <v/>
      </c>
      <c r="U113" s="44">
        <f>SUMIF($A$5:$A$328,$A113,$T$5:$T$328)</f>
        <v/>
      </c>
      <c r="V113" s="36">
        <f>IF(R113&gt;0,ROUNDDOWN(MAX(0,R113-O113*(F113-1))*T113/U113,0),0)</f>
        <v/>
      </c>
      <c r="W113" s="36">
        <f>IF(S113&gt;0,ROUNDDOWN(MAX(0,S113-P113*(F113-1))*T113/U113,0),0)</f>
        <v/>
      </c>
      <c r="X113" s="36">
        <f>IF(R113&gt;0,O113+V113+IF(D113=F113-1,MAX(0,R113-O113*(F113-1)-SUMIF($A$5:$A$328,$A113,$V$5:$V$328)),0),ROUNDUP(O113*POWER(INDEX('建筑总览'!$J$5:$J$25,MATCH($A113,'建筑总览'!$A$5:$A$25,0)),D113),0))</f>
        <v/>
      </c>
      <c r="Y113" s="36">
        <f>IF(P113=0,0,IF(S113&gt;0,P113+W113+IF(D113=F113-1,MAX(0,S113-P113*(F113-1)-SUMIF($A$5:$A$328,$A113,$W$5:$W$328)),0),ROUNDUP(P113*POWER(INDEX('建筑总览'!$J$5:$J$25,MATCH($A113,'建筑总览'!$A$5:$A$25,0)),D113),0)))</f>
        <v/>
      </c>
      <c r="Z113" s="36">
        <f>IF(X113=0,0,MAX(1,ROUNDUP(X113*(1-'参数与公式'!$B$17),0)))</f>
        <v/>
      </c>
      <c r="AA113" s="36">
        <f>IF(Y113=0,0,MAX(1,ROUNDUP(Y113*(1-'参数与公式'!$B$17),0)))</f>
        <v/>
      </c>
      <c r="AB113" s="33" t="inlineStr">
        <is>
          <t>预算模式末级补足余数；旧模式按指数公式</t>
        </is>
      </c>
      <c r="AC113" s="49">
        <f>IF(A113=A112,IFERROR(M113/M112,""),"")</f>
        <v/>
      </c>
      <c r="AD113" s="49">
        <f>IF(AND(A113=A112,X112&gt;0),X113/X112,"")</f>
        <v/>
      </c>
    </row>
    <row r="114" ht="30" customHeight="1">
      <c r="A114" s="33" t="inlineStr">
        <is>
          <t>latrine</t>
        </is>
      </c>
      <c r="B114" s="33" t="inlineStr">
        <is>
          <t>茅厕</t>
        </is>
      </c>
      <c r="C114" s="33" t="inlineStr">
        <is>
          <t>资源生产</t>
        </is>
      </c>
      <c r="D114" s="43" t="n">
        <v>13</v>
      </c>
      <c r="E114" s="36">
        <f>D114+1</f>
        <v/>
      </c>
      <c r="F114" s="43" t="n">
        <v>20</v>
      </c>
      <c r="G114" s="36">
        <f>INDEX('建筑建议总览'!$H$5:$H$25,MATCH($A114,'建筑建议总览'!$A$5:$A$25,0))</f>
        <v/>
      </c>
      <c r="H114" s="44">
        <f>INDEX('建筑建议总览'!$I$5:$I$25,MATCH($A114,'建筑建议总览'!$A$5:$A$25,0))</f>
        <v/>
      </c>
      <c r="I114" s="36">
        <f>INDEX('建筑建议总览'!$J$5:$J$25,MATCH($A114,'建筑建议总览'!$A$5:$A$25,0))</f>
        <v/>
      </c>
      <c r="J114" s="44">
        <f>POWER(H114,D114-1)</f>
        <v/>
      </c>
      <c r="K114" s="44">
        <f>SUMIF($A$5:$A$328,$A114,$J$5:$J$328)</f>
        <v/>
      </c>
      <c r="L114" s="36">
        <f>IF(I114&gt;0,ROUNDDOWN(MAX(0,I114-G114*(F114-1))*J114/K114,0),0)</f>
        <v/>
      </c>
      <c r="M114" s="36">
        <f>IF(I114&gt;0,G114+L114+IF(D114=F114-1,MAX(0,I114-G114*(F114-1)-SUMIF($A$5:$A$328,$A114,$L$5:$L$328)),0),ROUNDUP(G114*POWER(INDEX('建筑总览'!$G$5:$G$25,MATCH($A114,'建筑总览'!$A$5:$A$25,0)),D114),0))</f>
        <v/>
      </c>
      <c r="N114" s="35">
        <f>M114/'参数与公式'!$B$21</f>
        <v/>
      </c>
      <c r="O114" s="36">
        <f>INDEX('建筑建议总览'!$P$5:$P$25,MATCH($A114,'建筑建议总览'!$A$5:$A$25,0))</f>
        <v/>
      </c>
      <c r="P114" s="36">
        <f>INDEX('建筑建议总览'!$Q$5:$Q$25,MATCH($A114,'建筑建议总览'!$A$5:$A$25,0))</f>
        <v/>
      </c>
      <c r="Q114" s="44">
        <f>INDEX('建筑建议总览'!$R$5:$R$25,MATCH($A114,'建筑建议总览'!$A$5:$A$25,0))</f>
        <v/>
      </c>
      <c r="R114" s="36">
        <f>INDEX('建筑建议总览'!$S$5:$S$25,MATCH($A114,'建筑建议总览'!$A$5:$A$25,0))</f>
        <v/>
      </c>
      <c r="S114" s="36">
        <f>INDEX('建筑建议总览'!$T$5:$T$25,MATCH($A114,'建筑建议总览'!$A$5:$A$25,0))</f>
        <v/>
      </c>
      <c r="T114" s="44">
        <f>POWER(Q114,D114-1)</f>
        <v/>
      </c>
      <c r="U114" s="44">
        <f>SUMIF($A$5:$A$328,$A114,$T$5:$T$328)</f>
        <v/>
      </c>
      <c r="V114" s="36">
        <f>IF(R114&gt;0,ROUNDDOWN(MAX(0,R114-O114*(F114-1))*T114/U114,0),0)</f>
        <v/>
      </c>
      <c r="W114" s="36">
        <f>IF(S114&gt;0,ROUNDDOWN(MAX(0,S114-P114*(F114-1))*T114/U114,0),0)</f>
        <v/>
      </c>
      <c r="X114" s="36">
        <f>IF(R114&gt;0,O114+V114+IF(D114=F114-1,MAX(0,R114-O114*(F114-1)-SUMIF($A$5:$A$328,$A114,$V$5:$V$328)),0),ROUNDUP(O114*POWER(INDEX('建筑总览'!$J$5:$J$25,MATCH($A114,'建筑总览'!$A$5:$A$25,0)),D114),0))</f>
        <v/>
      </c>
      <c r="Y114" s="36">
        <f>IF(P114=0,0,IF(S114&gt;0,P114+W114+IF(D114=F114-1,MAX(0,S114-P114*(F114-1)-SUMIF($A$5:$A$328,$A114,$W$5:$W$328)),0),ROUNDUP(P114*POWER(INDEX('建筑总览'!$J$5:$J$25,MATCH($A114,'建筑总览'!$A$5:$A$25,0)),D114),0)))</f>
        <v/>
      </c>
      <c r="Z114" s="36">
        <f>IF(X114=0,0,MAX(1,ROUNDUP(X114*(1-'参数与公式'!$B$17),0)))</f>
        <v/>
      </c>
      <c r="AA114" s="36">
        <f>IF(Y114=0,0,MAX(1,ROUNDUP(Y114*(1-'参数与公式'!$B$17),0)))</f>
        <v/>
      </c>
      <c r="AB114" s="33" t="inlineStr">
        <is>
          <t>预算模式末级补足余数；旧模式按指数公式</t>
        </is>
      </c>
      <c r="AC114" s="49">
        <f>IF(A114=A113,IFERROR(M114/M113,""),"")</f>
        <v/>
      </c>
      <c r="AD114" s="49">
        <f>IF(AND(A114=A113,X113&gt;0),X114/X113,"")</f>
        <v/>
      </c>
    </row>
    <row r="115" ht="30" customHeight="1">
      <c r="A115" s="33" t="inlineStr">
        <is>
          <t>latrine</t>
        </is>
      </c>
      <c r="B115" s="33" t="inlineStr">
        <is>
          <t>茅厕</t>
        </is>
      </c>
      <c r="C115" s="33" t="inlineStr">
        <is>
          <t>资源生产</t>
        </is>
      </c>
      <c r="D115" s="43" t="n">
        <v>14</v>
      </c>
      <c r="E115" s="36">
        <f>D115+1</f>
        <v/>
      </c>
      <c r="F115" s="43" t="n">
        <v>20</v>
      </c>
      <c r="G115" s="36">
        <f>INDEX('建筑建议总览'!$H$5:$H$25,MATCH($A115,'建筑建议总览'!$A$5:$A$25,0))</f>
        <v/>
      </c>
      <c r="H115" s="44">
        <f>INDEX('建筑建议总览'!$I$5:$I$25,MATCH($A115,'建筑建议总览'!$A$5:$A$25,0))</f>
        <v/>
      </c>
      <c r="I115" s="36">
        <f>INDEX('建筑建议总览'!$J$5:$J$25,MATCH($A115,'建筑建议总览'!$A$5:$A$25,0))</f>
        <v/>
      </c>
      <c r="J115" s="44">
        <f>POWER(H115,D115-1)</f>
        <v/>
      </c>
      <c r="K115" s="44">
        <f>SUMIF($A$5:$A$328,$A115,$J$5:$J$328)</f>
        <v/>
      </c>
      <c r="L115" s="36">
        <f>IF(I115&gt;0,ROUNDDOWN(MAX(0,I115-G115*(F115-1))*J115/K115,0),0)</f>
        <v/>
      </c>
      <c r="M115" s="36">
        <f>IF(I115&gt;0,G115+L115+IF(D115=F115-1,MAX(0,I115-G115*(F115-1)-SUMIF($A$5:$A$328,$A115,$L$5:$L$328)),0),ROUNDUP(G115*POWER(INDEX('建筑总览'!$G$5:$G$25,MATCH($A115,'建筑总览'!$A$5:$A$25,0)),D115),0))</f>
        <v/>
      </c>
      <c r="N115" s="35">
        <f>M115/'参数与公式'!$B$21</f>
        <v/>
      </c>
      <c r="O115" s="36">
        <f>INDEX('建筑建议总览'!$P$5:$P$25,MATCH($A115,'建筑建议总览'!$A$5:$A$25,0))</f>
        <v/>
      </c>
      <c r="P115" s="36">
        <f>INDEX('建筑建议总览'!$Q$5:$Q$25,MATCH($A115,'建筑建议总览'!$A$5:$A$25,0))</f>
        <v/>
      </c>
      <c r="Q115" s="44">
        <f>INDEX('建筑建议总览'!$R$5:$R$25,MATCH($A115,'建筑建议总览'!$A$5:$A$25,0))</f>
        <v/>
      </c>
      <c r="R115" s="36">
        <f>INDEX('建筑建议总览'!$S$5:$S$25,MATCH($A115,'建筑建议总览'!$A$5:$A$25,0))</f>
        <v/>
      </c>
      <c r="S115" s="36">
        <f>INDEX('建筑建议总览'!$T$5:$T$25,MATCH($A115,'建筑建议总览'!$A$5:$A$25,0))</f>
        <v/>
      </c>
      <c r="T115" s="44">
        <f>POWER(Q115,D115-1)</f>
        <v/>
      </c>
      <c r="U115" s="44">
        <f>SUMIF($A$5:$A$328,$A115,$T$5:$T$328)</f>
        <v/>
      </c>
      <c r="V115" s="36">
        <f>IF(R115&gt;0,ROUNDDOWN(MAX(0,R115-O115*(F115-1))*T115/U115,0),0)</f>
        <v/>
      </c>
      <c r="W115" s="36">
        <f>IF(S115&gt;0,ROUNDDOWN(MAX(0,S115-P115*(F115-1))*T115/U115,0),0)</f>
        <v/>
      </c>
      <c r="X115" s="36">
        <f>IF(R115&gt;0,O115+V115+IF(D115=F115-1,MAX(0,R115-O115*(F115-1)-SUMIF($A$5:$A$328,$A115,$V$5:$V$328)),0),ROUNDUP(O115*POWER(INDEX('建筑总览'!$J$5:$J$25,MATCH($A115,'建筑总览'!$A$5:$A$25,0)),D115),0))</f>
        <v/>
      </c>
      <c r="Y115" s="36">
        <f>IF(P115=0,0,IF(S115&gt;0,P115+W115+IF(D115=F115-1,MAX(0,S115-P115*(F115-1)-SUMIF($A$5:$A$328,$A115,$W$5:$W$328)),0),ROUNDUP(P115*POWER(INDEX('建筑总览'!$J$5:$J$25,MATCH($A115,'建筑总览'!$A$5:$A$25,0)),D115),0)))</f>
        <v/>
      </c>
      <c r="Z115" s="36">
        <f>IF(X115=0,0,MAX(1,ROUNDUP(X115*(1-'参数与公式'!$B$17),0)))</f>
        <v/>
      </c>
      <c r="AA115" s="36">
        <f>IF(Y115=0,0,MAX(1,ROUNDUP(Y115*(1-'参数与公式'!$B$17),0)))</f>
        <v/>
      </c>
      <c r="AB115" s="33" t="inlineStr">
        <is>
          <t>预算模式末级补足余数；旧模式按指数公式</t>
        </is>
      </c>
      <c r="AC115" s="49">
        <f>IF(A115=A114,IFERROR(M115/M114,""),"")</f>
        <v/>
      </c>
      <c r="AD115" s="49">
        <f>IF(AND(A115=A114,X114&gt;0),X115/X114,"")</f>
        <v/>
      </c>
    </row>
    <row r="116" ht="30" customHeight="1">
      <c r="A116" s="33" t="inlineStr">
        <is>
          <t>latrine</t>
        </is>
      </c>
      <c r="B116" s="33" t="inlineStr">
        <is>
          <t>茅厕</t>
        </is>
      </c>
      <c r="C116" s="33" t="inlineStr">
        <is>
          <t>资源生产</t>
        </is>
      </c>
      <c r="D116" s="43" t="n">
        <v>15</v>
      </c>
      <c r="E116" s="36">
        <f>D116+1</f>
        <v/>
      </c>
      <c r="F116" s="43" t="n">
        <v>20</v>
      </c>
      <c r="G116" s="36">
        <f>INDEX('建筑建议总览'!$H$5:$H$25,MATCH($A116,'建筑建议总览'!$A$5:$A$25,0))</f>
        <v/>
      </c>
      <c r="H116" s="44">
        <f>INDEX('建筑建议总览'!$I$5:$I$25,MATCH($A116,'建筑建议总览'!$A$5:$A$25,0))</f>
        <v/>
      </c>
      <c r="I116" s="36">
        <f>INDEX('建筑建议总览'!$J$5:$J$25,MATCH($A116,'建筑建议总览'!$A$5:$A$25,0))</f>
        <v/>
      </c>
      <c r="J116" s="44">
        <f>POWER(H116,D116-1)</f>
        <v/>
      </c>
      <c r="K116" s="44">
        <f>SUMIF($A$5:$A$328,$A116,$J$5:$J$328)</f>
        <v/>
      </c>
      <c r="L116" s="36">
        <f>IF(I116&gt;0,ROUNDDOWN(MAX(0,I116-G116*(F116-1))*J116/K116,0),0)</f>
        <v/>
      </c>
      <c r="M116" s="36">
        <f>IF(I116&gt;0,G116+L116+IF(D116=F116-1,MAX(0,I116-G116*(F116-1)-SUMIF($A$5:$A$328,$A116,$L$5:$L$328)),0),ROUNDUP(G116*POWER(INDEX('建筑总览'!$G$5:$G$25,MATCH($A116,'建筑总览'!$A$5:$A$25,0)),D116),0))</f>
        <v/>
      </c>
      <c r="N116" s="35">
        <f>M116/'参数与公式'!$B$21</f>
        <v/>
      </c>
      <c r="O116" s="36">
        <f>INDEX('建筑建议总览'!$P$5:$P$25,MATCH($A116,'建筑建议总览'!$A$5:$A$25,0))</f>
        <v/>
      </c>
      <c r="P116" s="36">
        <f>INDEX('建筑建议总览'!$Q$5:$Q$25,MATCH($A116,'建筑建议总览'!$A$5:$A$25,0))</f>
        <v/>
      </c>
      <c r="Q116" s="44">
        <f>INDEX('建筑建议总览'!$R$5:$R$25,MATCH($A116,'建筑建议总览'!$A$5:$A$25,0))</f>
        <v/>
      </c>
      <c r="R116" s="36">
        <f>INDEX('建筑建议总览'!$S$5:$S$25,MATCH($A116,'建筑建议总览'!$A$5:$A$25,0))</f>
        <v/>
      </c>
      <c r="S116" s="36">
        <f>INDEX('建筑建议总览'!$T$5:$T$25,MATCH($A116,'建筑建议总览'!$A$5:$A$25,0))</f>
        <v/>
      </c>
      <c r="T116" s="44">
        <f>POWER(Q116,D116-1)</f>
        <v/>
      </c>
      <c r="U116" s="44">
        <f>SUMIF($A$5:$A$328,$A116,$T$5:$T$328)</f>
        <v/>
      </c>
      <c r="V116" s="36">
        <f>IF(R116&gt;0,ROUNDDOWN(MAX(0,R116-O116*(F116-1))*T116/U116,0),0)</f>
        <v/>
      </c>
      <c r="W116" s="36">
        <f>IF(S116&gt;0,ROUNDDOWN(MAX(0,S116-P116*(F116-1))*T116/U116,0),0)</f>
        <v/>
      </c>
      <c r="X116" s="36">
        <f>IF(R116&gt;0,O116+V116+IF(D116=F116-1,MAX(0,R116-O116*(F116-1)-SUMIF($A$5:$A$328,$A116,$V$5:$V$328)),0),ROUNDUP(O116*POWER(INDEX('建筑总览'!$J$5:$J$25,MATCH($A116,'建筑总览'!$A$5:$A$25,0)),D116),0))</f>
        <v/>
      </c>
      <c r="Y116" s="36">
        <f>IF(P116=0,0,IF(S116&gt;0,P116+W116+IF(D116=F116-1,MAX(0,S116-P116*(F116-1)-SUMIF($A$5:$A$328,$A116,$W$5:$W$328)),0),ROUNDUP(P116*POWER(INDEX('建筑总览'!$J$5:$J$25,MATCH($A116,'建筑总览'!$A$5:$A$25,0)),D116),0)))</f>
        <v/>
      </c>
      <c r="Z116" s="36">
        <f>IF(X116=0,0,MAX(1,ROUNDUP(X116*(1-'参数与公式'!$B$17),0)))</f>
        <v/>
      </c>
      <c r="AA116" s="36">
        <f>IF(Y116=0,0,MAX(1,ROUNDUP(Y116*(1-'参数与公式'!$B$17),0)))</f>
        <v/>
      </c>
      <c r="AB116" s="33" t="inlineStr">
        <is>
          <t>预算模式末级补足余数；旧模式按指数公式</t>
        </is>
      </c>
      <c r="AC116" s="49">
        <f>IF(A116=A115,IFERROR(M116/M115,""),"")</f>
        <v/>
      </c>
      <c r="AD116" s="49">
        <f>IF(AND(A116=A115,X115&gt;0),X116/X115,"")</f>
        <v/>
      </c>
    </row>
    <row r="117" ht="30" customHeight="1">
      <c r="A117" s="33" t="inlineStr">
        <is>
          <t>latrine</t>
        </is>
      </c>
      <c r="B117" s="33" t="inlineStr">
        <is>
          <t>茅厕</t>
        </is>
      </c>
      <c r="C117" s="33" t="inlineStr">
        <is>
          <t>资源生产</t>
        </is>
      </c>
      <c r="D117" s="43" t="n">
        <v>16</v>
      </c>
      <c r="E117" s="36">
        <f>D117+1</f>
        <v/>
      </c>
      <c r="F117" s="43" t="n">
        <v>20</v>
      </c>
      <c r="G117" s="36">
        <f>INDEX('建筑建议总览'!$H$5:$H$25,MATCH($A117,'建筑建议总览'!$A$5:$A$25,0))</f>
        <v/>
      </c>
      <c r="H117" s="44">
        <f>INDEX('建筑建议总览'!$I$5:$I$25,MATCH($A117,'建筑建议总览'!$A$5:$A$25,0))</f>
        <v/>
      </c>
      <c r="I117" s="36">
        <f>INDEX('建筑建议总览'!$J$5:$J$25,MATCH($A117,'建筑建议总览'!$A$5:$A$25,0))</f>
        <v/>
      </c>
      <c r="J117" s="44">
        <f>POWER(H117,D117-1)</f>
        <v/>
      </c>
      <c r="K117" s="44">
        <f>SUMIF($A$5:$A$328,$A117,$J$5:$J$328)</f>
        <v/>
      </c>
      <c r="L117" s="36">
        <f>IF(I117&gt;0,ROUNDDOWN(MAX(0,I117-G117*(F117-1))*J117/K117,0),0)</f>
        <v/>
      </c>
      <c r="M117" s="36">
        <f>IF(I117&gt;0,G117+L117+IF(D117=F117-1,MAX(0,I117-G117*(F117-1)-SUMIF($A$5:$A$328,$A117,$L$5:$L$328)),0),ROUNDUP(G117*POWER(INDEX('建筑总览'!$G$5:$G$25,MATCH($A117,'建筑总览'!$A$5:$A$25,0)),D117),0))</f>
        <v/>
      </c>
      <c r="N117" s="35">
        <f>M117/'参数与公式'!$B$21</f>
        <v/>
      </c>
      <c r="O117" s="36">
        <f>INDEX('建筑建议总览'!$P$5:$P$25,MATCH($A117,'建筑建议总览'!$A$5:$A$25,0))</f>
        <v/>
      </c>
      <c r="P117" s="36">
        <f>INDEX('建筑建议总览'!$Q$5:$Q$25,MATCH($A117,'建筑建议总览'!$A$5:$A$25,0))</f>
        <v/>
      </c>
      <c r="Q117" s="44">
        <f>INDEX('建筑建议总览'!$R$5:$R$25,MATCH($A117,'建筑建议总览'!$A$5:$A$25,0))</f>
        <v/>
      </c>
      <c r="R117" s="36">
        <f>INDEX('建筑建议总览'!$S$5:$S$25,MATCH($A117,'建筑建议总览'!$A$5:$A$25,0))</f>
        <v/>
      </c>
      <c r="S117" s="36">
        <f>INDEX('建筑建议总览'!$T$5:$T$25,MATCH($A117,'建筑建议总览'!$A$5:$A$25,0))</f>
        <v/>
      </c>
      <c r="T117" s="44">
        <f>POWER(Q117,D117-1)</f>
        <v/>
      </c>
      <c r="U117" s="44">
        <f>SUMIF($A$5:$A$328,$A117,$T$5:$T$328)</f>
        <v/>
      </c>
      <c r="V117" s="36">
        <f>IF(R117&gt;0,ROUNDDOWN(MAX(0,R117-O117*(F117-1))*T117/U117,0),0)</f>
        <v/>
      </c>
      <c r="W117" s="36">
        <f>IF(S117&gt;0,ROUNDDOWN(MAX(0,S117-P117*(F117-1))*T117/U117,0),0)</f>
        <v/>
      </c>
      <c r="X117" s="36">
        <f>IF(R117&gt;0,O117+V117+IF(D117=F117-1,MAX(0,R117-O117*(F117-1)-SUMIF($A$5:$A$328,$A117,$V$5:$V$328)),0),ROUNDUP(O117*POWER(INDEX('建筑总览'!$J$5:$J$25,MATCH($A117,'建筑总览'!$A$5:$A$25,0)),D117),0))</f>
        <v/>
      </c>
      <c r="Y117" s="36">
        <f>IF(P117=0,0,IF(S117&gt;0,P117+W117+IF(D117=F117-1,MAX(0,S117-P117*(F117-1)-SUMIF($A$5:$A$328,$A117,$W$5:$W$328)),0),ROUNDUP(P117*POWER(INDEX('建筑总览'!$J$5:$J$25,MATCH($A117,'建筑总览'!$A$5:$A$25,0)),D117),0)))</f>
        <v/>
      </c>
      <c r="Z117" s="36">
        <f>IF(X117=0,0,MAX(1,ROUNDUP(X117*(1-'参数与公式'!$B$17),0)))</f>
        <v/>
      </c>
      <c r="AA117" s="36">
        <f>IF(Y117=0,0,MAX(1,ROUNDUP(Y117*(1-'参数与公式'!$B$17),0)))</f>
        <v/>
      </c>
      <c r="AB117" s="33" t="inlineStr">
        <is>
          <t>预算模式末级补足余数；旧模式按指数公式</t>
        </is>
      </c>
      <c r="AC117" s="49">
        <f>IF(A117=A116,IFERROR(M117/M116,""),"")</f>
        <v/>
      </c>
      <c r="AD117" s="49">
        <f>IF(AND(A117=A116,X116&gt;0),X117/X116,"")</f>
        <v/>
      </c>
    </row>
    <row r="118" ht="30" customHeight="1">
      <c r="A118" s="33" t="inlineStr">
        <is>
          <t>latrine</t>
        </is>
      </c>
      <c r="B118" s="33" t="inlineStr">
        <is>
          <t>茅厕</t>
        </is>
      </c>
      <c r="C118" s="33" t="inlineStr">
        <is>
          <t>资源生产</t>
        </is>
      </c>
      <c r="D118" s="43" t="n">
        <v>17</v>
      </c>
      <c r="E118" s="36">
        <f>D118+1</f>
        <v/>
      </c>
      <c r="F118" s="43" t="n">
        <v>20</v>
      </c>
      <c r="G118" s="36">
        <f>INDEX('建筑建议总览'!$H$5:$H$25,MATCH($A118,'建筑建议总览'!$A$5:$A$25,0))</f>
        <v/>
      </c>
      <c r="H118" s="44">
        <f>INDEX('建筑建议总览'!$I$5:$I$25,MATCH($A118,'建筑建议总览'!$A$5:$A$25,0))</f>
        <v/>
      </c>
      <c r="I118" s="36">
        <f>INDEX('建筑建议总览'!$J$5:$J$25,MATCH($A118,'建筑建议总览'!$A$5:$A$25,0))</f>
        <v/>
      </c>
      <c r="J118" s="44">
        <f>POWER(H118,D118-1)</f>
        <v/>
      </c>
      <c r="K118" s="44">
        <f>SUMIF($A$5:$A$328,$A118,$J$5:$J$328)</f>
        <v/>
      </c>
      <c r="L118" s="36">
        <f>IF(I118&gt;0,ROUNDDOWN(MAX(0,I118-G118*(F118-1))*J118/K118,0),0)</f>
        <v/>
      </c>
      <c r="M118" s="36">
        <f>IF(I118&gt;0,G118+L118+IF(D118=F118-1,MAX(0,I118-G118*(F118-1)-SUMIF($A$5:$A$328,$A118,$L$5:$L$328)),0),ROUNDUP(G118*POWER(INDEX('建筑总览'!$G$5:$G$25,MATCH($A118,'建筑总览'!$A$5:$A$25,0)),D118),0))</f>
        <v/>
      </c>
      <c r="N118" s="35">
        <f>M118/'参数与公式'!$B$21</f>
        <v/>
      </c>
      <c r="O118" s="36">
        <f>INDEX('建筑建议总览'!$P$5:$P$25,MATCH($A118,'建筑建议总览'!$A$5:$A$25,0))</f>
        <v/>
      </c>
      <c r="P118" s="36">
        <f>INDEX('建筑建议总览'!$Q$5:$Q$25,MATCH($A118,'建筑建议总览'!$A$5:$A$25,0))</f>
        <v/>
      </c>
      <c r="Q118" s="44">
        <f>INDEX('建筑建议总览'!$R$5:$R$25,MATCH($A118,'建筑建议总览'!$A$5:$A$25,0))</f>
        <v/>
      </c>
      <c r="R118" s="36">
        <f>INDEX('建筑建议总览'!$S$5:$S$25,MATCH($A118,'建筑建议总览'!$A$5:$A$25,0))</f>
        <v/>
      </c>
      <c r="S118" s="36">
        <f>INDEX('建筑建议总览'!$T$5:$T$25,MATCH($A118,'建筑建议总览'!$A$5:$A$25,0))</f>
        <v/>
      </c>
      <c r="T118" s="44">
        <f>POWER(Q118,D118-1)</f>
        <v/>
      </c>
      <c r="U118" s="44">
        <f>SUMIF($A$5:$A$328,$A118,$T$5:$T$328)</f>
        <v/>
      </c>
      <c r="V118" s="36">
        <f>IF(R118&gt;0,ROUNDDOWN(MAX(0,R118-O118*(F118-1))*T118/U118,0),0)</f>
        <v/>
      </c>
      <c r="W118" s="36">
        <f>IF(S118&gt;0,ROUNDDOWN(MAX(0,S118-P118*(F118-1))*T118/U118,0),0)</f>
        <v/>
      </c>
      <c r="X118" s="36">
        <f>IF(R118&gt;0,O118+V118+IF(D118=F118-1,MAX(0,R118-O118*(F118-1)-SUMIF($A$5:$A$328,$A118,$V$5:$V$328)),0),ROUNDUP(O118*POWER(INDEX('建筑总览'!$J$5:$J$25,MATCH($A118,'建筑总览'!$A$5:$A$25,0)),D118),0))</f>
        <v/>
      </c>
      <c r="Y118" s="36">
        <f>IF(P118=0,0,IF(S118&gt;0,P118+W118+IF(D118=F118-1,MAX(0,S118-P118*(F118-1)-SUMIF($A$5:$A$328,$A118,$W$5:$W$328)),0),ROUNDUP(P118*POWER(INDEX('建筑总览'!$J$5:$J$25,MATCH($A118,'建筑总览'!$A$5:$A$25,0)),D118),0)))</f>
        <v/>
      </c>
      <c r="Z118" s="36">
        <f>IF(X118=0,0,MAX(1,ROUNDUP(X118*(1-'参数与公式'!$B$17),0)))</f>
        <v/>
      </c>
      <c r="AA118" s="36">
        <f>IF(Y118=0,0,MAX(1,ROUNDUP(Y118*(1-'参数与公式'!$B$17),0)))</f>
        <v/>
      </c>
      <c r="AB118" s="33" t="inlineStr">
        <is>
          <t>预算模式末级补足余数；旧模式按指数公式</t>
        </is>
      </c>
      <c r="AC118" s="49">
        <f>IF(A118=A117,IFERROR(M118/M117,""),"")</f>
        <v/>
      </c>
      <c r="AD118" s="49">
        <f>IF(AND(A118=A117,X117&gt;0),X118/X117,"")</f>
        <v/>
      </c>
    </row>
    <row r="119" ht="30" customHeight="1">
      <c r="A119" s="33" t="inlineStr">
        <is>
          <t>latrine</t>
        </is>
      </c>
      <c r="B119" s="33" t="inlineStr">
        <is>
          <t>茅厕</t>
        </is>
      </c>
      <c r="C119" s="33" t="inlineStr">
        <is>
          <t>资源生产</t>
        </is>
      </c>
      <c r="D119" s="43" t="n">
        <v>18</v>
      </c>
      <c r="E119" s="36">
        <f>D119+1</f>
        <v/>
      </c>
      <c r="F119" s="43" t="n">
        <v>20</v>
      </c>
      <c r="G119" s="36">
        <f>INDEX('建筑建议总览'!$H$5:$H$25,MATCH($A119,'建筑建议总览'!$A$5:$A$25,0))</f>
        <v/>
      </c>
      <c r="H119" s="44">
        <f>INDEX('建筑建议总览'!$I$5:$I$25,MATCH($A119,'建筑建议总览'!$A$5:$A$25,0))</f>
        <v/>
      </c>
      <c r="I119" s="36">
        <f>INDEX('建筑建议总览'!$J$5:$J$25,MATCH($A119,'建筑建议总览'!$A$5:$A$25,0))</f>
        <v/>
      </c>
      <c r="J119" s="44">
        <f>POWER(H119,D119-1)</f>
        <v/>
      </c>
      <c r="K119" s="44">
        <f>SUMIF($A$5:$A$328,$A119,$J$5:$J$328)</f>
        <v/>
      </c>
      <c r="L119" s="36">
        <f>IF(I119&gt;0,ROUNDDOWN(MAX(0,I119-G119*(F119-1))*J119/K119,0),0)</f>
        <v/>
      </c>
      <c r="M119" s="36">
        <f>IF(I119&gt;0,G119+L119+IF(D119=F119-1,MAX(0,I119-G119*(F119-1)-SUMIF($A$5:$A$328,$A119,$L$5:$L$328)),0),ROUNDUP(G119*POWER(INDEX('建筑总览'!$G$5:$G$25,MATCH($A119,'建筑总览'!$A$5:$A$25,0)),D119),0))</f>
        <v/>
      </c>
      <c r="N119" s="35">
        <f>M119/'参数与公式'!$B$21</f>
        <v/>
      </c>
      <c r="O119" s="36">
        <f>INDEX('建筑建议总览'!$P$5:$P$25,MATCH($A119,'建筑建议总览'!$A$5:$A$25,0))</f>
        <v/>
      </c>
      <c r="P119" s="36">
        <f>INDEX('建筑建议总览'!$Q$5:$Q$25,MATCH($A119,'建筑建议总览'!$A$5:$A$25,0))</f>
        <v/>
      </c>
      <c r="Q119" s="44">
        <f>INDEX('建筑建议总览'!$R$5:$R$25,MATCH($A119,'建筑建议总览'!$A$5:$A$25,0))</f>
        <v/>
      </c>
      <c r="R119" s="36">
        <f>INDEX('建筑建议总览'!$S$5:$S$25,MATCH($A119,'建筑建议总览'!$A$5:$A$25,0))</f>
        <v/>
      </c>
      <c r="S119" s="36">
        <f>INDEX('建筑建议总览'!$T$5:$T$25,MATCH($A119,'建筑建议总览'!$A$5:$A$25,0))</f>
        <v/>
      </c>
      <c r="T119" s="44">
        <f>POWER(Q119,D119-1)</f>
        <v/>
      </c>
      <c r="U119" s="44">
        <f>SUMIF($A$5:$A$328,$A119,$T$5:$T$328)</f>
        <v/>
      </c>
      <c r="V119" s="36">
        <f>IF(R119&gt;0,ROUNDDOWN(MAX(0,R119-O119*(F119-1))*T119/U119,0),0)</f>
        <v/>
      </c>
      <c r="W119" s="36">
        <f>IF(S119&gt;0,ROUNDDOWN(MAX(0,S119-P119*(F119-1))*T119/U119,0),0)</f>
        <v/>
      </c>
      <c r="X119" s="36">
        <f>IF(R119&gt;0,O119+V119+IF(D119=F119-1,MAX(0,R119-O119*(F119-1)-SUMIF($A$5:$A$328,$A119,$V$5:$V$328)),0),ROUNDUP(O119*POWER(INDEX('建筑总览'!$J$5:$J$25,MATCH($A119,'建筑总览'!$A$5:$A$25,0)),D119),0))</f>
        <v/>
      </c>
      <c r="Y119" s="36">
        <f>IF(P119=0,0,IF(S119&gt;0,P119+W119+IF(D119=F119-1,MAX(0,S119-P119*(F119-1)-SUMIF($A$5:$A$328,$A119,$W$5:$W$328)),0),ROUNDUP(P119*POWER(INDEX('建筑总览'!$J$5:$J$25,MATCH($A119,'建筑总览'!$A$5:$A$25,0)),D119),0)))</f>
        <v/>
      </c>
      <c r="Z119" s="36">
        <f>IF(X119=0,0,MAX(1,ROUNDUP(X119*(1-'参数与公式'!$B$17),0)))</f>
        <v/>
      </c>
      <c r="AA119" s="36">
        <f>IF(Y119=0,0,MAX(1,ROUNDUP(Y119*(1-'参数与公式'!$B$17),0)))</f>
        <v/>
      </c>
      <c r="AB119" s="33" t="inlineStr">
        <is>
          <t>预算模式末级补足余数；旧模式按指数公式</t>
        </is>
      </c>
      <c r="AC119" s="49">
        <f>IF(A119=A118,IFERROR(M119/M118,""),"")</f>
        <v/>
      </c>
      <c r="AD119" s="49">
        <f>IF(AND(A119=A118,X118&gt;0),X119/X118,"")</f>
        <v/>
      </c>
    </row>
    <row r="120" ht="30" customHeight="1">
      <c r="A120" s="33" t="inlineStr">
        <is>
          <t>latrine</t>
        </is>
      </c>
      <c r="B120" s="33" t="inlineStr">
        <is>
          <t>茅厕</t>
        </is>
      </c>
      <c r="C120" s="33" t="inlineStr">
        <is>
          <t>资源生产</t>
        </is>
      </c>
      <c r="D120" s="43" t="n">
        <v>19</v>
      </c>
      <c r="E120" s="36">
        <f>D120+1</f>
        <v/>
      </c>
      <c r="F120" s="43" t="n">
        <v>20</v>
      </c>
      <c r="G120" s="36">
        <f>INDEX('建筑建议总览'!$H$5:$H$25,MATCH($A120,'建筑建议总览'!$A$5:$A$25,0))</f>
        <v/>
      </c>
      <c r="H120" s="44">
        <f>INDEX('建筑建议总览'!$I$5:$I$25,MATCH($A120,'建筑建议总览'!$A$5:$A$25,0))</f>
        <v/>
      </c>
      <c r="I120" s="36">
        <f>INDEX('建筑建议总览'!$J$5:$J$25,MATCH($A120,'建筑建议总览'!$A$5:$A$25,0))</f>
        <v/>
      </c>
      <c r="J120" s="44">
        <f>POWER(H120,D120-1)</f>
        <v/>
      </c>
      <c r="K120" s="44">
        <f>SUMIF($A$5:$A$328,$A120,$J$5:$J$328)</f>
        <v/>
      </c>
      <c r="L120" s="36">
        <f>IF(I120&gt;0,ROUNDDOWN(MAX(0,I120-G120*(F120-1))*J120/K120,0),0)</f>
        <v/>
      </c>
      <c r="M120" s="36">
        <f>IF(I120&gt;0,G120+L120+IF(D120=F120-1,MAX(0,I120-G120*(F120-1)-SUMIF($A$5:$A$328,$A120,$L$5:$L$328)),0),ROUNDUP(G120*POWER(INDEX('建筑总览'!$G$5:$G$25,MATCH($A120,'建筑总览'!$A$5:$A$25,0)),D120),0))</f>
        <v/>
      </c>
      <c r="N120" s="35">
        <f>M120/'参数与公式'!$B$21</f>
        <v/>
      </c>
      <c r="O120" s="36">
        <f>INDEX('建筑建议总览'!$P$5:$P$25,MATCH($A120,'建筑建议总览'!$A$5:$A$25,0))</f>
        <v/>
      </c>
      <c r="P120" s="36">
        <f>INDEX('建筑建议总览'!$Q$5:$Q$25,MATCH($A120,'建筑建议总览'!$A$5:$A$25,0))</f>
        <v/>
      </c>
      <c r="Q120" s="44">
        <f>INDEX('建筑建议总览'!$R$5:$R$25,MATCH($A120,'建筑建议总览'!$A$5:$A$25,0))</f>
        <v/>
      </c>
      <c r="R120" s="36">
        <f>INDEX('建筑建议总览'!$S$5:$S$25,MATCH($A120,'建筑建议总览'!$A$5:$A$25,0))</f>
        <v/>
      </c>
      <c r="S120" s="36">
        <f>INDEX('建筑建议总览'!$T$5:$T$25,MATCH($A120,'建筑建议总览'!$A$5:$A$25,0))</f>
        <v/>
      </c>
      <c r="T120" s="44">
        <f>POWER(Q120,D120-1)</f>
        <v/>
      </c>
      <c r="U120" s="44">
        <f>SUMIF($A$5:$A$328,$A120,$T$5:$T$328)</f>
        <v/>
      </c>
      <c r="V120" s="36">
        <f>IF(R120&gt;0,ROUNDDOWN(MAX(0,R120-O120*(F120-1))*T120/U120,0),0)</f>
        <v/>
      </c>
      <c r="W120" s="36">
        <f>IF(S120&gt;0,ROUNDDOWN(MAX(0,S120-P120*(F120-1))*T120/U120,0),0)</f>
        <v/>
      </c>
      <c r="X120" s="36">
        <f>IF(R120&gt;0,O120+V120+IF(D120=F120-1,MAX(0,R120-O120*(F120-1)-SUMIF($A$5:$A$328,$A120,$V$5:$V$328)),0),ROUNDUP(O120*POWER(INDEX('建筑总览'!$J$5:$J$25,MATCH($A120,'建筑总览'!$A$5:$A$25,0)),D120),0))</f>
        <v/>
      </c>
      <c r="Y120" s="36">
        <f>IF(P120=0,0,IF(S120&gt;0,P120+W120+IF(D120=F120-1,MAX(0,S120-P120*(F120-1)-SUMIF($A$5:$A$328,$A120,$W$5:$W$328)),0),ROUNDUP(P120*POWER(INDEX('建筑总览'!$J$5:$J$25,MATCH($A120,'建筑总览'!$A$5:$A$25,0)),D120),0)))</f>
        <v/>
      </c>
      <c r="Z120" s="36">
        <f>IF(X120=0,0,MAX(1,ROUNDUP(X120*(1-'参数与公式'!$B$17),0)))</f>
        <v/>
      </c>
      <c r="AA120" s="36">
        <f>IF(Y120=0,0,MAX(1,ROUNDUP(Y120*(1-'参数与公式'!$B$17),0)))</f>
        <v/>
      </c>
      <c r="AB120" s="33" t="inlineStr">
        <is>
          <t>预算模式末级补足余数；旧模式按指数公式</t>
        </is>
      </c>
      <c r="AC120" s="49">
        <f>IF(A120=A119,IFERROR(M120/M119,""),"")</f>
        <v/>
      </c>
      <c r="AD120" s="49">
        <f>IF(AND(A120=A119,X119&gt;0),X120/X119,"")</f>
        <v/>
      </c>
    </row>
    <row r="121" ht="30" customHeight="1">
      <c r="A121" s="33" t="inlineStr">
        <is>
          <t>granary</t>
        </is>
      </c>
      <c r="B121" s="33" t="inlineStr">
        <is>
          <t>粮仓</t>
        </is>
      </c>
      <c r="C121" s="33" t="inlineStr">
        <is>
          <t>仓储设施</t>
        </is>
      </c>
      <c r="D121" s="43" t="n">
        <v>1</v>
      </c>
      <c r="E121" s="36">
        <f>D121+1</f>
        <v/>
      </c>
      <c r="F121" s="43" t="n">
        <v>20</v>
      </c>
      <c r="G121" s="36">
        <f>INDEX('建筑建议总览'!$H$5:$H$25,MATCH($A121,'建筑建议总览'!$A$5:$A$25,0))</f>
        <v/>
      </c>
      <c r="H121" s="44">
        <f>INDEX('建筑建议总览'!$I$5:$I$25,MATCH($A121,'建筑建议总览'!$A$5:$A$25,0))</f>
        <v/>
      </c>
      <c r="I121" s="36">
        <f>INDEX('建筑建议总览'!$J$5:$J$25,MATCH($A121,'建筑建议总览'!$A$5:$A$25,0))</f>
        <v/>
      </c>
      <c r="J121" s="44">
        <f>POWER(H121,D121-1)</f>
        <v/>
      </c>
      <c r="K121" s="44">
        <f>SUMIF($A$5:$A$328,$A121,$J$5:$J$328)</f>
        <v/>
      </c>
      <c r="L121" s="36">
        <f>IF(I121&gt;0,ROUNDDOWN(MAX(0,I121-G121*(F121-1))*J121/K121,0),0)</f>
        <v/>
      </c>
      <c r="M121" s="36">
        <f>IF(I121&gt;0,G121+L121+IF(D121=F121-1,MAX(0,I121-G121*(F121-1)-SUMIF($A$5:$A$328,$A121,$L$5:$L$328)),0),ROUNDUP(G121*POWER(INDEX('建筑总览'!$G$5:$G$25,MATCH($A121,'建筑总览'!$A$5:$A$25,0)),D121),0))</f>
        <v/>
      </c>
      <c r="N121" s="35">
        <f>M121/'参数与公式'!$B$21</f>
        <v/>
      </c>
      <c r="O121" s="36">
        <f>INDEX('建筑建议总览'!$P$5:$P$25,MATCH($A121,'建筑建议总览'!$A$5:$A$25,0))</f>
        <v/>
      </c>
      <c r="P121" s="36">
        <f>INDEX('建筑建议总览'!$Q$5:$Q$25,MATCH($A121,'建筑建议总览'!$A$5:$A$25,0))</f>
        <v/>
      </c>
      <c r="Q121" s="44">
        <f>INDEX('建筑建议总览'!$R$5:$R$25,MATCH($A121,'建筑建议总览'!$A$5:$A$25,0))</f>
        <v/>
      </c>
      <c r="R121" s="36">
        <f>INDEX('建筑建议总览'!$S$5:$S$25,MATCH($A121,'建筑建议总览'!$A$5:$A$25,0))</f>
        <v/>
      </c>
      <c r="S121" s="36">
        <f>INDEX('建筑建议总览'!$T$5:$T$25,MATCH($A121,'建筑建议总览'!$A$5:$A$25,0))</f>
        <v/>
      </c>
      <c r="T121" s="44">
        <f>POWER(Q121,D121-1)</f>
        <v/>
      </c>
      <c r="U121" s="44">
        <f>SUMIF($A$5:$A$328,$A121,$T$5:$T$328)</f>
        <v/>
      </c>
      <c r="V121" s="36">
        <f>IF(R121&gt;0,ROUNDDOWN(MAX(0,R121-O121*(F121-1))*T121/U121,0),0)</f>
        <v/>
      </c>
      <c r="W121" s="36">
        <f>IF(S121&gt;0,ROUNDDOWN(MAX(0,S121-P121*(F121-1))*T121/U121,0),0)</f>
        <v/>
      </c>
      <c r="X121" s="36">
        <f>IF(R121&gt;0,O121+V121+IF(D121=F121-1,MAX(0,R121-O121*(F121-1)-SUMIF($A$5:$A$328,$A121,$V$5:$V$328)),0),ROUNDUP(O121*POWER(INDEX('建筑总览'!$J$5:$J$25,MATCH($A121,'建筑总览'!$A$5:$A$25,0)),D121),0))</f>
        <v/>
      </c>
      <c r="Y121" s="36">
        <f>IF(P121=0,0,IF(S121&gt;0,P121+W121+IF(D121=F121-1,MAX(0,S121-P121*(F121-1)-SUMIF($A$5:$A$328,$A121,$W$5:$W$328)),0),ROUNDUP(P121*POWER(INDEX('建筑总览'!$J$5:$J$25,MATCH($A121,'建筑总览'!$A$5:$A$25,0)),D121),0)))</f>
        <v/>
      </c>
      <c r="Z121" s="36">
        <f>IF(X121=0,0,MAX(1,ROUNDUP(X121*(1-'参数与公式'!$B$17),0)))</f>
        <v/>
      </c>
      <c r="AA121" s="36">
        <f>IF(Y121=0,0,MAX(1,ROUNDUP(Y121*(1-'参数与公式'!$B$17),0)))</f>
        <v/>
      </c>
      <c r="AB121" s="33" t="inlineStr">
        <is>
          <t>预算模式末级补足余数；旧模式按指数公式</t>
        </is>
      </c>
      <c r="AC121" s="49">
        <f>IF(A121=A120,IFERROR(M121/M120,""),"")</f>
        <v/>
      </c>
      <c r="AD121" s="49">
        <f>IF(AND(A121=A120,X120&gt;0),X121/X120,"")</f>
        <v/>
      </c>
    </row>
    <row r="122" ht="30" customHeight="1">
      <c r="A122" s="33" t="inlineStr">
        <is>
          <t>granary</t>
        </is>
      </c>
      <c r="B122" s="33" t="inlineStr">
        <is>
          <t>粮仓</t>
        </is>
      </c>
      <c r="C122" s="33" t="inlineStr">
        <is>
          <t>仓储设施</t>
        </is>
      </c>
      <c r="D122" s="43" t="n">
        <v>2</v>
      </c>
      <c r="E122" s="36">
        <f>D122+1</f>
        <v/>
      </c>
      <c r="F122" s="43" t="n">
        <v>20</v>
      </c>
      <c r="G122" s="36">
        <f>INDEX('建筑建议总览'!$H$5:$H$25,MATCH($A122,'建筑建议总览'!$A$5:$A$25,0))</f>
        <v/>
      </c>
      <c r="H122" s="44">
        <f>INDEX('建筑建议总览'!$I$5:$I$25,MATCH($A122,'建筑建议总览'!$A$5:$A$25,0))</f>
        <v/>
      </c>
      <c r="I122" s="36">
        <f>INDEX('建筑建议总览'!$J$5:$J$25,MATCH($A122,'建筑建议总览'!$A$5:$A$25,0))</f>
        <v/>
      </c>
      <c r="J122" s="44">
        <f>POWER(H122,D122-1)</f>
        <v/>
      </c>
      <c r="K122" s="44">
        <f>SUMIF($A$5:$A$328,$A122,$J$5:$J$328)</f>
        <v/>
      </c>
      <c r="L122" s="36">
        <f>IF(I122&gt;0,ROUNDDOWN(MAX(0,I122-G122*(F122-1))*J122/K122,0),0)</f>
        <v/>
      </c>
      <c r="M122" s="36">
        <f>IF(I122&gt;0,G122+L122+IF(D122=F122-1,MAX(0,I122-G122*(F122-1)-SUMIF($A$5:$A$328,$A122,$L$5:$L$328)),0),ROUNDUP(G122*POWER(INDEX('建筑总览'!$G$5:$G$25,MATCH($A122,'建筑总览'!$A$5:$A$25,0)),D122),0))</f>
        <v/>
      </c>
      <c r="N122" s="35">
        <f>M122/'参数与公式'!$B$21</f>
        <v/>
      </c>
      <c r="O122" s="36">
        <f>INDEX('建筑建议总览'!$P$5:$P$25,MATCH($A122,'建筑建议总览'!$A$5:$A$25,0))</f>
        <v/>
      </c>
      <c r="P122" s="36">
        <f>INDEX('建筑建议总览'!$Q$5:$Q$25,MATCH($A122,'建筑建议总览'!$A$5:$A$25,0))</f>
        <v/>
      </c>
      <c r="Q122" s="44">
        <f>INDEX('建筑建议总览'!$R$5:$R$25,MATCH($A122,'建筑建议总览'!$A$5:$A$25,0))</f>
        <v/>
      </c>
      <c r="R122" s="36">
        <f>INDEX('建筑建议总览'!$S$5:$S$25,MATCH($A122,'建筑建议总览'!$A$5:$A$25,0))</f>
        <v/>
      </c>
      <c r="S122" s="36">
        <f>INDEX('建筑建议总览'!$T$5:$T$25,MATCH($A122,'建筑建议总览'!$A$5:$A$25,0))</f>
        <v/>
      </c>
      <c r="T122" s="44">
        <f>POWER(Q122,D122-1)</f>
        <v/>
      </c>
      <c r="U122" s="44">
        <f>SUMIF($A$5:$A$328,$A122,$T$5:$T$328)</f>
        <v/>
      </c>
      <c r="V122" s="36">
        <f>IF(R122&gt;0,ROUNDDOWN(MAX(0,R122-O122*(F122-1))*T122/U122,0),0)</f>
        <v/>
      </c>
      <c r="W122" s="36">
        <f>IF(S122&gt;0,ROUNDDOWN(MAX(0,S122-P122*(F122-1))*T122/U122,0),0)</f>
        <v/>
      </c>
      <c r="X122" s="36">
        <f>IF(R122&gt;0,O122+V122+IF(D122=F122-1,MAX(0,R122-O122*(F122-1)-SUMIF($A$5:$A$328,$A122,$V$5:$V$328)),0),ROUNDUP(O122*POWER(INDEX('建筑总览'!$J$5:$J$25,MATCH($A122,'建筑总览'!$A$5:$A$25,0)),D122),0))</f>
        <v/>
      </c>
      <c r="Y122" s="36">
        <f>IF(P122=0,0,IF(S122&gt;0,P122+W122+IF(D122=F122-1,MAX(0,S122-P122*(F122-1)-SUMIF($A$5:$A$328,$A122,$W$5:$W$328)),0),ROUNDUP(P122*POWER(INDEX('建筑总览'!$J$5:$J$25,MATCH($A122,'建筑总览'!$A$5:$A$25,0)),D122),0)))</f>
        <v/>
      </c>
      <c r="Z122" s="36">
        <f>IF(X122=0,0,MAX(1,ROUNDUP(X122*(1-'参数与公式'!$B$17),0)))</f>
        <v/>
      </c>
      <c r="AA122" s="36">
        <f>IF(Y122=0,0,MAX(1,ROUNDUP(Y122*(1-'参数与公式'!$B$17),0)))</f>
        <v/>
      </c>
      <c r="AB122" s="33" t="inlineStr">
        <is>
          <t>预算模式末级补足余数；旧模式按指数公式</t>
        </is>
      </c>
      <c r="AC122" s="49">
        <f>IF(A122=A121,IFERROR(M122/M121,""),"")</f>
        <v/>
      </c>
      <c r="AD122" s="49">
        <f>IF(AND(A122=A121,X121&gt;0),X122/X121,"")</f>
        <v/>
      </c>
    </row>
    <row r="123" ht="30" customHeight="1">
      <c r="A123" s="33" t="inlineStr">
        <is>
          <t>granary</t>
        </is>
      </c>
      <c r="B123" s="33" t="inlineStr">
        <is>
          <t>粮仓</t>
        </is>
      </c>
      <c r="C123" s="33" t="inlineStr">
        <is>
          <t>仓储设施</t>
        </is>
      </c>
      <c r="D123" s="43" t="n">
        <v>3</v>
      </c>
      <c r="E123" s="36">
        <f>D123+1</f>
        <v/>
      </c>
      <c r="F123" s="43" t="n">
        <v>20</v>
      </c>
      <c r="G123" s="36">
        <f>INDEX('建筑建议总览'!$H$5:$H$25,MATCH($A123,'建筑建议总览'!$A$5:$A$25,0))</f>
        <v/>
      </c>
      <c r="H123" s="44">
        <f>INDEX('建筑建议总览'!$I$5:$I$25,MATCH($A123,'建筑建议总览'!$A$5:$A$25,0))</f>
        <v/>
      </c>
      <c r="I123" s="36">
        <f>INDEX('建筑建议总览'!$J$5:$J$25,MATCH($A123,'建筑建议总览'!$A$5:$A$25,0))</f>
        <v/>
      </c>
      <c r="J123" s="44">
        <f>POWER(H123,D123-1)</f>
        <v/>
      </c>
      <c r="K123" s="44">
        <f>SUMIF($A$5:$A$328,$A123,$J$5:$J$328)</f>
        <v/>
      </c>
      <c r="L123" s="36">
        <f>IF(I123&gt;0,ROUNDDOWN(MAX(0,I123-G123*(F123-1))*J123/K123,0),0)</f>
        <v/>
      </c>
      <c r="M123" s="36">
        <f>IF(I123&gt;0,G123+L123+IF(D123=F123-1,MAX(0,I123-G123*(F123-1)-SUMIF($A$5:$A$328,$A123,$L$5:$L$328)),0),ROUNDUP(G123*POWER(INDEX('建筑总览'!$G$5:$G$25,MATCH($A123,'建筑总览'!$A$5:$A$25,0)),D123),0))</f>
        <v/>
      </c>
      <c r="N123" s="35">
        <f>M123/'参数与公式'!$B$21</f>
        <v/>
      </c>
      <c r="O123" s="36">
        <f>INDEX('建筑建议总览'!$P$5:$P$25,MATCH($A123,'建筑建议总览'!$A$5:$A$25,0))</f>
        <v/>
      </c>
      <c r="P123" s="36">
        <f>INDEX('建筑建议总览'!$Q$5:$Q$25,MATCH($A123,'建筑建议总览'!$A$5:$A$25,0))</f>
        <v/>
      </c>
      <c r="Q123" s="44">
        <f>INDEX('建筑建议总览'!$R$5:$R$25,MATCH($A123,'建筑建议总览'!$A$5:$A$25,0))</f>
        <v/>
      </c>
      <c r="R123" s="36">
        <f>INDEX('建筑建议总览'!$S$5:$S$25,MATCH($A123,'建筑建议总览'!$A$5:$A$25,0))</f>
        <v/>
      </c>
      <c r="S123" s="36">
        <f>INDEX('建筑建议总览'!$T$5:$T$25,MATCH($A123,'建筑建议总览'!$A$5:$A$25,0))</f>
        <v/>
      </c>
      <c r="T123" s="44">
        <f>POWER(Q123,D123-1)</f>
        <v/>
      </c>
      <c r="U123" s="44">
        <f>SUMIF($A$5:$A$328,$A123,$T$5:$T$328)</f>
        <v/>
      </c>
      <c r="V123" s="36">
        <f>IF(R123&gt;0,ROUNDDOWN(MAX(0,R123-O123*(F123-1))*T123/U123,0),0)</f>
        <v/>
      </c>
      <c r="W123" s="36">
        <f>IF(S123&gt;0,ROUNDDOWN(MAX(0,S123-P123*(F123-1))*T123/U123,0),0)</f>
        <v/>
      </c>
      <c r="X123" s="36">
        <f>IF(R123&gt;0,O123+V123+IF(D123=F123-1,MAX(0,R123-O123*(F123-1)-SUMIF($A$5:$A$328,$A123,$V$5:$V$328)),0),ROUNDUP(O123*POWER(INDEX('建筑总览'!$J$5:$J$25,MATCH($A123,'建筑总览'!$A$5:$A$25,0)),D123),0))</f>
        <v/>
      </c>
      <c r="Y123" s="36">
        <f>IF(P123=0,0,IF(S123&gt;0,P123+W123+IF(D123=F123-1,MAX(0,S123-P123*(F123-1)-SUMIF($A$5:$A$328,$A123,$W$5:$W$328)),0),ROUNDUP(P123*POWER(INDEX('建筑总览'!$J$5:$J$25,MATCH($A123,'建筑总览'!$A$5:$A$25,0)),D123),0)))</f>
        <v/>
      </c>
      <c r="Z123" s="36">
        <f>IF(X123=0,0,MAX(1,ROUNDUP(X123*(1-'参数与公式'!$B$17),0)))</f>
        <v/>
      </c>
      <c r="AA123" s="36">
        <f>IF(Y123=0,0,MAX(1,ROUNDUP(Y123*(1-'参数与公式'!$B$17),0)))</f>
        <v/>
      </c>
      <c r="AB123" s="33" t="inlineStr">
        <is>
          <t>预算模式末级补足余数；旧模式按指数公式</t>
        </is>
      </c>
      <c r="AC123" s="49">
        <f>IF(A123=A122,IFERROR(M123/M122,""),"")</f>
        <v/>
      </c>
      <c r="AD123" s="49">
        <f>IF(AND(A123=A122,X122&gt;0),X123/X122,"")</f>
        <v/>
      </c>
    </row>
    <row r="124" ht="30" customHeight="1">
      <c r="A124" s="33" t="inlineStr">
        <is>
          <t>granary</t>
        </is>
      </c>
      <c r="B124" s="33" t="inlineStr">
        <is>
          <t>粮仓</t>
        </is>
      </c>
      <c r="C124" s="33" t="inlineStr">
        <is>
          <t>仓储设施</t>
        </is>
      </c>
      <c r="D124" s="43" t="n">
        <v>4</v>
      </c>
      <c r="E124" s="36">
        <f>D124+1</f>
        <v/>
      </c>
      <c r="F124" s="43" t="n">
        <v>20</v>
      </c>
      <c r="G124" s="36">
        <f>INDEX('建筑建议总览'!$H$5:$H$25,MATCH($A124,'建筑建议总览'!$A$5:$A$25,0))</f>
        <v/>
      </c>
      <c r="H124" s="44">
        <f>INDEX('建筑建议总览'!$I$5:$I$25,MATCH($A124,'建筑建议总览'!$A$5:$A$25,0))</f>
        <v/>
      </c>
      <c r="I124" s="36">
        <f>INDEX('建筑建议总览'!$J$5:$J$25,MATCH($A124,'建筑建议总览'!$A$5:$A$25,0))</f>
        <v/>
      </c>
      <c r="J124" s="44">
        <f>POWER(H124,D124-1)</f>
        <v/>
      </c>
      <c r="K124" s="44">
        <f>SUMIF($A$5:$A$328,$A124,$J$5:$J$328)</f>
        <v/>
      </c>
      <c r="L124" s="36">
        <f>IF(I124&gt;0,ROUNDDOWN(MAX(0,I124-G124*(F124-1))*J124/K124,0),0)</f>
        <v/>
      </c>
      <c r="M124" s="36">
        <f>IF(I124&gt;0,G124+L124+IF(D124=F124-1,MAX(0,I124-G124*(F124-1)-SUMIF($A$5:$A$328,$A124,$L$5:$L$328)),0),ROUNDUP(G124*POWER(INDEX('建筑总览'!$G$5:$G$25,MATCH($A124,'建筑总览'!$A$5:$A$25,0)),D124),0))</f>
        <v/>
      </c>
      <c r="N124" s="35">
        <f>M124/'参数与公式'!$B$21</f>
        <v/>
      </c>
      <c r="O124" s="36">
        <f>INDEX('建筑建议总览'!$P$5:$P$25,MATCH($A124,'建筑建议总览'!$A$5:$A$25,0))</f>
        <v/>
      </c>
      <c r="P124" s="36">
        <f>INDEX('建筑建议总览'!$Q$5:$Q$25,MATCH($A124,'建筑建议总览'!$A$5:$A$25,0))</f>
        <v/>
      </c>
      <c r="Q124" s="44">
        <f>INDEX('建筑建议总览'!$R$5:$R$25,MATCH($A124,'建筑建议总览'!$A$5:$A$25,0))</f>
        <v/>
      </c>
      <c r="R124" s="36">
        <f>INDEX('建筑建议总览'!$S$5:$S$25,MATCH($A124,'建筑建议总览'!$A$5:$A$25,0))</f>
        <v/>
      </c>
      <c r="S124" s="36">
        <f>INDEX('建筑建议总览'!$T$5:$T$25,MATCH($A124,'建筑建议总览'!$A$5:$A$25,0))</f>
        <v/>
      </c>
      <c r="T124" s="44">
        <f>POWER(Q124,D124-1)</f>
        <v/>
      </c>
      <c r="U124" s="44">
        <f>SUMIF($A$5:$A$328,$A124,$T$5:$T$328)</f>
        <v/>
      </c>
      <c r="V124" s="36">
        <f>IF(R124&gt;0,ROUNDDOWN(MAX(0,R124-O124*(F124-1))*T124/U124,0),0)</f>
        <v/>
      </c>
      <c r="W124" s="36">
        <f>IF(S124&gt;0,ROUNDDOWN(MAX(0,S124-P124*(F124-1))*T124/U124,0),0)</f>
        <v/>
      </c>
      <c r="X124" s="36">
        <f>IF(R124&gt;0,O124+V124+IF(D124=F124-1,MAX(0,R124-O124*(F124-1)-SUMIF($A$5:$A$328,$A124,$V$5:$V$328)),0),ROUNDUP(O124*POWER(INDEX('建筑总览'!$J$5:$J$25,MATCH($A124,'建筑总览'!$A$5:$A$25,0)),D124),0))</f>
        <v/>
      </c>
      <c r="Y124" s="36">
        <f>IF(P124=0,0,IF(S124&gt;0,P124+W124+IF(D124=F124-1,MAX(0,S124-P124*(F124-1)-SUMIF($A$5:$A$328,$A124,$W$5:$W$328)),0),ROUNDUP(P124*POWER(INDEX('建筑总览'!$J$5:$J$25,MATCH($A124,'建筑总览'!$A$5:$A$25,0)),D124),0)))</f>
        <v/>
      </c>
      <c r="Z124" s="36">
        <f>IF(X124=0,0,MAX(1,ROUNDUP(X124*(1-'参数与公式'!$B$17),0)))</f>
        <v/>
      </c>
      <c r="AA124" s="36">
        <f>IF(Y124=0,0,MAX(1,ROUNDUP(Y124*(1-'参数与公式'!$B$17),0)))</f>
        <v/>
      </c>
      <c r="AB124" s="33" t="inlineStr">
        <is>
          <t>预算模式末级补足余数；旧模式按指数公式</t>
        </is>
      </c>
      <c r="AC124" s="49">
        <f>IF(A124=A123,IFERROR(M124/M123,""),"")</f>
        <v/>
      </c>
      <c r="AD124" s="49">
        <f>IF(AND(A124=A123,X123&gt;0),X124/X123,"")</f>
        <v/>
      </c>
    </row>
    <row r="125" ht="30" customHeight="1">
      <c r="A125" s="33" t="inlineStr">
        <is>
          <t>granary</t>
        </is>
      </c>
      <c r="B125" s="33" t="inlineStr">
        <is>
          <t>粮仓</t>
        </is>
      </c>
      <c r="C125" s="33" t="inlineStr">
        <is>
          <t>仓储设施</t>
        </is>
      </c>
      <c r="D125" s="43" t="n">
        <v>5</v>
      </c>
      <c r="E125" s="36">
        <f>D125+1</f>
        <v/>
      </c>
      <c r="F125" s="43" t="n">
        <v>20</v>
      </c>
      <c r="G125" s="36">
        <f>INDEX('建筑建议总览'!$H$5:$H$25,MATCH($A125,'建筑建议总览'!$A$5:$A$25,0))</f>
        <v/>
      </c>
      <c r="H125" s="44">
        <f>INDEX('建筑建议总览'!$I$5:$I$25,MATCH($A125,'建筑建议总览'!$A$5:$A$25,0))</f>
        <v/>
      </c>
      <c r="I125" s="36">
        <f>INDEX('建筑建议总览'!$J$5:$J$25,MATCH($A125,'建筑建议总览'!$A$5:$A$25,0))</f>
        <v/>
      </c>
      <c r="J125" s="44">
        <f>POWER(H125,D125-1)</f>
        <v/>
      </c>
      <c r="K125" s="44">
        <f>SUMIF($A$5:$A$328,$A125,$J$5:$J$328)</f>
        <v/>
      </c>
      <c r="L125" s="36">
        <f>IF(I125&gt;0,ROUNDDOWN(MAX(0,I125-G125*(F125-1))*J125/K125,0),0)</f>
        <v/>
      </c>
      <c r="M125" s="36">
        <f>IF(I125&gt;0,G125+L125+IF(D125=F125-1,MAX(0,I125-G125*(F125-1)-SUMIF($A$5:$A$328,$A125,$L$5:$L$328)),0),ROUNDUP(G125*POWER(INDEX('建筑总览'!$G$5:$G$25,MATCH($A125,'建筑总览'!$A$5:$A$25,0)),D125),0))</f>
        <v/>
      </c>
      <c r="N125" s="35">
        <f>M125/'参数与公式'!$B$21</f>
        <v/>
      </c>
      <c r="O125" s="36">
        <f>INDEX('建筑建议总览'!$P$5:$P$25,MATCH($A125,'建筑建议总览'!$A$5:$A$25,0))</f>
        <v/>
      </c>
      <c r="P125" s="36">
        <f>INDEX('建筑建议总览'!$Q$5:$Q$25,MATCH($A125,'建筑建议总览'!$A$5:$A$25,0))</f>
        <v/>
      </c>
      <c r="Q125" s="44">
        <f>INDEX('建筑建议总览'!$R$5:$R$25,MATCH($A125,'建筑建议总览'!$A$5:$A$25,0))</f>
        <v/>
      </c>
      <c r="R125" s="36">
        <f>INDEX('建筑建议总览'!$S$5:$S$25,MATCH($A125,'建筑建议总览'!$A$5:$A$25,0))</f>
        <v/>
      </c>
      <c r="S125" s="36">
        <f>INDEX('建筑建议总览'!$T$5:$T$25,MATCH($A125,'建筑建议总览'!$A$5:$A$25,0))</f>
        <v/>
      </c>
      <c r="T125" s="44">
        <f>POWER(Q125,D125-1)</f>
        <v/>
      </c>
      <c r="U125" s="44">
        <f>SUMIF($A$5:$A$328,$A125,$T$5:$T$328)</f>
        <v/>
      </c>
      <c r="V125" s="36">
        <f>IF(R125&gt;0,ROUNDDOWN(MAX(0,R125-O125*(F125-1))*T125/U125,0),0)</f>
        <v/>
      </c>
      <c r="W125" s="36">
        <f>IF(S125&gt;0,ROUNDDOWN(MAX(0,S125-P125*(F125-1))*T125/U125,0),0)</f>
        <v/>
      </c>
      <c r="X125" s="36">
        <f>IF(R125&gt;0,O125+V125+IF(D125=F125-1,MAX(0,R125-O125*(F125-1)-SUMIF($A$5:$A$328,$A125,$V$5:$V$328)),0),ROUNDUP(O125*POWER(INDEX('建筑总览'!$J$5:$J$25,MATCH($A125,'建筑总览'!$A$5:$A$25,0)),D125),0))</f>
        <v/>
      </c>
      <c r="Y125" s="36">
        <f>IF(P125=0,0,IF(S125&gt;0,P125+W125+IF(D125=F125-1,MAX(0,S125-P125*(F125-1)-SUMIF($A$5:$A$328,$A125,$W$5:$W$328)),0),ROUNDUP(P125*POWER(INDEX('建筑总览'!$J$5:$J$25,MATCH($A125,'建筑总览'!$A$5:$A$25,0)),D125),0)))</f>
        <v/>
      </c>
      <c r="Z125" s="36">
        <f>IF(X125=0,0,MAX(1,ROUNDUP(X125*(1-'参数与公式'!$B$17),0)))</f>
        <v/>
      </c>
      <c r="AA125" s="36">
        <f>IF(Y125=0,0,MAX(1,ROUNDUP(Y125*(1-'参数与公式'!$B$17),0)))</f>
        <v/>
      </c>
      <c r="AB125" s="33" t="inlineStr">
        <is>
          <t>预算模式末级补足余数；旧模式按指数公式</t>
        </is>
      </c>
      <c r="AC125" s="49">
        <f>IF(A125=A124,IFERROR(M125/M124,""),"")</f>
        <v/>
      </c>
      <c r="AD125" s="49">
        <f>IF(AND(A125=A124,X124&gt;0),X125/X124,"")</f>
        <v/>
      </c>
    </row>
    <row r="126" ht="30" customHeight="1">
      <c r="A126" s="33" t="inlineStr">
        <is>
          <t>granary</t>
        </is>
      </c>
      <c r="B126" s="33" t="inlineStr">
        <is>
          <t>粮仓</t>
        </is>
      </c>
      <c r="C126" s="33" t="inlineStr">
        <is>
          <t>仓储设施</t>
        </is>
      </c>
      <c r="D126" s="43" t="n">
        <v>6</v>
      </c>
      <c r="E126" s="36">
        <f>D126+1</f>
        <v/>
      </c>
      <c r="F126" s="43" t="n">
        <v>20</v>
      </c>
      <c r="G126" s="36">
        <f>INDEX('建筑建议总览'!$H$5:$H$25,MATCH($A126,'建筑建议总览'!$A$5:$A$25,0))</f>
        <v/>
      </c>
      <c r="H126" s="44">
        <f>INDEX('建筑建议总览'!$I$5:$I$25,MATCH($A126,'建筑建议总览'!$A$5:$A$25,0))</f>
        <v/>
      </c>
      <c r="I126" s="36">
        <f>INDEX('建筑建议总览'!$J$5:$J$25,MATCH($A126,'建筑建议总览'!$A$5:$A$25,0))</f>
        <v/>
      </c>
      <c r="J126" s="44">
        <f>POWER(H126,D126-1)</f>
        <v/>
      </c>
      <c r="K126" s="44">
        <f>SUMIF($A$5:$A$328,$A126,$J$5:$J$328)</f>
        <v/>
      </c>
      <c r="L126" s="36">
        <f>IF(I126&gt;0,ROUNDDOWN(MAX(0,I126-G126*(F126-1))*J126/K126,0),0)</f>
        <v/>
      </c>
      <c r="M126" s="36">
        <f>IF(I126&gt;0,G126+L126+IF(D126=F126-1,MAX(0,I126-G126*(F126-1)-SUMIF($A$5:$A$328,$A126,$L$5:$L$328)),0),ROUNDUP(G126*POWER(INDEX('建筑总览'!$G$5:$G$25,MATCH($A126,'建筑总览'!$A$5:$A$25,0)),D126),0))</f>
        <v/>
      </c>
      <c r="N126" s="35">
        <f>M126/'参数与公式'!$B$21</f>
        <v/>
      </c>
      <c r="O126" s="36">
        <f>INDEX('建筑建议总览'!$P$5:$P$25,MATCH($A126,'建筑建议总览'!$A$5:$A$25,0))</f>
        <v/>
      </c>
      <c r="P126" s="36">
        <f>INDEX('建筑建议总览'!$Q$5:$Q$25,MATCH($A126,'建筑建议总览'!$A$5:$A$25,0))</f>
        <v/>
      </c>
      <c r="Q126" s="44">
        <f>INDEX('建筑建议总览'!$R$5:$R$25,MATCH($A126,'建筑建议总览'!$A$5:$A$25,0))</f>
        <v/>
      </c>
      <c r="R126" s="36">
        <f>INDEX('建筑建议总览'!$S$5:$S$25,MATCH($A126,'建筑建议总览'!$A$5:$A$25,0))</f>
        <v/>
      </c>
      <c r="S126" s="36">
        <f>INDEX('建筑建议总览'!$T$5:$T$25,MATCH($A126,'建筑建议总览'!$A$5:$A$25,0))</f>
        <v/>
      </c>
      <c r="T126" s="44">
        <f>POWER(Q126,D126-1)</f>
        <v/>
      </c>
      <c r="U126" s="44">
        <f>SUMIF($A$5:$A$328,$A126,$T$5:$T$328)</f>
        <v/>
      </c>
      <c r="V126" s="36">
        <f>IF(R126&gt;0,ROUNDDOWN(MAX(0,R126-O126*(F126-1))*T126/U126,0),0)</f>
        <v/>
      </c>
      <c r="W126" s="36">
        <f>IF(S126&gt;0,ROUNDDOWN(MAX(0,S126-P126*(F126-1))*T126/U126,0),0)</f>
        <v/>
      </c>
      <c r="X126" s="36">
        <f>IF(R126&gt;0,O126+V126+IF(D126=F126-1,MAX(0,R126-O126*(F126-1)-SUMIF($A$5:$A$328,$A126,$V$5:$V$328)),0),ROUNDUP(O126*POWER(INDEX('建筑总览'!$J$5:$J$25,MATCH($A126,'建筑总览'!$A$5:$A$25,0)),D126),0))</f>
        <v/>
      </c>
      <c r="Y126" s="36">
        <f>IF(P126=0,0,IF(S126&gt;0,P126+W126+IF(D126=F126-1,MAX(0,S126-P126*(F126-1)-SUMIF($A$5:$A$328,$A126,$W$5:$W$328)),0),ROUNDUP(P126*POWER(INDEX('建筑总览'!$J$5:$J$25,MATCH($A126,'建筑总览'!$A$5:$A$25,0)),D126),0)))</f>
        <v/>
      </c>
      <c r="Z126" s="36">
        <f>IF(X126=0,0,MAX(1,ROUNDUP(X126*(1-'参数与公式'!$B$17),0)))</f>
        <v/>
      </c>
      <c r="AA126" s="36">
        <f>IF(Y126=0,0,MAX(1,ROUNDUP(Y126*(1-'参数与公式'!$B$17),0)))</f>
        <v/>
      </c>
      <c r="AB126" s="33" t="inlineStr">
        <is>
          <t>预算模式末级补足余数；旧模式按指数公式</t>
        </is>
      </c>
      <c r="AC126" s="49">
        <f>IF(A126=A125,IFERROR(M126/M125,""),"")</f>
        <v/>
      </c>
      <c r="AD126" s="49">
        <f>IF(AND(A126=A125,X125&gt;0),X126/X125,"")</f>
        <v/>
      </c>
    </row>
    <row r="127" ht="30" customHeight="1">
      <c r="A127" s="33" t="inlineStr">
        <is>
          <t>granary</t>
        </is>
      </c>
      <c r="B127" s="33" t="inlineStr">
        <is>
          <t>粮仓</t>
        </is>
      </c>
      <c r="C127" s="33" t="inlineStr">
        <is>
          <t>仓储设施</t>
        </is>
      </c>
      <c r="D127" s="43" t="n">
        <v>7</v>
      </c>
      <c r="E127" s="36">
        <f>D127+1</f>
        <v/>
      </c>
      <c r="F127" s="43" t="n">
        <v>20</v>
      </c>
      <c r="G127" s="36">
        <f>INDEX('建筑建议总览'!$H$5:$H$25,MATCH($A127,'建筑建议总览'!$A$5:$A$25,0))</f>
        <v/>
      </c>
      <c r="H127" s="44">
        <f>INDEX('建筑建议总览'!$I$5:$I$25,MATCH($A127,'建筑建议总览'!$A$5:$A$25,0))</f>
        <v/>
      </c>
      <c r="I127" s="36">
        <f>INDEX('建筑建议总览'!$J$5:$J$25,MATCH($A127,'建筑建议总览'!$A$5:$A$25,0))</f>
        <v/>
      </c>
      <c r="J127" s="44">
        <f>POWER(H127,D127-1)</f>
        <v/>
      </c>
      <c r="K127" s="44">
        <f>SUMIF($A$5:$A$328,$A127,$J$5:$J$328)</f>
        <v/>
      </c>
      <c r="L127" s="36">
        <f>IF(I127&gt;0,ROUNDDOWN(MAX(0,I127-G127*(F127-1))*J127/K127,0),0)</f>
        <v/>
      </c>
      <c r="M127" s="36">
        <f>IF(I127&gt;0,G127+L127+IF(D127=F127-1,MAX(0,I127-G127*(F127-1)-SUMIF($A$5:$A$328,$A127,$L$5:$L$328)),0),ROUNDUP(G127*POWER(INDEX('建筑总览'!$G$5:$G$25,MATCH($A127,'建筑总览'!$A$5:$A$25,0)),D127),0))</f>
        <v/>
      </c>
      <c r="N127" s="35">
        <f>M127/'参数与公式'!$B$21</f>
        <v/>
      </c>
      <c r="O127" s="36">
        <f>INDEX('建筑建议总览'!$P$5:$P$25,MATCH($A127,'建筑建议总览'!$A$5:$A$25,0))</f>
        <v/>
      </c>
      <c r="P127" s="36">
        <f>INDEX('建筑建议总览'!$Q$5:$Q$25,MATCH($A127,'建筑建议总览'!$A$5:$A$25,0))</f>
        <v/>
      </c>
      <c r="Q127" s="44">
        <f>INDEX('建筑建议总览'!$R$5:$R$25,MATCH($A127,'建筑建议总览'!$A$5:$A$25,0))</f>
        <v/>
      </c>
      <c r="R127" s="36">
        <f>INDEX('建筑建议总览'!$S$5:$S$25,MATCH($A127,'建筑建议总览'!$A$5:$A$25,0))</f>
        <v/>
      </c>
      <c r="S127" s="36">
        <f>INDEX('建筑建议总览'!$T$5:$T$25,MATCH($A127,'建筑建议总览'!$A$5:$A$25,0))</f>
        <v/>
      </c>
      <c r="T127" s="44">
        <f>POWER(Q127,D127-1)</f>
        <v/>
      </c>
      <c r="U127" s="44">
        <f>SUMIF($A$5:$A$328,$A127,$T$5:$T$328)</f>
        <v/>
      </c>
      <c r="V127" s="36">
        <f>IF(R127&gt;0,ROUNDDOWN(MAX(0,R127-O127*(F127-1))*T127/U127,0),0)</f>
        <v/>
      </c>
      <c r="W127" s="36">
        <f>IF(S127&gt;0,ROUNDDOWN(MAX(0,S127-P127*(F127-1))*T127/U127,0),0)</f>
        <v/>
      </c>
      <c r="X127" s="36">
        <f>IF(R127&gt;0,O127+V127+IF(D127=F127-1,MAX(0,R127-O127*(F127-1)-SUMIF($A$5:$A$328,$A127,$V$5:$V$328)),0),ROUNDUP(O127*POWER(INDEX('建筑总览'!$J$5:$J$25,MATCH($A127,'建筑总览'!$A$5:$A$25,0)),D127),0))</f>
        <v/>
      </c>
      <c r="Y127" s="36">
        <f>IF(P127=0,0,IF(S127&gt;0,P127+W127+IF(D127=F127-1,MAX(0,S127-P127*(F127-1)-SUMIF($A$5:$A$328,$A127,$W$5:$W$328)),0),ROUNDUP(P127*POWER(INDEX('建筑总览'!$J$5:$J$25,MATCH($A127,'建筑总览'!$A$5:$A$25,0)),D127),0)))</f>
        <v/>
      </c>
      <c r="Z127" s="36">
        <f>IF(X127=0,0,MAX(1,ROUNDUP(X127*(1-'参数与公式'!$B$17),0)))</f>
        <v/>
      </c>
      <c r="AA127" s="36">
        <f>IF(Y127=0,0,MAX(1,ROUNDUP(Y127*(1-'参数与公式'!$B$17),0)))</f>
        <v/>
      </c>
      <c r="AB127" s="33" t="inlineStr">
        <is>
          <t>预算模式末级补足余数；旧模式按指数公式</t>
        </is>
      </c>
      <c r="AC127" s="49">
        <f>IF(A127=A126,IFERROR(M127/M126,""),"")</f>
        <v/>
      </c>
      <c r="AD127" s="49">
        <f>IF(AND(A127=A126,X126&gt;0),X127/X126,"")</f>
        <v/>
      </c>
    </row>
    <row r="128" ht="30" customHeight="1">
      <c r="A128" s="33" t="inlineStr">
        <is>
          <t>granary</t>
        </is>
      </c>
      <c r="B128" s="33" t="inlineStr">
        <is>
          <t>粮仓</t>
        </is>
      </c>
      <c r="C128" s="33" t="inlineStr">
        <is>
          <t>仓储设施</t>
        </is>
      </c>
      <c r="D128" s="43" t="n">
        <v>8</v>
      </c>
      <c r="E128" s="36">
        <f>D128+1</f>
        <v/>
      </c>
      <c r="F128" s="43" t="n">
        <v>20</v>
      </c>
      <c r="G128" s="36">
        <f>INDEX('建筑建议总览'!$H$5:$H$25,MATCH($A128,'建筑建议总览'!$A$5:$A$25,0))</f>
        <v/>
      </c>
      <c r="H128" s="44">
        <f>INDEX('建筑建议总览'!$I$5:$I$25,MATCH($A128,'建筑建议总览'!$A$5:$A$25,0))</f>
        <v/>
      </c>
      <c r="I128" s="36">
        <f>INDEX('建筑建议总览'!$J$5:$J$25,MATCH($A128,'建筑建议总览'!$A$5:$A$25,0))</f>
        <v/>
      </c>
      <c r="J128" s="44">
        <f>POWER(H128,D128-1)</f>
        <v/>
      </c>
      <c r="K128" s="44">
        <f>SUMIF($A$5:$A$328,$A128,$J$5:$J$328)</f>
        <v/>
      </c>
      <c r="L128" s="36">
        <f>IF(I128&gt;0,ROUNDDOWN(MAX(0,I128-G128*(F128-1))*J128/K128,0),0)</f>
        <v/>
      </c>
      <c r="M128" s="36">
        <f>IF(I128&gt;0,G128+L128+IF(D128=F128-1,MAX(0,I128-G128*(F128-1)-SUMIF($A$5:$A$328,$A128,$L$5:$L$328)),0),ROUNDUP(G128*POWER(INDEX('建筑总览'!$G$5:$G$25,MATCH($A128,'建筑总览'!$A$5:$A$25,0)),D128),0))</f>
        <v/>
      </c>
      <c r="N128" s="35">
        <f>M128/'参数与公式'!$B$21</f>
        <v/>
      </c>
      <c r="O128" s="36">
        <f>INDEX('建筑建议总览'!$P$5:$P$25,MATCH($A128,'建筑建议总览'!$A$5:$A$25,0))</f>
        <v/>
      </c>
      <c r="P128" s="36">
        <f>INDEX('建筑建议总览'!$Q$5:$Q$25,MATCH($A128,'建筑建议总览'!$A$5:$A$25,0))</f>
        <v/>
      </c>
      <c r="Q128" s="44">
        <f>INDEX('建筑建议总览'!$R$5:$R$25,MATCH($A128,'建筑建议总览'!$A$5:$A$25,0))</f>
        <v/>
      </c>
      <c r="R128" s="36">
        <f>INDEX('建筑建议总览'!$S$5:$S$25,MATCH($A128,'建筑建议总览'!$A$5:$A$25,0))</f>
        <v/>
      </c>
      <c r="S128" s="36">
        <f>INDEX('建筑建议总览'!$T$5:$T$25,MATCH($A128,'建筑建议总览'!$A$5:$A$25,0))</f>
        <v/>
      </c>
      <c r="T128" s="44">
        <f>POWER(Q128,D128-1)</f>
        <v/>
      </c>
      <c r="U128" s="44">
        <f>SUMIF($A$5:$A$328,$A128,$T$5:$T$328)</f>
        <v/>
      </c>
      <c r="V128" s="36">
        <f>IF(R128&gt;0,ROUNDDOWN(MAX(0,R128-O128*(F128-1))*T128/U128,0),0)</f>
        <v/>
      </c>
      <c r="W128" s="36">
        <f>IF(S128&gt;0,ROUNDDOWN(MAX(0,S128-P128*(F128-1))*T128/U128,0),0)</f>
        <v/>
      </c>
      <c r="X128" s="36">
        <f>IF(R128&gt;0,O128+V128+IF(D128=F128-1,MAX(0,R128-O128*(F128-1)-SUMIF($A$5:$A$328,$A128,$V$5:$V$328)),0),ROUNDUP(O128*POWER(INDEX('建筑总览'!$J$5:$J$25,MATCH($A128,'建筑总览'!$A$5:$A$25,0)),D128),0))</f>
        <v/>
      </c>
      <c r="Y128" s="36">
        <f>IF(P128=0,0,IF(S128&gt;0,P128+W128+IF(D128=F128-1,MAX(0,S128-P128*(F128-1)-SUMIF($A$5:$A$328,$A128,$W$5:$W$328)),0),ROUNDUP(P128*POWER(INDEX('建筑总览'!$J$5:$J$25,MATCH($A128,'建筑总览'!$A$5:$A$25,0)),D128),0)))</f>
        <v/>
      </c>
      <c r="Z128" s="36">
        <f>IF(X128=0,0,MAX(1,ROUNDUP(X128*(1-'参数与公式'!$B$17),0)))</f>
        <v/>
      </c>
      <c r="AA128" s="36">
        <f>IF(Y128=0,0,MAX(1,ROUNDUP(Y128*(1-'参数与公式'!$B$17),0)))</f>
        <v/>
      </c>
      <c r="AB128" s="33" t="inlineStr">
        <is>
          <t>预算模式末级补足余数；旧模式按指数公式</t>
        </is>
      </c>
      <c r="AC128" s="49">
        <f>IF(A128=A127,IFERROR(M128/M127,""),"")</f>
        <v/>
      </c>
      <c r="AD128" s="49">
        <f>IF(AND(A128=A127,X127&gt;0),X128/X127,"")</f>
        <v/>
      </c>
    </row>
    <row r="129" ht="30" customHeight="1">
      <c r="A129" s="33" t="inlineStr">
        <is>
          <t>granary</t>
        </is>
      </c>
      <c r="B129" s="33" t="inlineStr">
        <is>
          <t>粮仓</t>
        </is>
      </c>
      <c r="C129" s="33" t="inlineStr">
        <is>
          <t>仓储设施</t>
        </is>
      </c>
      <c r="D129" s="43" t="n">
        <v>9</v>
      </c>
      <c r="E129" s="36">
        <f>D129+1</f>
        <v/>
      </c>
      <c r="F129" s="43" t="n">
        <v>20</v>
      </c>
      <c r="G129" s="36">
        <f>INDEX('建筑建议总览'!$H$5:$H$25,MATCH($A129,'建筑建议总览'!$A$5:$A$25,0))</f>
        <v/>
      </c>
      <c r="H129" s="44">
        <f>INDEX('建筑建议总览'!$I$5:$I$25,MATCH($A129,'建筑建议总览'!$A$5:$A$25,0))</f>
        <v/>
      </c>
      <c r="I129" s="36">
        <f>INDEX('建筑建议总览'!$J$5:$J$25,MATCH($A129,'建筑建议总览'!$A$5:$A$25,0))</f>
        <v/>
      </c>
      <c r="J129" s="44">
        <f>POWER(H129,D129-1)</f>
        <v/>
      </c>
      <c r="K129" s="44">
        <f>SUMIF($A$5:$A$328,$A129,$J$5:$J$328)</f>
        <v/>
      </c>
      <c r="L129" s="36">
        <f>IF(I129&gt;0,ROUNDDOWN(MAX(0,I129-G129*(F129-1))*J129/K129,0),0)</f>
        <v/>
      </c>
      <c r="M129" s="36">
        <f>IF(I129&gt;0,G129+L129+IF(D129=F129-1,MAX(0,I129-G129*(F129-1)-SUMIF($A$5:$A$328,$A129,$L$5:$L$328)),0),ROUNDUP(G129*POWER(INDEX('建筑总览'!$G$5:$G$25,MATCH($A129,'建筑总览'!$A$5:$A$25,0)),D129),0))</f>
        <v/>
      </c>
      <c r="N129" s="35">
        <f>M129/'参数与公式'!$B$21</f>
        <v/>
      </c>
      <c r="O129" s="36">
        <f>INDEX('建筑建议总览'!$P$5:$P$25,MATCH($A129,'建筑建议总览'!$A$5:$A$25,0))</f>
        <v/>
      </c>
      <c r="P129" s="36">
        <f>INDEX('建筑建议总览'!$Q$5:$Q$25,MATCH($A129,'建筑建议总览'!$A$5:$A$25,0))</f>
        <v/>
      </c>
      <c r="Q129" s="44">
        <f>INDEX('建筑建议总览'!$R$5:$R$25,MATCH($A129,'建筑建议总览'!$A$5:$A$25,0))</f>
        <v/>
      </c>
      <c r="R129" s="36">
        <f>INDEX('建筑建议总览'!$S$5:$S$25,MATCH($A129,'建筑建议总览'!$A$5:$A$25,0))</f>
        <v/>
      </c>
      <c r="S129" s="36">
        <f>INDEX('建筑建议总览'!$T$5:$T$25,MATCH($A129,'建筑建议总览'!$A$5:$A$25,0))</f>
        <v/>
      </c>
      <c r="T129" s="44">
        <f>POWER(Q129,D129-1)</f>
        <v/>
      </c>
      <c r="U129" s="44">
        <f>SUMIF($A$5:$A$328,$A129,$T$5:$T$328)</f>
        <v/>
      </c>
      <c r="V129" s="36">
        <f>IF(R129&gt;0,ROUNDDOWN(MAX(0,R129-O129*(F129-1))*T129/U129,0),0)</f>
        <v/>
      </c>
      <c r="W129" s="36">
        <f>IF(S129&gt;0,ROUNDDOWN(MAX(0,S129-P129*(F129-1))*T129/U129,0),0)</f>
        <v/>
      </c>
      <c r="X129" s="36">
        <f>IF(R129&gt;0,O129+V129+IF(D129=F129-1,MAX(0,R129-O129*(F129-1)-SUMIF($A$5:$A$328,$A129,$V$5:$V$328)),0),ROUNDUP(O129*POWER(INDEX('建筑总览'!$J$5:$J$25,MATCH($A129,'建筑总览'!$A$5:$A$25,0)),D129),0))</f>
        <v/>
      </c>
      <c r="Y129" s="36">
        <f>IF(P129=0,0,IF(S129&gt;0,P129+W129+IF(D129=F129-1,MAX(0,S129-P129*(F129-1)-SUMIF($A$5:$A$328,$A129,$W$5:$W$328)),0),ROUNDUP(P129*POWER(INDEX('建筑总览'!$J$5:$J$25,MATCH($A129,'建筑总览'!$A$5:$A$25,0)),D129),0)))</f>
        <v/>
      </c>
      <c r="Z129" s="36">
        <f>IF(X129=0,0,MAX(1,ROUNDUP(X129*(1-'参数与公式'!$B$17),0)))</f>
        <v/>
      </c>
      <c r="AA129" s="36">
        <f>IF(Y129=0,0,MAX(1,ROUNDUP(Y129*(1-'参数与公式'!$B$17),0)))</f>
        <v/>
      </c>
      <c r="AB129" s="33" t="inlineStr">
        <is>
          <t>预算模式末级补足余数；旧模式按指数公式</t>
        </is>
      </c>
      <c r="AC129" s="49">
        <f>IF(A129=A128,IFERROR(M129/M128,""),"")</f>
        <v/>
      </c>
      <c r="AD129" s="49">
        <f>IF(AND(A129=A128,X128&gt;0),X129/X128,"")</f>
        <v/>
      </c>
    </row>
    <row r="130" ht="30" customHeight="1">
      <c r="A130" s="33" t="inlineStr">
        <is>
          <t>granary</t>
        </is>
      </c>
      <c r="B130" s="33" t="inlineStr">
        <is>
          <t>粮仓</t>
        </is>
      </c>
      <c r="C130" s="33" t="inlineStr">
        <is>
          <t>仓储设施</t>
        </is>
      </c>
      <c r="D130" s="43" t="n">
        <v>10</v>
      </c>
      <c r="E130" s="36">
        <f>D130+1</f>
        <v/>
      </c>
      <c r="F130" s="43" t="n">
        <v>20</v>
      </c>
      <c r="G130" s="36">
        <f>INDEX('建筑建议总览'!$H$5:$H$25,MATCH($A130,'建筑建议总览'!$A$5:$A$25,0))</f>
        <v/>
      </c>
      <c r="H130" s="44">
        <f>INDEX('建筑建议总览'!$I$5:$I$25,MATCH($A130,'建筑建议总览'!$A$5:$A$25,0))</f>
        <v/>
      </c>
      <c r="I130" s="36">
        <f>INDEX('建筑建议总览'!$J$5:$J$25,MATCH($A130,'建筑建议总览'!$A$5:$A$25,0))</f>
        <v/>
      </c>
      <c r="J130" s="44">
        <f>POWER(H130,D130-1)</f>
        <v/>
      </c>
      <c r="K130" s="44">
        <f>SUMIF($A$5:$A$328,$A130,$J$5:$J$328)</f>
        <v/>
      </c>
      <c r="L130" s="36">
        <f>IF(I130&gt;0,ROUNDDOWN(MAX(0,I130-G130*(F130-1))*J130/K130,0),0)</f>
        <v/>
      </c>
      <c r="M130" s="36">
        <f>IF(I130&gt;0,G130+L130+IF(D130=F130-1,MAX(0,I130-G130*(F130-1)-SUMIF($A$5:$A$328,$A130,$L$5:$L$328)),0),ROUNDUP(G130*POWER(INDEX('建筑总览'!$G$5:$G$25,MATCH($A130,'建筑总览'!$A$5:$A$25,0)),D130),0))</f>
        <v/>
      </c>
      <c r="N130" s="35">
        <f>M130/'参数与公式'!$B$21</f>
        <v/>
      </c>
      <c r="O130" s="36">
        <f>INDEX('建筑建议总览'!$P$5:$P$25,MATCH($A130,'建筑建议总览'!$A$5:$A$25,0))</f>
        <v/>
      </c>
      <c r="P130" s="36">
        <f>INDEX('建筑建议总览'!$Q$5:$Q$25,MATCH($A130,'建筑建议总览'!$A$5:$A$25,0))</f>
        <v/>
      </c>
      <c r="Q130" s="44">
        <f>INDEX('建筑建议总览'!$R$5:$R$25,MATCH($A130,'建筑建议总览'!$A$5:$A$25,0))</f>
        <v/>
      </c>
      <c r="R130" s="36">
        <f>INDEX('建筑建议总览'!$S$5:$S$25,MATCH($A130,'建筑建议总览'!$A$5:$A$25,0))</f>
        <v/>
      </c>
      <c r="S130" s="36">
        <f>INDEX('建筑建议总览'!$T$5:$T$25,MATCH($A130,'建筑建议总览'!$A$5:$A$25,0))</f>
        <v/>
      </c>
      <c r="T130" s="44">
        <f>POWER(Q130,D130-1)</f>
        <v/>
      </c>
      <c r="U130" s="44">
        <f>SUMIF($A$5:$A$328,$A130,$T$5:$T$328)</f>
        <v/>
      </c>
      <c r="V130" s="36">
        <f>IF(R130&gt;0,ROUNDDOWN(MAX(0,R130-O130*(F130-1))*T130/U130,0),0)</f>
        <v/>
      </c>
      <c r="W130" s="36">
        <f>IF(S130&gt;0,ROUNDDOWN(MAX(0,S130-P130*(F130-1))*T130/U130,0),0)</f>
        <v/>
      </c>
      <c r="X130" s="36">
        <f>IF(R130&gt;0,O130+V130+IF(D130=F130-1,MAX(0,R130-O130*(F130-1)-SUMIF($A$5:$A$328,$A130,$V$5:$V$328)),0),ROUNDUP(O130*POWER(INDEX('建筑总览'!$J$5:$J$25,MATCH($A130,'建筑总览'!$A$5:$A$25,0)),D130),0))</f>
        <v/>
      </c>
      <c r="Y130" s="36">
        <f>IF(P130=0,0,IF(S130&gt;0,P130+W130+IF(D130=F130-1,MAX(0,S130-P130*(F130-1)-SUMIF($A$5:$A$328,$A130,$W$5:$W$328)),0),ROUNDUP(P130*POWER(INDEX('建筑总览'!$J$5:$J$25,MATCH($A130,'建筑总览'!$A$5:$A$25,0)),D130),0)))</f>
        <v/>
      </c>
      <c r="Z130" s="36">
        <f>IF(X130=0,0,MAX(1,ROUNDUP(X130*(1-'参数与公式'!$B$17),0)))</f>
        <v/>
      </c>
      <c r="AA130" s="36">
        <f>IF(Y130=0,0,MAX(1,ROUNDUP(Y130*(1-'参数与公式'!$B$17),0)))</f>
        <v/>
      </c>
      <c r="AB130" s="33" t="inlineStr">
        <is>
          <t>预算模式末级补足余数；旧模式按指数公式</t>
        </is>
      </c>
      <c r="AC130" s="49">
        <f>IF(A130=A129,IFERROR(M130/M129,""),"")</f>
        <v/>
      </c>
      <c r="AD130" s="49">
        <f>IF(AND(A130=A129,X129&gt;0),X130/X129,"")</f>
        <v/>
      </c>
    </row>
    <row r="131" ht="30" customHeight="1">
      <c r="A131" s="33" t="inlineStr">
        <is>
          <t>granary</t>
        </is>
      </c>
      <c r="B131" s="33" t="inlineStr">
        <is>
          <t>粮仓</t>
        </is>
      </c>
      <c r="C131" s="33" t="inlineStr">
        <is>
          <t>仓储设施</t>
        </is>
      </c>
      <c r="D131" s="43" t="n">
        <v>11</v>
      </c>
      <c r="E131" s="36">
        <f>D131+1</f>
        <v/>
      </c>
      <c r="F131" s="43" t="n">
        <v>20</v>
      </c>
      <c r="G131" s="36">
        <f>INDEX('建筑建议总览'!$H$5:$H$25,MATCH($A131,'建筑建议总览'!$A$5:$A$25,0))</f>
        <v/>
      </c>
      <c r="H131" s="44">
        <f>INDEX('建筑建议总览'!$I$5:$I$25,MATCH($A131,'建筑建议总览'!$A$5:$A$25,0))</f>
        <v/>
      </c>
      <c r="I131" s="36">
        <f>INDEX('建筑建议总览'!$J$5:$J$25,MATCH($A131,'建筑建议总览'!$A$5:$A$25,0))</f>
        <v/>
      </c>
      <c r="J131" s="44">
        <f>POWER(H131,D131-1)</f>
        <v/>
      </c>
      <c r="K131" s="44">
        <f>SUMIF($A$5:$A$328,$A131,$J$5:$J$328)</f>
        <v/>
      </c>
      <c r="L131" s="36">
        <f>IF(I131&gt;0,ROUNDDOWN(MAX(0,I131-G131*(F131-1))*J131/K131,0),0)</f>
        <v/>
      </c>
      <c r="M131" s="36">
        <f>IF(I131&gt;0,G131+L131+IF(D131=F131-1,MAX(0,I131-G131*(F131-1)-SUMIF($A$5:$A$328,$A131,$L$5:$L$328)),0),ROUNDUP(G131*POWER(INDEX('建筑总览'!$G$5:$G$25,MATCH($A131,'建筑总览'!$A$5:$A$25,0)),D131),0))</f>
        <v/>
      </c>
      <c r="N131" s="35">
        <f>M131/'参数与公式'!$B$21</f>
        <v/>
      </c>
      <c r="O131" s="36">
        <f>INDEX('建筑建议总览'!$P$5:$P$25,MATCH($A131,'建筑建议总览'!$A$5:$A$25,0))</f>
        <v/>
      </c>
      <c r="P131" s="36">
        <f>INDEX('建筑建议总览'!$Q$5:$Q$25,MATCH($A131,'建筑建议总览'!$A$5:$A$25,0))</f>
        <v/>
      </c>
      <c r="Q131" s="44">
        <f>INDEX('建筑建议总览'!$R$5:$R$25,MATCH($A131,'建筑建议总览'!$A$5:$A$25,0))</f>
        <v/>
      </c>
      <c r="R131" s="36">
        <f>INDEX('建筑建议总览'!$S$5:$S$25,MATCH($A131,'建筑建议总览'!$A$5:$A$25,0))</f>
        <v/>
      </c>
      <c r="S131" s="36">
        <f>INDEX('建筑建议总览'!$T$5:$T$25,MATCH($A131,'建筑建议总览'!$A$5:$A$25,0))</f>
        <v/>
      </c>
      <c r="T131" s="44">
        <f>POWER(Q131,D131-1)</f>
        <v/>
      </c>
      <c r="U131" s="44">
        <f>SUMIF($A$5:$A$328,$A131,$T$5:$T$328)</f>
        <v/>
      </c>
      <c r="V131" s="36">
        <f>IF(R131&gt;0,ROUNDDOWN(MAX(0,R131-O131*(F131-1))*T131/U131,0),0)</f>
        <v/>
      </c>
      <c r="W131" s="36">
        <f>IF(S131&gt;0,ROUNDDOWN(MAX(0,S131-P131*(F131-1))*T131/U131,0),0)</f>
        <v/>
      </c>
      <c r="X131" s="36">
        <f>IF(R131&gt;0,O131+V131+IF(D131=F131-1,MAX(0,R131-O131*(F131-1)-SUMIF($A$5:$A$328,$A131,$V$5:$V$328)),0),ROUNDUP(O131*POWER(INDEX('建筑总览'!$J$5:$J$25,MATCH($A131,'建筑总览'!$A$5:$A$25,0)),D131),0))</f>
        <v/>
      </c>
      <c r="Y131" s="36">
        <f>IF(P131=0,0,IF(S131&gt;0,P131+W131+IF(D131=F131-1,MAX(0,S131-P131*(F131-1)-SUMIF($A$5:$A$328,$A131,$W$5:$W$328)),0),ROUNDUP(P131*POWER(INDEX('建筑总览'!$J$5:$J$25,MATCH($A131,'建筑总览'!$A$5:$A$25,0)),D131),0)))</f>
        <v/>
      </c>
      <c r="Z131" s="36">
        <f>IF(X131=0,0,MAX(1,ROUNDUP(X131*(1-'参数与公式'!$B$17),0)))</f>
        <v/>
      </c>
      <c r="AA131" s="36">
        <f>IF(Y131=0,0,MAX(1,ROUNDUP(Y131*(1-'参数与公式'!$B$17),0)))</f>
        <v/>
      </c>
      <c r="AB131" s="33" t="inlineStr">
        <is>
          <t>预算模式末级补足余数；旧模式按指数公式</t>
        </is>
      </c>
      <c r="AC131" s="49">
        <f>IF(A131=A130,IFERROR(M131/M130,""),"")</f>
        <v/>
      </c>
      <c r="AD131" s="49">
        <f>IF(AND(A131=A130,X130&gt;0),X131/X130,"")</f>
        <v/>
      </c>
    </row>
    <row r="132" ht="30" customHeight="1">
      <c r="A132" s="33" t="inlineStr">
        <is>
          <t>granary</t>
        </is>
      </c>
      <c r="B132" s="33" t="inlineStr">
        <is>
          <t>粮仓</t>
        </is>
      </c>
      <c r="C132" s="33" t="inlineStr">
        <is>
          <t>仓储设施</t>
        </is>
      </c>
      <c r="D132" s="43" t="n">
        <v>12</v>
      </c>
      <c r="E132" s="36">
        <f>D132+1</f>
        <v/>
      </c>
      <c r="F132" s="43" t="n">
        <v>20</v>
      </c>
      <c r="G132" s="36">
        <f>INDEX('建筑建议总览'!$H$5:$H$25,MATCH($A132,'建筑建议总览'!$A$5:$A$25,0))</f>
        <v/>
      </c>
      <c r="H132" s="44">
        <f>INDEX('建筑建议总览'!$I$5:$I$25,MATCH($A132,'建筑建议总览'!$A$5:$A$25,0))</f>
        <v/>
      </c>
      <c r="I132" s="36">
        <f>INDEX('建筑建议总览'!$J$5:$J$25,MATCH($A132,'建筑建议总览'!$A$5:$A$25,0))</f>
        <v/>
      </c>
      <c r="J132" s="44">
        <f>POWER(H132,D132-1)</f>
        <v/>
      </c>
      <c r="K132" s="44">
        <f>SUMIF($A$5:$A$328,$A132,$J$5:$J$328)</f>
        <v/>
      </c>
      <c r="L132" s="36">
        <f>IF(I132&gt;0,ROUNDDOWN(MAX(0,I132-G132*(F132-1))*J132/K132,0),0)</f>
        <v/>
      </c>
      <c r="M132" s="36">
        <f>IF(I132&gt;0,G132+L132+IF(D132=F132-1,MAX(0,I132-G132*(F132-1)-SUMIF($A$5:$A$328,$A132,$L$5:$L$328)),0),ROUNDUP(G132*POWER(INDEX('建筑总览'!$G$5:$G$25,MATCH($A132,'建筑总览'!$A$5:$A$25,0)),D132),0))</f>
        <v/>
      </c>
      <c r="N132" s="35">
        <f>M132/'参数与公式'!$B$21</f>
        <v/>
      </c>
      <c r="O132" s="36">
        <f>INDEX('建筑建议总览'!$P$5:$P$25,MATCH($A132,'建筑建议总览'!$A$5:$A$25,0))</f>
        <v/>
      </c>
      <c r="P132" s="36">
        <f>INDEX('建筑建议总览'!$Q$5:$Q$25,MATCH($A132,'建筑建议总览'!$A$5:$A$25,0))</f>
        <v/>
      </c>
      <c r="Q132" s="44">
        <f>INDEX('建筑建议总览'!$R$5:$R$25,MATCH($A132,'建筑建议总览'!$A$5:$A$25,0))</f>
        <v/>
      </c>
      <c r="R132" s="36">
        <f>INDEX('建筑建议总览'!$S$5:$S$25,MATCH($A132,'建筑建议总览'!$A$5:$A$25,0))</f>
        <v/>
      </c>
      <c r="S132" s="36">
        <f>INDEX('建筑建议总览'!$T$5:$T$25,MATCH($A132,'建筑建议总览'!$A$5:$A$25,0))</f>
        <v/>
      </c>
      <c r="T132" s="44">
        <f>POWER(Q132,D132-1)</f>
        <v/>
      </c>
      <c r="U132" s="44">
        <f>SUMIF($A$5:$A$328,$A132,$T$5:$T$328)</f>
        <v/>
      </c>
      <c r="V132" s="36">
        <f>IF(R132&gt;0,ROUNDDOWN(MAX(0,R132-O132*(F132-1))*T132/U132,0),0)</f>
        <v/>
      </c>
      <c r="W132" s="36">
        <f>IF(S132&gt;0,ROUNDDOWN(MAX(0,S132-P132*(F132-1))*T132/U132,0),0)</f>
        <v/>
      </c>
      <c r="X132" s="36">
        <f>IF(R132&gt;0,O132+V132+IF(D132=F132-1,MAX(0,R132-O132*(F132-1)-SUMIF($A$5:$A$328,$A132,$V$5:$V$328)),0),ROUNDUP(O132*POWER(INDEX('建筑总览'!$J$5:$J$25,MATCH($A132,'建筑总览'!$A$5:$A$25,0)),D132),0))</f>
        <v/>
      </c>
      <c r="Y132" s="36">
        <f>IF(P132=0,0,IF(S132&gt;0,P132+W132+IF(D132=F132-1,MAX(0,S132-P132*(F132-1)-SUMIF($A$5:$A$328,$A132,$W$5:$W$328)),0),ROUNDUP(P132*POWER(INDEX('建筑总览'!$J$5:$J$25,MATCH($A132,'建筑总览'!$A$5:$A$25,0)),D132),0)))</f>
        <v/>
      </c>
      <c r="Z132" s="36">
        <f>IF(X132=0,0,MAX(1,ROUNDUP(X132*(1-'参数与公式'!$B$17),0)))</f>
        <v/>
      </c>
      <c r="AA132" s="36">
        <f>IF(Y132=0,0,MAX(1,ROUNDUP(Y132*(1-'参数与公式'!$B$17),0)))</f>
        <v/>
      </c>
      <c r="AB132" s="33" t="inlineStr">
        <is>
          <t>预算模式末级补足余数；旧模式按指数公式</t>
        </is>
      </c>
      <c r="AC132" s="49">
        <f>IF(A132=A131,IFERROR(M132/M131,""),"")</f>
        <v/>
      </c>
      <c r="AD132" s="49">
        <f>IF(AND(A132=A131,X131&gt;0),X132/X131,"")</f>
        <v/>
      </c>
    </row>
    <row r="133" ht="30" customHeight="1">
      <c r="A133" s="33" t="inlineStr">
        <is>
          <t>granary</t>
        </is>
      </c>
      <c r="B133" s="33" t="inlineStr">
        <is>
          <t>粮仓</t>
        </is>
      </c>
      <c r="C133" s="33" t="inlineStr">
        <is>
          <t>仓储设施</t>
        </is>
      </c>
      <c r="D133" s="43" t="n">
        <v>13</v>
      </c>
      <c r="E133" s="36">
        <f>D133+1</f>
        <v/>
      </c>
      <c r="F133" s="43" t="n">
        <v>20</v>
      </c>
      <c r="G133" s="36">
        <f>INDEX('建筑建议总览'!$H$5:$H$25,MATCH($A133,'建筑建议总览'!$A$5:$A$25,0))</f>
        <v/>
      </c>
      <c r="H133" s="44">
        <f>INDEX('建筑建议总览'!$I$5:$I$25,MATCH($A133,'建筑建议总览'!$A$5:$A$25,0))</f>
        <v/>
      </c>
      <c r="I133" s="36">
        <f>INDEX('建筑建议总览'!$J$5:$J$25,MATCH($A133,'建筑建议总览'!$A$5:$A$25,0))</f>
        <v/>
      </c>
      <c r="J133" s="44">
        <f>POWER(H133,D133-1)</f>
        <v/>
      </c>
      <c r="K133" s="44">
        <f>SUMIF($A$5:$A$328,$A133,$J$5:$J$328)</f>
        <v/>
      </c>
      <c r="L133" s="36">
        <f>IF(I133&gt;0,ROUNDDOWN(MAX(0,I133-G133*(F133-1))*J133/K133,0),0)</f>
        <v/>
      </c>
      <c r="M133" s="36">
        <f>IF(I133&gt;0,G133+L133+IF(D133=F133-1,MAX(0,I133-G133*(F133-1)-SUMIF($A$5:$A$328,$A133,$L$5:$L$328)),0),ROUNDUP(G133*POWER(INDEX('建筑总览'!$G$5:$G$25,MATCH($A133,'建筑总览'!$A$5:$A$25,0)),D133),0))</f>
        <v/>
      </c>
      <c r="N133" s="35">
        <f>M133/'参数与公式'!$B$21</f>
        <v/>
      </c>
      <c r="O133" s="36">
        <f>INDEX('建筑建议总览'!$P$5:$P$25,MATCH($A133,'建筑建议总览'!$A$5:$A$25,0))</f>
        <v/>
      </c>
      <c r="P133" s="36">
        <f>INDEX('建筑建议总览'!$Q$5:$Q$25,MATCH($A133,'建筑建议总览'!$A$5:$A$25,0))</f>
        <v/>
      </c>
      <c r="Q133" s="44">
        <f>INDEX('建筑建议总览'!$R$5:$R$25,MATCH($A133,'建筑建议总览'!$A$5:$A$25,0))</f>
        <v/>
      </c>
      <c r="R133" s="36">
        <f>INDEX('建筑建议总览'!$S$5:$S$25,MATCH($A133,'建筑建议总览'!$A$5:$A$25,0))</f>
        <v/>
      </c>
      <c r="S133" s="36">
        <f>INDEX('建筑建议总览'!$T$5:$T$25,MATCH($A133,'建筑建议总览'!$A$5:$A$25,0))</f>
        <v/>
      </c>
      <c r="T133" s="44">
        <f>POWER(Q133,D133-1)</f>
        <v/>
      </c>
      <c r="U133" s="44">
        <f>SUMIF($A$5:$A$328,$A133,$T$5:$T$328)</f>
        <v/>
      </c>
      <c r="V133" s="36">
        <f>IF(R133&gt;0,ROUNDDOWN(MAX(0,R133-O133*(F133-1))*T133/U133,0),0)</f>
        <v/>
      </c>
      <c r="W133" s="36">
        <f>IF(S133&gt;0,ROUNDDOWN(MAX(0,S133-P133*(F133-1))*T133/U133,0),0)</f>
        <v/>
      </c>
      <c r="X133" s="36">
        <f>IF(R133&gt;0,O133+V133+IF(D133=F133-1,MAX(0,R133-O133*(F133-1)-SUMIF($A$5:$A$328,$A133,$V$5:$V$328)),0),ROUNDUP(O133*POWER(INDEX('建筑总览'!$J$5:$J$25,MATCH($A133,'建筑总览'!$A$5:$A$25,0)),D133),0))</f>
        <v/>
      </c>
      <c r="Y133" s="36">
        <f>IF(P133=0,0,IF(S133&gt;0,P133+W133+IF(D133=F133-1,MAX(0,S133-P133*(F133-1)-SUMIF($A$5:$A$328,$A133,$W$5:$W$328)),0),ROUNDUP(P133*POWER(INDEX('建筑总览'!$J$5:$J$25,MATCH($A133,'建筑总览'!$A$5:$A$25,0)),D133),0)))</f>
        <v/>
      </c>
      <c r="Z133" s="36">
        <f>IF(X133=0,0,MAX(1,ROUNDUP(X133*(1-'参数与公式'!$B$17),0)))</f>
        <v/>
      </c>
      <c r="AA133" s="36">
        <f>IF(Y133=0,0,MAX(1,ROUNDUP(Y133*(1-'参数与公式'!$B$17),0)))</f>
        <v/>
      </c>
      <c r="AB133" s="33" t="inlineStr">
        <is>
          <t>预算模式末级补足余数；旧模式按指数公式</t>
        </is>
      </c>
      <c r="AC133" s="49">
        <f>IF(A133=A132,IFERROR(M133/M132,""),"")</f>
        <v/>
      </c>
      <c r="AD133" s="49">
        <f>IF(AND(A133=A132,X132&gt;0),X133/X132,"")</f>
        <v/>
      </c>
    </row>
    <row r="134" ht="30" customHeight="1">
      <c r="A134" s="33" t="inlineStr">
        <is>
          <t>granary</t>
        </is>
      </c>
      <c r="B134" s="33" t="inlineStr">
        <is>
          <t>粮仓</t>
        </is>
      </c>
      <c r="C134" s="33" t="inlineStr">
        <is>
          <t>仓储设施</t>
        </is>
      </c>
      <c r="D134" s="43" t="n">
        <v>14</v>
      </c>
      <c r="E134" s="36">
        <f>D134+1</f>
        <v/>
      </c>
      <c r="F134" s="43" t="n">
        <v>20</v>
      </c>
      <c r="G134" s="36">
        <f>INDEX('建筑建议总览'!$H$5:$H$25,MATCH($A134,'建筑建议总览'!$A$5:$A$25,0))</f>
        <v/>
      </c>
      <c r="H134" s="44">
        <f>INDEX('建筑建议总览'!$I$5:$I$25,MATCH($A134,'建筑建议总览'!$A$5:$A$25,0))</f>
        <v/>
      </c>
      <c r="I134" s="36">
        <f>INDEX('建筑建议总览'!$J$5:$J$25,MATCH($A134,'建筑建议总览'!$A$5:$A$25,0))</f>
        <v/>
      </c>
      <c r="J134" s="44">
        <f>POWER(H134,D134-1)</f>
        <v/>
      </c>
      <c r="K134" s="44">
        <f>SUMIF($A$5:$A$328,$A134,$J$5:$J$328)</f>
        <v/>
      </c>
      <c r="L134" s="36">
        <f>IF(I134&gt;0,ROUNDDOWN(MAX(0,I134-G134*(F134-1))*J134/K134,0),0)</f>
        <v/>
      </c>
      <c r="M134" s="36">
        <f>IF(I134&gt;0,G134+L134+IF(D134=F134-1,MAX(0,I134-G134*(F134-1)-SUMIF($A$5:$A$328,$A134,$L$5:$L$328)),0),ROUNDUP(G134*POWER(INDEX('建筑总览'!$G$5:$G$25,MATCH($A134,'建筑总览'!$A$5:$A$25,0)),D134),0))</f>
        <v/>
      </c>
      <c r="N134" s="35">
        <f>M134/'参数与公式'!$B$21</f>
        <v/>
      </c>
      <c r="O134" s="36">
        <f>INDEX('建筑建议总览'!$P$5:$P$25,MATCH($A134,'建筑建议总览'!$A$5:$A$25,0))</f>
        <v/>
      </c>
      <c r="P134" s="36">
        <f>INDEX('建筑建议总览'!$Q$5:$Q$25,MATCH($A134,'建筑建议总览'!$A$5:$A$25,0))</f>
        <v/>
      </c>
      <c r="Q134" s="44">
        <f>INDEX('建筑建议总览'!$R$5:$R$25,MATCH($A134,'建筑建议总览'!$A$5:$A$25,0))</f>
        <v/>
      </c>
      <c r="R134" s="36">
        <f>INDEX('建筑建议总览'!$S$5:$S$25,MATCH($A134,'建筑建议总览'!$A$5:$A$25,0))</f>
        <v/>
      </c>
      <c r="S134" s="36">
        <f>INDEX('建筑建议总览'!$T$5:$T$25,MATCH($A134,'建筑建议总览'!$A$5:$A$25,0))</f>
        <v/>
      </c>
      <c r="T134" s="44">
        <f>POWER(Q134,D134-1)</f>
        <v/>
      </c>
      <c r="U134" s="44">
        <f>SUMIF($A$5:$A$328,$A134,$T$5:$T$328)</f>
        <v/>
      </c>
      <c r="V134" s="36">
        <f>IF(R134&gt;0,ROUNDDOWN(MAX(0,R134-O134*(F134-1))*T134/U134,0),0)</f>
        <v/>
      </c>
      <c r="W134" s="36">
        <f>IF(S134&gt;0,ROUNDDOWN(MAX(0,S134-P134*(F134-1))*T134/U134,0),0)</f>
        <v/>
      </c>
      <c r="X134" s="36">
        <f>IF(R134&gt;0,O134+V134+IF(D134=F134-1,MAX(0,R134-O134*(F134-1)-SUMIF($A$5:$A$328,$A134,$V$5:$V$328)),0),ROUNDUP(O134*POWER(INDEX('建筑总览'!$J$5:$J$25,MATCH($A134,'建筑总览'!$A$5:$A$25,0)),D134),0))</f>
        <v/>
      </c>
      <c r="Y134" s="36">
        <f>IF(P134=0,0,IF(S134&gt;0,P134+W134+IF(D134=F134-1,MAX(0,S134-P134*(F134-1)-SUMIF($A$5:$A$328,$A134,$W$5:$W$328)),0),ROUNDUP(P134*POWER(INDEX('建筑总览'!$J$5:$J$25,MATCH($A134,'建筑总览'!$A$5:$A$25,0)),D134),0)))</f>
        <v/>
      </c>
      <c r="Z134" s="36">
        <f>IF(X134=0,0,MAX(1,ROUNDUP(X134*(1-'参数与公式'!$B$17),0)))</f>
        <v/>
      </c>
      <c r="AA134" s="36">
        <f>IF(Y134=0,0,MAX(1,ROUNDUP(Y134*(1-'参数与公式'!$B$17),0)))</f>
        <v/>
      </c>
      <c r="AB134" s="33" t="inlineStr">
        <is>
          <t>预算模式末级补足余数；旧模式按指数公式</t>
        </is>
      </c>
      <c r="AC134" s="49">
        <f>IF(A134=A133,IFERROR(M134/M133,""),"")</f>
        <v/>
      </c>
      <c r="AD134" s="49">
        <f>IF(AND(A134=A133,X133&gt;0),X134/X133,"")</f>
        <v/>
      </c>
    </row>
    <row r="135" ht="30" customHeight="1">
      <c r="A135" s="33" t="inlineStr">
        <is>
          <t>granary</t>
        </is>
      </c>
      <c r="B135" s="33" t="inlineStr">
        <is>
          <t>粮仓</t>
        </is>
      </c>
      <c r="C135" s="33" t="inlineStr">
        <is>
          <t>仓储设施</t>
        </is>
      </c>
      <c r="D135" s="43" t="n">
        <v>15</v>
      </c>
      <c r="E135" s="36">
        <f>D135+1</f>
        <v/>
      </c>
      <c r="F135" s="43" t="n">
        <v>20</v>
      </c>
      <c r="G135" s="36">
        <f>INDEX('建筑建议总览'!$H$5:$H$25,MATCH($A135,'建筑建议总览'!$A$5:$A$25,0))</f>
        <v/>
      </c>
      <c r="H135" s="44">
        <f>INDEX('建筑建议总览'!$I$5:$I$25,MATCH($A135,'建筑建议总览'!$A$5:$A$25,0))</f>
        <v/>
      </c>
      <c r="I135" s="36">
        <f>INDEX('建筑建议总览'!$J$5:$J$25,MATCH($A135,'建筑建议总览'!$A$5:$A$25,0))</f>
        <v/>
      </c>
      <c r="J135" s="44">
        <f>POWER(H135,D135-1)</f>
        <v/>
      </c>
      <c r="K135" s="44">
        <f>SUMIF($A$5:$A$328,$A135,$J$5:$J$328)</f>
        <v/>
      </c>
      <c r="L135" s="36">
        <f>IF(I135&gt;0,ROUNDDOWN(MAX(0,I135-G135*(F135-1))*J135/K135,0),0)</f>
        <v/>
      </c>
      <c r="M135" s="36">
        <f>IF(I135&gt;0,G135+L135+IF(D135=F135-1,MAX(0,I135-G135*(F135-1)-SUMIF($A$5:$A$328,$A135,$L$5:$L$328)),0),ROUNDUP(G135*POWER(INDEX('建筑总览'!$G$5:$G$25,MATCH($A135,'建筑总览'!$A$5:$A$25,0)),D135),0))</f>
        <v/>
      </c>
      <c r="N135" s="35">
        <f>M135/'参数与公式'!$B$21</f>
        <v/>
      </c>
      <c r="O135" s="36">
        <f>INDEX('建筑建议总览'!$P$5:$P$25,MATCH($A135,'建筑建议总览'!$A$5:$A$25,0))</f>
        <v/>
      </c>
      <c r="P135" s="36">
        <f>INDEX('建筑建议总览'!$Q$5:$Q$25,MATCH($A135,'建筑建议总览'!$A$5:$A$25,0))</f>
        <v/>
      </c>
      <c r="Q135" s="44">
        <f>INDEX('建筑建议总览'!$R$5:$R$25,MATCH($A135,'建筑建议总览'!$A$5:$A$25,0))</f>
        <v/>
      </c>
      <c r="R135" s="36">
        <f>INDEX('建筑建议总览'!$S$5:$S$25,MATCH($A135,'建筑建议总览'!$A$5:$A$25,0))</f>
        <v/>
      </c>
      <c r="S135" s="36">
        <f>INDEX('建筑建议总览'!$T$5:$T$25,MATCH($A135,'建筑建议总览'!$A$5:$A$25,0))</f>
        <v/>
      </c>
      <c r="T135" s="44">
        <f>POWER(Q135,D135-1)</f>
        <v/>
      </c>
      <c r="U135" s="44">
        <f>SUMIF($A$5:$A$328,$A135,$T$5:$T$328)</f>
        <v/>
      </c>
      <c r="V135" s="36">
        <f>IF(R135&gt;0,ROUNDDOWN(MAX(0,R135-O135*(F135-1))*T135/U135,0),0)</f>
        <v/>
      </c>
      <c r="W135" s="36">
        <f>IF(S135&gt;0,ROUNDDOWN(MAX(0,S135-P135*(F135-1))*T135/U135,0),0)</f>
        <v/>
      </c>
      <c r="X135" s="36">
        <f>IF(R135&gt;0,O135+V135+IF(D135=F135-1,MAX(0,R135-O135*(F135-1)-SUMIF($A$5:$A$328,$A135,$V$5:$V$328)),0),ROUNDUP(O135*POWER(INDEX('建筑总览'!$J$5:$J$25,MATCH($A135,'建筑总览'!$A$5:$A$25,0)),D135),0))</f>
        <v/>
      </c>
      <c r="Y135" s="36">
        <f>IF(P135=0,0,IF(S135&gt;0,P135+W135+IF(D135=F135-1,MAX(0,S135-P135*(F135-1)-SUMIF($A$5:$A$328,$A135,$W$5:$W$328)),0),ROUNDUP(P135*POWER(INDEX('建筑总览'!$J$5:$J$25,MATCH($A135,'建筑总览'!$A$5:$A$25,0)),D135),0)))</f>
        <v/>
      </c>
      <c r="Z135" s="36">
        <f>IF(X135=0,0,MAX(1,ROUNDUP(X135*(1-'参数与公式'!$B$17),0)))</f>
        <v/>
      </c>
      <c r="AA135" s="36">
        <f>IF(Y135=0,0,MAX(1,ROUNDUP(Y135*(1-'参数与公式'!$B$17),0)))</f>
        <v/>
      </c>
      <c r="AB135" s="33" t="inlineStr">
        <is>
          <t>预算模式末级补足余数；旧模式按指数公式</t>
        </is>
      </c>
      <c r="AC135" s="49">
        <f>IF(A135=A134,IFERROR(M135/M134,""),"")</f>
        <v/>
      </c>
      <c r="AD135" s="49">
        <f>IF(AND(A135=A134,X134&gt;0),X135/X134,"")</f>
        <v/>
      </c>
    </row>
    <row r="136" ht="30" customHeight="1">
      <c r="A136" s="33" t="inlineStr">
        <is>
          <t>granary</t>
        </is>
      </c>
      <c r="B136" s="33" t="inlineStr">
        <is>
          <t>粮仓</t>
        </is>
      </c>
      <c r="C136" s="33" t="inlineStr">
        <is>
          <t>仓储设施</t>
        </is>
      </c>
      <c r="D136" s="43" t="n">
        <v>16</v>
      </c>
      <c r="E136" s="36">
        <f>D136+1</f>
        <v/>
      </c>
      <c r="F136" s="43" t="n">
        <v>20</v>
      </c>
      <c r="G136" s="36">
        <f>INDEX('建筑建议总览'!$H$5:$H$25,MATCH($A136,'建筑建议总览'!$A$5:$A$25,0))</f>
        <v/>
      </c>
      <c r="H136" s="44">
        <f>INDEX('建筑建议总览'!$I$5:$I$25,MATCH($A136,'建筑建议总览'!$A$5:$A$25,0))</f>
        <v/>
      </c>
      <c r="I136" s="36">
        <f>INDEX('建筑建议总览'!$J$5:$J$25,MATCH($A136,'建筑建议总览'!$A$5:$A$25,0))</f>
        <v/>
      </c>
      <c r="J136" s="44">
        <f>POWER(H136,D136-1)</f>
        <v/>
      </c>
      <c r="K136" s="44">
        <f>SUMIF($A$5:$A$328,$A136,$J$5:$J$328)</f>
        <v/>
      </c>
      <c r="L136" s="36">
        <f>IF(I136&gt;0,ROUNDDOWN(MAX(0,I136-G136*(F136-1))*J136/K136,0),0)</f>
        <v/>
      </c>
      <c r="M136" s="36">
        <f>IF(I136&gt;0,G136+L136+IF(D136=F136-1,MAX(0,I136-G136*(F136-1)-SUMIF($A$5:$A$328,$A136,$L$5:$L$328)),0),ROUNDUP(G136*POWER(INDEX('建筑总览'!$G$5:$G$25,MATCH($A136,'建筑总览'!$A$5:$A$25,0)),D136),0))</f>
        <v/>
      </c>
      <c r="N136" s="35">
        <f>M136/'参数与公式'!$B$21</f>
        <v/>
      </c>
      <c r="O136" s="36">
        <f>INDEX('建筑建议总览'!$P$5:$P$25,MATCH($A136,'建筑建议总览'!$A$5:$A$25,0))</f>
        <v/>
      </c>
      <c r="P136" s="36">
        <f>INDEX('建筑建议总览'!$Q$5:$Q$25,MATCH($A136,'建筑建议总览'!$A$5:$A$25,0))</f>
        <v/>
      </c>
      <c r="Q136" s="44">
        <f>INDEX('建筑建议总览'!$R$5:$R$25,MATCH($A136,'建筑建议总览'!$A$5:$A$25,0))</f>
        <v/>
      </c>
      <c r="R136" s="36">
        <f>INDEX('建筑建议总览'!$S$5:$S$25,MATCH($A136,'建筑建议总览'!$A$5:$A$25,0))</f>
        <v/>
      </c>
      <c r="S136" s="36">
        <f>INDEX('建筑建议总览'!$T$5:$T$25,MATCH($A136,'建筑建议总览'!$A$5:$A$25,0))</f>
        <v/>
      </c>
      <c r="T136" s="44">
        <f>POWER(Q136,D136-1)</f>
        <v/>
      </c>
      <c r="U136" s="44">
        <f>SUMIF($A$5:$A$328,$A136,$T$5:$T$328)</f>
        <v/>
      </c>
      <c r="V136" s="36">
        <f>IF(R136&gt;0,ROUNDDOWN(MAX(0,R136-O136*(F136-1))*T136/U136,0),0)</f>
        <v/>
      </c>
      <c r="W136" s="36">
        <f>IF(S136&gt;0,ROUNDDOWN(MAX(0,S136-P136*(F136-1))*T136/U136,0),0)</f>
        <v/>
      </c>
      <c r="X136" s="36">
        <f>IF(R136&gt;0,O136+V136+IF(D136=F136-1,MAX(0,R136-O136*(F136-1)-SUMIF($A$5:$A$328,$A136,$V$5:$V$328)),0),ROUNDUP(O136*POWER(INDEX('建筑总览'!$J$5:$J$25,MATCH($A136,'建筑总览'!$A$5:$A$25,0)),D136),0))</f>
        <v/>
      </c>
      <c r="Y136" s="36">
        <f>IF(P136=0,0,IF(S136&gt;0,P136+W136+IF(D136=F136-1,MAX(0,S136-P136*(F136-1)-SUMIF($A$5:$A$328,$A136,$W$5:$W$328)),0),ROUNDUP(P136*POWER(INDEX('建筑总览'!$J$5:$J$25,MATCH($A136,'建筑总览'!$A$5:$A$25,0)),D136),0)))</f>
        <v/>
      </c>
      <c r="Z136" s="36">
        <f>IF(X136=0,0,MAX(1,ROUNDUP(X136*(1-'参数与公式'!$B$17),0)))</f>
        <v/>
      </c>
      <c r="AA136" s="36">
        <f>IF(Y136=0,0,MAX(1,ROUNDUP(Y136*(1-'参数与公式'!$B$17),0)))</f>
        <v/>
      </c>
      <c r="AB136" s="33" t="inlineStr">
        <is>
          <t>预算模式末级补足余数；旧模式按指数公式</t>
        </is>
      </c>
      <c r="AC136" s="49">
        <f>IF(A136=A135,IFERROR(M136/M135,""),"")</f>
        <v/>
      </c>
      <c r="AD136" s="49">
        <f>IF(AND(A136=A135,X135&gt;0),X136/X135,"")</f>
        <v/>
      </c>
    </row>
    <row r="137" ht="30" customHeight="1">
      <c r="A137" s="33" t="inlineStr">
        <is>
          <t>granary</t>
        </is>
      </c>
      <c r="B137" s="33" t="inlineStr">
        <is>
          <t>粮仓</t>
        </is>
      </c>
      <c r="C137" s="33" t="inlineStr">
        <is>
          <t>仓储设施</t>
        </is>
      </c>
      <c r="D137" s="43" t="n">
        <v>17</v>
      </c>
      <c r="E137" s="36">
        <f>D137+1</f>
        <v/>
      </c>
      <c r="F137" s="43" t="n">
        <v>20</v>
      </c>
      <c r="G137" s="36">
        <f>INDEX('建筑建议总览'!$H$5:$H$25,MATCH($A137,'建筑建议总览'!$A$5:$A$25,0))</f>
        <v/>
      </c>
      <c r="H137" s="44">
        <f>INDEX('建筑建议总览'!$I$5:$I$25,MATCH($A137,'建筑建议总览'!$A$5:$A$25,0))</f>
        <v/>
      </c>
      <c r="I137" s="36">
        <f>INDEX('建筑建议总览'!$J$5:$J$25,MATCH($A137,'建筑建议总览'!$A$5:$A$25,0))</f>
        <v/>
      </c>
      <c r="J137" s="44">
        <f>POWER(H137,D137-1)</f>
        <v/>
      </c>
      <c r="K137" s="44">
        <f>SUMIF($A$5:$A$328,$A137,$J$5:$J$328)</f>
        <v/>
      </c>
      <c r="L137" s="36">
        <f>IF(I137&gt;0,ROUNDDOWN(MAX(0,I137-G137*(F137-1))*J137/K137,0),0)</f>
        <v/>
      </c>
      <c r="M137" s="36">
        <f>IF(I137&gt;0,G137+L137+IF(D137=F137-1,MAX(0,I137-G137*(F137-1)-SUMIF($A$5:$A$328,$A137,$L$5:$L$328)),0),ROUNDUP(G137*POWER(INDEX('建筑总览'!$G$5:$G$25,MATCH($A137,'建筑总览'!$A$5:$A$25,0)),D137),0))</f>
        <v/>
      </c>
      <c r="N137" s="35">
        <f>M137/'参数与公式'!$B$21</f>
        <v/>
      </c>
      <c r="O137" s="36">
        <f>INDEX('建筑建议总览'!$P$5:$P$25,MATCH($A137,'建筑建议总览'!$A$5:$A$25,0))</f>
        <v/>
      </c>
      <c r="P137" s="36">
        <f>INDEX('建筑建议总览'!$Q$5:$Q$25,MATCH($A137,'建筑建议总览'!$A$5:$A$25,0))</f>
        <v/>
      </c>
      <c r="Q137" s="44">
        <f>INDEX('建筑建议总览'!$R$5:$R$25,MATCH($A137,'建筑建议总览'!$A$5:$A$25,0))</f>
        <v/>
      </c>
      <c r="R137" s="36">
        <f>INDEX('建筑建议总览'!$S$5:$S$25,MATCH($A137,'建筑建议总览'!$A$5:$A$25,0))</f>
        <v/>
      </c>
      <c r="S137" s="36">
        <f>INDEX('建筑建议总览'!$T$5:$T$25,MATCH($A137,'建筑建议总览'!$A$5:$A$25,0))</f>
        <v/>
      </c>
      <c r="T137" s="44">
        <f>POWER(Q137,D137-1)</f>
        <v/>
      </c>
      <c r="U137" s="44">
        <f>SUMIF($A$5:$A$328,$A137,$T$5:$T$328)</f>
        <v/>
      </c>
      <c r="V137" s="36">
        <f>IF(R137&gt;0,ROUNDDOWN(MAX(0,R137-O137*(F137-1))*T137/U137,0),0)</f>
        <v/>
      </c>
      <c r="W137" s="36">
        <f>IF(S137&gt;0,ROUNDDOWN(MAX(0,S137-P137*(F137-1))*T137/U137,0),0)</f>
        <v/>
      </c>
      <c r="X137" s="36">
        <f>IF(R137&gt;0,O137+V137+IF(D137=F137-1,MAX(0,R137-O137*(F137-1)-SUMIF($A$5:$A$328,$A137,$V$5:$V$328)),0),ROUNDUP(O137*POWER(INDEX('建筑总览'!$J$5:$J$25,MATCH($A137,'建筑总览'!$A$5:$A$25,0)),D137),0))</f>
        <v/>
      </c>
      <c r="Y137" s="36">
        <f>IF(P137=0,0,IF(S137&gt;0,P137+W137+IF(D137=F137-1,MAX(0,S137-P137*(F137-1)-SUMIF($A$5:$A$328,$A137,$W$5:$W$328)),0),ROUNDUP(P137*POWER(INDEX('建筑总览'!$J$5:$J$25,MATCH($A137,'建筑总览'!$A$5:$A$25,0)),D137),0)))</f>
        <v/>
      </c>
      <c r="Z137" s="36">
        <f>IF(X137=0,0,MAX(1,ROUNDUP(X137*(1-'参数与公式'!$B$17),0)))</f>
        <v/>
      </c>
      <c r="AA137" s="36">
        <f>IF(Y137=0,0,MAX(1,ROUNDUP(Y137*(1-'参数与公式'!$B$17),0)))</f>
        <v/>
      </c>
      <c r="AB137" s="33" t="inlineStr">
        <is>
          <t>预算模式末级补足余数；旧模式按指数公式</t>
        </is>
      </c>
      <c r="AC137" s="49">
        <f>IF(A137=A136,IFERROR(M137/M136,""),"")</f>
        <v/>
      </c>
      <c r="AD137" s="49">
        <f>IF(AND(A137=A136,X136&gt;0),X137/X136,"")</f>
        <v/>
      </c>
    </row>
    <row r="138" ht="30" customHeight="1">
      <c r="A138" s="33" t="inlineStr">
        <is>
          <t>granary</t>
        </is>
      </c>
      <c r="B138" s="33" t="inlineStr">
        <is>
          <t>粮仓</t>
        </is>
      </c>
      <c r="C138" s="33" t="inlineStr">
        <is>
          <t>仓储设施</t>
        </is>
      </c>
      <c r="D138" s="43" t="n">
        <v>18</v>
      </c>
      <c r="E138" s="36">
        <f>D138+1</f>
        <v/>
      </c>
      <c r="F138" s="43" t="n">
        <v>20</v>
      </c>
      <c r="G138" s="36">
        <f>INDEX('建筑建议总览'!$H$5:$H$25,MATCH($A138,'建筑建议总览'!$A$5:$A$25,0))</f>
        <v/>
      </c>
      <c r="H138" s="44">
        <f>INDEX('建筑建议总览'!$I$5:$I$25,MATCH($A138,'建筑建议总览'!$A$5:$A$25,0))</f>
        <v/>
      </c>
      <c r="I138" s="36">
        <f>INDEX('建筑建议总览'!$J$5:$J$25,MATCH($A138,'建筑建议总览'!$A$5:$A$25,0))</f>
        <v/>
      </c>
      <c r="J138" s="44">
        <f>POWER(H138,D138-1)</f>
        <v/>
      </c>
      <c r="K138" s="44">
        <f>SUMIF($A$5:$A$328,$A138,$J$5:$J$328)</f>
        <v/>
      </c>
      <c r="L138" s="36">
        <f>IF(I138&gt;0,ROUNDDOWN(MAX(0,I138-G138*(F138-1))*J138/K138,0),0)</f>
        <v/>
      </c>
      <c r="M138" s="36">
        <f>IF(I138&gt;0,G138+L138+IF(D138=F138-1,MAX(0,I138-G138*(F138-1)-SUMIF($A$5:$A$328,$A138,$L$5:$L$328)),0),ROUNDUP(G138*POWER(INDEX('建筑总览'!$G$5:$G$25,MATCH($A138,'建筑总览'!$A$5:$A$25,0)),D138),0))</f>
        <v/>
      </c>
      <c r="N138" s="35">
        <f>M138/'参数与公式'!$B$21</f>
        <v/>
      </c>
      <c r="O138" s="36">
        <f>INDEX('建筑建议总览'!$P$5:$P$25,MATCH($A138,'建筑建议总览'!$A$5:$A$25,0))</f>
        <v/>
      </c>
      <c r="P138" s="36">
        <f>INDEX('建筑建议总览'!$Q$5:$Q$25,MATCH($A138,'建筑建议总览'!$A$5:$A$25,0))</f>
        <v/>
      </c>
      <c r="Q138" s="44">
        <f>INDEX('建筑建议总览'!$R$5:$R$25,MATCH($A138,'建筑建议总览'!$A$5:$A$25,0))</f>
        <v/>
      </c>
      <c r="R138" s="36">
        <f>INDEX('建筑建议总览'!$S$5:$S$25,MATCH($A138,'建筑建议总览'!$A$5:$A$25,0))</f>
        <v/>
      </c>
      <c r="S138" s="36">
        <f>INDEX('建筑建议总览'!$T$5:$T$25,MATCH($A138,'建筑建议总览'!$A$5:$A$25,0))</f>
        <v/>
      </c>
      <c r="T138" s="44">
        <f>POWER(Q138,D138-1)</f>
        <v/>
      </c>
      <c r="U138" s="44">
        <f>SUMIF($A$5:$A$328,$A138,$T$5:$T$328)</f>
        <v/>
      </c>
      <c r="V138" s="36">
        <f>IF(R138&gt;0,ROUNDDOWN(MAX(0,R138-O138*(F138-1))*T138/U138,0),0)</f>
        <v/>
      </c>
      <c r="W138" s="36">
        <f>IF(S138&gt;0,ROUNDDOWN(MAX(0,S138-P138*(F138-1))*T138/U138,0),0)</f>
        <v/>
      </c>
      <c r="X138" s="36">
        <f>IF(R138&gt;0,O138+V138+IF(D138=F138-1,MAX(0,R138-O138*(F138-1)-SUMIF($A$5:$A$328,$A138,$V$5:$V$328)),0),ROUNDUP(O138*POWER(INDEX('建筑总览'!$J$5:$J$25,MATCH($A138,'建筑总览'!$A$5:$A$25,0)),D138),0))</f>
        <v/>
      </c>
      <c r="Y138" s="36">
        <f>IF(P138=0,0,IF(S138&gt;0,P138+W138+IF(D138=F138-1,MAX(0,S138-P138*(F138-1)-SUMIF($A$5:$A$328,$A138,$W$5:$W$328)),0),ROUNDUP(P138*POWER(INDEX('建筑总览'!$J$5:$J$25,MATCH($A138,'建筑总览'!$A$5:$A$25,0)),D138),0)))</f>
        <v/>
      </c>
      <c r="Z138" s="36">
        <f>IF(X138=0,0,MAX(1,ROUNDUP(X138*(1-'参数与公式'!$B$17),0)))</f>
        <v/>
      </c>
      <c r="AA138" s="36">
        <f>IF(Y138=0,0,MAX(1,ROUNDUP(Y138*(1-'参数与公式'!$B$17),0)))</f>
        <v/>
      </c>
      <c r="AB138" s="33" t="inlineStr">
        <is>
          <t>预算模式末级补足余数；旧模式按指数公式</t>
        </is>
      </c>
      <c r="AC138" s="49">
        <f>IF(A138=A137,IFERROR(M138/M137,""),"")</f>
        <v/>
      </c>
      <c r="AD138" s="49">
        <f>IF(AND(A138=A137,X137&gt;0),X138/X137,"")</f>
        <v/>
      </c>
    </row>
    <row r="139" ht="30" customHeight="1">
      <c r="A139" s="33" t="inlineStr">
        <is>
          <t>granary</t>
        </is>
      </c>
      <c r="B139" s="33" t="inlineStr">
        <is>
          <t>粮仓</t>
        </is>
      </c>
      <c r="C139" s="33" t="inlineStr">
        <is>
          <t>仓储设施</t>
        </is>
      </c>
      <c r="D139" s="43" t="n">
        <v>19</v>
      </c>
      <c r="E139" s="36">
        <f>D139+1</f>
        <v/>
      </c>
      <c r="F139" s="43" t="n">
        <v>20</v>
      </c>
      <c r="G139" s="36">
        <f>INDEX('建筑建议总览'!$H$5:$H$25,MATCH($A139,'建筑建议总览'!$A$5:$A$25,0))</f>
        <v/>
      </c>
      <c r="H139" s="44">
        <f>INDEX('建筑建议总览'!$I$5:$I$25,MATCH($A139,'建筑建议总览'!$A$5:$A$25,0))</f>
        <v/>
      </c>
      <c r="I139" s="36">
        <f>INDEX('建筑建议总览'!$J$5:$J$25,MATCH($A139,'建筑建议总览'!$A$5:$A$25,0))</f>
        <v/>
      </c>
      <c r="J139" s="44">
        <f>POWER(H139,D139-1)</f>
        <v/>
      </c>
      <c r="K139" s="44">
        <f>SUMIF($A$5:$A$328,$A139,$J$5:$J$328)</f>
        <v/>
      </c>
      <c r="L139" s="36">
        <f>IF(I139&gt;0,ROUNDDOWN(MAX(0,I139-G139*(F139-1))*J139/K139,0),0)</f>
        <v/>
      </c>
      <c r="M139" s="36">
        <f>IF(I139&gt;0,G139+L139+IF(D139=F139-1,MAX(0,I139-G139*(F139-1)-SUMIF($A$5:$A$328,$A139,$L$5:$L$328)),0),ROUNDUP(G139*POWER(INDEX('建筑总览'!$G$5:$G$25,MATCH($A139,'建筑总览'!$A$5:$A$25,0)),D139),0))</f>
        <v/>
      </c>
      <c r="N139" s="35">
        <f>M139/'参数与公式'!$B$21</f>
        <v/>
      </c>
      <c r="O139" s="36">
        <f>INDEX('建筑建议总览'!$P$5:$P$25,MATCH($A139,'建筑建议总览'!$A$5:$A$25,0))</f>
        <v/>
      </c>
      <c r="P139" s="36">
        <f>INDEX('建筑建议总览'!$Q$5:$Q$25,MATCH($A139,'建筑建议总览'!$A$5:$A$25,0))</f>
        <v/>
      </c>
      <c r="Q139" s="44">
        <f>INDEX('建筑建议总览'!$R$5:$R$25,MATCH($A139,'建筑建议总览'!$A$5:$A$25,0))</f>
        <v/>
      </c>
      <c r="R139" s="36">
        <f>INDEX('建筑建议总览'!$S$5:$S$25,MATCH($A139,'建筑建议总览'!$A$5:$A$25,0))</f>
        <v/>
      </c>
      <c r="S139" s="36">
        <f>INDEX('建筑建议总览'!$T$5:$T$25,MATCH($A139,'建筑建议总览'!$A$5:$A$25,0))</f>
        <v/>
      </c>
      <c r="T139" s="44">
        <f>POWER(Q139,D139-1)</f>
        <v/>
      </c>
      <c r="U139" s="44">
        <f>SUMIF($A$5:$A$328,$A139,$T$5:$T$328)</f>
        <v/>
      </c>
      <c r="V139" s="36">
        <f>IF(R139&gt;0,ROUNDDOWN(MAX(0,R139-O139*(F139-1))*T139/U139,0),0)</f>
        <v/>
      </c>
      <c r="W139" s="36">
        <f>IF(S139&gt;0,ROUNDDOWN(MAX(0,S139-P139*(F139-1))*T139/U139,0),0)</f>
        <v/>
      </c>
      <c r="X139" s="36">
        <f>IF(R139&gt;0,O139+V139+IF(D139=F139-1,MAX(0,R139-O139*(F139-1)-SUMIF($A$5:$A$328,$A139,$V$5:$V$328)),0),ROUNDUP(O139*POWER(INDEX('建筑总览'!$J$5:$J$25,MATCH($A139,'建筑总览'!$A$5:$A$25,0)),D139),0))</f>
        <v/>
      </c>
      <c r="Y139" s="36">
        <f>IF(P139=0,0,IF(S139&gt;0,P139+W139+IF(D139=F139-1,MAX(0,S139-P139*(F139-1)-SUMIF($A$5:$A$328,$A139,$W$5:$W$328)),0),ROUNDUP(P139*POWER(INDEX('建筑总览'!$J$5:$J$25,MATCH($A139,'建筑总览'!$A$5:$A$25,0)),D139),0)))</f>
        <v/>
      </c>
      <c r="Z139" s="36">
        <f>IF(X139=0,0,MAX(1,ROUNDUP(X139*(1-'参数与公式'!$B$17),0)))</f>
        <v/>
      </c>
      <c r="AA139" s="36">
        <f>IF(Y139=0,0,MAX(1,ROUNDUP(Y139*(1-'参数与公式'!$B$17),0)))</f>
        <v/>
      </c>
      <c r="AB139" s="33" t="inlineStr">
        <is>
          <t>预算模式末级补足余数；旧模式按指数公式</t>
        </is>
      </c>
      <c r="AC139" s="49">
        <f>IF(A139=A138,IFERROR(M139/M138,""),"")</f>
        <v/>
      </c>
      <c r="AD139" s="49">
        <f>IF(AND(A139=A138,X138&gt;0),X139/X138,"")</f>
        <v/>
      </c>
    </row>
    <row r="140" ht="30" customHeight="1">
      <c r="A140" s="33" t="inlineStr">
        <is>
          <t>silver_vault</t>
        </is>
      </c>
      <c r="B140" s="33" t="inlineStr">
        <is>
          <t>银库</t>
        </is>
      </c>
      <c r="C140" s="33" t="inlineStr">
        <is>
          <t>仓储设施</t>
        </is>
      </c>
      <c r="D140" s="43" t="n">
        <v>1</v>
      </c>
      <c r="E140" s="36">
        <f>D140+1</f>
        <v/>
      </c>
      <c r="F140" s="43" t="n">
        <v>30</v>
      </c>
      <c r="G140" s="36">
        <f>INDEX('建筑建议总览'!$H$5:$H$25,MATCH($A140,'建筑建议总览'!$A$5:$A$25,0))</f>
        <v/>
      </c>
      <c r="H140" s="44">
        <f>INDEX('建筑建议总览'!$I$5:$I$25,MATCH($A140,'建筑建议总览'!$A$5:$A$25,0))</f>
        <v/>
      </c>
      <c r="I140" s="36">
        <f>INDEX('建筑建议总览'!$J$5:$J$25,MATCH($A140,'建筑建议总览'!$A$5:$A$25,0))</f>
        <v/>
      </c>
      <c r="J140" s="44">
        <f>POWER(H140,D140-1)</f>
        <v/>
      </c>
      <c r="K140" s="44">
        <f>SUMIF($A$5:$A$328,$A140,$J$5:$J$328)</f>
        <v/>
      </c>
      <c r="L140" s="36">
        <f>IF(I140&gt;0,ROUNDDOWN(MAX(0,I140-G140*(F140-1))*J140/K140,0),0)</f>
        <v/>
      </c>
      <c r="M140" s="36">
        <f>IF(I140&gt;0,G140+L140+IF(D140=F140-1,MAX(0,I140-G140*(F140-1)-SUMIF($A$5:$A$328,$A140,$L$5:$L$328)),0),ROUNDUP(G140*POWER(INDEX('建筑总览'!$G$5:$G$25,MATCH($A140,'建筑总览'!$A$5:$A$25,0)),D140),0))</f>
        <v/>
      </c>
      <c r="N140" s="35">
        <f>M140/'参数与公式'!$B$21</f>
        <v/>
      </c>
      <c r="O140" s="36">
        <f>INDEX('建筑建议总览'!$P$5:$P$25,MATCH($A140,'建筑建议总览'!$A$5:$A$25,0))</f>
        <v/>
      </c>
      <c r="P140" s="36">
        <f>INDEX('建筑建议总览'!$Q$5:$Q$25,MATCH($A140,'建筑建议总览'!$A$5:$A$25,0))</f>
        <v/>
      </c>
      <c r="Q140" s="44">
        <f>INDEX('建筑建议总览'!$R$5:$R$25,MATCH($A140,'建筑建议总览'!$A$5:$A$25,0))</f>
        <v/>
      </c>
      <c r="R140" s="36">
        <f>INDEX('建筑建议总览'!$S$5:$S$25,MATCH($A140,'建筑建议总览'!$A$5:$A$25,0))</f>
        <v/>
      </c>
      <c r="S140" s="36">
        <f>INDEX('建筑建议总览'!$T$5:$T$25,MATCH($A140,'建筑建议总览'!$A$5:$A$25,0))</f>
        <v/>
      </c>
      <c r="T140" s="44">
        <f>POWER(Q140,D140-1)</f>
        <v/>
      </c>
      <c r="U140" s="44">
        <f>SUMIF($A$5:$A$328,$A140,$T$5:$T$328)</f>
        <v/>
      </c>
      <c r="V140" s="36">
        <f>IF(R140&gt;0,ROUNDDOWN(MAX(0,R140-O140*(F140-1))*T140/U140,0),0)</f>
        <v/>
      </c>
      <c r="W140" s="36">
        <f>IF(S140&gt;0,ROUNDDOWN(MAX(0,S140-P140*(F140-1))*T140/U140,0),0)</f>
        <v/>
      </c>
      <c r="X140" s="36">
        <f>IF(R140&gt;0,O140+V140+IF(D140=F140-1,MAX(0,R140-O140*(F140-1)-SUMIF($A$5:$A$328,$A140,$V$5:$V$328)),0),ROUNDUP(O140*POWER(INDEX('建筑总览'!$J$5:$J$25,MATCH($A140,'建筑总览'!$A$5:$A$25,0)),D140),0))</f>
        <v/>
      </c>
      <c r="Y140" s="36">
        <f>IF(P140=0,0,IF(S140&gt;0,P140+W140+IF(D140=F140-1,MAX(0,S140-P140*(F140-1)-SUMIF($A$5:$A$328,$A140,$W$5:$W$328)),0),ROUNDUP(P140*POWER(INDEX('建筑总览'!$J$5:$J$25,MATCH($A140,'建筑总览'!$A$5:$A$25,0)),D140),0)))</f>
        <v/>
      </c>
      <c r="Z140" s="36">
        <f>IF(X140=0,0,MAX(1,ROUNDUP(X140*(1-'参数与公式'!$B$17),0)))</f>
        <v/>
      </c>
      <c r="AA140" s="36">
        <f>IF(Y140=0,0,MAX(1,ROUNDUP(Y140*(1-'参数与公式'!$B$17),0)))</f>
        <v/>
      </c>
      <c r="AB140" s="33" t="inlineStr">
        <is>
          <t>预算模式末级补足余数；旧模式按指数公式</t>
        </is>
      </c>
      <c r="AC140" s="49">
        <f>IF(A140=A139,IFERROR(M140/M139,""),"")</f>
        <v/>
      </c>
      <c r="AD140" s="49">
        <f>IF(AND(A140=A139,X139&gt;0),X140/X139,"")</f>
        <v/>
      </c>
    </row>
    <row r="141" ht="30" customHeight="1">
      <c r="A141" s="33" t="inlineStr">
        <is>
          <t>silver_vault</t>
        </is>
      </c>
      <c r="B141" s="33" t="inlineStr">
        <is>
          <t>银库</t>
        </is>
      </c>
      <c r="C141" s="33" t="inlineStr">
        <is>
          <t>仓储设施</t>
        </is>
      </c>
      <c r="D141" s="43" t="n">
        <v>2</v>
      </c>
      <c r="E141" s="36">
        <f>D141+1</f>
        <v/>
      </c>
      <c r="F141" s="43" t="n">
        <v>30</v>
      </c>
      <c r="G141" s="36">
        <f>INDEX('建筑建议总览'!$H$5:$H$25,MATCH($A141,'建筑建议总览'!$A$5:$A$25,0))</f>
        <v/>
      </c>
      <c r="H141" s="44">
        <f>INDEX('建筑建议总览'!$I$5:$I$25,MATCH($A141,'建筑建议总览'!$A$5:$A$25,0))</f>
        <v/>
      </c>
      <c r="I141" s="36">
        <f>INDEX('建筑建议总览'!$J$5:$J$25,MATCH($A141,'建筑建议总览'!$A$5:$A$25,0))</f>
        <v/>
      </c>
      <c r="J141" s="44">
        <f>POWER(H141,D141-1)</f>
        <v/>
      </c>
      <c r="K141" s="44">
        <f>SUMIF($A$5:$A$328,$A141,$J$5:$J$328)</f>
        <v/>
      </c>
      <c r="L141" s="36">
        <f>IF(I141&gt;0,ROUNDDOWN(MAX(0,I141-G141*(F141-1))*J141/K141,0),0)</f>
        <v/>
      </c>
      <c r="M141" s="36">
        <f>IF(I141&gt;0,G141+L141+IF(D141=F141-1,MAX(0,I141-G141*(F141-1)-SUMIF($A$5:$A$328,$A141,$L$5:$L$328)),0),ROUNDUP(G141*POWER(INDEX('建筑总览'!$G$5:$G$25,MATCH($A141,'建筑总览'!$A$5:$A$25,0)),D141),0))</f>
        <v/>
      </c>
      <c r="N141" s="35">
        <f>M141/'参数与公式'!$B$21</f>
        <v/>
      </c>
      <c r="O141" s="36">
        <f>INDEX('建筑建议总览'!$P$5:$P$25,MATCH($A141,'建筑建议总览'!$A$5:$A$25,0))</f>
        <v/>
      </c>
      <c r="P141" s="36">
        <f>INDEX('建筑建议总览'!$Q$5:$Q$25,MATCH($A141,'建筑建议总览'!$A$5:$A$25,0))</f>
        <v/>
      </c>
      <c r="Q141" s="44">
        <f>INDEX('建筑建议总览'!$R$5:$R$25,MATCH($A141,'建筑建议总览'!$A$5:$A$25,0))</f>
        <v/>
      </c>
      <c r="R141" s="36">
        <f>INDEX('建筑建议总览'!$S$5:$S$25,MATCH($A141,'建筑建议总览'!$A$5:$A$25,0))</f>
        <v/>
      </c>
      <c r="S141" s="36">
        <f>INDEX('建筑建议总览'!$T$5:$T$25,MATCH($A141,'建筑建议总览'!$A$5:$A$25,0))</f>
        <v/>
      </c>
      <c r="T141" s="44">
        <f>POWER(Q141,D141-1)</f>
        <v/>
      </c>
      <c r="U141" s="44">
        <f>SUMIF($A$5:$A$328,$A141,$T$5:$T$328)</f>
        <v/>
      </c>
      <c r="V141" s="36">
        <f>IF(R141&gt;0,ROUNDDOWN(MAX(0,R141-O141*(F141-1))*T141/U141,0),0)</f>
        <v/>
      </c>
      <c r="W141" s="36">
        <f>IF(S141&gt;0,ROUNDDOWN(MAX(0,S141-P141*(F141-1))*T141/U141,0),0)</f>
        <v/>
      </c>
      <c r="X141" s="36">
        <f>IF(R141&gt;0,O141+V141+IF(D141=F141-1,MAX(0,R141-O141*(F141-1)-SUMIF($A$5:$A$328,$A141,$V$5:$V$328)),0),ROUNDUP(O141*POWER(INDEX('建筑总览'!$J$5:$J$25,MATCH($A141,'建筑总览'!$A$5:$A$25,0)),D141),0))</f>
        <v/>
      </c>
      <c r="Y141" s="36">
        <f>IF(P141=0,0,IF(S141&gt;0,P141+W141+IF(D141=F141-1,MAX(0,S141-P141*(F141-1)-SUMIF($A$5:$A$328,$A141,$W$5:$W$328)),0),ROUNDUP(P141*POWER(INDEX('建筑总览'!$J$5:$J$25,MATCH($A141,'建筑总览'!$A$5:$A$25,0)),D141),0)))</f>
        <v/>
      </c>
      <c r="Z141" s="36">
        <f>IF(X141=0,0,MAX(1,ROUNDUP(X141*(1-'参数与公式'!$B$17),0)))</f>
        <v/>
      </c>
      <c r="AA141" s="36">
        <f>IF(Y141=0,0,MAX(1,ROUNDUP(Y141*(1-'参数与公式'!$B$17),0)))</f>
        <v/>
      </c>
      <c r="AB141" s="33" t="inlineStr">
        <is>
          <t>预算模式末级补足余数；旧模式按指数公式</t>
        </is>
      </c>
      <c r="AC141" s="49">
        <f>IF(A141=A140,IFERROR(M141/M140,""),"")</f>
        <v/>
      </c>
      <c r="AD141" s="49">
        <f>IF(AND(A141=A140,X140&gt;0),X141/X140,"")</f>
        <v/>
      </c>
    </row>
    <row r="142" ht="30" customHeight="1">
      <c r="A142" s="33" t="inlineStr">
        <is>
          <t>silver_vault</t>
        </is>
      </c>
      <c r="B142" s="33" t="inlineStr">
        <is>
          <t>银库</t>
        </is>
      </c>
      <c r="C142" s="33" t="inlineStr">
        <is>
          <t>仓储设施</t>
        </is>
      </c>
      <c r="D142" s="43" t="n">
        <v>3</v>
      </c>
      <c r="E142" s="36">
        <f>D142+1</f>
        <v/>
      </c>
      <c r="F142" s="43" t="n">
        <v>30</v>
      </c>
      <c r="G142" s="36">
        <f>INDEX('建筑建议总览'!$H$5:$H$25,MATCH($A142,'建筑建议总览'!$A$5:$A$25,0))</f>
        <v/>
      </c>
      <c r="H142" s="44">
        <f>INDEX('建筑建议总览'!$I$5:$I$25,MATCH($A142,'建筑建议总览'!$A$5:$A$25,0))</f>
        <v/>
      </c>
      <c r="I142" s="36">
        <f>INDEX('建筑建议总览'!$J$5:$J$25,MATCH($A142,'建筑建议总览'!$A$5:$A$25,0))</f>
        <v/>
      </c>
      <c r="J142" s="44">
        <f>POWER(H142,D142-1)</f>
        <v/>
      </c>
      <c r="K142" s="44">
        <f>SUMIF($A$5:$A$328,$A142,$J$5:$J$328)</f>
        <v/>
      </c>
      <c r="L142" s="36">
        <f>IF(I142&gt;0,ROUNDDOWN(MAX(0,I142-G142*(F142-1))*J142/K142,0),0)</f>
        <v/>
      </c>
      <c r="M142" s="36">
        <f>IF(I142&gt;0,G142+L142+IF(D142=F142-1,MAX(0,I142-G142*(F142-1)-SUMIF($A$5:$A$328,$A142,$L$5:$L$328)),0),ROUNDUP(G142*POWER(INDEX('建筑总览'!$G$5:$G$25,MATCH($A142,'建筑总览'!$A$5:$A$25,0)),D142),0))</f>
        <v/>
      </c>
      <c r="N142" s="35">
        <f>M142/'参数与公式'!$B$21</f>
        <v/>
      </c>
      <c r="O142" s="36">
        <f>INDEX('建筑建议总览'!$P$5:$P$25,MATCH($A142,'建筑建议总览'!$A$5:$A$25,0))</f>
        <v/>
      </c>
      <c r="P142" s="36">
        <f>INDEX('建筑建议总览'!$Q$5:$Q$25,MATCH($A142,'建筑建议总览'!$A$5:$A$25,0))</f>
        <v/>
      </c>
      <c r="Q142" s="44">
        <f>INDEX('建筑建议总览'!$R$5:$R$25,MATCH($A142,'建筑建议总览'!$A$5:$A$25,0))</f>
        <v/>
      </c>
      <c r="R142" s="36">
        <f>INDEX('建筑建议总览'!$S$5:$S$25,MATCH($A142,'建筑建议总览'!$A$5:$A$25,0))</f>
        <v/>
      </c>
      <c r="S142" s="36">
        <f>INDEX('建筑建议总览'!$T$5:$T$25,MATCH($A142,'建筑建议总览'!$A$5:$A$25,0))</f>
        <v/>
      </c>
      <c r="T142" s="44">
        <f>POWER(Q142,D142-1)</f>
        <v/>
      </c>
      <c r="U142" s="44">
        <f>SUMIF($A$5:$A$328,$A142,$T$5:$T$328)</f>
        <v/>
      </c>
      <c r="V142" s="36">
        <f>IF(R142&gt;0,ROUNDDOWN(MAX(0,R142-O142*(F142-1))*T142/U142,0),0)</f>
        <v/>
      </c>
      <c r="W142" s="36">
        <f>IF(S142&gt;0,ROUNDDOWN(MAX(0,S142-P142*(F142-1))*T142/U142,0),0)</f>
        <v/>
      </c>
      <c r="X142" s="36">
        <f>IF(R142&gt;0,O142+V142+IF(D142=F142-1,MAX(0,R142-O142*(F142-1)-SUMIF($A$5:$A$328,$A142,$V$5:$V$328)),0),ROUNDUP(O142*POWER(INDEX('建筑总览'!$J$5:$J$25,MATCH($A142,'建筑总览'!$A$5:$A$25,0)),D142),0))</f>
        <v/>
      </c>
      <c r="Y142" s="36">
        <f>IF(P142=0,0,IF(S142&gt;0,P142+W142+IF(D142=F142-1,MAX(0,S142-P142*(F142-1)-SUMIF($A$5:$A$328,$A142,$W$5:$W$328)),0),ROUNDUP(P142*POWER(INDEX('建筑总览'!$J$5:$J$25,MATCH($A142,'建筑总览'!$A$5:$A$25,0)),D142),0)))</f>
        <v/>
      </c>
      <c r="Z142" s="36">
        <f>IF(X142=0,0,MAX(1,ROUNDUP(X142*(1-'参数与公式'!$B$17),0)))</f>
        <v/>
      </c>
      <c r="AA142" s="36">
        <f>IF(Y142=0,0,MAX(1,ROUNDUP(Y142*(1-'参数与公式'!$B$17),0)))</f>
        <v/>
      </c>
      <c r="AB142" s="33" t="inlineStr">
        <is>
          <t>预算模式末级补足余数；旧模式按指数公式</t>
        </is>
      </c>
      <c r="AC142" s="49">
        <f>IF(A142=A141,IFERROR(M142/M141,""),"")</f>
        <v/>
      </c>
      <c r="AD142" s="49">
        <f>IF(AND(A142=A141,X141&gt;0),X142/X141,"")</f>
        <v/>
      </c>
    </row>
    <row r="143" ht="30" customHeight="1">
      <c r="A143" s="33" t="inlineStr">
        <is>
          <t>silver_vault</t>
        </is>
      </c>
      <c r="B143" s="33" t="inlineStr">
        <is>
          <t>银库</t>
        </is>
      </c>
      <c r="C143" s="33" t="inlineStr">
        <is>
          <t>仓储设施</t>
        </is>
      </c>
      <c r="D143" s="43" t="n">
        <v>4</v>
      </c>
      <c r="E143" s="36">
        <f>D143+1</f>
        <v/>
      </c>
      <c r="F143" s="43" t="n">
        <v>30</v>
      </c>
      <c r="G143" s="36">
        <f>INDEX('建筑建议总览'!$H$5:$H$25,MATCH($A143,'建筑建议总览'!$A$5:$A$25,0))</f>
        <v/>
      </c>
      <c r="H143" s="44">
        <f>INDEX('建筑建议总览'!$I$5:$I$25,MATCH($A143,'建筑建议总览'!$A$5:$A$25,0))</f>
        <v/>
      </c>
      <c r="I143" s="36">
        <f>INDEX('建筑建议总览'!$J$5:$J$25,MATCH($A143,'建筑建议总览'!$A$5:$A$25,0))</f>
        <v/>
      </c>
      <c r="J143" s="44">
        <f>POWER(H143,D143-1)</f>
        <v/>
      </c>
      <c r="K143" s="44">
        <f>SUMIF($A$5:$A$328,$A143,$J$5:$J$328)</f>
        <v/>
      </c>
      <c r="L143" s="36">
        <f>IF(I143&gt;0,ROUNDDOWN(MAX(0,I143-G143*(F143-1))*J143/K143,0),0)</f>
        <v/>
      </c>
      <c r="M143" s="36">
        <f>IF(I143&gt;0,G143+L143+IF(D143=F143-1,MAX(0,I143-G143*(F143-1)-SUMIF($A$5:$A$328,$A143,$L$5:$L$328)),0),ROUNDUP(G143*POWER(INDEX('建筑总览'!$G$5:$G$25,MATCH($A143,'建筑总览'!$A$5:$A$25,0)),D143),0))</f>
        <v/>
      </c>
      <c r="N143" s="35">
        <f>M143/'参数与公式'!$B$21</f>
        <v/>
      </c>
      <c r="O143" s="36">
        <f>INDEX('建筑建议总览'!$P$5:$P$25,MATCH($A143,'建筑建议总览'!$A$5:$A$25,0))</f>
        <v/>
      </c>
      <c r="P143" s="36">
        <f>INDEX('建筑建议总览'!$Q$5:$Q$25,MATCH($A143,'建筑建议总览'!$A$5:$A$25,0))</f>
        <v/>
      </c>
      <c r="Q143" s="44">
        <f>INDEX('建筑建议总览'!$R$5:$R$25,MATCH($A143,'建筑建议总览'!$A$5:$A$25,0))</f>
        <v/>
      </c>
      <c r="R143" s="36">
        <f>INDEX('建筑建议总览'!$S$5:$S$25,MATCH($A143,'建筑建议总览'!$A$5:$A$25,0))</f>
        <v/>
      </c>
      <c r="S143" s="36">
        <f>INDEX('建筑建议总览'!$T$5:$T$25,MATCH($A143,'建筑建议总览'!$A$5:$A$25,0))</f>
        <v/>
      </c>
      <c r="T143" s="44">
        <f>POWER(Q143,D143-1)</f>
        <v/>
      </c>
      <c r="U143" s="44">
        <f>SUMIF($A$5:$A$328,$A143,$T$5:$T$328)</f>
        <v/>
      </c>
      <c r="V143" s="36">
        <f>IF(R143&gt;0,ROUNDDOWN(MAX(0,R143-O143*(F143-1))*T143/U143,0),0)</f>
        <v/>
      </c>
      <c r="W143" s="36">
        <f>IF(S143&gt;0,ROUNDDOWN(MAX(0,S143-P143*(F143-1))*T143/U143,0),0)</f>
        <v/>
      </c>
      <c r="X143" s="36">
        <f>IF(R143&gt;0,O143+V143+IF(D143=F143-1,MAX(0,R143-O143*(F143-1)-SUMIF($A$5:$A$328,$A143,$V$5:$V$328)),0),ROUNDUP(O143*POWER(INDEX('建筑总览'!$J$5:$J$25,MATCH($A143,'建筑总览'!$A$5:$A$25,0)),D143),0))</f>
        <v/>
      </c>
      <c r="Y143" s="36">
        <f>IF(P143=0,0,IF(S143&gt;0,P143+W143+IF(D143=F143-1,MAX(0,S143-P143*(F143-1)-SUMIF($A$5:$A$328,$A143,$W$5:$W$328)),0),ROUNDUP(P143*POWER(INDEX('建筑总览'!$J$5:$J$25,MATCH($A143,'建筑总览'!$A$5:$A$25,0)),D143),0)))</f>
        <v/>
      </c>
      <c r="Z143" s="36">
        <f>IF(X143=0,0,MAX(1,ROUNDUP(X143*(1-'参数与公式'!$B$17),0)))</f>
        <v/>
      </c>
      <c r="AA143" s="36">
        <f>IF(Y143=0,0,MAX(1,ROUNDUP(Y143*(1-'参数与公式'!$B$17),0)))</f>
        <v/>
      </c>
      <c r="AB143" s="33" t="inlineStr">
        <is>
          <t>预算模式末级补足余数；旧模式按指数公式</t>
        </is>
      </c>
      <c r="AC143" s="49">
        <f>IF(A143=A142,IFERROR(M143/M142,""),"")</f>
        <v/>
      </c>
      <c r="AD143" s="49">
        <f>IF(AND(A143=A142,X142&gt;0),X143/X142,"")</f>
        <v/>
      </c>
    </row>
    <row r="144" ht="30" customHeight="1">
      <c r="A144" s="33" t="inlineStr">
        <is>
          <t>silver_vault</t>
        </is>
      </c>
      <c r="B144" s="33" t="inlineStr">
        <is>
          <t>银库</t>
        </is>
      </c>
      <c r="C144" s="33" t="inlineStr">
        <is>
          <t>仓储设施</t>
        </is>
      </c>
      <c r="D144" s="43" t="n">
        <v>5</v>
      </c>
      <c r="E144" s="36">
        <f>D144+1</f>
        <v/>
      </c>
      <c r="F144" s="43" t="n">
        <v>30</v>
      </c>
      <c r="G144" s="36">
        <f>INDEX('建筑建议总览'!$H$5:$H$25,MATCH($A144,'建筑建议总览'!$A$5:$A$25,0))</f>
        <v/>
      </c>
      <c r="H144" s="44">
        <f>INDEX('建筑建议总览'!$I$5:$I$25,MATCH($A144,'建筑建议总览'!$A$5:$A$25,0))</f>
        <v/>
      </c>
      <c r="I144" s="36">
        <f>INDEX('建筑建议总览'!$J$5:$J$25,MATCH($A144,'建筑建议总览'!$A$5:$A$25,0))</f>
        <v/>
      </c>
      <c r="J144" s="44">
        <f>POWER(H144,D144-1)</f>
        <v/>
      </c>
      <c r="K144" s="44">
        <f>SUMIF($A$5:$A$328,$A144,$J$5:$J$328)</f>
        <v/>
      </c>
      <c r="L144" s="36">
        <f>IF(I144&gt;0,ROUNDDOWN(MAX(0,I144-G144*(F144-1))*J144/K144,0),0)</f>
        <v/>
      </c>
      <c r="M144" s="36">
        <f>IF(I144&gt;0,G144+L144+IF(D144=F144-1,MAX(0,I144-G144*(F144-1)-SUMIF($A$5:$A$328,$A144,$L$5:$L$328)),0),ROUNDUP(G144*POWER(INDEX('建筑总览'!$G$5:$G$25,MATCH($A144,'建筑总览'!$A$5:$A$25,0)),D144),0))</f>
        <v/>
      </c>
      <c r="N144" s="35">
        <f>M144/'参数与公式'!$B$21</f>
        <v/>
      </c>
      <c r="O144" s="36">
        <f>INDEX('建筑建议总览'!$P$5:$P$25,MATCH($A144,'建筑建议总览'!$A$5:$A$25,0))</f>
        <v/>
      </c>
      <c r="P144" s="36">
        <f>INDEX('建筑建议总览'!$Q$5:$Q$25,MATCH($A144,'建筑建议总览'!$A$5:$A$25,0))</f>
        <v/>
      </c>
      <c r="Q144" s="44">
        <f>INDEX('建筑建议总览'!$R$5:$R$25,MATCH($A144,'建筑建议总览'!$A$5:$A$25,0))</f>
        <v/>
      </c>
      <c r="R144" s="36">
        <f>INDEX('建筑建议总览'!$S$5:$S$25,MATCH($A144,'建筑建议总览'!$A$5:$A$25,0))</f>
        <v/>
      </c>
      <c r="S144" s="36">
        <f>INDEX('建筑建议总览'!$T$5:$T$25,MATCH($A144,'建筑建议总览'!$A$5:$A$25,0))</f>
        <v/>
      </c>
      <c r="T144" s="44">
        <f>POWER(Q144,D144-1)</f>
        <v/>
      </c>
      <c r="U144" s="44">
        <f>SUMIF($A$5:$A$328,$A144,$T$5:$T$328)</f>
        <v/>
      </c>
      <c r="V144" s="36">
        <f>IF(R144&gt;0,ROUNDDOWN(MAX(0,R144-O144*(F144-1))*T144/U144,0),0)</f>
        <v/>
      </c>
      <c r="W144" s="36">
        <f>IF(S144&gt;0,ROUNDDOWN(MAX(0,S144-P144*(F144-1))*T144/U144,0),0)</f>
        <v/>
      </c>
      <c r="X144" s="36">
        <f>IF(R144&gt;0,O144+V144+IF(D144=F144-1,MAX(0,R144-O144*(F144-1)-SUMIF($A$5:$A$328,$A144,$V$5:$V$328)),0),ROUNDUP(O144*POWER(INDEX('建筑总览'!$J$5:$J$25,MATCH($A144,'建筑总览'!$A$5:$A$25,0)),D144),0))</f>
        <v/>
      </c>
      <c r="Y144" s="36">
        <f>IF(P144=0,0,IF(S144&gt;0,P144+W144+IF(D144=F144-1,MAX(0,S144-P144*(F144-1)-SUMIF($A$5:$A$328,$A144,$W$5:$W$328)),0),ROUNDUP(P144*POWER(INDEX('建筑总览'!$J$5:$J$25,MATCH($A144,'建筑总览'!$A$5:$A$25,0)),D144),0)))</f>
        <v/>
      </c>
      <c r="Z144" s="36">
        <f>IF(X144=0,0,MAX(1,ROUNDUP(X144*(1-'参数与公式'!$B$17),0)))</f>
        <v/>
      </c>
      <c r="AA144" s="36">
        <f>IF(Y144=0,0,MAX(1,ROUNDUP(Y144*(1-'参数与公式'!$B$17),0)))</f>
        <v/>
      </c>
      <c r="AB144" s="33" t="inlineStr">
        <is>
          <t>预算模式末级补足余数；旧模式按指数公式</t>
        </is>
      </c>
      <c r="AC144" s="49">
        <f>IF(A144=A143,IFERROR(M144/M143,""),"")</f>
        <v/>
      </c>
      <c r="AD144" s="49">
        <f>IF(AND(A144=A143,X143&gt;0),X144/X143,"")</f>
        <v/>
      </c>
    </row>
    <row r="145" ht="30" customHeight="1">
      <c r="A145" s="33" t="inlineStr">
        <is>
          <t>silver_vault</t>
        </is>
      </c>
      <c r="B145" s="33" t="inlineStr">
        <is>
          <t>银库</t>
        </is>
      </c>
      <c r="C145" s="33" t="inlineStr">
        <is>
          <t>仓储设施</t>
        </is>
      </c>
      <c r="D145" s="43" t="n">
        <v>6</v>
      </c>
      <c r="E145" s="36">
        <f>D145+1</f>
        <v/>
      </c>
      <c r="F145" s="43" t="n">
        <v>30</v>
      </c>
      <c r="G145" s="36">
        <f>INDEX('建筑建议总览'!$H$5:$H$25,MATCH($A145,'建筑建议总览'!$A$5:$A$25,0))</f>
        <v/>
      </c>
      <c r="H145" s="44">
        <f>INDEX('建筑建议总览'!$I$5:$I$25,MATCH($A145,'建筑建议总览'!$A$5:$A$25,0))</f>
        <v/>
      </c>
      <c r="I145" s="36">
        <f>INDEX('建筑建议总览'!$J$5:$J$25,MATCH($A145,'建筑建议总览'!$A$5:$A$25,0))</f>
        <v/>
      </c>
      <c r="J145" s="44">
        <f>POWER(H145,D145-1)</f>
        <v/>
      </c>
      <c r="K145" s="44">
        <f>SUMIF($A$5:$A$328,$A145,$J$5:$J$328)</f>
        <v/>
      </c>
      <c r="L145" s="36">
        <f>IF(I145&gt;0,ROUNDDOWN(MAX(0,I145-G145*(F145-1))*J145/K145,0),0)</f>
        <v/>
      </c>
      <c r="M145" s="36">
        <f>IF(I145&gt;0,G145+L145+IF(D145=F145-1,MAX(0,I145-G145*(F145-1)-SUMIF($A$5:$A$328,$A145,$L$5:$L$328)),0),ROUNDUP(G145*POWER(INDEX('建筑总览'!$G$5:$G$25,MATCH($A145,'建筑总览'!$A$5:$A$25,0)),D145),0))</f>
        <v/>
      </c>
      <c r="N145" s="35">
        <f>M145/'参数与公式'!$B$21</f>
        <v/>
      </c>
      <c r="O145" s="36">
        <f>INDEX('建筑建议总览'!$P$5:$P$25,MATCH($A145,'建筑建议总览'!$A$5:$A$25,0))</f>
        <v/>
      </c>
      <c r="P145" s="36">
        <f>INDEX('建筑建议总览'!$Q$5:$Q$25,MATCH($A145,'建筑建议总览'!$A$5:$A$25,0))</f>
        <v/>
      </c>
      <c r="Q145" s="44">
        <f>INDEX('建筑建议总览'!$R$5:$R$25,MATCH($A145,'建筑建议总览'!$A$5:$A$25,0))</f>
        <v/>
      </c>
      <c r="R145" s="36">
        <f>INDEX('建筑建议总览'!$S$5:$S$25,MATCH($A145,'建筑建议总览'!$A$5:$A$25,0))</f>
        <v/>
      </c>
      <c r="S145" s="36">
        <f>INDEX('建筑建议总览'!$T$5:$T$25,MATCH($A145,'建筑建议总览'!$A$5:$A$25,0))</f>
        <v/>
      </c>
      <c r="T145" s="44">
        <f>POWER(Q145,D145-1)</f>
        <v/>
      </c>
      <c r="U145" s="44">
        <f>SUMIF($A$5:$A$328,$A145,$T$5:$T$328)</f>
        <v/>
      </c>
      <c r="V145" s="36">
        <f>IF(R145&gt;0,ROUNDDOWN(MAX(0,R145-O145*(F145-1))*T145/U145,0),0)</f>
        <v/>
      </c>
      <c r="W145" s="36">
        <f>IF(S145&gt;0,ROUNDDOWN(MAX(0,S145-P145*(F145-1))*T145/U145,0),0)</f>
        <v/>
      </c>
      <c r="X145" s="36">
        <f>IF(R145&gt;0,O145+V145+IF(D145=F145-1,MAX(0,R145-O145*(F145-1)-SUMIF($A$5:$A$328,$A145,$V$5:$V$328)),0),ROUNDUP(O145*POWER(INDEX('建筑总览'!$J$5:$J$25,MATCH($A145,'建筑总览'!$A$5:$A$25,0)),D145),0))</f>
        <v/>
      </c>
      <c r="Y145" s="36">
        <f>IF(P145=0,0,IF(S145&gt;0,P145+W145+IF(D145=F145-1,MAX(0,S145-P145*(F145-1)-SUMIF($A$5:$A$328,$A145,$W$5:$W$328)),0),ROUNDUP(P145*POWER(INDEX('建筑总览'!$J$5:$J$25,MATCH($A145,'建筑总览'!$A$5:$A$25,0)),D145),0)))</f>
        <v/>
      </c>
      <c r="Z145" s="36">
        <f>IF(X145=0,0,MAX(1,ROUNDUP(X145*(1-'参数与公式'!$B$17),0)))</f>
        <v/>
      </c>
      <c r="AA145" s="36">
        <f>IF(Y145=0,0,MAX(1,ROUNDUP(Y145*(1-'参数与公式'!$B$17),0)))</f>
        <v/>
      </c>
      <c r="AB145" s="33" t="inlineStr">
        <is>
          <t>预算模式末级补足余数；旧模式按指数公式</t>
        </is>
      </c>
      <c r="AC145" s="49">
        <f>IF(A145=A144,IFERROR(M145/M144,""),"")</f>
        <v/>
      </c>
      <c r="AD145" s="49">
        <f>IF(AND(A145=A144,X144&gt;0),X145/X144,"")</f>
        <v/>
      </c>
    </row>
    <row r="146" ht="30" customHeight="1">
      <c r="A146" s="33" t="inlineStr">
        <is>
          <t>silver_vault</t>
        </is>
      </c>
      <c r="B146" s="33" t="inlineStr">
        <is>
          <t>银库</t>
        </is>
      </c>
      <c r="C146" s="33" t="inlineStr">
        <is>
          <t>仓储设施</t>
        </is>
      </c>
      <c r="D146" s="43" t="n">
        <v>7</v>
      </c>
      <c r="E146" s="36">
        <f>D146+1</f>
        <v/>
      </c>
      <c r="F146" s="43" t="n">
        <v>30</v>
      </c>
      <c r="G146" s="36">
        <f>INDEX('建筑建议总览'!$H$5:$H$25,MATCH($A146,'建筑建议总览'!$A$5:$A$25,0))</f>
        <v/>
      </c>
      <c r="H146" s="44">
        <f>INDEX('建筑建议总览'!$I$5:$I$25,MATCH($A146,'建筑建议总览'!$A$5:$A$25,0))</f>
        <v/>
      </c>
      <c r="I146" s="36">
        <f>INDEX('建筑建议总览'!$J$5:$J$25,MATCH($A146,'建筑建议总览'!$A$5:$A$25,0))</f>
        <v/>
      </c>
      <c r="J146" s="44">
        <f>POWER(H146,D146-1)</f>
        <v/>
      </c>
      <c r="K146" s="44">
        <f>SUMIF($A$5:$A$328,$A146,$J$5:$J$328)</f>
        <v/>
      </c>
      <c r="L146" s="36">
        <f>IF(I146&gt;0,ROUNDDOWN(MAX(0,I146-G146*(F146-1))*J146/K146,0),0)</f>
        <v/>
      </c>
      <c r="M146" s="36">
        <f>IF(I146&gt;0,G146+L146+IF(D146=F146-1,MAX(0,I146-G146*(F146-1)-SUMIF($A$5:$A$328,$A146,$L$5:$L$328)),0),ROUNDUP(G146*POWER(INDEX('建筑总览'!$G$5:$G$25,MATCH($A146,'建筑总览'!$A$5:$A$25,0)),D146),0))</f>
        <v/>
      </c>
      <c r="N146" s="35">
        <f>M146/'参数与公式'!$B$21</f>
        <v/>
      </c>
      <c r="O146" s="36">
        <f>INDEX('建筑建议总览'!$P$5:$P$25,MATCH($A146,'建筑建议总览'!$A$5:$A$25,0))</f>
        <v/>
      </c>
      <c r="P146" s="36">
        <f>INDEX('建筑建议总览'!$Q$5:$Q$25,MATCH($A146,'建筑建议总览'!$A$5:$A$25,0))</f>
        <v/>
      </c>
      <c r="Q146" s="44">
        <f>INDEX('建筑建议总览'!$R$5:$R$25,MATCH($A146,'建筑建议总览'!$A$5:$A$25,0))</f>
        <v/>
      </c>
      <c r="R146" s="36">
        <f>INDEX('建筑建议总览'!$S$5:$S$25,MATCH($A146,'建筑建议总览'!$A$5:$A$25,0))</f>
        <v/>
      </c>
      <c r="S146" s="36">
        <f>INDEX('建筑建议总览'!$T$5:$T$25,MATCH($A146,'建筑建议总览'!$A$5:$A$25,0))</f>
        <v/>
      </c>
      <c r="T146" s="44">
        <f>POWER(Q146,D146-1)</f>
        <v/>
      </c>
      <c r="U146" s="44">
        <f>SUMIF($A$5:$A$328,$A146,$T$5:$T$328)</f>
        <v/>
      </c>
      <c r="V146" s="36">
        <f>IF(R146&gt;0,ROUNDDOWN(MAX(0,R146-O146*(F146-1))*T146/U146,0),0)</f>
        <v/>
      </c>
      <c r="W146" s="36">
        <f>IF(S146&gt;0,ROUNDDOWN(MAX(0,S146-P146*(F146-1))*T146/U146,0),0)</f>
        <v/>
      </c>
      <c r="X146" s="36">
        <f>IF(R146&gt;0,O146+V146+IF(D146=F146-1,MAX(0,R146-O146*(F146-1)-SUMIF($A$5:$A$328,$A146,$V$5:$V$328)),0),ROUNDUP(O146*POWER(INDEX('建筑总览'!$J$5:$J$25,MATCH($A146,'建筑总览'!$A$5:$A$25,0)),D146),0))</f>
        <v/>
      </c>
      <c r="Y146" s="36">
        <f>IF(P146=0,0,IF(S146&gt;0,P146+W146+IF(D146=F146-1,MAX(0,S146-P146*(F146-1)-SUMIF($A$5:$A$328,$A146,$W$5:$W$328)),0),ROUNDUP(P146*POWER(INDEX('建筑总览'!$J$5:$J$25,MATCH($A146,'建筑总览'!$A$5:$A$25,0)),D146),0)))</f>
        <v/>
      </c>
      <c r="Z146" s="36">
        <f>IF(X146=0,0,MAX(1,ROUNDUP(X146*(1-'参数与公式'!$B$17),0)))</f>
        <v/>
      </c>
      <c r="AA146" s="36">
        <f>IF(Y146=0,0,MAX(1,ROUNDUP(Y146*(1-'参数与公式'!$B$17),0)))</f>
        <v/>
      </c>
      <c r="AB146" s="33" t="inlineStr">
        <is>
          <t>预算模式末级补足余数；旧模式按指数公式</t>
        </is>
      </c>
      <c r="AC146" s="49">
        <f>IF(A146=A145,IFERROR(M146/M145,""),"")</f>
        <v/>
      </c>
      <c r="AD146" s="49">
        <f>IF(AND(A146=A145,X145&gt;0),X146/X145,"")</f>
        <v/>
      </c>
    </row>
    <row r="147" ht="30" customHeight="1">
      <c r="A147" s="33" t="inlineStr">
        <is>
          <t>silver_vault</t>
        </is>
      </c>
      <c r="B147" s="33" t="inlineStr">
        <is>
          <t>银库</t>
        </is>
      </c>
      <c r="C147" s="33" t="inlineStr">
        <is>
          <t>仓储设施</t>
        </is>
      </c>
      <c r="D147" s="43" t="n">
        <v>8</v>
      </c>
      <c r="E147" s="36">
        <f>D147+1</f>
        <v/>
      </c>
      <c r="F147" s="43" t="n">
        <v>30</v>
      </c>
      <c r="G147" s="36">
        <f>INDEX('建筑建议总览'!$H$5:$H$25,MATCH($A147,'建筑建议总览'!$A$5:$A$25,0))</f>
        <v/>
      </c>
      <c r="H147" s="44">
        <f>INDEX('建筑建议总览'!$I$5:$I$25,MATCH($A147,'建筑建议总览'!$A$5:$A$25,0))</f>
        <v/>
      </c>
      <c r="I147" s="36">
        <f>INDEX('建筑建议总览'!$J$5:$J$25,MATCH($A147,'建筑建议总览'!$A$5:$A$25,0))</f>
        <v/>
      </c>
      <c r="J147" s="44">
        <f>POWER(H147,D147-1)</f>
        <v/>
      </c>
      <c r="K147" s="44">
        <f>SUMIF($A$5:$A$328,$A147,$J$5:$J$328)</f>
        <v/>
      </c>
      <c r="L147" s="36">
        <f>IF(I147&gt;0,ROUNDDOWN(MAX(0,I147-G147*(F147-1))*J147/K147,0),0)</f>
        <v/>
      </c>
      <c r="M147" s="36">
        <f>IF(I147&gt;0,G147+L147+IF(D147=F147-1,MAX(0,I147-G147*(F147-1)-SUMIF($A$5:$A$328,$A147,$L$5:$L$328)),0),ROUNDUP(G147*POWER(INDEX('建筑总览'!$G$5:$G$25,MATCH($A147,'建筑总览'!$A$5:$A$25,0)),D147),0))</f>
        <v/>
      </c>
      <c r="N147" s="35">
        <f>M147/'参数与公式'!$B$21</f>
        <v/>
      </c>
      <c r="O147" s="36">
        <f>INDEX('建筑建议总览'!$P$5:$P$25,MATCH($A147,'建筑建议总览'!$A$5:$A$25,0))</f>
        <v/>
      </c>
      <c r="P147" s="36">
        <f>INDEX('建筑建议总览'!$Q$5:$Q$25,MATCH($A147,'建筑建议总览'!$A$5:$A$25,0))</f>
        <v/>
      </c>
      <c r="Q147" s="44">
        <f>INDEX('建筑建议总览'!$R$5:$R$25,MATCH($A147,'建筑建议总览'!$A$5:$A$25,0))</f>
        <v/>
      </c>
      <c r="R147" s="36">
        <f>INDEX('建筑建议总览'!$S$5:$S$25,MATCH($A147,'建筑建议总览'!$A$5:$A$25,0))</f>
        <v/>
      </c>
      <c r="S147" s="36">
        <f>INDEX('建筑建议总览'!$T$5:$T$25,MATCH($A147,'建筑建议总览'!$A$5:$A$25,0))</f>
        <v/>
      </c>
      <c r="T147" s="44">
        <f>POWER(Q147,D147-1)</f>
        <v/>
      </c>
      <c r="U147" s="44">
        <f>SUMIF($A$5:$A$328,$A147,$T$5:$T$328)</f>
        <v/>
      </c>
      <c r="V147" s="36">
        <f>IF(R147&gt;0,ROUNDDOWN(MAX(0,R147-O147*(F147-1))*T147/U147,0),0)</f>
        <v/>
      </c>
      <c r="W147" s="36">
        <f>IF(S147&gt;0,ROUNDDOWN(MAX(0,S147-P147*(F147-1))*T147/U147,0),0)</f>
        <v/>
      </c>
      <c r="X147" s="36">
        <f>IF(R147&gt;0,O147+V147+IF(D147=F147-1,MAX(0,R147-O147*(F147-1)-SUMIF($A$5:$A$328,$A147,$V$5:$V$328)),0),ROUNDUP(O147*POWER(INDEX('建筑总览'!$J$5:$J$25,MATCH($A147,'建筑总览'!$A$5:$A$25,0)),D147),0))</f>
        <v/>
      </c>
      <c r="Y147" s="36">
        <f>IF(P147=0,0,IF(S147&gt;0,P147+W147+IF(D147=F147-1,MAX(0,S147-P147*(F147-1)-SUMIF($A$5:$A$328,$A147,$W$5:$W$328)),0),ROUNDUP(P147*POWER(INDEX('建筑总览'!$J$5:$J$25,MATCH($A147,'建筑总览'!$A$5:$A$25,0)),D147),0)))</f>
        <v/>
      </c>
      <c r="Z147" s="36">
        <f>IF(X147=0,0,MAX(1,ROUNDUP(X147*(1-'参数与公式'!$B$17),0)))</f>
        <v/>
      </c>
      <c r="AA147" s="36">
        <f>IF(Y147=0,0,MAX(1,ROUNDUP(Y147*(1-'参数与公式'!$B$17),0)))</f>
        <v/>
      </c>
      <c r="AB147" s="33" t="inlineStr">
        <is>
          <t>预算模式末级补足余数；旧模式按指数公式</t>
        </is>
      </c>
      <c r="AC147" s="49">
        <f>IF(A147=A146,IFERROR(M147/M146,""),"")</f>
        <v/>
      </c>
      <c r="AD147" s="49">
        <f>IF(AND(A147=A146,X146&gt;0),X147/X146,"")</f>
        <v/>
      </c>
    </row>
    <row r="148" ht="30" customHeight="1">
      <c r="A148" s="33" t="inlineStr">
        <is>
          <t>silver_vault</t>
        </is>
      </c>
      <c r="B148" s="33" t="inlineStr">
        <is>
          <t>银库</t>
        </is>
      </c>
      <c r="C148" s="33" t="inlineStr">
        <is>
          <t>仓储设施</t>
        </is>
      </c>
      <c r="D148" s="43" t="n">
        <v>9</v>
      </c>
      <c r="E148" s="36">
        <f>D148+1</f>
        <v/>
      </c>
      <c r="F148" s="43" t="n">
        <v>30</v>
      </c>
      <c r="G148" s="36">
        <f>INDEX('建筑建议总览'!$H$5:$H$25,MATCH($A148,'建筑建议总览'!$A$5:$A$25,0))</f>
        <v/>
      </c>
      <c r="H148" s="44">
        <f>INDEX('建筑建议总览'!$I$5:$I$25,MATCH($A148,'建筑建议总览'!$A$5:$A$25,0))</f>
        <v/>
      </c>
      <c r="I148" s="36">
        <f>INDEX('建筑建议总览'!$J$5:$J$25,MATCH($A148,'建筑建议总览'!$A$5:$A$25,0))</f>
        <v/>
      </c>
      <c r="J148" s="44">
        <f>POWER(H148,D148-1)</f>
        <v/>
      </c>
      <c r="K148" s="44">
        <f>SUMIF($A$5:$A$328,$A148,$J$5:$J$328)</f>
        <v/>
      </c>
      <c r="L148" s="36">
        <f>IF(I148&gt;0,ROUNDDOWN(MAX(0,I148-G148*(F148-1))*J148/K148,0),0)</f>
        <v/>
      </c>
      <c r="M148" s="36">
        <f>IF(I148&gt;0,G148+L148+IF(D148=F148-1,MAX(0,I148-G148*(F148-1)-SUMIF($A$5:$A$328,$A148,$L$5:$L$328)),0),ROUNDUP(G148*POWER(INDEX('建筑总览'!$G$5:$G$25,MATCH($A148,'建筑总览'!$A$5:$A$25,0)),D148),0))</f>
        <v/>
      </c>
      <c r="N148" s="35">
        <f>M148/'参数与公式'!$B$21</f>
        <v/>
      </c>
      <c r="O148" s="36">
        <f>INDEX('建筑建议总览'!$P$5:$P$25,MATCH($A148,'建筑建议总览'!$A$5:$A$25,0))</f>
        <v/>
      </c>
      <c r="P148" s="36">
        <f>INDEX('建筑建议总览'!$Q$5:$Q$25,MATCH($A148,'建筑建议总览'!$A$5:$A$25,0))</f>
        <v/>
      </c>
      <c r="Q148" s="44">
        <f>INDEX('建筑建议总览'!$R$5:$R$25,MATCH($A148,'建筑建议总览'!$A$5:$A$25,0))</f>
        <v/>
      </c>
      <c r="R148" s="36">
        <f>INDEX('建筑建议总览'!$S$5:$S$25,MATCH($A148,'建筑建议总览'!$A$5:$A$25,0))</f>
        <v/>
      </c>
      <c r="S148" s="36">
        <f>INDEX('建筑建议总览'!$T$5:$T$25,MATCH($A148,'建筑建议总览'!$A$5:$A$25,0))</f>
        <v/>
      </c>
      <c r="T148" s="44">
        <f>POWER(Q148,D148-1)</f>
        <v/>
      </c>
      <c r="U148" s="44">
        <f>SUMIF($A$5:$A$328,$A148,$T$5:$T$328)</f>
        <v/>
      </c>
      <c r="V148" s="36">
        <f>IF(R148&gt;0,ROUNDDOWN(MAX(0,R148-O148*(F148-1))*T148/U148,0),0)</f>
        <v/>
      </c>
      <c r="W148" s="36">
        <f>IF(S148&gt;0,ROUNDDOWN(MAX(0,S148-P148*(F148-1))*T148/U148,0),0)</f>
        <v/>
      </c>
      <c r="X148" s="36">
        <f>IF(R148&gt;0,O148+V148+IF(D148=F148-1,MAX(0,R148-O148*(F148-1)-SUMIF($A$5:$A$328,$A148,$V$5:$V$328)),0),ROUNDUP(O148*POWER(INDEX('建筑总览'!$J$5:$J$25,MATCH($A148,'建筑总览'!$A$5:$A$25,0)),D148),0))</f>
        <v/>
      </c>
      <c r="Y148" s="36">
        <f>IF(P148=0,0,IF(S148&gt;0,P148+W148+IF(D148=F148-1,MAX(0,S148-P148*(F148-1)-SUMIF($A$5:$A$328,$A148,$W$5:$W$328)),0),ROUNDUP(P148*POWER(INDEX('建筑总览'!$J$5:$J$25,MATCH($A148,'建筑总览'!$A$5:$A$25,0)),D148),0)))</f>
        <v/>
      </c>
      <c r="Z148" s="36">
        <f>IF(X148=0,0,MAX(1,ROUNDUP(X148*(1-'参数与公式'!$B$17),0)))</f>
        <v/>
      </c>
      <c r="AA148" s="36">
        <f>IF(Y148=0,0,MAX(1,ROUNDUP(Y148*(1-'参数与公式'!$B$17),0)))</f>
        <v/>
      </c>
      <c r="AB148" s="33" t="inlineStr">
        <is>
          <t>预算模式末级补足余数；旧模式按指数公式</t>
        </is>
      </c>
      <c r="AC148" s="49">
        <f>IF(A148=A147,IFERROR(M148/M147,""),"")</f>
        <v/>
      </c>
      <c r="AD148" s="49">
        <f>IF(AND(A148=A147,X147&gt;0),X148/X147,"")</f>
        <v/>
      </c>
    </row>
    <row r="149" ht="30" customHeight="1">
      <c r="A149" s="33" t="inlineStr">
        <is>
          <t>silver_vault</t>
        </is>
      </c>
      <c r="B149" s="33" t="inlineStr">
        <is>
          <t>银库</t>
        </is>
      </c>
      <c r="C149" s="33" t="inlineStr">
        <is>
          <t>仓储设施</t>
        </is>
      </c>
      <c r="D149" s="43" t="n">
        <v>10</v>
      </c>
      <c r="E149" s="36">
        <f>D149+1</f>
        <v/>
      </c>
      <c r="F149" s="43" t="n">
        <v>30</v>
      </c>
      <c r="G149" s="36">
        <f>INDEX('建筑建议总览'!$H$5:$H$25,MATCH($A149,'建筑建议总览'!$A$5:$A$25,0))</f>
        <v/>
      </c>
      <c r="H149" s="44">
        <f>INDEX('建筑建议总览'!$I$5:$I$25,MATCH($A149,'建筑建议总览'!$A$5:$A$25,0))</f>
        <v/>
      </c>
      <c r="I149" s="36">
        <f>INDEX('建筑建议总览'!$J$5:$J$25,MATCH($A149,'建筑建议总览'!$A$5:$A$25,0))</f>
        <v/>
      </c>
      <c r="J149" s="44">
        <f>POWER(H149,D149-1)</f>
        <v/>
      </c>
      <c r="K149" s="44">
        <f>SUMIF($A$5:$A$328,$A149,$J$5:$J$328)</f>
        <v/>
      </c>
      <c r="L149" s="36">
        <f>IF(I149&gt;0,ROUNDDOWN(MAX(0,I149-G149*(F149-1))*J149/K149,0),0)</f>
        <v/>
      </c>
      <c r="M149" s="36">
        <f>IF(I149&gt;0,G149+L149+IF(D149=F149-1,MAX(0,I149-G149*(F149-1)-SUMIF($A$5:$A$328,$A149,$L$5:$L$328)),0),ROUNDUP(G149*POWER(INDEX('建筑总览'!$G$5:$G$25,MATCH($A149,'建筑总览'!$A$5:$A$25,0)),D149),0))</f>
        <v/>
      </c>
      <c r="N149" s="35">
        <f>M149/'参数与公式'!$B$21</f>
        <v/>
      </c>
      <c r="O149" s="36">
        <f>INDEX('建筑建议总览'!$P$5:$P$25,MATCH($A149,'建筑建议总览'!$A$5:$A$25,0))</f>
        <v/>
      </c>
      <c r="P149" s="36">
        <f>INDEX('建筑建议总览'!$Q$5:$Q$25,MATCH($A149,'建筑建议总览'!$A$5:$A$25,0))</f>
        <v/>
      </c>
      <c r="Q149" s="44">
        <f>INDEX('建筑建议总览'!$R$5:$R$25,MATCH($A149,'建筑建议总览'!$A$5:$A$25,0))</f>
        <v/>
      </c>
      <c r="R149" s="36">
        <f>INDEX('建筑建议总览'!$S$5:$S$25,MATCH($A149,'建筑建议总览'!$A$5:$A$25,0))</f>
        <v/>
      </c>
      <c r="S149" s="36">
        <f>INDEX('建筑建议总览'!$T$5:$T$25,MATCH($A149,'建筑建议总览'!$A$5:$A$25,0))</f>
        <v/>
      </c>
      <c r="T149" s="44">
        <f>POWER(Q149,D149-1)</f>
        <v/>
      </c>
      <c r="U149" s="44">
        <f>SUMIF($A$5:$A$328,$A149,$T$5:$T$328)</f>
        <v/>
      </c>
      <c r="V149" s="36">
        <f>IF(R149&gt;0,ROUNDDOWN(MAX(0,R149-O149*(F149-1))*T149/U149,0),0)</f>
        <v/>
      </c>
      <c r="W149" s="36">
        <f>IF(S149&gt;0,ROUNDDOWN(MAX(0,S149-P149*(F149-1))*T149/U149,0),0)</f>
        <v/>
      </c>
      <c r="X149" s="36">
        <f>IF(R149&gt;0,O149+V149+IF(D149=F149-1,MAX(0,R149-O149*(F149-1)-SUMIF($A$5:$A$328,$A149,$V$5:$V$328)),0),ROUNDUP(O149*POWER(INDEX('建筑总览'!$J$5:$J$25,MATCH($A149,'建筑总览'!$A$5:$A$25,0)),D149),0))</f>
        <v/>
      </c>
      <c r="Y149" s="36">
        <f>IF(P149=0,0,IF(S149&gt;0,P149+W149+IF(D149=F149-1,MAX(0,S149-P149*(F149-1)-SUMIF($A$5:$A$328,$A149,$W$5:$W$328)),0),ROUNDUP(P149*POWER(INDEX('建筑总览'!$J$5:$J$25,MATCH($A149,'建筑总览'!$A$5:$A$25,0)),D149),0)))</f>
        <v/>
      </c>
      <c r="Z149" s="36">
        <f>IF(X149=0,0,MAX(1,ROUNDUP(X149*(1-'参数与公式'!$B$17),0)))</f>
        <v/>
      </c>
      <c r="AA149" s="36">
        <f>IF(Y149=0,0,MAX(1,ROUNDUP(Y149*(1-'参数与公式'!$B$17),0)))</f>
        <v/>
      </c>
      <c r="AB149" s="33" t="inlineStr">
        <is>
          <t>预算模式末级补足余数；旧模式按指数公式</t>
        </is>
      </c>
      <c r="AC149" s="49">
        <f>IF(A149=A148,IFERROR(M149/M148,""),"")</f>
        <v/>
      </c>
      <c r="AD149" s="49">
        <f>IF(AND(A149=A148,X148&gt;0),X149/X148,"")</f>
        <v/>
      </c>
    </row>
    <row r="150" ht="30" customHeight="1">
      <c r="A150" s="33" t="inlineStr">
        <is>
          <t>silver_vault</t>
        </is>
      </c>
      <c r="B150" s="33" t="inlineStr">
        <is>
          <t>银库</t>
        </is>
      </c>
      <c r="C150" s="33" t="inlineStr">
        <is>
          <t>仓储设施</t>
        </is>
      </c>
      <c r="D150" s="43" t="n">
        <v>11</v>
      </c>
      <c r="E150" s="36">
        <f>D150+1</f>
        <v/>
      </c>
      <c r="F150" s="43" t="n">
        <v>30</v>
      </c>
      <c r="G150" s="36">
        <f>INDEX('建筑建议总览'!$H$5:$H$25,MATCH($A150,'建筑建议总览'!$A$5:$A$25,0))</f>
        <v/>
      </c>
      <c r="H150" s="44">
        <f>INDEX('建筑建议总览'!$I$5:$I$25,MATCH($A150,'建筑建议总览'!$A$5:$A$25,0))</f>
        <v/>
      </c>
      <c r="I150" s="36">
        <f>INDEX('建筑建议总览'!$J$5:$J$25,MATCH($A150,'建筑建议总览'!$A$5:$A$25,0))</f>
        <v/>
      </c>
      <c r="J150" s="44">
        <f>POWER(H150,D150-1)</f>
        <v/>
      </c>
      <c r="K150" s="44">
        <f>SUMIF($A$5:$A$328,$A150,$J$5:$J$328)</f>
        <v/>
      </c>
      <c r="L150" s="36">
        <f>IF(I150&gt;0,ROUNDDOWN(MAX(0,I150-G150*(F150-1))*J150/K150,0),0)</f>
        <v/>
      </c>
      <c r="M150" s="36">
        <f>IF(I150&gt;0,G150+L150+IF(D150=F150-1,MAX(0,I150-G150*(F150-1)-SUMIF($A$5:$A$328,$A150,$L$5:$L$328)),0),ROUNDUP(G150*POWER(INDEX('建筑总览'!$G$5:$G$25,MATCH($A150,'建筑总览'!$A$5:$A$25,0)),D150),0))</f>
        <v/>
      </c>
      <c r="N150" s="35">
        <f>M150/'参数与公式'!$B$21</f>
        <v/>
      </c>
      <c r="O150" s="36">
        <f>INDEX('建筑建议总览'!$P$5:$P$25,MATCH($A150,'建筑建议总览'!$A$5:$A$25,0))</f>
        <v/>
      </c>
      <c r="P150" s="36">
        <f>INDEX('建筑建议总览'!$Q$5:$Q$25,MATCH($A150,'建筑建议总览'!$A$5:$A$25,0))</f>
        <v/>
      </c>
      <c r="Q150" s="44">
        <f>INDEX('建筑建议总览'!$R$5:$R$25,MATCH($A150,'建筑建议总览'!$A$5:$A$25,0))</f>
        <v/>
      </c>
      <c r="R150" s="36">
        <f>INDEX('建筑建议总览'!$S$5:$S$25,MATCH($A150,'建筑建议总览'!$A$5:$A$25,0))</f>
        <v/>
      </c>
      <c r="S150" s="36">
        <f>INDEX('建筑建议总览'!$T$5:$T$25,MATCH($A150,'建筑建议总览'!$A$5:$A$25,0))</f>
        <v/>
      </c>
      <c r="T150" s="44">
        <f>POWER(Q150,D150-1)</f>
        <v/>
      </c>
      <c r="U150" s="44">
        <f>SUMIF($A$5:$A$328,$A150,$T$5:$T$328)</f>
        <v/>
      </c>
      <c r="V150" s="36">
        <f>IF(R150&gt;0,ROUNDDOWN(MAX(0,R150-O150*(F150-1))*T150/U150,0),0)</f>
        <v/>
      </c>
      <c r="W150" s="36">
        <f>IF(S150&gt;0,ROUNDDOWN(MAX(0,S150-P150*(F150-1))*T150/U150,0),0)</f>
        <v/>
      </c>
      <c r="X150" s="36">
        <f>IF(R150&gt;0,O150+V150+IF(D150=F150-1,MAX(0,R150-O150*(F150-1)-SUMIF($A$5:$A$328,$A150,$V$5:$V$328)),0),ROUNDUP(O150*POWER(INDEX('建筑总览'!$J$5:$J$25,MATCH($A150,'建筑总览'!$A$5:$A$25,0)),D150),0))</f>
        <v/>
      </c>
      <c r="Y150" s="36">
        <f>IF(P150=0,0,IF(S150&gt;0,P150+W150+IF(D150=F150-1,MAX(0,S150-P150*(F150-1)-SUMIF($A$5:$A$328,$A150,$W$5:$W$328)),0),ROUNDUP(P150*POWER(INDEX('建筑总览'!$J$5:$J$25,MATCH($A150,'建筑总览'!$A$5:$A$25,0)),D150),0)))</f>
        <v/>
      </c>
      <c r="Z150" s="36">
        <f>IF(X150=0,0,MAX(1,ROUNDUP(X150*(1-'参数与公式'!$B$17),0)))</f>
        <v/>
      </c>
      <c r="AA150" s="36">
        <f>IF(Y150=0,0,MAX(1,ROUNDUP(Y150*(1-'参数与公式'!$B$17),0)))</f>
        <v/>
      </c>
      <c r="AB150" s="33" t="inlineStr">
        <is>
          <t>预算模式末级补足余数；旧模式按指数公式</t>
        </is>
      </c>
      <c r="AC150" s="49">
        <f>IF(A150=A149,IFERROR(M150/M149,""),"")</f>
        <v/>
      </c>
      <c r="AD150" s="49">
        <f>IF(AND(A150=A149,X149&gt;0),X150/X149,"")</f>
        <v/>
      </c>
    </row>
    <row r="151" ht="30" customHeight="1">
      <c r="A151" s="33" t="inlineStr">
        <is>
          <t>silver_vault</t>
        </is>
      </c>
      <c r="B151" s="33" t="inlineStr">
        <is>
          <t>银库</t>
        </is>
      </c>
      <c r="C151" s="33" t="inlineStr">
        <is>
          <t>仓储设施</t>
        </is>
      </c>
      <c r="D151" s="43" t="n">
        <v>12</v>
      </c>
      <c r="E151" s="36">
        <f>D151+1</f>
        <v/>
      </c>
      <c r="F151" s="43" t="n">
        <v>30</v>
      </c>
      <c r="G151" s="36">
        <f>INDEX('建筑建议总览'!$H$5:$H$25,MATCH($A151,'建筑建议总览'!$A$5:$A$25,0))</f>
        <v/>
      </c>
      <c r="H151" s="44">
        <f>INDEX('建筑建议总览'!$I$5:$I$25,MATCH($A151,'建筑建议总览'!$A$5:$A$25,0))</f>
        <v/>
      </c>
      <c r="I151" s="36">
        <f>INDEX('建筑建议总览'!$J$5:$J$25,MATCH($A151,'建筑建议总览'!$A$5:$A$25,0))</f>
        <v/>
      </c>
      <c r="J151" s="44">
        <f>POWER(H151,D151-1)</f>
        <v/>
      </c>
      <c r="K151" s="44">
        <f>SUMIF($A$5:$A$328,$A151,$J$5:$J$328)</f>
        <v/>
      </c>
      <c r="L151" s="36">
        <f>IF(I151&gt;0,ROUNDDOWN(MAX(0,I151-G151*(F151-1))*J151/K151,0),0)</f>
        <v/>
      </c>
      <c r="M151" s="36">
        <f>IF(I151&gt;0,G151+L151+IF(D151=F151-1,MAX(0,I151-G151*(F151-1)-SUMIF($A$5:$A$328,$A151,$L$5:$L$328)),0),ROUNDUP(G151*POWER(INDEX('建筑总览'!$G$5:$G$25,MATCH($A151,'建筑总览'!$A$5:$A$25,0)),D151),0))</f>
        <v/>
      </c>
      <c r="N151" s="35">
        <f>M151/'参数与公式'!$B$21</f>
        <v/>
      </c>
      <c r="O151" s="36">
        <f>INDEX('建筑建议总览'!$P$5:$P$25,MATCH($A151,'建筑建议总览'!$A$5:$A$25,0))</f>
        <v/>
      </c>
      <c r="P151" s="36">
        <f>INDEX('建筑建议总览'!$Q$5:$Q$25,MATCH($A151,'建筑建议总览'!$A$5:$A$25,0))</f>
        <v/>
      </c>
      <c r="Q151" s="44">
        <f>INDEX('建筑建议总览'!$R$5:$R$25,MATCH($A151,'建筑建议总览'!$A$5:$A$25,0))</f>
        <v/>
      </c>
      <c r="R151" s="36">
        <f>INDEX('建筑建议总览'!$S$5:$S$25,MATCH($A151,'建筑建议总览'!$A$5:$A$25,0))</f>
        <v/>
      </c>
      <c r="S151" s="36">
        <f>INDEX('建筑建议总览'!$T$5:$T$25,MATCH($A151,'建筑建议总览'!$A$5:$A$25,0))</f>
        <v/>
      </c>
      <c r="T151" s="44">
        <f>POWER(Q151,D151-1)</f>
        <v/>
      </c>
      <c r="U151" s="44">
        <f>SUMIF($A$5:$A$328,$A151,$T$5:$T$328)</f>
        <v/>
      </c>
      <c r="V151" s="36">
        <f>IF(R151&gt;0,ROUNDDOWN(MAX(0,R151-O151*(F151-1))*T151/U151,0),0)</f>
        <v/>
      </c>
      <c r="W151" s="36">
        <f>IF(S151&gt;0,ROUNDDOWN(MAX(0,S151-P151*(F151-1))*T151/U151,0),0)</f>
        <v/>
      </c>
      <c r="X151" s="36">
        <f>IF(R151&gt;0,O151+V151+IF(D151=F151-1,MAX(0,R151-O151*(F151-1)-SUMIF($A$5:$A$328,$A151,$V$5:$V$328)),0),ROUNDUP(O151*POWER(INDEX('建筑总览'!$J$5:$J$25,MATCH($A151,'建筑总览'!$A$5:$A$25,0)),D151),0))</f>
        <v/>
      </c>
      <c r="Y151" s="36">
        <f>IF(P151=0,0,IF(S151&gt;0,P151+W151+IF(D151=F151-1,MAX(0,S151-P151*(F151-1)-SUMIF($A$5:$A$328,$A151,$W$5:$W$328)),0),ROUNDUP(P151*POWER(INDEX('建筑总览'!$J$5:$J$25,MATCH($A151,'建筑总览'!$A$5:$A$25,0)),D151),0)))</f>
        <v/>
      </c>
      <c r="Z151" s="36">
        <f>IF(X151=0,0,MAX(1,ROUNDUP(X151*(1-'参数与公式'!$B$17),0)))</f>
        <v/>
      </c>
      <c r="AA151" s="36">
        <f>IF(Y151=0,0,MAX(1,ROUNDUP(Y151*(1-'参数与公式'!$B$17),0)))</f>
        <v/>
      </c>
      <c r="AB151" s="33" t="inlineStr">
        <is>
          <t>预算模式末级补足余数；旧模式按指数公式</t>
        </is>
      </c>
      <c r="AC151" s="49">
        <f>IF(A151=A150,IFERROR(M151/M150,""),"")</f>
        <v/>
      </c>
      <c r="AD151" s="49">
        <f>IF(AND(A151=A150,X150&gt;0),X151/X150,"")</f>
        <v/>
      </c>
    </row>
    <row r="152" ht="30" customHeight="1">
      <c r="A152" s="33" t="inlineStr">
        <is>
          <t>silver_vault</t>
        </is>
      </c>
      <c r="B152" s="33" t="inlineStr">
        <is>
          <t>银库</t>
        </is>
      </c>
      <c r="C152" s="33" t="inlineStr">
        <is>
          <t>仓储设施</t>
        </is>
      </c>
      <c r="D152" s="43" t="n">
        <v>13</v>
      </c>
      <c r="E152" s="36">
        <f>D152+1</f>
        <v/>
      </c>
      <c r="F152" s="43" t="n">
        <v>30</v>
      </c>
      <c r="G152" s="36">
        <f>INDEX('建筑建议总览'!$H$5:$H$25,MATCH($A152,'建筑建议总览'!$A$5:$A$25,0))</f>
        <v/>
      </c>
      <c r="H152" s="44">
        <f>INDEX('建筑建议总览'!$I$5:$I$25,MATCH($A152,'建筑建议总览'!$A$5:$A$25,0))</f>
        <v/>
      </c>
      <c r="I152" s="36">
        <f>INDEX('建筑建议总览'!$J$5:$J$25,MATCH($A152,'建筑建议总览'!$A$5:$A$25,0))</f>
        <v/>
      </c>
      <c r="J152" s="44">
        <f>POWER(H152,D152-1)</f>
        <v/>
      </c>
      <c r="K152" s="44">
        <f>SUMIF($A$5:$A$328,$A152,$J$5:$J$328)</f>
        <v/>
      </c>
      <c r="L152" s="36">
        <f>IF(I152&gt;0,ROUNDDOWN(MAX(0,I152-G152*(F152-1))*J152/K152,0),0)</f>
        <v/>
      </c>
      <c r="M152" s="36">
        <f>IF(I152&gt;0,G152+L152+IF(D152=F152-1,MAX(0,I152-G152*(F152-1)-SUMIF($A$5:$A$328,$A152,$L$5:$L$328)),0),ROUNDUP(G152*POWER(INDEX('建筑总览'!$G$5:$G$25,MATCH($A152,'建筑总览'!$A$5:$A$25,0)),D152),0))</f>
        <v/>
      </c>
      <c r="N152" s="35">
        <f>M152/'参数与公式'!$B$21</f>
        <v/>
      </c>
      <c r="O152" s="36">
        <f>INDEX('建筑建议总览'!$P$5:$P$25,MATCH($A152,'建筑建议总览'!$A$5:$A$25,0))</f>
        <v/>
      </c>
      <c r="P152" s="36">
        <f>INDEX('建筑建议总览'!$Q$5:$Q$25,MATCH($A152,'建筑建议总览'!$A$5:$A$25,0))</f>
        <v/>
      </c>
      <c r="Q152" s="44">
        <f>INDEX('建筑建议总览'!$R$5:$R$25,MATCH($A152,'建筑建议总览'!$A$5:$A$25,0))</f>
        <v/>
      </c>
      <c r="R152" s="36">
        <f>INDEX('建筑建议总览'!$S$5:$S$25,MATCH($A152,'建筑建议总览'!$A$5:$A$25,0))</f>
        <v/>
      </c>
      <c r="S152" s="36">
        <f>INDEX('建筑建议总览'!$T$5:$T$25,MATCH($A152,'建筑建议总览'!$A$5:$A$25,0))</f>
        <v/>
      </c>
      <c r="T152" s="44">
        <f>POWER(Q152,D152-1)</f>
        <v/>
      </c>
      <c r="U152" s="44">
        <f>SUMIF($A$5:$A$328,$A152,$T$5:$T$328)</f>
        <v/>
      </c>
      <c r="V152" s="36">
        <f>IF(R152&gt;0,ROUNDDOWN(MAX(0,R152-O152*(F152-1))*T152/U152,0),0)</f>
        <v/>
      </c>
      <c r="W152" s="36">
        <f>IF(S152&gt;0,ROUNDDOWN(MAX(0,S152-P152*(F152-1))*T152/U152,0),0)</f>
        <v/>
      </c>
      <c r="X152" s="36">
        <f>IF(R152&gt;0,O152+V152+IF(D152=F152-1,MAX(0,R152-O152*(F152-1)-SUMIF($A$5:$A$328,$A152,$V$5:$V$328)),0),ROUNDUP(O152*POWER(INDEX('建筑总览'!$J$5:$J$25,MATCH($A152,'建筑总览'!$A$5:$A$25,0)),D152),0))</f>
        <v/>
      </c>
      <c r="Y152" s="36">
        <f>IF(P152=0,0,IF(S152&gt;0,P152+W152+IF(D152=F152-1,MAX(0,S152-P152*(F152-1)-SUMIF($A$5:$A$328,$A152,$W$5:$W$328)),0),ROUNDUP(P152*POWER(INDEX('建筑总览'!$J$5:$J$25,MATCH($A152,'建筑总览'!$A$5:$A$25,0)),D152),0)))</f>
        <v/>
      </c>
      <c r="Z152" s="36">
        <f>IF(X152=0,0,MAX(1,ROUNDUP(X152*(1-'参数与公式'!$B$17),0)))</f>
        <v/>
      </c>
      <c r="AA152" s="36">
        <f>IF(Y152=0,0,MAX(1,ROUNDUP(Y152*(1-'参数与公式'!$B$17),0)))</f>
        <v/>
      </c>
      <c r="AB152" s="33" t="inlineStr">
        <is>
          <t>预算模式末级补足余数；旧模式按指数公式</t>
        </is>
      </c>
      <c r="AC152" s="49">
        <f>IF(A152=A151,IFERROR(M152/M151,""),"")</f>
        <v/>
      </c>
      <c r="AD152" s="49">
        <f>IF(AND(A152=A151,X151&gt;0),X152/X151,"")</f>
        <v/>
      </c>
    </row>
    <row r="153" ht="30" customHeight="1">
      <c r="A153" s="33" t="inlineStr">
        <is>
          <t>silver_vault</t>
        </is>
      </c>
      <c r="B153" s="33" t="inlineStr">
        <is>
          <t>银库</t>
        </is>
      </c>
      <c r="C153" s="33" t="inlineStr">
        <is>
          <t>仓储设施</t>
        </is>
      </c>
      <c r="D153" s="43" t="n">
        <v>14</v>
      </c>
      <c r="E153" s="36">
        <f>D153+1</f>
        <v/>
      </c>
      <c r="F153" s="43" t="n">
        <v>30</v>
      </c>
      <c r="G153" s="36">
        <f>INDEX('建筑建议总览'!$H$5:$H$25,MATCH($A153,'建筑建议总览'!$A$5:$A$25,0))</f>
        <v/>
      </c>
      <c r="H153" s="44">
        <f>INDEX('建筑建议总览'!$I$5:$I$25,MATCH($A153,'建筑建议总览'!$A$5:$A$25,0))</f>
        <v/>
      </c>
      <c r="I153" s="36">
        <f>INDEX('建筑建议总览'!$J$5:$J$25,MATCH($A153,'建筑建议总览'!$A$5:$A$25,0))</f>
        <v/>
      </c>
      <c r="J153" s="44">
        <f>POWER(H153,D153-1)</f>
        <v/>
      </c>
      <c r="K153" s="44">
        <f>SUMIF($A$5:$A$328,$A153,$J$5:$J$328)</f>
        <v/>
      </c>
      <c r="L153" s="36">
        <f>IF(I153&gt;0,ROUNDDOWN(MAX(0,I153-G153*(F153-1))*J153/K153,0),0)</f>
        <v/>
      </c>
      <c r="M153" s="36">
        <f>IF(I153&gt;0,G153+L153+IF(D153=F153-1,MAX(0,I153-G153*(F153-1)-SUMIF($A$5:$A$328,$A153,$L$5:$L$328)),0),ROUNDUP(G153*POWER(INDEX('建筑总览'!$G$5:$G$25,MATCH($A153,'建筑总览'!$A$5:$A$25,0)),D153),0))</f>
        <v/>
      </c>
      <c r="N153" s="35">
        <f>M153/'参数与公式'!$B$21</f>
        <v/>
      </c>
      <c r="O153" s="36">
        <f>INDEX('建筑建议总览'!$P$5:$P$25,MATCH($A153,'建筑建议总览'!$A$5:$A$25,0))</f>
        <v/>
      </c>
      <c r="P153" s="36">
        <f>INDEX('建筑建议总览'!$Q$5:$Q$25,MATCH($A153,'建筑建议总览'!$A$5:$A$25,0))</f>
        <v/>
      </c>
      <c r="Q153" s="44">
        <f>INDEX('建筑建议总览'!$R$5:$R$25,MATCH($A153,'建筑建议总览'!$A$5:$A$25,0))</f>
        <v/>
      </c>
      <c r="R153" s="36">
        <f>INDEX('建筑建议总览'!$S$5:$S$25,MATCH($A153,'建筑建议总览'!$A$5:$A$25,0))</f>
        <v/>
      </c>
      <c r="S153" s="36">
        <f>INDEX('建筑建议总览'!$T$5:$T$25,MATCH($A153,'建筑建议总览'!$A$5:$A$25,0))</f>
        <v/>
      </c>
      <c r="T153" s="44">
        <f>POWER(Q153,D153-1)</f>
        <v/>
      </c>
      <c r="U153" s="44">
        <f>SUMIF($A$5:$A$328,$A153,$T$5:$T$328)</f>
        <v/>
      </c>
      <c r="V153" s="36">
        <f>IF(R153&gt;0,ROUNDDOWN(MAX(0,R153-O153*(F153-1))*T153/U153,0),0)</f>
        <v/>
      </c>
      <c r="W153" s="36">
        <f>IF(S153&gt;0,ROUNDDOWN(MAX(0,S153-P153*(F153-1))*T153/U153,0),0)</f>
        <v/>
      </c>
      <c r="X153" s="36">
        <f>IF(R153&gt;0,O153+V153+IF(D153=F153-1,MAX(0,R153-O153*(F153-1)-SUMIF($A$5:$A$328,$A153,$V$5:$V$328)),0),ROUNDUP(O153*POWER(INDEX('建筑总览'!$J$5:$J$25,MATCH($A153,'建筑总览'!$A$5:$A$25,0)),D153),0))</f>
        <v/>
      </c>
      <c r="Y153" s="36">
        <f>IF(P153=0,0,IF(S153&gt;0,P153+W153+IF(D153=F153-1,MAX(0,S153-P153*(F153-1)-SUMIF($A$5:$A$328,$A153,$W$5:$W$328)),0),ROUNDUP(P153*POWER(INDEX('建筑总览'!$J$5:$J$25,MATCH($A153,'建筑总览'!$A$5:$A$25,0)),D153),0)))</f>
        <v/>
      </c>
      <c r="Z153" s="36">
        <f>IF(X153=0,0,MAX(1,ROUNDUP(X153*(1-'参数与公式'!$B$17),0)))</f>
        <v/>
      </c>
      <c r="AA153" s="36">
        <f>IF(Y153=0,0,MAX(1,ROUNDUP(Y153*(1-'参数与公式'!$B$17),0)))</f>
        <v/>
      </c>
      <c r="AB153" s="33" t="inlineStr">
        <is>
          <t>预算模式末级补足余数；旧模式按指数公式</t>
        </is>
      </c>
      <c r="AC153" s="49">
        <f>IF(A153=A152,IFERROR(M153/M152,""),"")</f>
        <v/>
      </c>
      <c r="AD153" s="49">
        <f>IF(AND(A153=A152,X152&gt;0),X153/X152,"")</f>
        <v/>
      </c>
    </row>
    <row r="154" ht="30" customHeight="1">
      <c r="A154" s="33" t="inlineStr">
        <is>
          <t>silver_vault</t>
        </is>
      </c>
      <c r="B154" s="33" t="inlineStr">
        <is>
          <t>银库</t>
        </is>
      </c>
      <c r="C154" s="33" t="inlineStr">
        <is>
          <t>仓储设施</t>
        </is>
      </c>
      <c r="D154" s="43" t="n">
        <v>15</v>
      </c>
      <c r="E154" s="36">
        <f>D154+1</f>
        <v/>
      </c>
      <c r="F154" s="43" t="n">
        <v>30</v>
      </c>
      <c r="G154" s="36">
        <f>INDEX('建筑建议总览'!$H$5:$H$25,MATCH($A154,'建筑建议总览'!$A$5:$A$25,0))</f>
        <v/>
      </c>
      <c r="H154" s="44">
        <f>INDEX('建筑建议总览'!$I$5:$I$25,MATCH($A154,'建筑建议总览'!$A$5:$A$25,0))</f>
        <v/>
      </c>
      <c r="I154" s="36">
        <f>INDEX('建筑建议总览'!$J$5:$J$25,MATCH($A154,'建筑建议总览'!$A$5:$A$25,0))</f>
        <v/>
      </c>
      <c r="J154" s="44">
        <f>POWER(H154,D154-1)</f>
        <v/>
      </c>
      <c r="K154" s="44">
        <f>SUMIF($A$5:$A$328,$A154,$J$5:$J$328)</f>
        <v/>
      </c>
      <c r="L154" s="36">
        <f>IF(I154&gt;0,ROUNDDOWN(MAX(0,I154-G154*(F154-1))*J154/K154,0),0)</f>
        <v/>
      </c>
      <c r="M154" s="36">
        <f>IF(I154&gt;0,G154+L154+IF(D154=F154-1,MAX(0,I154-G154*(F154-1)-SUMIF($A$5:$A$328,$A154,$L$5:$L$328)),0),ROUNDUP(G154*POWER(INDEX('建筑总览'!$G$5:$G$25,MATCH($A154,'建筑总览'!$A$5:$A$25,0)),D154),0))</f>
        <v/>
      </c>
      <c r="N154" s="35">
        <f>M154/'参数与公式'!$B$21</f>
        <v/>
      </c>
      <c r="O154" s="36">
        <f>INDEX('建筑建议总览'!$P$5:$P$25,MATCH($A154,'建筑建议总览'!$A$5:$A$25,0))</f>
        <v/>
      </c>
      <c r="P154" s="36">
        <f>INDEX('建筑建议总览'!$Q$5:$Q$25,MATCH($A154,'建筑建议总览'!$A$5:$A$25,0))</f>
        <v/>
      </c>
      <c r="Q154" s="44">
        <f>INDEX('建筑建议总览'!$R$5:$R$25,MATCH($A154,'建筑建议总览'!$A$5:$A$25,0))</f>
        <v/>
      </c>
      <c r="R154" s="36">
        <f>INDEX('建筑建议总览'!$S$5:$S$25,MATCH($A154,'建筑建议总览'!$A$5:$A$25,0))</f>
        <v/>
      </c>
      <c r="S154" s="36">
        <f>INDEX('建筑建议总览'!$T$5:$T$25,MATCH($A154,'建筑建议总览'!$A$5:$A$25,0))</f>
        <v/>
      </c>
      <c r="T154" s="44">
        <f>POWER(Q154,D154-1)</f>
        <v/>
      </c>
      <c r="U154" s="44">
        <f>SUMIF($A$5:$A$328,$A154,$T$5:$T$328)</f>
        <v/>
      </c>
      <c r="V154" s="36">
        <f>IF(R154&gt;0,ROUNDDOWN(MAX(0,R154-O154*(F154-1))*T154/U154,0),0)</f>
        <v/>
      </c>
      <c r="W154" s="36">
        <f>IF(S154&gt;0,ROUNDDOWN(MAX(0,S154-P154*(F154-1))*T154/U154,0),0)</f>
        <v/>
      </c>
      <c r="X154" s="36">
        <f>IF(R154&gt;0,O154+V154+IF(D154=F154-1,MAX(0,R154-O154*(F154-1)-SUMIF($A$5:$A$328,$A154,$V$5:$V$328)),0),ROUNDUP(O154*POWER(INDEX('建筑总览'!$J$5:$J$25,MATCH($A154,'建筑总览'!$A$5:$A$25,0)),D154),0))</f>
        <v/>
      </c>
      <c r="Y154" s="36">
        <f>IF(P154=0,0,IF(S154&gt;0,P154+W154+IF(D154=F154-1,MAX(0,S154-P154*(F154-1)-SUMIF($A$5:$A$328,$A154,$W$5:$W$328)),0),ROUNDUP(P154*POWER(INDEX('建筑总览'!$J$5:$J$25,MATCH($A154,'建筑总览'!$A$5:$A$25,0)),D154),0)))</f>
        <v/>
      </c>
      <c r="Z154" s="36">
        <f>IF(X154=0,0,MAX(1,ROUNDUP(X154*(1-'参数与公式'!$B$17),0)))</f>
        <v/>
      </c>
      <c r="AA154" s="36">
        <f>IF(Y154=0,0,MAX(1,ROUNDUP(Y154*(1-'参数与公式'!$B$17),0)))</f>
        <v/>
      </c>
      <c r="AB154" s="33" t="inlineStr">
        <is>
          <t>预算模式末级补足余数；旧模式按指数公式</t>
        </is>
      </c>
      <c r="AC154" s="49">
        <f>IF(A154=A153,IFERROR(M154/M153,""),"")</f>
        <v/>
      </c>
      <c r="AD154" s="49">
        <f>IF(AND(A154=A153,X153&gt;0),X154/X153,"")</f>
        <v/>
      </c>
    </row>
    <row r="155" ht="30" customHeight="1">
      <c r="A155" s="33" t="inlineStr">
        <is>
          <t>silver_vault</t>
        </is>
      </c>
      <c r="B155" s="33" t="inlineStr">
        <is>
          <t>银库</t>
        </is>
      </c>
      <c r="C155" s="33" t="inlineStr">
        <is>
          <t>仓储设施</t>
        </is>
      </c>
      <c r="D155" s="43" t="n">
        <v>16</v>
      </c>
      <c r="E155" s="36">
        <f>D155+1</f>
        <v/>
      </c>
      <c r="F155" s="43" t="n">
        <v>30</v>
      </c>
      <c r="G155" s="36">
        <f>INDEX('建筑建议总览'!$H$5:$H$25,MATCH($A155,'建筑建议总览'!$A$5:$A$25,0))</f>
        <v/>
      </c>
      <c r="H155" s="44">
        <f>INDEX('建筑建议总览'!$I$5:$I$25,MATCH($A155,'建筑建议总览'!$A$5:$A$25,0))</f>
        <v/>
      </c>
      <c r="I155" s="36">
        <f>INDEX('建筑建议总览'!$J$5:$J$25,MATCH($A155,'建筑建议总览'!$A$5:$A$25,0))</f>
        <v/>
      </c>
      <c r="J155" s="44">
        <f>POWER(H155,D155-1)</f>
        <v/>
      </c>
      <c r="K155" s="44">
        <f>SUMIF($A$5:$A$328,$A155,$J$5:$J$328)</f>
        <v/>
      </c>
      <c r="L155" s="36">
        <f>IF(I155&gt;0,ROUNDDOWN(MAX(0,I155-G155*(F155-1))*J155/K155,0),0)</f>
        <v/>
      </c>
      <c r="M155" s="36">
        <f>IF(I155&gt;0,G155+L155+IF(D155=F155-1,MAX(0,I155-G155*(F155-1)-SUMIF($A$5:$A$328,$A155,$L$5:$L$328)),0),ROUNDUP(G155*POWER(INDEX('建筑总览'!$G$5:$G$25,MATCH($A155,'建筑总览'!$A$5:$A$25,0)),D155),0))</f>
        <v/>
      </c>
      <c r="N155" s="35">
        <f>M155/'参数与公式'!$B$21</f>
        <v/>
      </c>
      <c r="O155" s="36">
        <f>INDEX('建筑建议总览'!$P$5:$P$25,MATCH($A155,'建筑建议总览'!$A$5:$A$25,0))</f>
        <v/>
      </c>
      <c r="P155" s="36">
        <f>INDEX('建筑建议总览'!$Q$5:$Q$25,MATCH($A155,'建筑建议总览'!$A$5:$A$25,0))</f>
        <v/>
      </c>
      <c r="Q155" s="44">
        <f>INDEX('建筑建议总览'!$R$5:$R$25,MATCH($A155,'建筑建议总览'!$A$5:$A$25,0))</f>
        <v/>
      </c>
      <c r="R155" s="36">
        <f>INDEX('建筑建议总览'!$S$5:$S$25,MATCH($A155,'建筑建议总览'!$A$5:$A$25,0))</f>
        <v/>
      </c>
      <c r="S155" s="36">
        <f>INDEX('建筑建议总览'!$T$5:$T$25,MATCH($A155,'建筑建议总览'!$A$5:$A$25,0))</f>
        <v/>
      </c>
      <c r="T155" s="44">
        <f>POWER(Q155,D155-1)</f>
        <v/>
      </c>
      <c r="U155" s="44">
        <f>SUMIF($A$5:$A$328,$A155,$T$5:$T$328)</f>
        <v/>
      </c>
      <c r="V155" s="36">
        <f>IF(R155&gt;0,ROUNDDOWN(MAX(0,R155-O155*(F155-1))*T155/U155,0),0)</f>
        <v/>
      </c>
      <c r="W155" s="36">
        <f>IF(S155&gt;0,ROUNDDOWN(MAX(0,S155-P155*(F155-1))*T155/U155,0),0)</f>
        <v/>
      </c>
      <c r="X155" s="36">
        <f>IF(R155&gt;0,O155+V155+IF(D155=F155-1,MAX(0,R155-O155*(F155-1)-SUMIF($A$5:$A$328,$A155,$V$5:$V$328)),0),ROUNDUP(O155*POWER(INDEX('建筑总览'!$J$5:$J$25,MATCH($A155,'建筑总览'!$A$5:$A$25,0)),D155),0))</f>
        <v/>
      </c>
      <c r="Y155" s="36">
        <f>IF(P155=0,0,IF(S155&gt;0,P155+W155+IF(D155=F155-1,MAX(0,S155-P155*(F155-1)-SUMIF($A$5:$A$328,$A155,$W$5:$W$328)),0),ROUNDUP(P155*POWER(INDEX('建筑总览'!$J$5:$J$25,MATCH($A155,'建筑总览'!$A$5:$A$25,0)),D155),0)))</f>
        <v/>
      </c>
      <c r="Z155" s="36">
        <f>IF(X155=0,0,MAX(1,ROUNDUP(X155*(1-'参数与公式'!$B$17),0)))</f>
        <v/>
      </c>
      <c r="AA155" s="36">
        <f>IF(Y155=0,0,MAX(1,ROUNDUP(Y155*(1-'参数与公式'!$B$17),0)))</f>
        <v/>
      </c>
      <c r="AB155" s="33" t="inlineStr">
        <is>
          <t>预算模式末级补足余数；旧模式按指数公式</t>
        </is>
      </c>
      <c r="AC155" s="49">
        <f>IF(A155=A154,IFERROR(M155/M154,""),"")</f>
        <v/>
      </c>
      <c r="AD155" s="49">
        <f>IF(AND(A155=A154,X154&gt;0),X155/X154,"")</f>
        <v/>
      </c>
    </row>
    <row r="156" ht="30" customHeight="1">
      <c r="A156" s="33" t="inlineStr">
        <is>
          <t>silver_vault</t>
        </is>
      </c>
      <c r="B156" s="33" t="inlineStr">
        <is>
          <t>银库</t>
        </is>
      </c>
      <c r="C156" s="33" t="inlineStr">
        <is>
          <t>仓储设施</t>
        </is>
      </c>
      <c r="D156" s="43" t="n">
        <v>17</v>
      </c>
      <c r="E156" s="36">
        <f>D156+1</f>
        <v/>
      </c>
      <c r="F156" s="43" t="n">
        <v>30</v>
      </c>
      <c r="G156" s="36">
        <f>INDEX('建筑建议总览'!$H$5:$H$25,MATCH($A156,'建筑建议总览'!$A$5:$A$25,0))</f>
        <v/>
      </c>
      <c r="H156" s="44">
        <f>INDEX('建筑建议总览'!$I$5:$I$25,MATCH($A156,'建筑建议总览'!$A$5:$A$25,0))</f>
        <v/>
      </c>
      <c r="I156" s="36">
        <f>INDEX('建筑建议总览'!$J$5:$J$25,MATCH($A156,'建筑建议总览'!$A$5:$A$25,0))</f>
        <v/>
      </c>
      <c r="J156" s="44">
        <f>POWER(H156,D156-1)</f>
        <v/>
      </c>
      <c r="K156" s="44">
        <f>SUMIF($A$5:$A$328,$A156,$J$5:$J$328)</f>
        <v/>
      </c>
      <c r="L156" s="36">
        <f>IF(I156&gt;0,ROUNDDOWN(MAX(0,I156-G156*(F156-1))*J156/K156,0),0)</f>
        <v/>
      </c>
      <c r="M156" s="36">
        <f>IF(I156&gt;0,G156+L156+IF(D156=F156-1,MAX(0,I156-G156*(F156-1)-SUMIF($A$5:$A$328,$A156,$L$5:$L$328)),0),ROUNDUP(G156*POWER(INDEX('建筑总览'!$G$5:$G$25,MATCH($A156,'建筑总览'!$A$5:$A$25,0)),D156),0))</f>
        <v/>
      </c>
      <c r="N156" s="35">
        <f>M156/'参数与公式'!$B$21</f>
        <v/>
      </c>
      <c r="O156" s="36">
        <f>INDEX('建筑建议总览'!$P$5:$P$25,MATCH($A156,'建筑建议总览'!$A$5:$A$25,0))</f>
        <v/>
      </c>
      <c r="P156" s="36">
        <f>INDEX('建筑建议总览'!$Q$5:$Q$25,MATCH($A156,'建筑建议总览'!$A$5:$A$25,0))</f>
        <v/>
      </c>
      <c r="Q156" s="44">
        <f>INDEX('建筑建议总览'!$R$5:$R$25,MATCH($A156,'建筑建议总览'!$A$5:$A$25,0))</f>
        <v/>
      </c>
      <c r="R156" s="36">
        <f>INDEX('建筑建议总览'!$S$5:$S$25,MATCH($A156,'建筑建议总览'!$A$5:$A$25,0))</f>
        <v/>
      </c>
      <c r="S156" s="36">
        <f>INDEX('建筑建议总览'!$T$5:$T$25,MATCH($A156,'建筑建议总览'!$A$5:$A$25,0))</f>
        <v/>
      </c>
      <c r="T156" s="44">
        <f>POWER(Q156,D156-1)</f>
        <v/>
      </c>
      <c r="U156" s="44">
        <f>SUMIF($A$5:$A$328,$A156,$T$5:$T$328)</f>
        <v/>
      </c>
      <c r="V156" s="36">
        <f>IF(R156&gt;0,ROUNDDOWN(MAX(0,R156-O156*(F156-1))*T156/U156,0),0)</f>
        <v/>
      </c>
      <c r="W156" s="36">
        <f>IF(S156&gt;0,ROUNDDOWN(MAX(0,S156-P156*(F156-1))*T156/U156,0),0)</f>
        <v/>
      </c>
      <c r="X156" s="36">
        <f>IF(R156&gt;0,O156+V156+IF(D156=F156-1,MAX(0,R156-O156*(F156-1)-SUMIF($A$5:$A$328,$A156,$V$5:$V$328)),0),ROUNDUP(O156*POWER(INDEX('建筑总览'!$J$5:$J$25,MATCH($A156,'建筑总览'!$A$5:$A$25,0)),D156),0))</f>
        <v/>
      </c>
      <c r="Y156" s="36">
        <f>IF(P156=0,0,IF(S156&gt;0,P156+W156+IF(D156=F156-1,MAX(0,S156-P156*(F156-1)-SUMIF($A$5:$A$328,$A156,$W$5:$W$328)),0),ROUNDUP(P156*POWER(INDEX('建筑总览'!$J$5:$J$25,MATCH($A156,'建筑总览'!$A$5:$A$25,0)),D156),0)))</f>
        <v/>
      </c>
      <c r="Z156" s="36">
        <f>IF(X156=0,0,MAX(1,ROUNDUP(X156*(1-'参数与公式'!$B$17),0)))</f>
        <v/>
      </c>
      <c r="AA156" s="36">
        <f>IF(Y156=0,0,MAX(1,ROUNDUP(Y156*(1-'参数与公式'!$B$17),0)))</f>
        <v/>
      </c>
      <c r="AB156" s="33" t="inlineStr">
        <is>
          <t>预算模式末级补足余数；旧模式按指数公式</t>
        </is>
      </c>
      <c r="AC156" s="49">
        <f>IF(A156=A155,IFERROR(M156/M155,""),"")</f>
        <v/>
      </c>
      <c r="AD156" s="49">
        <f>IF(AND(A156=A155,X155&gt;0),X156/X155,"")</f>
        <v/>
      </c>
    </row>
    <row r="157" ht="30" customHeight="1">
      <c r="A157" s="33" t="inlineStr">
        <is>
          <t>silver_vault</t>
        </is>
      </c>
      <c r="B157" s="33" t="inlineStr">
        <is>
          <t>银库</t>
        </is>
      </c>
      <c r="C157" s="33" t="inlineStr">
        <is>
          <t>仓储设施</t>
        </is>
      </c>
      <c r="D157" s="43" t="n">
        <v>18</v>
      </c>
      <c r="E157" s="36">
        <f>D157+1</f>
        <v/>
      </c>
      <c r="F157" s="43" t="n">
        <v>30</v>
      </c>
      <c r="G157" s="36">
        <f>INDEX('建筑建议总览'!$H$5:$H$25,MATCH($A157,'建筑建议总览'!$A$5:$A$25,0))</f>
        <v/>
      </c>
      <c r="H157" s="44">
        <f>INDEX('建筑建议总览'!$I$5:$I$25,MATCH($A157,'建筑建议总览'!$A$5:$A$25,0))</f>
        <v/>
      </c>
      <c r="I157" s="36">
        <f>INDEX('建筑建议总览'!$J$5:$J$25,MATCH($A157,'建筑建议总览'!$A$5:$A$25,0))</f>
        <v/>
      </c>
      <c r="J157" s="44">
        <f>POWER(H157,D157-1)</f>
        <v/>
      </c>
      <c r="K157" s="44">
        <f>SUMIF($A$5:$A$328,$A157,$J$5:$J$328)</f>
        <v/>
      </c>
      <c r="L157" s="36">
        <f>IF(I157&gt;0,ROUNDDOWN(MAX(0,I157-G157*(F157-1))*J157/K157,0),0)</f>
        <v/>
      </c>
      <c r="M157" s="36">
        <f>IF(I157&gt;0,G157+L157+IF(D157=F157-1,MAX(0,I157-G157*(F157-1)-SUMIF($A$5:$A$328,$A157,$L$5:$L$328)),0),ROUNDUP(G157*POWER(INDEX('建筑总览'!$G$5:$G$25,MATCH($A157,'建筑总览'!$A$5:$A$25,0)),D157),0))</f>
        <v/>
      </c>
      <c r="N157" s="35">
        <f>M157/'参数与公式'!$B$21</f>
        <v/>
      </c>
      <c r="O157" s="36">
        <f>INDEX('建筑建议总览'!$P$5:$P$25,MATCH($A157,'建筑建议总览'!$A$5:$A$25,0))</f>
        <v/>
      </c>
      <c r="P157" s="36">
        <f>INDEX('建筑建议总览'!$Q$5:$Q$25,MATCH($A157,'建筑建议总览'!$A$5:$A$25,0))</f>
        <v/>
      </c>
      <c r="Q157" s="44">
        <f>INDEX('建筑建议总览'!$R$5:$R$25,MATCH($A157,'建筑建议总览'!$A$5:$A$25,0))</f>
        <v/>
      </c>
      <c r="R157" s="36">
        <f>INDEX('建筑建议总览'!$S$5:$S$25,MATCH($A157,'建筑建议总览'!$A$5:$A$25,0))</f>
        <v/>
      </c>
      <c r="S157" s="36">
        <f>INDEX('建筑建议总览'!$T$5:$T$25,MATCH($A157,'建筑建议总览'!$A$5:$A$25,0))</f>
        <v/>
      </c>
      <c r="T157" s="44">
        <f>POWER(Q157,D157-1)</f>
        <v/>
      </c>
      <c r="U157" s="44">
        <f>SUMIF($A$5:$A$328,$A157,$T$5:$T$328)</f>
        <v/>
      </c>
      <c r="V157" s="36">
        <f>IF(R157&gt;0,ROUNDDOWN(MAX(0,R157-O157*(F157-1))*T157/U157,0),0)</f>
        <v/>
      </c>
      <c r="W157" s="36">
        <f>IF(S157&gt;0,ROUNDDOWN(MAX(0,S157-P157*(F157-1))*T157/U157,0),0)</f>
        <v/>
      </c>
      <c r="X157" s="36">
        <f>IF(R157&gt;0,O157+V157+IF(D157=F157-1,MAX(0,R157-O157*(F157-1)-SUMIF($A$5:$A$328,$A157,$V$5:$V$328)),0),ROUNDUP(O157*POWER(INDEX('建筑总览'!$J$5:$J$25,MATCH($A157,'建筑总览'!$A$5:$A$25,0)),D157),0))</f>
        <v/>
      </c>
      <c r="Y157" s="36">
        <f>IF(P157=0,0,IF(S157&gt;0,P157+W157+IF(D157=F157-1,MAX(0,S157-P157*(F157-1)-SUMIF($A$5:$A$328,$A157,$W$5:$W$328)),0),ROUNDUP(P157*POWER(INDEX('建筑总览'!$J$5:$J$25,MATCH($A157,'建筑总览'!$A$5:$A$25,0)),D157),0)))</f>
        <v/>
      </c>
      <c r="Z157" s="36">
        <f>IF(X157=0,0,MAX(1,ROUNDUP(X157*(1-'参数与公式'!$B$17),0)))</f>
        <v/>
      </c>
      <c r="AA157" s="36">
        <f>IF(Y157=0,0,MAX(1,ROUNDUP(Y157*(1-'参数与公式'!$B$17),0)))</f>
        <v/>
      </c>
      <c r="AB157" s="33" t="inlineStr">
        <is>
          <t>预算模式末级补足余数；旧模式按指数公式</t>
        </is>
      </c>
      <c r="AC157" s="49">
        <f>IF(A157=A156,IFERROR(M157/M156,""),"")</f>
        <v/>
      </c>
      <c r="AD157" s="49">
        <f>IF(AND(A157=A156,X156&gt;0),X157/X156,"")</f>
        <v/>
      </c>
    </row>
    <row r="158" ht="30" customHeight="1">
      <c r="A158" s="33" t="inlineStr">
        <is>
          <t>silver_vault</t>
        </is>
      </c>
      <c r="B158" s="33" t="inlineStr">
        <is>
          <t>银库</t>
        </is>
      </c>
      <c r="C158" s="33" t="inlineStr">
        <is>
          <t>仓储设施</t>
        </is>
      </c>
      <c r="D158" s="43" t="n">
        <v>19</v>
      </c>
      <c r="E158" s="36">
        <f>D158+1</f>
        <v/>
      </c>
      <c r="F158" s="43" t="n">
        <v>30</v>
      </c>
      <c r="G158" s="36">
        <f>INDEX('建筑建议总览'!$H$5:$H$25,MATCH($A158,'建筑建议总览'!$A$5:$A$25,0))</f>
        <v/>
      </c>
      <c r="H158" s="44">
        <f>INDEX('建筑建议总览'!$I$5:$I$25,MATCH($A158,'建筑建议总览'!$A$5:$A$25,0))</f>
        <v/>
      </c>
      <c r="I158" s="36">
        <f>INDEX('建筑建议总览'!$J$5:$J$25,MATCH($A158,'建筑建议总览'!$A$5:$A$25,0))</f>
        <v/>
      </c>
      <c r="J158" s="44">
        <f>POWER(H158,D158-1)</f>
        <v/>
      </c>
      <c r="K158" s="44">
        <f>SUMIF($A$5:$A$328,$A158,$J$5:$J$328)</f>
        <v/>
      </c>
      <c r="L158" s="36">
        <f>IF(I158&gt;0,ROUNDDOWN(MAX(0,I158-G158*(F158-1))*J158/K158,0),0)</f>
        <v/>
      </c>
      <c r="M158" s="36">
        <f>IF(I158&gt;0,G158+L158+IF(D158=F158-1,MAX(0,I158-G158*(F158-1)-SUMIF($A$5:$A$328,$A158,$L$5:$L$328)),0),ROUNDUP(G158*POWER(INDEX('建筑总览'!$G$5:$G$25,MATCH($A158,'建筑总览'!$A$5:$A$25,0)),D158),0))</f>
        <v/>
      </c>
      <c r="N158" s="35">
        <f>M158/'参数与公式'!$B$21</f>
        <v/>
      </c>
      <c r="O158" s="36">
        <f>INDEX('建筑建议总览'!$P$5:$P$25,MATCH($A158,'建筑建议总览'!$A$5:$A$25,0))</f>
        <v/>
      </c>
      <c r="P158" s="36">
        <f>INDEX('建筑建议总览'!$Q$5:$Q$25,MATCH($A158,'建筑建议总览'!$A$5:$A$25,0))</f>
        <v/>
      </c>
      <c r="Q158" s="44">
        <f>INDEX('建筑建议总览'!$R$5:$R$25,MATCH($A158,'建筑建议总览'!$A$5:$A$25,0))</f>
        <v/>
      </c>
      <c r="R158" s="36">
        <f>INDEX('建筑建议总览'!$S$5:$S$25,MATCH($A158,'建筑建议总览'!$A$5:$A$25,0))</f>
        <v/>
      </c>
      <c r="S158" s="36">
        <f>INDEX('建筑建议总览'!$T$5:$T$25,MATCH($A158,'建筑建议总览'!$A$5:$A$25,0))</f>
        <v/>
      </c>
      <c r="T158" s="44">
        <f>POWER(Q158,D158-1)</f>
        <v/>
      </c>
      <c r="U158" s="44">
        <f>SUMIF($A$5:$A$328,$A158,$T$5:$T$328)</f>
        <v/>
      </c>
      <c r="V158" s="36">
        <f>IF(R158&gt;0,ROUNDDOWN(MAX(0,R158-O158*(F158-1))*T158/U158,0),0)</f>
        <v/>
      </c>
      <c r="W158" s="36">
        <f>IF(S158&gt;0,ROUNDDOWN(MAX(0,S158-P158*(F158-1))*T158/U158,0),0)</f>
        <v/>
      </c>
      <c r="X158" s="36">
        <f>IF(R158&gt;0,O158+V158+IF(D158=F158-1,MAX(0,R158-O158*(F158-1)-SUMIF($A$5:$A$328,$A158,$V$5:$V$328)),0),ROUNDUP(O158*POWER(INDEX('建筑总览'!$J$5:$J$25,MATCH($A158,'建筑总览'!$A$5:$A$25,0)),D158),0))</f>
        <v/>
      </c>
      <c r="Y158" s="36">
        <f>IF(P158=0,0,IF(S158&gt;0,P158+W158+IF(D158=F158-1,MAX(0,S158-P158*(F158-1)-SUMIF($A$5:$A$328,$A158,$W$5:$W$328)),0),ROUNDUP(P158*POWER(INDEX('建筑总览'!$J$5:$J$25,MATCH($A158,'建筑总览'!$A$5:$A$25,0)),D158),0)))</f>
        <v/>
      </c>
      <c r="Z158" s="36">
        <f>IF(X158=0,0,MAX(1,ROUNDUP(X158*(1-'参数与公式'!$B$17),0)))</f>
        <v/>
      </c>
      <c r="AA158" s="36">
        <f>IF(Y158=0,0,MAX(1,ROUNDUP(Y158*(1-'参数与公式'!$B$17),0)))</f>
        <v/>
      </c>
      <c r="AB158" s="33" t="inlineStr">
        <is>
          <t>预算模式末级补足余数；旧模式按指数公式</t>
        </is>
      </c>
      <c r="AC158" s="49">
        <f>IF(A158=A157,IFERROR(M158/M157,""),"")</f>
        <v/>
      </c>
      <c r="AD158" s="49">
        <f>IF(AND(A158=A157,X157&gt;0),X158/X157,"")</f>
        <v/>
      </c>
    </row>
    <row r="159" ht="30" customHeight="1">
      <c r="A159" s="33" t="inlineStr">
        <is>
          <t>silver_vault</t>
        </is>
      </c>
      <c r="B159" s="33" t="inlineStr">
        <is>
          <t>银库</t>
        </is>
      </c>
      <c r="C159" s="33" t="inlineStr">
        <is>
          <t>仓储设施</t>
        </is>
      </c>
      <c r="D159" s="43" t="n">
        <v>20</v>
      </c>
      <c r="E159" s="36">
        <f>D159+1</f>
        <v/>
      </c>
      <c r="F159" s="43" t="n">
        <v>30</v>
      </c>
      <c r="G159" s="36">
        <f>INDEX('建筑建议总览'!$H$5:$H$25,MATCH($A159,'建筑建议总览'!$A$5:$A$25,0))</f>
        <v/>
      </c>
      <c r="H159" s="44">
        <f>INDEX('建筑建议总览'!$I$5:$I$25,MATCH($A159,'建筑建议总览'!$A$5:$A$25,0))</f>
        <v/>
      </c>
      <c r="I159" s="36">
        <f>INDEX('建筑建议总览'!$J$5:$J$25,MATCH($A159,'建筑建议总览'!$A$5:$A$25,0))</f>
        <v/>
      </c>
      <c r="J159" s="44">
        <f>POWER(H159,D159-1)</f>
        <v/>
      </c>
      <c r="K159" s="44">
        <f>SUMIF($A$5:$A$328,$A159,$J$5:$J$328)</f>
        <v/>
      </c>
      <c r="L159" s="36">
        <f>IF(I159&gt;0,ROUNDDOWN(MAX(0,I159-G159*(F159-1))*J159/K159,0),0)</f>
        <v/>
      </c>
      <c r="M159" s="36">
        <f>IF(I159&gt;0,G159+L159+IF(D159=F159-1,MAX(0,I159-G159*(F159-1)-SUMIF($A$5:$A$328,$A159,$L$5:$L$328)),0),ROUNDUP(G159*POWER(INDEX('建筑总览'!$G$5:$G$25,MATCH($A159,'建筑总览'!$A$5:$A$25,0)),D159),0))</f>
        <v/>
      </c>
      <c r="N159" s="35">
        <f>M159/'参数与公式'!$B$21</f>
        <v/>
      </c>
      <c r="O159" s="36">
        <f>INDEX('建筑建议总览'!$P$5:$P$25,MATCH($A159,'建筑建议总览'!$A$5:$A$25,0))</f>
        <v/>
      </c>
      <c r="P159" s="36">
        <f>INDEX('建筑建议总览'!$Q$5:$Q$25,MATCH($A159,'建筑建议总览'!$A$5:$A$25,0))</f>
        <v/>
      </c>
      <c r="Q159" s="44">
        <f>INDEX('建筑建议总览'!$R$5:$R$25,MATCH($A159,'建筑建议总览'!$A$5:$A$25,0))</f>
        <v/>
      </c>
      <c r="R159" s="36">
        <f>INDEX('建筑建议总览'!$S$5:$S$25,MATCH($A159,'建筑建议总览'!$A$5:$A$25,0))</f>
        <v/>
      </c>
      <c r="S159" s="36">
        <f>INDEX('建筑建议总览'!$T$5:$T$25,MATCH($A159,'建筑建议总览'!$A$5:$A$25,0))</f>
        <v/>
      </c>
      <c r="T159" s="44">
        <f>POWER(Q159,D159-1)</f>
        <v/>
      </c>
      <c r="U159" s="44">
        <f>SUMIF($A$5:$A$328,$A159,$T$5:$T$328)</f>
        <v/>
      </c>
      <c r="V159" s="36">
        <f>IF(R159&gt;0,ROUNDDOWN(MAX(0,R159-O159*(F159-1))*T159/U159,0),0)</f>
        <v/>
      </c>
      <c r="W159" s="36">
        <f>IF(S159&gt;0,ROUNDDOWN(MAX(0,S159-P159*(F159-1))*T159/U159,0),0)</f>
        <v/>
      </c>
      <c r="X159" s="36">
        <f>IF(R159&gt;0,O159+V159+IF(D159=F159-1,MAX(0,R159-O159*(F159-1)-SUMIF($A$5:$A$328,$A159,$V$5:$V$328)),0),ROUNDUP(O159*POWER(INDEX('建筑总览'!$J$5:$J$25,MATCH($A159,'建筑总览'!$A$5:$A$25,0)),D159),0))</f>
        <v/>
      </c>
      <c r="Y159" s="36">
        <f>IF(P159=0,0,IF(S159&gt;0,P159+W159+IF(D159=F159-1,MAX(0,S159-P159*(F159-1)-SUMIF($A$5:$A$328,$A159,$W$5:$W$328)),0),ROUNDUP(P159*POWER(INDEX('建筑总览'!$J$5:$J$25,MATCH($A159,'建筑总览'!$A$5:$A$25,0)),D159),0)))</f>
        <v/>
      </c>
      <c r="Z159" s="36">
        <f>IF(X159=0,0,MAX(1,ROUNDUP(X159*(1-'参数与公式'!$B$17),0)))</f>
        <v/>
      </c>
      <c r="AA159" s="36">
        <f>IF(Y159=0,0,MAX(1,ROUNDUP(Y159*(1-'参数与公式'!$B$17),0)))</f>
        <v/>
      </c>
      <c r="AB159" s="33" t="inlineStr">
        <is>
          <t>预算模式末级补足余数；旧模式按指数公式</t>
        </is>
      </c>
      <c r="AC159" s="49">
        <f>IF(A159=A158,IFERROR(M159/M158,""),"")</f>
        <v/>
      </c>
      <c r="AD159" s="49">
        <f>IF(AND(A159=A158,X158&gt;0),X159/X158,"")</f>
        <v/>
      </c>
    </row>
    <row r="160" ht="30" customHeight="1">
      <c r="A160" s="33" t="inlineStr">
        <is>
          <t>silver_vault</t>
        </is>
      </c>
      <c r="B160" s="33" t="inlineStr">
        <is>
          <t>银库</t>
        </is>
      </c>
      <c r="C160" s="33" t="inlineStr">
        <is>
          <t>仓储设施</t>
        </is>
      </c>
      <c r="D160" s="43" t="n">
        <v>21</v>
      </c>
      <c r="E160" s="36">
        <f>D160+1</f>
        <v/>
      </c>
      <c r="F160" s="43" t="n">
        <v>30</v>
      </c>
      <c r="G160" s="36">
        <f>INDEX('建筑建议总览'!$H$5:$H$25,MATCH($A160,'建筑建议总览'!$A$5:$A$25,0))</f>
        <v/>
      </c>
      <c r="H160" s="44">
        <f>INDEX('建筑建议总览'!$I$5:$I$25,MATCH($A160,'建筑建议总览'!$A$5:$A$25,0))</f>
        <v/>
      </c>
      <c r="I160" s="36">
        <f>INDEX('建筑建议总览'!$J$5:$J$25,MATCH($A160,'建筑建议总览'!$A$5:$A$25,0))</f>
        <v/>
      </c>
      <c r="J160" s="44">
        <f>POWER(H160,D160-1)</f>
        <v/>
      </c>
      <c r="K160" s="44">
        <f>SUMIF($A$5:$A$328,$A160,$J$5:$J$328)</f>
        <v/>
      </c>
      <c r="L160" s="36">
        <f>IF(I160&gt;0,ROUNDDOWN(MAX(0,I160-G160*(F160-1))*J160/K160,0),0)</f>
        <v/>
      </c>
      <c r="M160" s="36">
        <f>IF(I160&gt;0,G160+L160+IF(D160=F160-1,MAX(0,I160-G160*(F160-1)-SUMIF($A$5:$A$328,$A160,$L$5:$L$328)),0),ROUNDUP(G160*POWER(INDEX('建筑总览'!$G$5:$G$25,MATCH($A160,'建筑总览'!$A$5:$A$25,0)),D160),0))</f>
        <v/>
      </c>
      <c r="N160" s="35">
        <f>M160/'参数与公式'!$B$21</f>
        <v/>
      </c>
      <c r="O160" s="36">
        <f>INDEX('建筑建议总览'!$P$5:$P$25,MATCH($A160,'建筑建议总览'!$A$5:$A$25,0))</f>
        <v/>
      </c>
      <c r="P160" s="36">
        <f>INDEX('建筑建议总览'!$Q$5:$Q$25,MATCH($A160,'建筑建议总览'!$A$5:$A$25,0))</f>
        <v/>
      </c>
      <c r="Q160" s="44">
        <f>INDEX('建筑建议总览'!$R$5:$R$25,MATCH($A160,'建筑建议总览'!$A$5:$A$25,0))</f>
        <v/>
      </c>
      <c r="R160" s="36">
        <f>INDEX('建筑建议总览'!$S$5:$S$25,MATCH($A160,'建筑建议总览'!$A$5:$A$25,0))</f>
        <v/>
      </c>
      <c r="S160" s="36">
        <f>INDEX('建筑建议总览'!$T$5:$T$25,MATCH($A160,'建筑建议总览'!$A$5:$A$25,0))</f>
        <v/>
      </c>
      <c r="T160" s="44">
        <f>POWER(Q160,D160-1)</f>
        <v/>
      </c>
      <c r="U160" s="44">
        <f>SUMIF($A$5:$A$328,$A160,$T$5:$T$328)</f>
        <v/>
      </c>
      <c r="V160" s="36">
        <f>IF(R160&gt;0,ROUNDDOWN(MAX(0,R160-O160*(F160-1))*T160/U160,0),0)</f>
        <v/>
      </c>
      <c r="W160" s="36">
        <f>IF(S160&gt;0,ROUNDDOWN(MAX(0,S160-P160*(F160-1))*T160/U160,0),0)</f>
        <v/>
      </c>
      <c r="X160" s="36">
        <f>IF(R160&gt;0,O160+V160+IF(D160=F160-1,MAX(0,R160-O160*(F160-1)-SUMIF($A$5:$A$328,$A160,$V$5:$V$328)),0),ROUNDUP(O160*POWER(INDEX('建筑总览'!$J$5:$J$25,MATCH($A160,'建筑总览'!$A$5:$A$25,0)),D160),0))</f>
        <v/>
      </c>
      <c r="Y160" s="36">
        <f>IF(P160=0,0,IF(S160&gt;0,P160+W160+IF(D160=F160-1,MAX(0,S160-P160*(F160-1)-SUMIF($A$5:$A$328,$A160,$W$5:$W$328)),0),ROUNDUP(P160*POWER(INDEX('建筑总览'!$J$5:$J$25,MATCH($A160,'建筑总览'!$A$5:$A$25,0)),D160),0)))</f>
        <v/>
      </c>
      <c r="Z160" s="36">
        <f>IF(X160=0,0,MAX(1,ROUNDUP(X160*(1-'参数与公式'!$B$17),0)))</f>
        <v/>
      </c>
      <c r="AA160" s="36">
        <f>IF(Y160=0,0,MAX(1,ROUNDUP(Y160*(1-'参数与公式'!$B$17),0)))</f>
        <v/>
      </c>
      <c r="AB160" s="33" t="inlineStr">
        <is>
          <t>预算模式末级补足余数；旧模式按指数公式</t>
        </is>
      </c>
      <c r="AC160" s="49">
        <f>IF(A160=A159,IFERROR(M160/M159,""),"")</f>
        <v/>
      </c>
      <c r="AD160" s="49">
        <f>IF(AND(A160=A159,X159&gt;0),X160/X159,"")</f>
        <v/>
      </c>
    </row>
    <row r="161" ht="30" customHeight="1">
      <c r="A161" s="33" t="inlineStr">
        <is>
          <t>silver_vault</t>
        </is>
      </c>
      <c r="B161" s="33" t="inlineStr">
        <is>
          <t>银库</t>
        </is>
      </c>
      <c r="C161" s="33" t="inlineStr">
        <is>
          <t>仓储设施</t>
        </is>
      </c>
      <c r="D161" s="43" t="n">
        <v>22</v>
      </c>
      <c r="E161" s="36">
        <f>D161+1</f>
        <v/>
      </c>
      <c r="F161" s="43" t="n">
        <v>30</v>
      </c>
      <c r="G161" s="36">
        <f>INDEX('建筑建议总览'!$H$5:$H$25,MATCH($A161,'建筑建议总览'!$A$5:$A$25,0))</f>
        <v/>
      </c>
      <c r="H161" s="44">
        <f>INDEX('建筑建议总览'!$I$5:$I$25,MATCH($A161,'建筑建议总览'!$A$5:$A$25,0))</f>
        <v/>
      </c>
      <c r="I161" s="36">
        <f>INDEX('建筑建议总览'!$J$5:$J$25,MATCH($A161,'建筑建议总览'!$A$5:$A$25,0))</f>
        <v/>
      </c>
      <c r="J161" s="44">
        <f>POWER(H161,D161-1)</f>
        <v/>
      </c>
      <c r="K161" s="44">
        <f>SUMIF($A$5:$A$328,$A161,$J$5:$J$328)</f>
        <v/>
      </c>
      <c r="L161" s="36">
        <f>IF(I161&gt;0,ROUNDDOWN(MAX(0,I161-G161*(F161-1))*J161/K161,0),0)</f>
        <v/>
      </c>
      <c r="M161" s="36">
        <f>IF(I161&gt;0,G161+L161+IF(D161=F161-1,MAX(0,I161-G161*(F161-1)-SUMIF($A$5:$A$328,$A161,$L$5:$L$328)),0),ROUNDUP(G161*POWER(INDEX('建筑总览'!$G$5:$G$25,MATCH($A161,'建筑总览'!$A$5:$A$25,0)),D161),0))</f>
        <v/>
      </c>
      <c r="N161" s="35">
        <f>M161/'参数与公式'!$B$21</f>
        <v/>
      </c>
      <c r="O161" s="36">
        <f>INDEX('建筑建议总览'!$P$5:$P$25,MATCH($A161,'建筑建议总览'!$A$5:$A$25,0))</f>
        <v/>
      </c>
      <c r="P161" s="36">
        <f>INDEX('建筑建议总览'!$Q$5:$Q$25,MATCH($A161,'建筑建议总览'!$A$5:$A$25,0))</f>
        <v/>
      </c>
      <c r="Q161" s="44">
        <f>INDEX('建筑建议总览'!$R$5:$R$25,MATCH($A161,'建筑建议总览'!$A$5:$A$25,0))</f>
        <v/>
      </c>
      <c r="R161" s="36">
        <f>INDEX('建筑建议总览'!$S$5:$S$25,MATCH($A161,'建筑建议总览'!$A$5:$A$25,0))</f>
        <v/>
      </c>
      <c r="S161" s="36">
        <f>INDEX('建筑建议总览'!$T$5:$T$25,MATCH($A161,'建筑建议总览'!$A$5:$A$25,0))</f>
        <v/>
      </c>
      <c r="T161" s="44">
        <f>POWER(Q161,D161-1)</f>
        <v/>
      </c>
      <c r="U161" s="44">
        <f>SUMIF($A$5:$A$328,$A161,$T$5:$T$328)</f>
        <v/>
      </c>
      <c r="V161" s="36">
        <f>IF(R161&gt;0,ROUNDDOWN(MAX(0,R161-O161*(F161-1))*T161/U161,0),0)</f>
        <v/>
      </c>
      <c r="W161" s="36">
        <f>IF(S161&gt;0,ROUNDDOWN(MAX(0,S161-P161*(F161-1))*T161/U161,0),0)</f>
        <v/>
      </c>
      <c r="X161" s="36">
        <f>IF(R161&gt;0,O161+V161+IF(D161=F161-1,MAX(0,R161-O161*(F161-1)-SUMIF($A$5:$A$328,$A161,$V$5:$V$328)),0),ROUNDUP(O161*POWER(INDEX('建筑总览'!$J$5:$J$25,MATCH($A161,'建筑总览'!$A$5:$A$25,0)),D161),0))</f>
        <v/>
      </c>
      <c r="Y161" s="36">
        <f>IF(P161=0,0,IF(S161&gt;0,P161+W161+IF(D161=F161-1,MAX(0,S161-P161*(F161-1)-SUMIF($A$5:$A$328,$A161,$W$5:$W$328)),0),ROUNDUP(P161*POWER(INDEX('建筑总览'!$J$5:$J$25,MATCH($A161,'建筑总览'!$A$5:$A$25,0)),D161),0)))</f>
        <v/>
      </c>
      <c r="Z161" s="36">
        <f>IF(X161=0,0,MAX(1,ROUNDUP(X161*(1-'参数与公式'!$B$17),0)))</f>
        <v/>
      </c>
      <c r="AA161" s="36">
        <f>IF(Y161=0,0,MAX(1,ROUNDUP(Y161*(1-'参数与公式'!$B$17),0)))</f>
        <v/>
      </c>
      <c r="AB161" s="33" t="inlineStr">
        <is>
          <t>预算模式末级补足余数；旧模式按指数公式</t>
        </is>
      </c>
      <c r="AC161" s="49">
        <f>IF(A161=A160,IFERROR(M161/M160,""),"")</f>
        <v/>
      </c>
      <c r="AD161" s="49">
        <f>IF(AND(A161=A160,X160&gt;0),X161/X160,"")</f>
        <v/>
      </c>
    </row>
    <row r="162" ht="30" customHeight="1">
      <c r="A162" s="33" t="inlineStr">
        <is>
          <t>silver_vault</t>
        </is>
      </c>
      <c r="B162" s="33" t="inlineStr">
        <is>
          <t>银库</t>
        </is>
      </c>
      <c r="C162" s="33" t="inlineStr">
        <is>
          <t>仓储设施</t>
        </is>
      </c>
      <c r="D162" s="43" t="n">
        <v>23</v>
      </c>
      <c r="E162" s="36">
        <f>D162+1</f>
        <v/>
      </c>
      <c r="F162" s="43" t="n">
        <v>30</v>
      </c>
      <c r="G162" s="36">
        <f>INDEX('建筑建议总览'!$H$5:$H$25,MATCH($A162,'建筑建议总览'!$A$5:$A$25,0))</f>
        <v/>
      </c>
      <c r="H162" s="44">
        <f>INDEX('建筑建议总览'!$I$5:$I$25,MATCH($A162,'建筑建议总览'!$A$5:$A$25,0))</f>
        <v/>
      </c>
      <c r="I162" s="36">
        <f>INDEX('建筑建议总览'!$J$5:$J$25,MATCH($A162,'建筑建议总览'!$A$5:$A$25,0))</f>
        <v/>
      </c>
      <c r="J162" s="44">
        <f>POWER(H162,D162-1)</f>
        <v/>
      </c>
      <c r="K162" s="44">
        <f>SUMIF($A$5:$A$328,$A162,$J$5:$J$328)</f>
        <v/>
      </c>
      <c r="L162" s="36">
        <f>IF(I162&gt;0,ROUNDDOWN(MAX(0,I162-G162*(F162-1))*J162/K162,0),0)</f>
        <v/>
      </c>
      <c r="M162" s="36">
        <f>IF(I162&gt;0,G162+L162+IF(D162=F162-1,MAX(0,I162-G162*(F162-1)-SUMIF($A$5:$A$328,$A162,$L$5:$L$328)),0),ROUNDUP(G162*POWER(INDEX('建筑总览'!$G$5:$G$25,MATCH($A162,'建筑总览'!$A$5:$A$25,0)),D162),0))</f>
        <v/>
      </c>
      <c r="N162" s="35">
        <f>M162/'参数与公式'!$B$21</f>
        <v/>
      </c>
      <c r="O162" s="36">
        <f>INDEX('建筑建议总览'!$P$5:$P$25,MATCH($A162,'建筑建议总览'!$A$5:$A$25,0))</f>
        <v/>
      </c>
      <c r="P162" s="36">
        <f>INDEX('建筑建议总览'!$Q$5:$Q$25,MATCH($A162,'建筑建议总览'!$A$5:$A$25,0))</f>
        <v/>
      </c>
      <c r="Q162" s="44">
        <f>INDEX('建筑建议总览'!$R$5:$R$25,MATCH($A162,'建筑建议总览'!$A$5:$A$25,0))</f>
        <v/>
      </c>
      <c r="R162" s="36">
        <f>INDEX('建筑建议总览'!$S$5:$S$25,MATCH($A162,'建筑建议总览'!$A$5:$A$25,0))</f>
        <v/>
      </c>
      <c r="S162" s="36">
        <f>INDEX('建筑建议总览'!$T$5:$T$25,MATCH($A162,'建筑建议总览'!$A$5:$A$25,0))</f>
        <v/>
      </c>
      <c r="T162" s="44">
        <f>POWER(Q162,D162-1)</f>
        <v/>
      </c>
      <c r="U162" s="44">
        <f>SUMIF($A$5:$A$328,$A162,$T$5:$T$328)</f>
        <v/>
      </c>
      <c r="V162" s="36">
        <f>IF(R162&gt;0,ROUNDDOWN(MAX(0,R162-O162*(F162-1))*T162/U162,0),0)</f>
        <v/>
      </c>
      <c r="W162" s="36">
        <f>IF(S162&gt;0,ROUNDDOWN(MAX(0,S162-P162*(F162-1))*T162/U162,0),0)</f>
        <v/>
      </c>
      <c r="X162" s="36">
        <f>IF(R162&gt;0,O162+V162+IF(D162=F162-1,MAX(0,R162-O162*(F162-1)-SUMIF($A$5:$A$328,$A162,$V$5:$V$328)),0),ROUNDUP(O162*POWER(INDEX('建筑总览'!$J$5:$J$25,MATCH($A162,'建筑总览'!$A$5:$A$25,0)),D162),0))</f>
        <v/>
      </c>
      <c r="Y162" s="36">
        <f>IF(P162=0,0,IF(S162&gt;0,P162+W162+IF(D162=F162-1,MAX(0,S162-P162*(F162-1)-SUMIF($A$5:$A$328,$A162,$W$5:$W$328)),0),ROUNDUP(P162*POWER(INDEX('建筑总览'!$J$5:$J$25,MATCH($A162,'建筑总览'!$A$5:$A$25,0)),D162),0)))</f>
        <v/>
      </c>
      <c r="Z162" s="36">
        <f>IF(X162=0,0,MAX(1,ROUNDUP(X162*(1-'参数与公式'!$B$17),0)))</f>
        <v/>
      </c>
      <c r="AA162" s="36">
        <f>IF(Y162=0,0,MAX(1,ROUNDUP(Y162*(1-'参数与公式'!$B$17),0)))</f>
        <v/>
      </c>
      <c r="AB162" s="33" t="inlineStr">
        <is>
          <t>预算模式末级补足余数；旧模式按指数公式</t>
        </is>
      </c>
      <c r="AC162" s="49">
        <f>IF(A162=A161,IFERROR(M162/M161,""),"")</f>
        <v/>
      </c>
      <c r="AD162" s="49">
        <f>IF(AND(A162=A161,X161&gt;0),X162/X161,"")</f>
        <v/>
      </c>
    </row>
    <row r="163" ht="30" customHeight="1">
      <c r="A163" s="33" t="inlineStr">
        <is>
          <t>silver_vault</t>
        </is>
      </c>
      <c r="B163" s="33" t="inlineStr">
        <is>
          <t>银库</t>
        </is>
      </c>
      <c r="C163" s="33" t="inlineStr">
        <is>
          <t>仓储设施</t>
        </is>
      </c>
      <c r="D163" s="43" t="n">
        <v>24</v>
      </c>
      <c r="E163" s="36">
        <f>D163+1</f>
        <v/>
      </c>
      <c r="F163" s="43" t="n">
        <v>30</v>
      </c>
      <c r="G163" s="36">
        <f>INDEX('建筑建议总览'!$H$5:$H$25,MATCH($A163,'建筑建议总览'!$A$5:$A$25,0))</f>
        <v/>
      </c>
      <c r="H163" s="44">
        <f>INDEX('建筑建议总览'!$I$5:$I$25,MATCH($A163,'建筑建议总览'!$A$5:$A$25,0))</f>
        <v/>
      </c>
      <c r="I163" s="36">
        <f>INDEX('建筑建议总览'!$J$5:$J$25,MATCH($A163,'建筑建议总览'!$A$5:$A$25,0))</f>
        <v/>
      </c>
      <c r="J163" s="44">
        <f>POWER(H163,D163-1)</f>
        <v/>
      </c>
      <c r="K163" s="44">
        <f>SUMIF($A$5:$A$328,$A163,$J$5:$J$328)</f>
        <v/>
      </c>
      <c r="L163" s="36">
        <f>IF(I163&gt;0,ROUNDDOWN(MAX(0,I163-G163*(F163-1))*J163/K163,0),0)</f>
        <v/>
      </c>
      <c r="M163" s="36">
        <f>IF(I163&gt;0,G163+L163+IF(D163=F163-1,MAX(0,I163-G163*(F163-1)-SUMIF($A$5:$A$328,$A163,$L$5:$L$328)),0),ROUNDUP(G163*POWER(INDEX('建筑总览'!$G$5:$G$25,MATCH($A163,'建筑总览'!$A$5:$A$25,0)),D163),0))</f>
        <v/>
      </c>
      <c r="N163" s="35">
        <f>M163/'参数与公式'!$B$21</f>
        <v/>
      </c>
      <c r="O163" s="36">
        <f>INDEX('建筑建议总览'!$P$5:$P$25,MATCH($A163,'建筑建议总览'!$A$5:$A$25,0))</f>
        <v/>
      </c>
      <c r="P163" s="36">
        <f>INDEX('建筑建议总览'!$Q$5:$Q$25,MATCH($A163,'建筑建议总览'!$A$5:$A$25,0))</f>
        <v/>
      </c>
      <c r="Q163" s="44">
        <f>INDEX('建筑建议总览'!$R$5:$R$25,MATCH($A163,'建筑建议总览'!$A$5:$A$25,0))</f>
        <v/>
      </c>
      <c r="R163" s="36">
        <f>INDEX('建筑建议总览'!$S$5:$S$25,MATCH($A163,'建筑建议总览'!$A$5:$A$25,0))</f>
        <v/>
      </c>
      <c r="S163" s="36">
        <f>INDEX('建筑建议总览'!$T$5:$T$25,MATCH($A163,'建筑建议总览'!$A$5:$A$25,0))</f>
        <v/>
      </c>
      <c r="T163" s="44">
        <f>POWER(Q163,D163-1)</f>
        <v/>
      </c>
      <c r="U163" s="44">
        <f>SUMIF($A$5:$A$328,$A163,$T$5:$T$328)</f>
        <v/>
      </c>
      <c r="V163" s="36">
        <f>IF(R163&gt;0,ROUNDDOWN(MAX(0,R163-O163*(F163-1))*T163/U163,0),0)</f>
        <v/>
      </c>
      <c r="W163" s="36">
        <f>IF(S163&gt;0,ROUNDDOWN(MAX(0,S163-P163*(F163-1))*T163/U163,0),0)</f>
        <v/>
      </c>
      <c r="X163" s="36">
        <f>IF(R163&gt;0,O163+V163+IF(D163=F163-1,MAX(0,R163-O163*(F163-1)-SUMIF($A$5:$A$328,$A163,$V$5:$V$328)),0),ROUNDUP(O163*POWER(INDEX('建筑总览'!$J$5:$J$25,MATCH($A163,'建筑总览'!$A$5:$A$25,0)),D163),0))</f>
        <v/>
      </c>
      <c r="Y163" s="36">
        <f>IF(P163=0,0,IF(S163&gt;0,P163+W163+IF(D163=F163-1,MAX(0,S163-P163*(F163-1)-SUMIF($A$5:$A$328,$A163,$W$5:$W$328)),0),ROUNDUP(P163*POWER(INDEX('建筑总览'!$J$5:$J$25,MATCH($A163,'建筑总览'!$A$5:$A$25,0)),D163),0)))</f>
        <v/>
      </c>
      <c r="Z163" s="36">
        <f>IF(X163=0,0,MAX(1,ROUNDUP(X163*(1-'参数与公式'!$B$17),0)))</f>
        <v/>
      </c>
      <c r="AA163" s="36">
        <f>IF(Y163=0,0,MAX(1,ROUNDUP(Y163*(1-'参数与公式'!$B$17),0)))</f>
        <v/>
      </c>
      <c r="AB163" s="33" t="inlineStr">
        <is>
          <t>预算模式末级补足余数；旧模式按指数公式</t>
        </is>
      </c>
      <c r="AC163" s="49">
        <f>IF(A163=A162,IFERROR(M163/M162,""),"")</f>
        <v/>
      </c>
      <c r="AD163" s="49">
        <f>IF(AND(A163=A162,X162&gt;0),X163/X162,"")</f>
        <v/>
      </c>
    </row>
    <row r="164" ht="30" customHeight="1">
      <c r="A164" s="33" t="inlineStr">
        <is>
          <t>silver_vault</t>
        </is>
      </c>
      <c r="B164" s="33" t="inlineStr">
        <is>
          <t>银库</t>
        </is>
      </c>
      <c r="C164" s="33" t="inlineStr">
        <is>
          <t>仓储设施</t>
        </is>
      </c>
      <c r="D164" s="43" t="n">
        <v>25</v>
      </c>
      <c r="E164" s="36">
        <f>D164+1</f>
        <v/>
      </c>
      <c r="F164" s="43" t="n">
        <v>30</v>
      </c>
      <c r="G164" s="36">
        <f>INDEX('建筑建议总览'!$H$5:$H$25,MATCH($A164,'建筑建议总览'!$A$5:$A$25,0))</f>
        <v/>
      </c>
      <c r="H164" s="44">
        <f>INDEX('建筑建议总览'!$I$5:$I$25,MATCH($A164,'建筑建议总览'!$A$5:$A$25,0))</f>
        <v/>
      </c>
      <c r="I164" s="36">
        <f>INDEX('建筑建议总览'!$J$5:$J$25,MATCH($A164,'建筑建议总览'!$A$5:$A$25,0))</f>
        <v/>
      </c>
      <c r="J164" s="44">
        <f>POWER(H164,D164-1)</f>
        <v/>
      </c>
      <c r="K164" s="44">
        <f>SUMIF($A$5:$A$328,$A164,$J$5:$J$328)</f>
        <v/>
      </c>
      <c r="L164" s="36">
        <f>IF(I164&gt;0,ROUNDDOWN(MAX(0,I164-G164*(F164-1))*J164/K164,0),0)</f>
        <v/>
      </c>
      <c r="M164" s="36">
        <f>IF(I164&gt;0,G164+L164+IF(D164=F164-1,MAX(0,I164-G164*(F164-1)-SUMIF($A$5:$A$328,$A164,$L$5:$L$328)),0),ROUNDUP(G164*POWER(INDEX('建筑总览'!$G$5:$G$25,MATCH($A164,'建筑总览'!$A$5:$A$25,0)),D164),0))</f>
        <v/>
      </c>
      <c r="N164" s="35">
        <f>M164/'参数与公式'!$B$21</f>
        <v/>
      </c>
      <c r="O164" s="36">
        <f>INDEX('建筑建议总览'!$P$5:$P$25,MATCH($A164,'建筑建议总览'!$A$5:$A$25,0))</f>
        <v/>
      </c>
      <c r="P164" s="36">
        <f>INDEX('建筑建议总览'!$Q$5:$Q$25,MATCH($A164,'建筑建议总览'!$A$5:$A$25,0))</f>
        <v/>
      </c>
      <c r="Q164" s="44">
        <f>INDEX('建筑建议总览'!$R$5:$R$25,MATCH($A164,'建筑建议总览'!$A$5:$A$25,0))</f>
        <v/>
      </c>
      <c r="R164" s="36">
        <f>INDEX('建筑建议总览'!$S$5:$S$25,MATCH($A164,'建筑建议总览'!$A$5:$A$25,0))</f>
        <v/>
      </c>
      <c r="S164" s="36">
        <f>INDEX('建筑建议总览'!$T$5:$T$25,MATCH($A164,'建筑建议总览'!$A$5:$A$25,0))</f>
        <v/>
      </c>
      <c r="T164" s="44">
        <f>POWER(Q164,D164-1)</f>
        <v/>
      </c>
      <c r="U164" s="44">
        <f>SUMIF($A$5:$A$328,$A164,$T$5:$T$328)</f>
        <v/>
      </c>
      <c r="V164" s="36">
        <f>IF(R164&gt;0,ROUNDDOWN(MAX(0,R164-O164*(F164-1))*T164/U164,0),0)</f>
        <v/>
      </c>
      <c r="W164" s="36">
        <f>IF(S164&gt;0,ROUNDDOWN(MAX(0,S164-P164*(F164-1))*T164/U164,0),0)</f>
        <v/>
      </c>
      <c r="X164" s="36">
        <f>IF(R164&gt;0,O164+V164+IF(D164=F164-1,MAX(0,R164-O164*(F164-1)-SUMIF($A$5:$A$328,$A164,$V$5:$V$328)),0),ROUNDUP(O164*POWER(INDEX('建筑总览'!$J$5:$J$25,MATCH($A164,'建筑总览'!$A$5:$A$25,0)),D164),0))</f>
        <v/>
      </c>
      <c r="Y164" s="36">
        <f>IF(P164=0,0,IF(S164&gt;0,P164+W164+IF(D164=F164-1,MAX(0,S164-P164*(F164-1)-SUMIF($A$5:$A$328,$A164,$W$5:$W$328)),0),ROUNDUP(P164*POWER(INDEX('建筑总览'!$J$5:$J$25,MATCH($A164,'建筑总览'!$A$5:$A$25,0)),D164),0)))</f>
        <v/>
      </c>
      <c r="Z164" s="36">
        <f>IF(X164=0,0,MAX(1,ROUNDUP(X164*(1-'参数与公式'!$B$17),0)))</f>
        <v/>
      </c>
      <c r="AA164" s="36">
        <f>IF(Y164=0,0,MAX(1,ROUNDUP(Y164*(1-'参数与公式'!$B$17),0)))</f>
        <v/>
      </c>
      <c r="AB164" s="33" t="inlineStr">
        <is>
          <t>预算模式末级补足余数；旧模式按指数公式</t>
        </is>
      </c>
      <c r="AC164" s="49">
        <f>IF(A164=A163,IFERROR(M164/M163,""),"")</f>
        <v/>
      </c>
      <c r="AD164" s="49">
        <f>IF(AND(A164=A163,X163&gt;0),X164/X163,"")</f>
        <v/>
      </c>
    </row>
    <row r="165" ht="30" customHeight="1">
      <c r="A165" s="33" t="inlineStr">
        <is>
          <t>silver_vault</t>
        </is>
      </c>
      <c r="B165" s="33" t="inlineStr">
        <is>
          <t>银库</t>
        </is>
      </c>
      <c r="C165" s="33" t="inlineStr">
        <is>
          <t>仓储设施</t>
        </is>
      </c>
      <c r="D165" s="43" t="n">
        <v>26</v>
      </c>
      <c r="E165" s="36">
        <f>D165+1</f>
        <v/>
      </c>
      <c r="F165" s="43" t="n">
        <v>30</v>
      </c>
      <c r="G165" s="36">
        <f>INDEX('建筑建议总览'!$H$5:$H$25,MATCH($A165,'建筑建议总览'!$A$5:$A$25,0))</f>
        <v/>
      </c>
      <c r="H165" s="44">
        <f>INDEX('建筑建议总览'!$I$5:$I$25,MATCH($A165,'建筑建议总览'!$A$5:$A$25,0))</f>
        <v/>
      </c>
      <c r="I165" s="36">
        <f>INDEX('建筑建议总览'!$J$5:$J$25,MATCH($A165,'建筑建议总览'!$A$5:$A$25,0))</f>
        <v/>
      </c>
      <c r="J165" s="44">
        <f>POWER(H165,D165-1)</f>
        <v/>
      </c>
      <c r="K165" s="44">
        <f>SUMIF($A$5:$A$328,$A165,$J$5:$J$328)</f>
        <v/>
      </c>
      <c r="L165" s="36">
        <f>IF(I165&gt;0,ROUNDDOWN(MAX(0,I165-G165*(F165-1))*J165/K165,0),0)</f>
        <v/>
      </c>
      <c r="M165" s="36">
        <f>IF(I165&gt;0,G165+L165+IF(D165=F165-1,MAX(0,I165-G165*(F165-1)-SUMIF($A$5:$A$328,$A165,$L$5:$L$328)),0),ROUNDUP(G165*POWER(INDEX('建筑总览'!$G$5:$G$25,MATCH($A165,'建筑总览'!$A$5:$A$25,0)),D165),0))</f>
        <v/>
      </c>
      <c r="N165" s="35">
        <f>M165/'参数与公式'!$B$21</f>
        <v/>
      </c>
      <c r="O165" s="36">
        <f>INDEX('建筑建议总览'!$P$5:$P$25,MATCH($A165,'建筑建议总览'!$A$5:$A$25,0))</f>
        <v/>
      </c>
      <c r="P165" s="36">
        <f>INDEX('建筑建议总览'!$Q$5:$Q$25,MATCH($A165,'建筑建议总览'!$A$5:$A$25,0))</f>
        <v/>
      </c>
      <c r="Q165" s="44">
        <f>INDEX('建筑建议总览'!$R$5:$R$25,MATCH($A165,'建筑建议总览'!$A$5:$A$25,0))</f>
        <v/>
      </c>
      <c r="R165" s="36">
        <f>INDEX('建筑建议总览'!$S$5:$S$25,MATCH($A165,'建筑建议总览'!$A$5:$A$25,0))</f>
        <v/>
      </c>
      <c r="S165" s="36">
        <f>INDEX('建筑建议总览'!$T$5:$T$25,MATCH($A165,'建筑建议总览'!$A$5:$A$25,0))</f>
        <v/>
      </c>
      <c r="T165" s="44">
        <f>POWER(Q165,D165-1)</f>
        <v/>
      </c>
      <c r="U165" s="44">
        <f>SUMIF($A$5:$A$328,$A165,$T$5:$T$328)</f>
        <v/>
      </c>
      <c r="V165" s="36">
        <f>IF(R165&gt;0,ROUNDDOWN(MAX(0,R165-O165*(F165-1))*T165/U165,0),0)</f>
        <v/>
      </c>
      <c r="W165" s="36">
        <f>IF(S165&gt;0,ROUNDDOWN(MAX(0,S165-P165*(F165-1))*T165/U165,0),0)</f>
        <v/>
      </c>
      <c r="X165" s="36">
        <f>IF(R165&gt;0,O165+V165+IF(D165=F165-1,MAX(0,R165-O165*(F165-1)-SUMIF($A$5:$A$328,$A165,$V$5:$V$328)),0),ROUNDUP(O165*POWER(INDEX('建筑总览'!$J$5:$J$25,MATCH($A165,'建筑总览'!$A$5:$A$25,0)),D165),0))</f>
        <v/>
      </c>
      <c r="Y165" s="36">
        <f>IF(P165=0,0,IF(S165&gt;0,P165+W165+IF(D165=F165-1,MAX(0,S165-P165*(F165-1)-SUMIF($A$5:$A$328,$A165,$W$5:$W$328)),0),ROUNDUP(P165*POWER(INDEX('建筑总览'!$J$5:$J$25,MATCH($A165,'建筑总览'!$A$5:$A$25,0)),D165),0)))</f>
        <v/>
      </c>
      <c r="Z165" s="36">
        <f>IF(X165=0,0,MAX(1,ROUNDUP(X165*(1-'参数与公式'!$B$17),0)))</f>
        <v/>
      </c>
      <c r="AA165" s="36">
        <f>IF(Y165=0,0,MAX(1,ROUNDUP(Y165*(1-'参数与公式'!$B$17),0)))</f>
        <v/>
      </c>
      <c r="AB165" s="33" t="inlineStr">
        <is>
          <t>预算模式末级补足余数；旧模式按指数公式</t>
        </is>
      </c>
      <c r="AC165" s="49">
        <f>IF(A165=A164,IFERROR(M165/M164,""),"")</f>
        <v/>
      </c>
      <c r="AD165" s="49">
        <f>IF(AND(A165=A164,X164&gt;0),X165/X164,"")</f>
        <v/>
      </c>
    </row>
    <row r="166" ht="30" customHeight="1">
      <c r="A166" s="33" t="inlineStr">
        <is>
          <t>silver_vault</t>
        </is>
      </c>
      <c r="B166" s="33" t="inlineStr">
        <is>
          <t>银库</t>
        </is>
      </c>
      <c r="C166" s="33" t="inlineStr">
        <is>
          <t>仓储设施</t>
        </is>
      </c>
      <c r="D166" s="43" t="n">
        <v>27</v>
      </c>
      <c r="E166" s="36">
        <f>D166+1</f>
        <v/>
      </c>
      <c r="F166" s="43" t="n">
        <v>30</v>
      </c>
      <c r="G166" s="36">
        <f>INDEX('建筑建议总览'!$H$5:$H$25,MATCH($A166,'建筑建议总览'!$A$5:$A$25,0))</f>
        <v/>
      </c>
      <c r="H166" s="44">
        <f>INDEX('建筑建议总览'!$I$5:$I$25,MATCH($A166,'建筑建议总览'!$A$5:$A$25,0))</f>
        <v/>
      </c>
      <c r="I166" s="36">
        <f>INDEX('建筑建议总览'!$J$5:$J$25,MATCH($A166,'建筑建议总览'!$A$5:$A$25,0))</f>
        <v/>
      </c>
      <c r="J166" s="44">
        <f>POWER(H166,D166-1)</f>
        <v/>
      </c>
      <c r="K166" s="44">
        <f>SUMIF($A$5:$A$328,$A166,$J$5:$J$328)</f>
        <v/>
      </c>
      <c r="L166" s="36">
        <f>IF(I166&gt;0,ROUNDDOWN(MAX(0,I166-G166*(F166-1))*J166/K166,0),0)</f>
        <v/>
      </c>
      <c r="M166" s="36">
        <f>IF(I166&gt;0,G166+L166+IF(D166=F166-1,MAX(0,I166-G166*(F166-1)-SUMIF($A$5:$A$328,$A166,$L$5:$L$328)),0),ROUNDUP(G166*POWER(INDEX('建筑总览'!$G$5:$G$25,MATCH($A166,'建筑总览'!$A$5:$A$25,0)),D166),0))</f>
        <v/>
      </c>
      <c r="N166" s="35">
        <f>M166/'参数与公式'!$B$21</f>
        <v/>
      </c>
      <c r="O166" s="36">
        <f>INDEX('建筑建议总览'!$P$5:$P$25,MATCH($A166,'建筑建议总览'!$A$5:$A$25,0))</f>
        <v/>
      </c>
      <c r="P166" s="36">
        <f>INDEX('建筑建议总览'!$Q$5:$Q$25,MATCH($A166,'建筑建议总览'!$A$5:$A$25,0))</f>
        <v/>
      </c>
      <c r="Q166" s="44">
        <f>INDEX('建筑建议总览'!$R$5:$R$25,MATCH($A166,'建筑建议总览'!$A$5:$A$25,0))</f>
        <v/>
      </c>
      <c r="R166" s="36">
        <f>INDEX('建筑建议总览'!$S$5:$S$25,MATCH($A166,'建筑建议总览'!$A$5:$A$25,0))</f>
        <v/>
      </c>
      <c r="S166" s="36">
        <f>INDEX('建筑建议总览'!$T$5:$T$25,MATCH($A166,'建筑建议总览'!$A$5:$A$25,0))</f>
        <v/>
      </c>
      <c r="T166" s="44">
        <f>POWER(Q166,D166-1)</f>
        <v/>
      </c>
      <c r="U166" s="44">
        <f>SUMIF($A$5:$A$328,$A166,$T$5:$T$328)</f>
        <v/>
      </c>
      <c r="V166" s="36">
        <f>IF(R166&gt;0,ROUNDDOWN(MAX(0,R166-O166*(F166-1))*T166/U166,0),0)</f>
        <v/>
      </c>
      <c r="W166" s="36">
        <f>IF(S166&gt;0,ROUNDDOWN(MAX(0,S166-P166*(F166-1))*T166/U166,0),0)</f>
        <v/>
      </c>
      <c r="X166" s="36">
        <f>IF(R166&gt;0,O166+V166+IF(D166=F166-1,MAX(0,R166-O166*(F166-1)-SUMIF($A$5:$A$328,$A166,$V$5:$V$328)),0),ROUNDUP(O166*POWER(INDEX('建筑总览'!$J$5:$J$25,MATCH($A166,'建筑总览'!$A$5:$A$25,0)),D166),0))</f>
        <v/>
      </c>
      <c r="Y166" s="36">
        <f>IF(P166=0,0,IF(S166&gt;0,P166+W166+IF(D166=F166-1,MAX(0,S166-P166*(F166-1)-SUMIF($A$5:$A$328,$A166,$W$5:$W$328)),0),ROUNDUP(P166*POWER(INDEX('建筑总览'!$J$5:$J$25,MATCH($A166,'建筑总览'!$A$5:$A$25,0)),D166),0)))</f>
        <v/>
      </c>
      <c r="Z166" s="36">
        <f>IF(X166=0,0,MAX(1,ROUNDUP(X166*(1-'参数与公式'!$B$17),0)))</f>
        <v/>
      </c>
      <c r="AA166" s="36">
        <f>IF(Y166=0,0,MAX(1,ROUNDUP(Y166*(1-'参数与公式'!$B$17),0)))</f>
        <v/>
      </c>
      <c r="AB166" s="33" t="inlineStr">
        <is>
          <t>预算模式末级补足余数；旧模式按指数公式</t>
        </is>
      </c>
      <c r="AC166" s="49">
        <f>IF(A166=A165,IFERROR(M166/M165,""),"")</f>
        <v/>
      </c>
      <c r="AD166" s="49">
        <f>IF(AND(A166=A165,X165&gt;0),X166/X165,"")</f>
        <v/>
      </c>
    </row>
    <row r="167" ht="30" customHeight="1">
      <c r="A167" s="33" t="inlineStr">
        <is>
          <t>silver_vault</t>
        </is>
      </c>
      <c r="B167" s="33" t="inlineStr">
        <is>
          <t>银库</t>
        </is>
      </c>
      <c r="C167" s="33" t="inlineStr">
        <is>
          <t>仓储设施</t>
        </is>
      </c>
      <c r="D167" s="43" t="n">
        <v>28</v>
      </c>
      <c r="E167" s="36">
        <f>D167+1</f>
        <v/>
      </c>
      <c r="F167" s="43" t="n">
        <v>30</v>
      </c>
      <c r="G167" s="36">
        <f>INDEX('建筑建议总览'!$H$5:$H$25,MATCH($A167,'建筑建议总览'!$A$5:$A$25,0))</f>
        <v/>
      </c>
      <c r="H167" s="44">
        <f>INDEX('建筑建议总览'!$I$5:$I$25,MATCH($A167,'建筑建议总览'!$A$5:$A$25,0))</f>
        <v/>
      </c>
      <c r="I167" s="36">
        <f>INDEX('建筑建议总览'!$J$5:$J$25,MATCH($A167,'建筑建议总览'!$A$5:$A$25,0))</f>
        <v/>
      </c>
      <c r="J167" s="44">
        <f>POWER(H167,D167-1)</f>
        <v/>
      </c>
      <c r="K167" s="44">
        <f>SUMIF($A$5:$A$328,$A167,$J$5:$J$328)</f>
        <v/>
      </c>
      <c r="L167" s="36">
        <f>IF(I167&gt;0,ROUNDDOWN(MAX(0,I167-G167*(F167-1))*J167/K167,0),0)</f>
        <v/>
      </c>
      <c r="M167" s="36">
        <f>IF(I167&gt;0,G167+L167+IF(D167=F167-1,MAX(0,I167-G167*(F167-1)-SUMIF($A$5:$A$328,$A167,$L$5:$L$328)),0),ROUNDUP(G167*POWER(INDEX('建筑总览'!$G$5:$G$25,MATCH($A167,'建筑总览'!$A$5:$A$25,0)),D167),0))</f>
        <v/>
      </c>
      <c r="N167" s="35">
        <f>M167/'参数与公式'!$B$21</f>
        <v/>
      </c>
      <c r="O167" s="36">
        <f>INDEX('建筑建议总览'!$P$5:$P$25,MATCH($A167,'建筑建议总览'!$A$5:$A$25,0))</f>
        <v/>
      </c>
      <c r="P167" s="36">
        <f>INDEX('建筑建议总览'!$Q$5:$Q$25,MATCH($A167,'建筑建议总览'!$A$5:$A$25,0))</f>
        <v/>
      </c>
      <c r="Q167" s="44">
        <f>INDEX('建筑建议总览'!$R$5:$R$25,MATCH($A167,'建筑建议总览'!$A$5:$A$25,0))</f>
        <v/>
      </c>
      <c r="R167" s="36">
        <f>INDEX('建筑建议总览'!$S$5:$S$25,MATCH($A167,'建筑建议总览'!$A$5:$A$25,0))</f>
        <v/>
      </c>
      <c r="S167" s="36">
        <f>INDEX('建筑建议总览'!$T$5:$T$25,MATCH($A167,'建筑建议总览'!$A$5:$A$25,0))</f>
        <v/>
      </c>
      <c r="T167" s="44">
        <f>POWER(Q167,D167-1)</f>
        <v/>
      </c>
      <c r="U167" s="44">
        <f>SUMIF($A$5:$A$328,$A167,$T$5:$T$328)</f>
        <v/>
      </c>
      <c r="V167" s="36">
        <f>IF(R167&gt;0,ROUNDDOWN(MAX(0,R167-O167*(F167-1))*T167/U167,0),0)</f>
        <v/>
      </c>
      <c r="W167" s="36">
        <f>IF(S167&gt;0,ROUNDDOWN(MAX(0,S167-P167*(F167-1))*T167/U167,0),0)</f>
        <v/>
      </c>
      <c r="X167" s="36">
        <f>IF(R167&gt;0,O167+V167+IF(D167=F167-1,MAX(0,R167-O167*(F167-1)-SUMIF($A$5:$A$328,$A167,$V$5:$V$328)),0),ROUNDUP(O167*POWER(INDEX('建筑总览'!$J$5:$J$25,MATCH($A167,'建筑总览'!$A$5:$A$25,0)),D167),0))</f>
        <v/>
      </c>
      <c r="Y167" s="36">
        <f>IF(P167=0,0,IF(S167&gt;0,P167+W167+IF(D167=F167-1,MAX(0,S167-P167*(F167-1)-SUMIF($A$5:$A$328,$A167,$W$5:$W$328)),0),ROUNDUP(P167*POWER(INDEX('建筑总览'!$J$5:$J$25,MATCH($A167,'建筑总览'!$A$5:$A$25,0)),D167),0)))</f>
        <v/>
      </c>
      <c r="Z167" s="36">
        <f>IF(X167=0,0,MAX(1,ROUNDUP(X167*(1-'参数与公式'!$B$17),0)))</f>
        <v/>
      </c>
      <c r="AA167" s="36">
        <f>IF(Y167=0,0,MAX(1,ROUNDUP(Y167*(1-'参数与公式'!$B$17),0)))</f>
        <v/>
      </c>
      <c r="AB167" s="33" t="inlineStr">
        <is>
          <t>预算模式末级补足余数；旧模式按指数公式</t>
        </is>
      </c>
      <c r="AC167" s="49">
        <f>IF(A167=A166,IFERROR(M167/M166,""),"")</f>
        <v/>
      </c>
      <c r="AD167" s="49">
        <f>IF(AND(A167=A166,X166&gt;0),X167/X166,"")</f>
        <v/>
      </c>
    </row>
    <row r="168" ht="30" customHeight="1">
      <c r="A168" s="33" t="inlineStr">
        <is>
          <t>silver_vault</t>
        </is>
      </c>
      <c r="B168" s="33" t="inlineStr">
        <is>
          <t>银库</t>
        </is>
      </c>
      <c r="C168" s="33" t="inlineStr">
        <is>
          <t>仓储设施</t>
        </is>
      </c>
      <c r="D168" s="43" t="n">
        <v>29</v>
      </c>
      <c r="E168" s="36">
        <f>D168+1</f>
        <v/>
      </c>
      <c r="F168" s="43" t="n">
        <v>30</v>
      </c>
      <c r="G168" s="36">
        <f>INDEX('建筑建议总览'!$H$5:$H$25,MATCH($A168,'建筑建议总览'!$A$5:$A$25,0))</f>
        <v/>
      </c>
      <c r="H168" s="44">
        <f>INDEX('建筑建议总览'!$I$5:$I$25,MATCH($A168,'建筑建议总览'!$A$5:$A$25,0))</f>
        <v/>
      </c>
      <c r="I168" s="36">
        <f>INDEX('建筑建议总览'!$J$5:$J$25,MATCH($A168,'建筑建议总览'!$A$5:$A$25,0))</f>
        <v/>
      </c>
      <c r="J168" s="44">
        <f>POWER(H168,D168-1)</f>
        <v/>
      </c>
      <c r="K168" s="44">
        <f>SUMIF($A$5:$A$328,$A168,$J$5:$J$328)</f>
        <v/>
      </c>
      <c r="L168" s="36">
        <f>IF(I168&gt;0,ROUNDDOWN(MAX(0,I168-G168*(F168-1))*J168/K168,0),0)</f>
        <v/>
      </c>
      <c r="M168" s="36">
        <f>IF(I168&gt;0,G168+L168+IF(D168=F168-1,MAX(0,I168-G168*(F168-1)-SUMIF($A$5:$A$328,$A168,$L$5:$L$328)),0),ROUNDUP(G168*POWER(INDEX('建筑总览'!$G$5:$G$25,MATCH($A168,'建筑总览'!$A$5:$A$25,0)),D168),0))</f>
        <v/>
      </c>
      <c r="N168" s="35">
        <f>M168/'参数与公式'!$B$21</f>
        <v/>
      </c>
      <c r="O168" s="36">
        <f>INDEX('建筑建议总览'!$P$5:$P$25,MATCH($A168,'建筑建议总览'!$A$5:$A$25,0))</f>
        <v/>
      </c>
      <c r="P168" s="36">
        <f>INDEX('建筑建议总览'!$Q$5:$Q$25,MATCH($A168,'建筑建议总览'!$A$5:$A$25,0))</f>
        <v/>
      </c>
      <c r="Q168" s="44">
        <f>INDEX('建筑建议总览'!$R$5:$R$25,MATCH($A168,'建筑建议总览'!$A$5:$A$25,0))</f>
        <v/>
      </c>
      <c r="R168" s="36">
        <f>INDEX('建筑建议总览'!$S$5:$S$25,MATCH($A168,'建筑建议总览'!$A$5:$A$25,0))</f>
        <v/>
      </c>
      <c r="S168" s="36">
        <f>INDEX('建筑建议总览'!$T$5:$T$25,MATCH($A168,'建筑建议总览'!$A$5:$A$25,0))</f>
        <v/>
      </c>
      <c r="T168" s="44">
        <f>POWER(Q168,D168-1)</f>
        <v/>
      </c>
      <c r="U168" s="44">
        <f>SUMIF($A$5:$A$328,$A168,$T$5:$T$328)</f>
        <v/>
      </c>
      <c r="V168" s="36">
        <f>IF(R168&gt;0,ROUNDDOWN(MAX(0,R168-O168*(F168-1))*T168/U168,0),0)</f>
        <v/>
      </c>
      <c r="W168" s="36">
        <f>IF(S168&gt;0,ROUNDDOWN(MAX(0,S168-P168*(F168-1))*T168/U168,0),0)</f>
        <v/>
      </c>
      <c r="X168" s="36">
        <f>IF(R168&gt;0,O168+V168+IF(D168=F168-1,MAX(0,R168-O168*(F168-1)-SUMIF($A$5:$A$328,$A168,$V$5:$V$328)),0),ROUNDUP(O168*POWER(INDEX('建筑总览'!$J$5:$J$25,MATCH($A168,'建筑总览'!$A$5:$A$25,0)),D168),0))</f>
        <v/>
      </c>
      <c r="Y168" s="36">
        <f>IF(P168=0,0,IF(S168&gt;0,P168+W168+IF(D168=F168-1,MAX(0,S168-P168*(F168-1)-SUMIF($A$5:$A$328,$A168,$W$5:$W$328)),0),ROUNDUP(P168*POWER(INDEX('建筑总览'!$J$5:$J$25,MATCH($A168,'建筑总览'!$A$5:$A$25,0)),D168),0)))</f>
        <v/>
      </c>
      <c r="Z168" s="36">
        <f>IF(X168=0,0,MAX(1,ROUNDUP(X168*(1-'参数与公式'!$B$17),0)))</f>
        <v/>
      </c>
      <c r="AA168" s="36">
        <f>IF(Y168=0,0,MAX(1,ROUNDUP(Y168*(1-'参数与公式'!$B$17),0)))</f>
        <v/>
      </c>
      <c r="AB168" s="33" t="inlineStr">
        <is>
          <t>预算模式末级补足余数；旧模式按指数公式</t>
        </is>
      </c>
      <c r="AC168" s="49">
        <f>IF(A168=A167,IFERROR(M168/M167,""),"")</f>
        <v/>
      </c>
      <c r="AD168" s="49">
        <f>IF(AND(A168=A167,X167&gt;0),X168/X167,"")</f>
        <v/>
      </c>
    </row>
    <row r="169" ht="30" customHeight="1">
      <c r="A169" s="33" t="inlineStr">
        <is>
          <t>treasury</t>
        </is>
      </c>
      <c r="B169" s="33" t="inlineStr">
        <is>
          <t>藏宝阁</t>
        </is>
      </c>
      <c r="C169" s="33" t="inlineStr">
        <is>
          <t>仓储设施</t>
        </is>
      </c>
      <c r="D169" s="43" t="n">
        <v>1</v>
      </c>
      <c r="E169" s="36">
        <f>D169+1</f>
        <v/>
      </c>
      <c r="F169" s="43" t="n">
        <v>20</v>
      </c>
      <c r="G169" s="36">
        <f>INDEX('建筑建议总览'!$H$5:$H$25,MATCH($A169,'建筑建议总览'!$A$5:$A$25,0))</f>
        <v/>
      </c>
      <c r="H169" s="44">
        <f>INDEX('建筑建议总览'!$I$5:$I$25,MATCH($A169,'建筑建议总览'!$A$5:$A$25,0))</f>
        <v/>
      </c>
      <c r="I169" s="36">
        <f>INDEX('建筑建议总览'!$J$5:$J$25,MATCH($A169,'建筑建议总览'!$A$5:$A$25,0))</f>
        <v/>
      </c>
      <c r="J169" s="44">
        <f>POWER(H169,D169-1)</f>
        <v/>
      </c>
      <c r="K169" s="44">
        <f>SUMIF($A$5:$A$328,$A169,$J$5:$J$328)</f>
        <v/>
      </c>
      <c r="L169" s="36">
        <f>IF(I169&gt;0,ROUNDDOWN(MAX(0,I169-G169*(F169-1))*J169/K169,0),0)</f>
        <v/>
      </c>
      <c r="M169" s="36">
        <f>IF(I169&gt;0,G169+L169+IF(D169=F169-1,MAX(0,I169-G169*(F169-1)-SUMIF($A$5:$A$328,$A169,$L$5:$L$328)),0),ROUNDUP(G169*POWER(INDEX('建筑总览'!$G$5:$G$25,MATCH($A169,'建筑总览'!$A$5:$A$25,0)),D169),0))</f>
        <v/>
      </c>
      <c r="N169" s="35">
        <f>M169/'参数与公式'!$B$21</f>
        <v/>
      </c>
      <c r="O169" s="36">
        <f>INDEX('建筑建议总览'!$P$5:$P$25,MATCH($A169,'建筑建议总览'!$A$5:$A$25,0))</f>
        <v/>
      </c>
      <c r="P169" s="36">
        <f>INDEX('建筑建议总览'!$Q$5:$Q$25,MATCH($A169,'建筑建议总览'!$A$5:$A$25,0))</f>
        <v/>
      </c>
      <c r="Q169" s="44">
        <f>INDEX('建筑建议总览'!$R$5:$R$25,MATCH($A169,'建筑建议总览'!$A$5:$A$25,0))</f>
        <v/>
      </c>
      <c r="R169" s="36">
        <f>INDEX('建筑建议总览'!$S$5:$S$25,MATCH($A169,'建筑建议总览'!$A$5:$A$25,0))</f>
        <v/>
      </c>
      <c r="S169" s="36">
        <f>INDEX('建筑建议总览'!$T$5:$T$25,MATCH($A169,'建筑建议总览'!$A$5:$A$25,0))</f>
        <v/>
      </c>
      <c r="T169" s="44">
        <f>POWER(Q169,D169-1)</f>
        <v/>
      </c>
      <c r="U169" s="44">
        <f>SUMIF($A$5:$A$328,$A169,$T$5:$T$328)</f>
        <v/>
      </c>
      <c r="V169" s="36">
        <f>IF(R169&gt;0,ROUNDDOWN(MAX(0,R169-O169*(F169-1))*T169/U169,0),0)</f>
        <v/>
      </c>
      <c r="W169" s="36">
        <f>IF(S169&gt;0,ROUNDDOWN(MAX(0,S169-P169*(F169-1))*T169/U169,0),0)</f>
        <v/>
      </c>
      <c r="X169" s="36">
        <f>IF(R169&gt;0,O169+V169+IF(D169=F169-1,MAX(0,R169-O169*(F169-1)-SUMIF($A$5:$A$328,$A169,$V$5:$V$328)),0),ROUNDUP(O169*POWER(INDEX('建筑总览'!$J$5:$J$25,MATCH($A169,'建筑总览'!$A$5:$A$25,0)),D169),0))</f>
        <v/>
      </c>
      <c r="Y169" s="36">
        <f>IF(P169=0,0,IF(S169&gt;0,P169+W169+IF(D169=F169-1,MAX(0,S169-P169*(F169-1)-SUMIF($A$5:$A$328,$A169,$W$5:$W$328)),0),ROUNDUP(P169*POWER(INDEX('建筑总览'!$J$5:$J$25,MATCH($A169,'建筑总览'!$A$5:$A$25,0)),D169),0)))</f>
        <v/>
      </c>
      <c r="Z169" s="36">
        <f>IF(X169=0,0,MAX(1,ROUNDUP(X169*(1-'参数与公式'!$B$17),0)))</f>
        <v/>
      </c>
      <c r="AA169" s="36">
        <f>IF(Y169=0,0,MAX(1,ROUNDUP(Y169*(1-'参数与公式'!$B$17),0)))</f>
        <v/>
      </c>
      <c r="AB169" s="33" t="inlineStr">
        <is>
          <t>预算模式末级补足余数；旧模式按指数公式</t>
        </is>
      </c>
      <c r="AC169" s="49">
        <f>IF(A169=A168,IFERROR(M169/M168,""),"")</f>
        <v/>
      </c>
      <c r="AD169" s="49">
        <f>IF(AND(A169=A168,X168&gt;0),X169/X168,"")</f>
        <v/>
      </c>
    </row>
    <row r="170" ht="30" customHeight="1">
      <c r="A170" s="33" t="inlineStr">
        <is>
          <t>treasury</t>
        </is>
      </c>
      <c r="B170" s="33" t="inlineStr">
        <is>
          <t>藏宝阁</t>
        </is>
      </c>
      <c r="C170" s="33" t="inlineStr">
        <is>
          <t>仓储设施</t>
        </is>
      </c>
      <c r="D170" s="43" t="n">
        <v>2</v>
      </c>
      <c r="E170" s="36">
        <f>D170+1</f>
        <v/>
      </c>
      <c r="F170" s="43" t="n">
        <v>20</v>
      </c>
      <c r="G170" s="36">
        <f>INDEX('建筑建议总览'!$H$5:$H$25,MATCH($A170,'建筑建议总览'!$A$5:$A$25,0))</f>
        <v/>
      </c>
      <c r="H170" s="44">
        <f>INDEX('建筑建议总览'!$I$5:$I$25,MATCH($A170,'建筑建议总览'!$A$5:$A$25,0))</f>
        <v/>
      </c>
      <c r="I170" s="36">
        <f>INDEX('建筑建议总览'!$J$5:$J$25,MATCH($A170,'建筑建议总览'!$A$5:$A$25,0))</f>
        <v/>
      </c>
      <c r="J170" s="44">
        <f>POWER(H170,D170-1)</f>
        <v/>
      </c>
      <c r="K170" s="44">
        <f>SUMIF($A$5:$A$328,$A170,$J$5:$J$328)</f>
        <v/>
      </c>
      <c r="L170" s="36">
        <f>IF(I170&gt;0,ROUNDDOWN(MAX(0,I170-G170*(F170-1))*J170/K170,0),0)</f>
        <v/>
      </c>
      <c r="M170" s="36">
        <f>IF(I170&gt;0,G170+L170+IF(D170=F170-1,MAX(0,I170-G170*(F170-1)-SUMIF($A$5:$A$328,$A170,$L$5:$L$328)),0),ROUNDUP(G170*POWER(INDEX('建筑总览'!$G$5:$G$25,MATCH($A170,'建筑总览'!$A$5:$A$25,0)),D170),0))</f>
        <v/>
      </c>
      <c r="N170" s="35">
        <f>M170/'参数与公式'!$B$21</f>
        <v/>
      </c>
      <c r="O170" s="36">
        <f>INDEX('建筑建议总览'!$P$5:$P$25,MATCH($A170,'建筑建议总览'!$A$5:$A$25,0))</f>
        <v/>
      </c>
      <c r="P170" s="36">
        <f>INDEX('建筑建议总览'!$Q$5:$Q$25,MATCH($A170,'建筑建议总览'!$A$5:$A$25,0))</f>
        <v/>
      </c>
      <c r="Q170" s="44">
        <f>INDEX('建筑建议总览'!$R$5:$R$25,MATCH($A170,'建筑建议总览'!$A$5:$A$25,0))</f>
        <v/>
      </c>
      <c r="R170" s="36">
        <f>INDEX('建筑建议总览'!$S$5:$S$25,MATCH($A170,'建筑建议总览'!$A$5:$A$25,0))</f>
        <v/>
      </c>
      <c r="S170" s="36">
        <f>INDEX('建筑建议总览'!$T$5:$T$25,MATCH($A170,'建筑建议总览'!$A$5:$A$25,0))</f>
        <v/>
      </c>
      <c r="T170" s="44">
        <f>POWER(Q170,D170-1)</f>
        <v/>
      </c>
      <c r="U170" s="44">
        <f>SUMIF($A$5:$A$328,$A170,$T$5:$T$328)</f>
        <v/>
      </c>
      <c r="V170" s="36">
        <f>IF(R170&gt;0,ROUNDDOWN(MAX(0,R170-O170*(F170-1))*T170/U170,0),0)</f>
        <v/>
      </c>
      <c r="W170" s="36">
        <f>IF(S170&gt;0,ROUNDDOWN(MAX(0,S170-P170*(F170-1))*T170/U170,0),0)</f>
        <v/>
      </c>
      <c r="X170" s="36">
        <f>IF(R170&gt;0,O170+V170+IF(D170=F170-1,MAX(0,R170-O170*(F170-1)-SUMIF($A$5:$A$328,$A170,$V$5:$V$328)),0),ROUNDUP(O170*POWER(INDEX('建筑总览'!$J$5:$J$25,MATCH($A170,'建筑总览'!$A$5:$A$25,0)),D170),0))</f>
        <v/>
      </c>
      <c r="Y170" s="36">
        <f>IF(P170=0,0,IF(S170&gt;0,P170+W170+IF(D170=F170-1,MAX(0,S170-P170*(F170-1)-SUMIF($A$5:$A$328,$A170,$W$5:$W$328)),0),ROUNDUP(P170*POWER(INDEX('建筑总览'!$J$5:$J$25,MATCH($A170,'建筑总览'!$A$5:$A$25,0)),D170),0)))</f>
        <v/>
      </c>
      <c r="Z170" s="36">
        <f>IF(X170=0,0,MAX(1,ROUNDUP(X170*(1-'参数与公式'!$B$17),0)))</f>
        <v/>
      </c>
      <c r="AA170" s="36">
        <f>IF(Y170=0,0,MAX(1,ROUNDUP(Y170*(1-'参数与公式'!$B$17),0)))</f>
        <v/>
      </c>
      <c r="AB170" s="33" t="inlineStr">
        <is>
          <t>预算模式末级补足余数；旧模式按指数公式</t>
        </is>
      </c>
      <c r="AC170" s="49">
        <f>IF(A170=A169,IFERROR(M170/M169,""),"")</f>
        <v/>
      </c>
      <c r="AD170" s="49">
        <f>IF(AND(A170=A169,X169&gt;0),X170/X169,"")</f>
        <v/>
      </c>
    </row>
    <row r="171" ht="30" customHeight="1">
      <c r="A171" s="33" t="inlineStr">
        <is>
          <t>treasury</t>
        </is>
      </c>
      <c r="B171" s="33" t="inlineStr">
        <is>
          <t>藏宝阁</t>
        </is>
      </c>
      <c r="C171" s="33" t="inlineStr">
        <is>
          <t>仓储设施</t>
        </is>
      </c>
      <c r="D171" s="43" t="n">
        <v>3</v>
      </c>
      <c r="E171" s="36">
        <f>D171+1</f>
        <v/>
      </c>
      <c r="F171" s="43" t="n">
        <v>20</v>
      </c>
      <c r="G171" s="36">
        <f>INDEX('建筑建议总览'!$H$5:$H$25,MATCH($A171,'建筑建议总览'!$A$5:$A$25,0))</f>
        <v/>
      </c>
      <c r="H171" s="44">
        <f>INDEX('建筑建议总览'!$I$5:$I$25,MATCH($A171,'建筑建议总览'!$A$5:$A$25,0))</f>
        <v/>
      </c>
      <c r="I171" s="36">
        <f>INDEX('建筑建议总览'!$J$5:$J$25,MATCH($A171,'建筑建议总览'!$A$5:$A$25,0))</f>
        <v/>
      </c>
      <c r="J171" s="44">
        <f>POWER(H171,D171-1)</f>
        <v/>
      </c>
      <c r="K171" s="44">
        <f>SUMIF($A$5:$A$328,$A171,$J$5:$J$328)</f>
        <v/>
      </c>
      <c r="L171" s="36">
        <f>IF(I171&gt;0,ROUNDDOWN(MAX(0,I171-G171*(F171-1))*J171/K171,0),0)</f>
        <v/>
      </c>
      <c r="M171" s="36">
        <f>IF(I171&gt;0,G171+L171+IF(D171=F171-1,MAX(0,I171-G171*(F171-1)-SUMIF($A$5:$A$328,$A171,$L$5:$L$328)),0),ROUNDUP(G171*POWER(INDEX('建筑总览'!$G$5:$G$25,MATCH($A171,'建筑总览'!$A$5:$A$25,0)),D171),0))</f>
        <v/>
      </c>
      <c r="N171" s="35">
        <f>M171/'参数与公式'!$B$21</f>
        <v/>
      </c>
      <c r="O171" s="36">
        <f>INDEX('建筑建议总览'!$P$5:$P$25,MATCH($A171,'建筑建议总览'!$A$5:$A$25,0))</f>
        <v/>
      </c>
      <c r="P171" s="36">
        <f>INDEX('建筑建议总览'!$Q$5:$Q$25,MATCH($A171,'建筑建议总览'!$A$5:$A$25,0))</f>
        <v/>
      </c>
      <c r="Q171" s="44">
        <f>INDEX('建筑建议总览'!$R$5:$R$25,MATCH($A171,'建筑建议总览'!$A$5:$A$25,0))</f>
        <v/>
      </c>
      <c r="R171" s="36">
        <f>INDEX('建筑建议总览'!$S$5:$S$25,MATCH($A171,'建筑建议总览'!$A$5:$A$25,0))</f>
        <v/>
      </c>
      <c r="S171" s="36">
        <f>INDEX('建筑建议总览'!$T$5:$T$25,MATCH($A171,'建筑建议总览'!$A$5:$A$25,0))</f>
        <v/>
      </c>
      <c r="T171" s="44">
        <f>POWER(Q171,D171-1)</f>
        <v/>
      </c>
      <c r="U171" s="44">
        <f>SUMIF($A$5:$A$328,$A171,$T$5:$T$328)</f>
        <v/>
      </c>
      <c r="V171" s="36">
        <f>IF(R171&gt;0,ROUNDDOWN(MAX(0,R171-O171*(F171-1))*T171/U171,0),0)</f>
        <v/>
      </c>
      <c r="W171" s="36">
        <f>IF(S171&gt;0,ROUNDDOWN(MAX(0,S171-P171*(F171-1))*T171/U171,0),0)</f>
        <v/>
      </c>
      <c r="X171" s="36">
        <f>IF(R171&gt;0,O171+V171+IF(D171=F171-1,MAX(0,R171-O171*(F171-1)-SUMIF($A$5:$A$328,$A171,$V$5:$V$328)),0),ROUNDUP(O171*POWER(INDEX('建筑总览'!$J$5:$J$25,MATCH($A171,'建筑总览'!$A$5:$A$25,0)),D171),0))</f>
        <v/>
      </c>
      <c r="Y171" s="36">
        <f>IF(P171=0,0,IF(S171&gt;0,P171+W171+IF(D171=F171-1,MAX(0,S171-P171*(F171-1)-SUMIF($A$5:$A$328,$A171,$W$5:$W$328)),0),ROUNDUP(P171*POWER(INDEX('建筑总览'!$J$5:$J$25,MATCH($A171,'建筑总览'!$A$5:$A$25,0)),D171),0)))</f>
        <v/>
      </c>
      <c r="Z171" s="36">
        <f>IF(X171=0,0,MAX(1,ROUNDUP(X171*(1-'参数与公式'!$B$17),0)))</f>
        <v/>
      </c>
      <c r="AA171" s="36">
        <f>IF(Y171=0,0,MAX(1,ROUNDUP(Y171*(1-'参数与公式'!$B$17),0)))</f>
        <v/>
      </c>
      <c r="AB171" s="33" t="inlineStr">
        <is>
          <t>预算模式末级补足余数；旧模式按指数公式</t>
        </is>
      </c>
      <c r="AC171" s="49">
        <f>IF(A171=A170,IFERROR(M171/M170,""),"")</f>
        <v/>
      </c>
      <c r="AD171" s="49">
        <f>IF(AND(A171=A170,X170&gt;0),X171/X170,"")</f>
        <v/>
      </c>
    </row>
    <row r="172" ht="30" customHeight="1">
      <c r="A172" s="33" t="inlineStr">
        <is>
          <t>treasury</t>
        </is>
      </c>
      <c r="B172" s="33" t="inlineStr">
        <is>
          <t>藏宝阁</t>
        </is>
      </c>
      <c r="C172" s="33" t="inlineStr">
        <is>
          <t>仓储设施</t>
        </is>
      </c>
      <c r="D172" s="43" t="n">
        <v>4</v>
      </c>
      <c r="E172" s="36">
        <f>D172+1</f>
        <v/>
      </c>
      <c r="F172" s="43" t="n">
        <v>20</v>
      </c>
      <c r="G172" s="36">
        <f>INDEX('建筑建议总览'!$H$5:$H$25,MATCH($A172,'建筑建议总览'!$A$5:$A$25,0))</f>
        <v/>
      </c>
      <c r="H172" s="44">
        <f>INDEX('建筑建议总览'!$I$5:$I$25,MATCH($A172,'建筑建议总览'!$A$5:$A$25,0))</f>
        <v/>
      </c>
      <c r="I172" s="36">
        <f>INDEX('建筑建议总览'!$J$5:$J$25,MATCH($A172,'建筑建议总览'!$A$5:$A$25,0))</f>
        <v/>
      </c>
      <c r="J172" s="44">
        <f>POWER(H172,D172-1)</f>
        <v/>
      </c>
      <c r="K172" s="44">
        <f>SUMIF($A$5:$A$328,$A172,$J$5:$J$328)</f>
        <v/>
      </c>
      <c r="L172" s="36">
        <f>IF(I172&gt;0,ROUNDDOWN(MAX(0,I172-G172*(F172-1))*J172/K172,0),0)</f>
        <v/>
      </c>
      <c r="M172" s="36">
        <f>IF(I172&gt;0,G172+L172+IF(D172=F172-1,MAX(0,I172-G172*(F172-1)-SUMIF($A$5:$A$328,$A172,$L$5:$L$328)),0),ROUNDUP(G172*POWER(INDEX('建筑总览'!$G$5:$G$25,MATCH($A172,'建筑总览'!$A$5:$A$25,0)),D172),0))</f>
        <v/>
      </c>
      <c r="N172" s="35">
        <f>M172/'参数与公式'!$B$21</f>
        <v/>
      </c>
      <c r="O172" s="36">
        <f>INDEX('建筑建议总览'!$P$5:$P$25,MATCH($A172,'建筑建议总览'!$A$5:$A$25,0))</f>
        <v/>
      </c>
      <c r="P172" s="36">
        <f>INDEX('建筑建议总览'!$Q$5:$Q$25,MATCH($A172,'建筑建议总览'!$A$5:$A$25,0))</f>
        <v/>
      </c>
      <c r="Q172" s="44">
        <f>INDEX('建筑建议总览'!$R$5:$R$25,MATCH($A172,'建筑建议总览'!$A$5:$A$25,0))</f>
        <v/>
      </c>
      <c r="R172" s="36">
        <f>INDEX('建筑建议总览'!$S$5:$S$25,MATCH($A172,'建筑建议总览'!$A$5:$A$25,0))</f>
        <v/>
      </c>
      <c r="S172" s="36">
        <f>INDEX('建筑建议总览'!$T$5:$T$25,MATCH($A172,'建筑建议总览'!$A$5:$A$25,0))</f>
        <v/>
      </c>
      <c r="T172" s="44">
        <f>POWER(Q172,D172-1)</f>
        <v/>
      </c>
      <c r="U172" s="44">
        <f>SUMIF($A$5:$A$328,$A172,$T$5:$T$328)</f>
        <v/>
      </c>
      <c r="V172" s="36">
        <f>IF(R172&gt;0,ROUNDDOWN(MAX(0,R172-O172*(F172-1))*T172/U172,0),0)</f>
        <v/>
      </c>
      <c r="W172" s="36">
        <f>IF(S172&gt;0,ROUNDDOWN(MAX(0,S172-P172*(F172-1))*T172/U172,0),0)</f>
        <v/>
      </c>
      <c r="X172" s="36">
        <f>IF(R172&gt;0,O172+V172+IF(D172=F172-1,MAX(0,R172-O172*(F172-1)-SUMIF($A$5:$A$328,$A172,$V$5:$V$328)),0),ROUNDUP(O172*POWER(INDEX('建筑总览'!$J$5:$J$25,MATCH($A172,'建筑总览'!$A$5:$A$25,0)),D172),0))</f>
        <v/>
      </c>
      <c r="Y172" s="36">
        <f>IF(P172=0,0,IF(S172&gt;0,P172+W172+IF(D172=F172-1,MAX(0,S172-P172*(F172-1)-SUMIF($A$5:$A$328,$A172,$W$5:$W$328)),0),ROUNDUP(P172*POWER(INDEX('建筑总览'!$J$5:$J$25,MATCH($A172,'建筑总览'!$A$5:$A$25,0)),D172),0)))</f>
        <v/>
      </c>
      <c r="Z172" s="36">
        <f>IF(X172=0,0,MAX(1,ROUNDUP(X172*(1-'参数与公式'!$B$17),0)))</f>
        <v/>
      </c>
      <c r="AA172" s="36">
        <f>IF(Y172=0,0,MAX(1,ROUNDUP(Y172*(1-'参数与公式'!$B$17),0)))</f>
        <v/>
      </c>
      <c r="AB172" s="33" t="inlineStr">
        <is>
          <t>预算模式末级补足余数；旧模式按指数公式</t>
        </is>
      </c>
      <c r="AC172" s="49">
        <f>IF(A172=A171,IFERROR(M172/M171,""),"")</f>
        <v/>
      </c>
      <c r="AD172" s="49">
        <f>IF(AND(A172=A171,X171&gt;0),X172/X171,"")</f>
        <v/>
      </c>
    </row>
    <row r="173" ht="30" customHeight="1">
      <c r="A173" s="33" t="inlineStr">
        <is>
          <t>treasury</t>
        </is>
      </c>
      <c r="B173" s="33" t="inlineStr">
        <is>
          <t>藏宝阁</t>
        </is>
      </c>
      <c r="C173" s="33" t="inlineStr">
        <is>
          <t>仓储设施</t>
        </is>
      </c>
      <c r="D173" s="43" t="n">
        <v>5</v>
      </c>
      <c r="E173" s="36">
        <f>D173+1</f>
        <v/>
      </c>
      <c r="F173" s="43" t="n">
        <v>20</v>
      </c>
      <c r="G173" s="36">
        <f>INDEX('建筑建议总览'!$H$5:$H$25,MATCH($A173,'建筑建议总览'!$A$5:$A$25,0))</f>
        <v/>
      </c>
      <c r="H173" s="44">
        <f>INDEX('建筑建议总览'!$I$5:$I$25,MATCH($A173,'建筑建议总览'!$A$5:$A$25,0))</f>
        <v/>
      </c>
      <c r="I173" s="36">
        <f>INDEX('建筑建议总览'!$J$5:$J$25,MATCH($A173,'建筑建议总览'!$A$5:$A$25,0))</f>
        <v/>
      </c>
      <c r="J173" s="44">
        <f>POWER(H173,D173-1)</f>
        <v/>
      </c>
      <c r="K173" s="44">
        <f>SUMIF($A$5:$A$328,$A173,$J$5:$J$328)</f>
        <v/>
      </c>
      <c r="L173" s="36">
        <f>IF(I173&gt;0,ROUNDDOWN(MAX(0,I173-G173*(F173-1))*J173/K173,0),0)</f>
        <v/>
      </c>
      <c r="M173" s="36">
        <f>IF(I173&gt;0,G173+L173+IF(D173=F173-1,MAX(0,I173-G173*(F173-1)-SUMIF($A$5:$A$328,$A173,$L$5:$L$328)),0),ROUNDUP(G173*POWER(INDEX('建筑总览'!$G$5:$G$25,MATCH($A173,'建筑总览'!$A$5:$A$25,0)),D173),0))</f>
        <v/>
      </c>
      <c r="N173" s="35">
        <f>M173/'参数与公式'!$B$21</f>
        <v/>
      </c>
      <c r="O173" s="36">
        <f>INDEX('建筑建议总览'!$P$5:$P$25,MATCH($A173,'建筑建议总览'!$A$5:$A$25,0))</f>
        <v/>
      </c>
      <c r="P173" s="36">
        <f>INDEX('建筑建议总览'!$Q$5:$Q$25,MATCH($A173,'建筑建议总览'!$A$5:$A$25,0))</f>
        <v/>
      </c>
      <c r="Q173" s="44">
        <f>INDEX('建筑建议总览'!$R$5:$R$25,MATCH($A173,'建筑建议总览'!$A$5:$A$25,0))</f>
        <v/>
      </c>
      <c r="R173" s="36">
        <f>INDEX('建筑建议总览'!$S$5:$S$25,MATCH($A173,'建筑建议总览'!$A$5:$A$25,0))</f>
        <v/>
      </c>
      <c r="S173" s="36">
        <f>INDEX('建筑建议总览'!$T$5:$T$25,MATCH($A173,'建筑建议总览'!$A$5:$A$25,0))</f>
        <v/>
      </c>
      <c r="T173" s="44">
        <f>POWER(Q173,D173-1)</f>
        <v/>
      </c>
      <c r="U173" s="44">
        <f>SUMIF($A$5:$A$328,$A173,$T$5:$T$328)</f>
        <v/>
      </c>
      <c r="V173" s="36">
        <f>IF(R173&gt;0,ROUNDDOWN(MAX(0,R173-O173*(F173-1))*T173/U173,0),0)</f>
        <v/>
      </c>
      <c r="W173" s="36">
        <f>IF(S173&gt;0,ROUNDDOWN(MAX(0,S173-P173*(F173-1))*T173/U173,0),0)</f>
        <v/>
      </c>
      <c r="X173" s="36">
        <f>IF(R173&gt;0,O173+V173+IF(D173=F173-1,MAX(0,R173-O173*(F173-1)-SUMIF($A$5:$A$328,$A173,$V$5:$V$328)),0),ROUNDUP(O173*POWER(INDEX('建筑总览'!$J$5:$J$25,MATCH($A173,'建筑总览'!$A$5:$A$25,0)),D173),0))</f>
        <v/>
      </c>
      <c r="Y173" s="36">
        <f>IF(P173=0,0,IF(S173&gt;0,P173+W173+IF(D173=F173-1,MAX(0,S173-P173*(F173-1)-SUMIF($A$5:$A$328,$A173,$W$5:$W$328)),0),ROUNDUP(P173*POWER(INDEX('建筑总览'!$J$5:$J$25,MATCH($A173,'建筑总览'!$A$5:$A$25,0)),D173),0)))</f>
        <v/>
      </c>
      <c r="Z173" s="36">
        <f>IF(X173=0,0,MAX(1,ROUNDUP(X173*(1-'参数与公式'!$B$17),0)))</f>
        <v/>
      </c>
      <c r="AA173" s="36">
        <f>IF(Y173=0,0,MAX(1,ROUNDUP(Y173*(1-'参数与公式'!$B$17),0)))</f>
        <v/>
      </c>
      <c r="AB173" s="33" t="inlineStr">
        <is>
          <t>预算模式末级补足余数；旧模式按指数公式</t>
        </is>
      </c>
      <c r="AC173" s="49">
        <f>IF(A173=A172,IFERROR(M173/M172,""),"")</f>
        <v/>
      </c>
      <c r="AD173" s="49">
        <f>IF(AND(A173=A172,X172&gt;0),X173/X172,"")</f>
        <v/>
      </c>
    </row>
    <row r="174" ht="30" customHeight="1">
      <c r="A174" s="33" t="inlineStr">
        <is>
          <t>treasury</t>
        </is>
      </c>
      <c r="B174" s="33" t="inlineStr">
        <is>
          <t>藏宝阁</t>
        </is>
      </c>
      <c r="C174" s="33" t="inlineStr">
        <is>
          <t>仓储设施</t>
        </is>
      </c>
      <c r="D174" s="43" t="n">
        <v>6</v>
      </c>
      <c r="E174" s="36">
        <f>D174+1</f>
        <v/>
      </c>
      <c r="F174" s="43" t="n">
        <v>20</v>
      </c>
      <c r="G174" s="36">
        <f>INDEX('建筑建议总览'!$H$5:$H$25,MATCH($A174,'建筑建议总览'!$A$5:$A$25,0))</f>
        <v/>
      </c>
      <c r="H174" s="44">
        <f>INDEX('建筑建议总览'!$I$5:$I$25,MATCH($A174,'建筑建议总览'!$A$5:$A$25,0))</f>
        <v/>
      </c>
      <c r="I174" s="36">
        <f>INDEX('建筑建议总览'!$J$5:$J$25,MATCH($A174,'建筑建议总览'!$A$5:$A$25,0))</f>
        <v/>
      </c>
      <c r="J174" s="44">
        <f>POWER(H174,D174-1)</f>
        <v/>
      </c>
      <c r="K174" s="44">
        <f>SUMIF($A$5:$A$328,$A174,$J$5:$J$328)</f>
        <v/>
      </c>
      <c r="L174" s="36">
        <f>IF(I174&gt;0,ROUNDDOWN(MAX(0,I174-G174*(F174-1))*J174/K174,0),0)</f>
        <v/>
      </c>
      <c r="M174" s="36">
        <f>IF(I174&gt;0,G174+L174+IF(D174=F174-1,MAX(0,I174-G174*(F174-1)-SUMIF($A$5:$A$328,$A174,$L$5:$L$328)),0),ROUNDUP(G174*POWER(INDEX('建筑总览'!$G$5:$G$25,MATCH($A174,'建筑总览'!$A$5:$A$25,0)),D174),0))</f>
        <v/>
      </c>
      <c r="N174" s="35">
        <f>M174/'参数与公式'!$B$21</f>
        <v/>
      </c>
      <c r="O174" s="36">
        <f>INDEX('建筑建议总览'!$P$5:$P$25,MATCH($A174,'建筑建议总览'!$A$5:$A$25,0))</f>
        <v/>
      </c>
      <c r="P174" s="36">
        <f>INDEX('建筑建议总览'!$Q$5:$Q$25,MATCH($A174,'建筑建议总览'!$A$5:$A$25,0))</f>
        <v/>
      </c>
      <c r="Q174" s="44">
        <f>INDEX('建筑建议总览'!$R$5:$R$25,MATCH($A174,'建筑建议总览'!$A$5:$A$25,0))</f>
        <v/>
      </c>
      <c r="R174" s="36">
        <f>INDEX('建筑建议总览'!$S$5:$S$25,MATCH($A174,'建筑建议总览'!$A$5:$A$25,0))</f>
        <v/>
      </c>
      <c r="S174" s="36">
        <f>INDEX('建筑建议总览'!$T$5:$T$25,MATCH($A174,'建筑建议总览'!$A$5:$A$25,0))</f>
        <v/>
      </c>
      <c r="T174" s="44">
        <f>POWER(Q174,D174-1)</f>
        <v/>
      </c>
      <c r="U174" s="44">
        <f>SUMIF($A$5:$A$328,$A174,$T$5:$T$328)</f>
        <v/>
      </c>
      <c r="V174" s="36">
        <f>IF(R174&gt;0,ROUNDDOWN(MAX(0,R174-O174*(F174-1))*T174/U174,0),0)</f>
        <v/>
      </c>
      <c r="W174" s="36">
        <f>IF(S174&gt;0,ROUNDDOWN(MAX(0,S174-P174*(F174-1))*T174/U174,0),0)</f>
        <v/>
      </c>
      <c r="X174" s="36">
        <f>IF(R174&gt;0,O174+V174+IF(D174=F174-1,MAX(0,R174-O174*(F174-1)-SUMIF($A$5:$A$328,$A174,$V$5:$V$328)),0),ROUNDUP(O174*POWER(INDEX('建筑总览'!$J$5:$J$25,MATCH($A174,'建筑总览'!$A$5:$A$25,0)),D174),0))</f>
        <v/>
      </c>
      <c r="Y174" s="36">
        <f>IF(P174=0,0,IF(S174&gt;0,P174+W174+IF(D174=F174-1,MAX(0,S174-P174*(F174-1)-SUMIF($A$5:$A$328,$A174,$W$5:$W$328)),0),ROUNDUP(P174*POWER(INDEX('建筑总览'!$J$5:$J$25,MATCH($A174,'建筑总览'!$A$5:$A$25,0)),D174),0)))</f>
        <v/>
      </c>
      <c r="Z174" s="36">
        <f>IF(X174=0,0,MAX(1,ROUNDUP(X174*(1-'参数与公式'!$B$17),0)))</f>
        <v/>
      </c>
      <c r="AA174" s="36">
        <f>IF(Y174=0,0,MAX(1,ROUNDUP(Y174*(1-'参数与公式'!$B$17),0)))</f>
        <v/>
      </c>
      <c r="AB174" s="33" t="inlineStr">
        <is>
          <t>预算模式末级补足余数；旧模式按指数公式</t>
        </is>
      </c>
      <c r="AC174" s="49">
        <f>IF(A174=A173,IFERROR(M174/M173,""),"")</f>
        <v/>
      </c>
      <c r="AD174" s="49">
        <f>IF(AND(A174=A173,X173&gt;0),X174/X173,"")</f>
        <v/>
      </c>
    </row>
    <row r="175" ht="30" customHeight="1">
      <c r="A175" s="33" t="inlineStr">
        <is>
          <t>treasury</t>
        </is>
      </c>
      <c r="B175" s="33" t="inlineStr">
        <is>
          <t>藏宝阁</t>
        </is>
      </c>
      <c r="C175" s="33" t="inlineStr">
        <is>
          <t>仓储设施</t>
        </is>
      </c>
      <c r="D175" s="43" t="n">
        <v>7</v>
      </c>
      <c r="E175" s="36">
        <f>D175+1</f>
        <v/>
      </c>
      <c r="F175" s="43" t="n">
        <v>20</v>
      </c>
      <c r="G175" s="36">
        <f>INDEX('建筑建议总览'!$H$5:$H$25,MATCH($A175,'建筑建议总览'!$A$5:$A$25,0))</f>
        <v/>
      </c>
      <c r="H175" s="44">
        <f>INDEX('建筑建议总览'!$I$5:$I$25,MATCH($A175,'建筑建议总览'!$A$5:$A$25,0))</f>
        <v/>
      </c>
      <c r="I175" s="36">
        <f>INDEX('建筑建议总览'!$J$5:$J$25,MATCH($A175,'建筑建议总览'!$A$5:$A$25,0))</f>
        <v/>
      </c>
      <c r="J175" s="44">
        <f>POWER(H175,D175-1)</f>
        <v/>
      </c>
      <c r="K175" s="44">
        <f>SUMIF($A$5:$A$328,$A175,$J$5:$J$328)</f>
        <v/>
      </c>
      <c r="L175" s="36">
        <f>IF(I175&gt;0,ROUNDDOWN(MAX(0,I175-G175*(F175-1))*J175/K175,0),0)</f>
        <v/>
      </c>
      <c r="M175" s="36">
        <f>IF(I175&gt;0,G175+L175+IF(D175=F175-1,MAX(0,I175-G175*(F175-1)-SUMIF($A$5:$A$328,$A175,$L$5:$L$328)),0),ROUNDUP(G175*POWER(INDEX('建筑总览'!$G$5:$G$25,MATCH($A175,'建筑总览'!$A$5:$A$25,0)),D175),0))</f>
        <v/>
      </c>
      <c r="N175" s="35">
        <f>M175/'参数与公式'!$B$21</f>
        <v/>
      </c>
      <c r="O175" s="36">
        <f>INDEX('建筑建议总览'!$P$5:$P$25,MATCH($A175,'建筑建议总览'!$A$5:$A$25,0))</f>
        <v/>
      </c>
      <c r="P175" s="36">
        <f>INDEX('建筑建议总览'!$Q$5:$Q$25,MATCH($A175,'建筑建议总览'!$A$5:$A$25,0))</f>
        <v/>
      </c>
      <c r="Q175" s="44">
        <f>INDEX('建筑建议总览'!$R$5:$R$25,MATCH($A175,'建筑建议总览'!$A$5:$A$25,0))</f>
        <v/>
      </c>
      <c r="R175" s="36">
        <f>INDEX('建筑建议总览'!$S$5:$S$25,MATCH($A175,'建筑建议总览'!$A$5:$A$25,0))</f>
        <v/>
      </c>
      <c r="S175" s="36">
        <f>INDEX('建筑建议总览'!$T$5:$T$25,MATCH($A175,'建筑建议总览'!$A$5:$A$25,0))</f>
        <v/>
      </c>
      <c r="T175" s="44">
        <f>POWER(Q175,D175-1)</f>
        <v/>
      </c>
      <c r="U175" s="44">
        <f>SUMIF($A$5:$A$328,$A175,$T$5:$T$328)</f>
        <v/>
      </c>
      <c r="V175" s="36">
        <f>IF(R175&gt;0,ROUNDDOWN(MAX(0,R175-O175*(F175-1))*T175/U175,0),0)</f>
        <v/>
      </c>
      <c r="W175" s="36">
        <f>IF(S175&gt;0,ROUNDDOWN(MAX(0,S175-P175*(F175-1))*T175/U175,0),0)</f>
        <v/>
      </c>
      <c r="X175" s="36">
        <f>IF(R175&gt;0,O175+V175+IF(D175=F175-1,MAX(0,R175-O175*(F175-1)-SUMIF($A$5:$A$328,$A175,$V$5:$V$328)),0),ROUNDUP(O175*POWER(INDEX('建筑总览'!$J$5:$J$25,MATCH($A175,'建筑总览'!$A$5:$A$25,0)),D175),0))</f>
        <v/>
      </c>
      <c r="Y175" s="36">
        <f>IF(P175=0,0,IF(S175&gt;0,P175+W175+IF(D175=F175-1,MAX(0,S175-P175*(F175-1)-SUMIF($A$5:$A$328,$A175,$W$5:$W$328)),0),ROUNDUP(P175*POWER(INDEX('建筑总览'!$J$5:$J$25,MATCH($A175,'建筑总览'!$A$5:$A$25,0)),D175),0)))</f>
        <v/>
      </c>
      <c r="Z175" s="36">
        <f>IF(X175=0,0,MAX(1,ROUNDUP(X175*(1-'参数与公式'!$B$17),0)))</f>
        <v/>
      </c>
      <c r="AA175" s="36">
        <f>IF(Y175=0,0,MAX(1,ROUNDUP(Y175*(1-'参数与公式'!$B$17),0)))</f>
        <v/>
      </c>
      <c r="AB175" s="33" t="inlineStr">
        <is>
          <t>预算模式末级补足余数；旧模式按指数公式</t>
        </is>
      </c>
      <c r="AC175" s="49">
        <f>IF(A175=A174,IFERROR(M175/M174,""),"")</f>
        <v/>
      </c>
      <c r="AD175" s="49">
        <f>IF(AND(A175=A174,X174&gt;0),X175/X174,"")</f>
        <v/>
      </c>
    </row>
    <row r="176" ht="30" customHeight="1">
      <c r="A176" s="33" t="inlineStr">
        <is>
          <t>treasury</t>
        </is>
      </c>
      <c r="B176" s="33" t="inlineStr">
        <is>
          <t>藏宝阁</t>
        </is>
      </c>
      <c r="C176" s="33" t="inlineStr">
        <is>
          <t>仓储设施</t>
        </is>
      </c>
      <c r="D176" s="43" t="n">
        <v>8</v>
      </c>
      <c r="E176" s="36">
        <f>D176+1</f>
        <v/>
      </c>
      <c r="F176" s="43" t="n">
        <v>20</v>
      </c>
      <c r="G176" s="36">
        <f>INDEX('建筑建议总览'!$H$5:$H$25,MATCH($A176,'建筑建议总览'!$A$5:$A$25,0))</f>
        <v/>
      </c>
      <c r="H176" s="44">
        <f>INDEX('建筑建议总览'!$I$5:$I$25,MATCH($A176,'建筑建议总览'!$A$5:$A$25,0))</f>
        <v/>
      </c>
      <c r="I176" s="36">
        <f>INDEX('建筑建议总览'!$J$5:$J$25,MATCH($A176,'建筑建议总览'!$A$5:$A$25,0))</f>
        <v/>
      </c>
      <c r="J176" s="44">
        <f>POWER(H176,D176-1)</f>
        <v/>
      </c>
      <c r="K176" s="44">
        <f>SUMIF($A$5:$A$328,$A176,$J$5:$J$328)</f>
        <v/>
      </c>
      <c r="L176" s="36">
        <f>IF(I176&gt;0,ROUNDDOWN(MAX(0,I176-G176*(F176-1))*J176/K176,0),0)</f>
        <v/>
      </c>
      <c r="M176" s="36">
        <f>IF(I176&gt;0,G176+L176+IF(D176=F176-1,MAX(0,I176-G176*(F176-1)-SUMIF($A$5:$A$328,$A176,$L$5:$L$328)),0),ROUNDUP(G176*POWER(INDEX('建筑总览'!$G$5:$G$25,MATCH($A176,'建筑总览'!$A$5:$A$25,0)),D176),0))</f>
        <v/>
      </c>
      <c r="N176" s="35">
        <f>M176/'参数与公式'!$B$21</f>
        <v/>
      </c>
      <c r="O176" s="36">
        <f>INDEX('建筑建议总览'!$P$5:$P$25,MATCH($A176,'建筑建议总览'!$A$5:$A$25,0))</f>
        <v/>
      </c>
      <c r="P176" s="36">
        <f>INDEX('建筑建议总览'!$Q$5:$Q$25,MATCH($A176,'建筑建议总览'!$A$5:$A$25,0))</f>
        <v/>
      </c>
      <c r="Q176" s="44">
        <f>INDEX('建筑建议总览'!$R$5:$R$25,MATCH($A176,'建筑建议总览'!$A$5:$A$25,0))</f>
        <v/>
      </c>
      <c r="R176" s="36">
        <f>INDEX('建筑建议总览'!$S$5:$S$25,MATCH($A176,'建筑建议总览'!$A$5:$A$25,0))</f>
        <v/>
      </c>
      <c r="S176" s="36">
        <f>INDEX('建筑建议总览'!$T$5:$T$25,MATCH($A176,'建筑建议总览'!$A$5:$A$25,0))</f>
        <v/>
      </c>
      <c r="T176" s="44">
        <f>POWER(Q176,D176-1)</f>
        <v/>
      </c>
      <c r="U176" s="44">
        <f>SUMIF($A$5:$A$328,$A176,$T$5:$T$328)</f>
        <v/>
      </c>
      <c r="V176" s="36">
        <f>IF(R176&gt;0,ROUNDDOWN(MAX(0,R176-O176*(F176-1))*T176/U176,0),0)</f>
        <v/>
      </c>
      <c r="W176" s="36">
        <f>IF(S176&gt;0,ROUNDDOWN(MAX(0,S176-P176*(F176-1))*T176/U176,0),0)</f>
        <v/>
      </c>
      <c r="X176" s="36">
        <f>IF(R176&gt;0,O176+V176+IF(D176=F176-1,MAX(0,R176-O176*(F176-1)-SUMIF($A$5:$A$328,$A176,$V$5:$V$328)),0),ROUNDUP(O176*POWER(INDEX('建筑总览'!$J$5:$J$25,MATCH($A176,'建筑总览'!$A$5:$A$25,0)),D176),0))</f>
        <v/>
      </c>
      <c r="Y176" s="36">
        <f>IF(P176=0,0,IF(S176&gt;0,P176+W176+IF(D176=F176-1,MAX(0,S176-P176*(F176-1)-SUMIF($A$5:$A$328,$A176,$W$5:$W$328)),0),ROUNDUP(P176*POWER(INDEX('建筑总览'!$J$5:$J$25,MATCH($A176,'建筑总览'!$A$5:$A$25,0)),D176),0)))</f>
        <v/>
      </c>
      <c r="Z176" s="36">
        <f>IF(X176=0,0,MAX(1,ROUNDUP(X176*(1-'参数与公式'!$B$17),0)))</f>
        <v/>
      </c>
      <c r="AA176" s="36">
        <f>IF(Y176=0,0,MAX(1,ROUNDUP(Y176*(1-'参数与公式'!$B$17),0)))</f>
        <v/>
      </c>
      <c r="AB176" s="33" t="inlineStr">
        <is>
          <t>预算模式末级补足余数；旧模式按指数公式</t>
        </is>
      </c>
      <c r="AC176" s="49">
        <f>IF(A176=A175,IFERROR(M176/M175,""),"")</f>
        <v/>
      </c>
      <c r="AD176" s="49">
        <f>IF(AND(A176=A175,X175&gt;0),X176/X175,"")</f>
        <v/>
      </c>
    </row>
    <row r="177" ht="30" customHeight="1">
      <c r="A177" s="33" t="inlineStr">
        <is>
          <t>treasury</t>
        </is>
      </c>
      <c r="B177" s="33" t="inlineStr">
        <is>
          <t>藏宝阁</t>
        </is>
      </c>
      <c r="C177" s="33" t="inlineStr">
        <is>
          <t>仓储设施</t>
        </is>
      </c>
      <c r="D177" s="43" t="n">
        <v>9</v>
      </c>
      <c r="E177" s="36">
        <f>D177+1</f>
        <v/>
      </c>
      <c r="F177" s="43" t="n">
        <v>20</v>
      </c>
      <c r="G177" s="36">
        <f>INDEX('建筑建议总览'!$H$5:$H$25,MATCH($A177,'建筑建议总览'!$A$5:$A$25,0))</f>
        <v/>
      </c>
      <c r="H177" s="44">
        <f>INDEX('建筑建议总览'!$I$5:$I$25,MATCH($A177,'建筑建议总览'!$A$5:$A$25,0))</f>
        <v/>
      </c>
      <c r="I177" s="36">
        <f>INDEX('建筑建议总览'!$J$5:$J$25,MATCH($A177,'建筑建议总览'!$A$5:$A$25,0))</f>
        <v/>
      </c>
      <c r="J177" s="44">
        <f>POWER(H177,D177-1)</f>
        <v/>
      </c>
      <c r="K177" s="44">
        <f>SUMIF($A$5:$A$328,$A177,$J$5:$J$328)</f>
        <v/>
      </c>
      <c r="L177" s="36">
        <f>IF(I177&gt;0,ROUNDDOWN(MAX(0,I177-G177*(F177-1))*J177/K177,0),0)</f>
        <v/>
      </c>
      <c r="M177" s="36">
        <f>IF(I177&gt;0,G177+L177+IF(D177=F177-1,MAX(0,I177-G177*(F177-1)-SUMIF($A$5:$A$328,$A177,$L$5:$L$328)),0),ROUNDUP(G177*POWER(INDEX('建筑总览'!$G$5:$G$25,MATCH($A177,'建筑总览'!$A$5:$A$25,0)),D177),0))</f>
        <v/>
      </c>
      <c r="N177" s="35">
        <f>M177/'参数与公式'!$B$21</f>
        <v/>
      </c>
      <c r="O177" s="36">
        <f>INDEX('建筑建议总览'!$P$5:$P$25,MATCH($A177,'建筑建议总览'!$A$5:$A$25,0))</f>
        <v/>
      </c>
      <c r="P177" s="36">
        <f>INDEX('建筑建议总览'!$Q$5:$Q$25,MATCH($A177,'建筑建议总览'!$A$5:$A$25,0))</f>
        <v/>
      </c>
      <c r="Q177" s="44">
        <f>INDEX('建筑建议总览'!$R$5:$R$25,MATCH($A177,'建筑建议总览'!$A$5:$A$25,0))</f>
        <v/>
      </c>
      <c r="R177" s="36">
        <f>INDEX('建筑建议总览'!$S$5:$S$25,MATCH($A177,'建筑建议总览'!$A$5:$A$25,0))</f>
        <v/>
      </c>
      <c r="S177" s="36">
        <f>INDEX('建筑建议总览'!$T$5:$T$25,MATCH($A177,'建筑建议总览'!$A$5:$A$25,0))</f>
        <v/>
      </c>
      <c r="T177" s="44">
        <f>POWER(Q177,D177-1)</f>
        <v/>
      </c>
      <c r="U177" s="44">
        <f>SUMIF($A$5:$A$328,$A177,$T$5:$T$328)</f>
        <v/>
      </c>
      <c r="V177" s="36">
        <f>IF(R177&gt;0,ROUNDDOWN(MAX(0,R177-O177*(F177-1))*T177/U177,0),0)</f>
        <v/>
      </c>
      <c r="W177" s="36">
        <f>IF(S177&gt;0,ROUNDDOWN(MAX(0,S177-P177*(F177-1))*T177/U177,0),0)</f>
        <v/>
      </c>
      <c r="X177" s="36">
        <f>IF(R177&gt;0,O177+V177+IF(D177=F177-1,MAX(0,R177-O177*(F177-1)-SUMIF($A$5:$A$328,$A177,$V$5:$V$328)),0),ROUNDUP(O177*POWER(INDEX('建筑总览'!$J$5:$J$25,MATCH($A177,'建筑总览'!$A$5:$A$25,0)),D177),0))</f>
        <v/>
      </c>
      <c r="Y177" s="36">
        <f>IF(P177=0,0,IF(S177&gt;0,P177+W177+IF(D177=F177-1,MAX(0,S177-P177*(F177-1)-SUMIF($A$5:$A$328,$A177,$W$5:$W$328)),0),ROUNDUP(P177*POWER(INDEX('建筑总览'!$J$5:$J$25,MATCH($A177,'建筑总览'!$A$5:$A$25,0)),D177),0)))</f>
        <v/>
      </c>
      <c r="Z177" s="36">
        <f>IF(X177=0,0,MAX(1,ROUNDUP(X177*(1-'参数与公式'!$B$17),0)))</f>
        <v/>
      </c>
      <c r="AA177" s="36">
        <f>IF(Y177=0,0,MAX(1,ROUNDUP(Y177*(1-'参数与公式'!$B$17),0)))</f>
        <v/>
      </c>
      <c r="AB177" s="33" t="inlineStr">
        <is>
          <t>预算模式末级补足余数；旧模式按指数公式</t>
        </is>
      </c>
      <c r="AC177" s="49">
        <f>IF(A177=A176,IFERROR(M177/M176,""),"")</f>
        <v/>
      </c>
      <c r="AD177" s="49">
        <f>IF(AND(A177=A176,X176&gt;0),X177/X176,"")</f>
        <v/>
      </c>
    </row>
    <row r="178" ht="30" customHeight="1">
      <c r="A178" s="33" t="inlineStr">
        <is>
          <t>treasury</t>
        </is>
      </c>
      <c r="B178" s="33" t="inlineStr">
        <is>
          <t>藏宝阁</t>
        </is>
      </c>
      <c r="C178" s="33" t="inlineStr">
        <is>
          <t>仓储设施</t>
        </is>
      </c>
      <c r="D178" s="43" t="n">
        <v>10</v>
      </c>
      <c r="E178" s="36">
        <f>D178+1</f>
        <v/>
      </c>
      <c r="F178" s="43" t="n">
        <v>20</v>
      </c>
      <c r="G178" s="36">
        <f>INDEX('建筑建议总览'!$H$5:$H$25,MATCH($A178,'建筑建议总览'!$A$5:$A$25,0))</f>
        <v/>
      </c>
      <c r="H178" s="44">
        <f>INDEX('建筑建议总览'!$I$5:$I$25,MATCH($A178,'建筑建议总览'!$A$5:$A$25,0))</f>
        <v/>
      </c>
      <c r="I178" s="36">
        <f>INDEX('建筑建议总览'!$J$5:$J$25,MATCH($A178,'建筑建议总览'!$A$5:$A$25,0))</f>
        <v/>
      </c>
      <c r="J178" s="44">
        <f>POWER(H178,D178-1)</f>
        <v/>
      </c>
      <c r="K178" s="44">
        <f>SUMIF($A$5:$A$328,$A178,$J$5:$J$328)</f>
        <v/>
      </c>
      <c r="L178" s="36">
        <f>IF(I178&gt;0,ROUNDDOWN(MAX(0,I178-G178*(F178-1))*J178/K178,0),0)</f>
        <v/>
      </c>
      <c r="M178" s="36">
        <f>IF(I178&gt;0,G178+L178+IF(D178=F178-1,MAX(0,I178-G178*(F178-1)-SUMIF($A$5:$A$328,$A178,$L$5:$L$328)),0),ROUNDUP(G178*POWER(INDEX('建筑总览'!$G$5:$G$25,MATCH($A178,'建筑总览'!$A$5:$A$25,0)),D178),0))</f>
        <v/>
      </c>
      <c r="N178" s="35">
        <f>M178/'参数与公式'!$B$21</f>
        <v/>
      </c>
      <c r="O178" s="36">
        <f>INDEX('建筑建议总览'!$P$5:$P$25,MATCH($A178,'建筑建议总览'!$A$5:$A$25,0))</f>
        <v/>
      </c>
      <c r="P178" s="36">
        <f>INDEX('建筑建议总览'!$Q$5:$Q$25,MATCH($A178,'建筑建议总览'!$A$5:$A$25,0))</f>
        <v/>
      </c>
      <c r="Q178" s="44">
        <f>INDEX('建筑建议总览'!$R$5:$R$25,MATCH($A178,'建筑建议总览'!$A$5:$A$25,0))</f>
        <v/>
      </c>
      <c r="R178" s="36">
        <f>INDEX('建筑建议总览'!$S$5:$S$25,MATCH($A178,'建筑建议总览'!$A$5:$A$25,0))</f>
        <v/>
      </c>
      <c r="S178" s="36">
        <f>INDEX('建筑建议总览'!$T$5:$T$25,MATCH($A178,'建筑建议总览'!$A$5:$A$25,0))</f>
        <v/>
      </c>
      <c r="T178" s="44">
        <f>POWER(Q178,D178-1)</f>
        <v/>
      </c>
      <c r="U178" s="44">
        <f>SUMIF($A$5:$A$328,$A178,$T$5:$T$328)</f>
        <v/>
      </c>
      <c r="V178" s="36">
        <f>IF(R178&gt;0,ROUNDDOWN(MAX(0,R178-O178*(F178-1))*T178/U178,0),0)</f>
        <v/>
      </c>
      <c r="W178" s="36">
        <f>IF(S178&gt;0,ROUNDDOWN(MAX(0,S178-P178*(F178-1))*T178/U178,0),0)</f>
        <v/>
      </c>
      <c r="X178" s="36">
        <f>IF(R178&gt;0,O178+V178+IF(D178=F178-1,MAX(0,R178-O178*(F178-1)-SUMIF($A$5:$A$328,$A178,$V$5:$V$328)),0),ROUNDUP(O178*POWER(INDEX('建筑总览'!$J$5:$J$25,MATCH($A178,'建筑总览'!$A$5:$A$25,0)),D178),0))</f>
        <v/>
      </c>
      <c r="Y178" s="36">
        <f>IF(P178=0,0,IF(S178&gt;0,P178+W178+IF(D178=F178-1,MAX(0,S178-P178*(F178-1)-SUMIF($A$5:$A$328,$A178,$W$5:$W$328)),0),ROUNDUP(P178*POWER(INDEX('建筑总览'!$J$5:$J$25,MATCH($A178,'建筑总览'!$A$5:$A$25,0)),D178),0)))</f>
        <v/>
      </c>
      <c r="Z178" s="36">
        <f>IF(X178=0,0,MAX(1,ROUNDUP(X178*(1-'参数与公式'!$B$17),0)))</f>
        <v/>
      </c>
      <c r="AA178" s="36">
        <f>IF(Y178=0,0,MAX(1,ROUNDUP(Y178*(1-'参数与公式'!$B$17),0)))</f>
        <v/>
      </c>
      <c r="AB178" s="33" t="inlineStr">
        <is>
          <t>预算模式末级补足余数；旧模式按指数公式</t>
        </is>
      </c>
      <c r="AC178" s="49">
        <f>IF(A178=A177,IFERROR(M178/M177,""),"")</f>
        <v/>
      </c>
      <c r="AD178" s="49">
        <f>IF(AND(A178=A177,X177&gt;0),X178/X177,"")</f>
        <v/>
      </c>
    </row>
    <row r="179" ht="30" customHeight="1">
      <c r="A179" s="33" t="inlineStr">
        <is>
          <t>treasury</t>
        </is>
      </c>
      <c r="B179" s="33" t="inlineStr">
        <is>
          <t>藏宝阁</t>
        </is>
      </c>
      <c r="C179" s="33" t="inlineStr">
        <is>
          <t>仓储设施</t>
        </is>
      </c>
      <c r="D179" s="43" t="n">
        <v>11</v>
      </c>
      <c r="E179" s="36">
        <f>D179+1</f>
        <v/>
      </c>
      <c r="F179" s="43" t="n">
        <v>20</v>
      </c>
      <c r="G179" s="36">
        <f>INDEX('建筑建议总览'!$H$5:$H$25,MATCH($A179,'建筑建议总览'!$A$5:$A$25,0))</f>
        <v/>
      </c>
      <c r="H179" s="44">
        <f>INDEX('建筑建议总览'!$I$5:$I$25,MATCH($A179,'建筑建议总览'!$A$5:$A$25,0))</f>
        <v/>
      </c>
      <c r="I179" s="36">
        <f>INDEX('建筑建议总览'!$J$5:$J$25,MATCH($A179,'建筑建议总览'!$A$5:$A$25,0))</f>
        <v/>
      </c>
      <c r="J179" s="44">
        <f>POWER(H179,D179-1)</f>
        <v/>
      </c>
      <c r="K179" s="44">
        <f>SUMIF($A$5:$A$328,$A179,$J$5:$J$328)</f>
        <v/>
      </c>
      <c r="L179" s="36">
        <f>IF(I179&gt;0,ROUNDDOWN(MAX(0,I179-G179*(F179-1))*J179/K179,0),0)</f>
        <v/>
      </c>
      <c r="M179" s="36">
        <f>IF(I179&gt;0,G179+L179+IF(D179=F179-1,MAX(0,I179-G179*(F179-1)-SUMIF($A$5:$A$328,$A179,$L$5:$L$328)),0),ROUNDUP(G179*POWER(INDEX('建筑总览'!$G$5:$G$25,MATCH($A179,'建筑总览'!$A$5:$A$25,0)),D179),0))</f>
        <v/>
      </c>
      <c r="N179" s="35">
        <f>M179/'参数与公式'!$B$21</f>
        <v/>
      </c>
      <c r="O179" s="36">
        <f>INDEX('建筑建议总览'!$P$5:$P$25,MATCH($A179,'建筑建议总览'!$A$5:$A$25,0))</f>
        <v/>
      </c>
      <c r="P179" s="36">
        <f>INDEX('建筑建议总览'!$Q$5:$Q$25,MATCH($A179,'建筑建议总览'!$A$5:$A$25,0))</f>
        <v/>
      </c>
      <c r="Q179" s="44">
        <f>INDEX('建筑建议总览'!$R$5:$R$25,MATCH($A179,'建筑建议总览'!$A$5:$A$25,0))</f>
        <v/>
      </c>
      <c r="R179" s="36">
        <f>INDEX('建筑建议总览'!$S$5:$S$25,MATCH($A179,'建筑建议总览'!$A$5:$A$25,0))</f>
        <v/>
      </c>
      <c r="S179" s="36">
        <f>INDEX('建筑建议总览'!$T$5:$T$25,MATCH($A179,'建筑建议总览'!$A$5:$A$25,0))</f>
        <v/>
      </c>
      <c r="T179" s="44">
        <f>POWER(Q179,D179-1)</f>
        <v/>
      </c>
      <c r="U179" s="44">
        <f>SUMIF($A$5:$A$328,$A179,$T$5:$T$328)</f>
        <v/>
      </c>
      <c r="V179" s="36">
        <f>IF(R179&gt;0,ROUNDDOWN(MAX(0,R179-O179*(F179-1))*T179/U179,0),0)</f>
        <v/>
      </c>
      <c r="W179" s="36">
        <f>IF(S179&gt;0,ROUNDDOWN(MAX(0,S179-P179*(F179-1))*T179/U179,0),0)</f>
        <v/>
      </c>
      <c r="X179" s="36">
        <f>IF(R179&gt;0,O179+V179+IF(D179=F179-1,MAX(0,R179-O179*(F179-1)-SUMIF($A$5:$A$328,$A179,$V$5:$V$328)),0),ROUNDUP(O179*POWER(INDEX('建筑总览'!$J$5:$J$25,MATCH($A179,'建筑总览'!$A$5:$A$25,0)),D179),0))</f>
        <v/>
      </c>
      <c r="Y179" s="36">
        <f>IF(P179=0,0,IF(S179&gt;0,P179+W179+IF(D179=F179-1,MAX(0,S179-P179*(F179-1)-SUMIF($A$5:$A$328,$A179,$W$5:$W$328)),0),ROUNDUP(P179*POWER(INDEX('建筑总览'!$J$5:$J$25,MATCH($A179,'建筑总览'!$A$5:$A$25,0)),D179),0)))</f>
        <v/>
      </c>
      <c r="Z179" s="36">
        <f>IF(X179=0,0,MAX(1,ROUNDUP(X179*(1-'参数与公式'!$B$17),0)))</f>
        <v/>
      </c>
      <c r="AA179" s="36">
        <f>IF(Y179=0,0,MAX(1,ROUNDUP(Y179*(1-'参数与公式'!$B$17),0)))</f>
        <v/>
      </c>
      <c r="AB179" s="33" t="inlineStr">
        <is>
          <t>预算模式末级补足余数；旧模式按指数公式</t>
        </is>
      </c>
      <c r="AC179" s="49">
        <f>IF(A179=A178,IFERROR(M179/M178,""),"")</f>
        <v/>
      </c>
      <c r="AD179" s="49">
        <f>IF(AND(A179=A178,X178&gt;0),X179/X178,"")</f>
        <v/>
      </c>
    </row>
    <row r="180" ht="30" customHeight="1">
      <c r="A180" s="33" t="inlineStr">
        <is>
          <t>treasury</t>
        </is>
      </c>
      <c r="B180" s="33" t="inlineStr">
        <is>
          <t>藏宝阁</t>
        </is>
      </c>
      <c r="C180" s="33" t="inlineStr">
        <is>
          <t>仓储设施</t>
        </is>
      </c>
      <c r="D180" s="43" t="n">
        <v>12</v>
      </c>
      <c r="E180" s="36">
        <f>D180+1</f>
        <v/>
      </c>
      <c r="F180" s="43" t="n">
        <v>20</v>
      </c>
      <c r="G180" s="36">
        <f>INDEX('建筑建议总览'!$H$5:$H$25,MATCH($A180,'建筑建议总览'!$A$5:$A$25,0))</f>
        <v/>
      </c>
      <c r="H180" s="44">
        <f>INDEX('建筑建议总览'!$I$5:$I$25,MATCH($A180,'建筑建议总览'!$A$5:$A$25,0))</f>
        <v/>
      </c>
      <c r="I180" s="36">
        <f>INDEX('建筑建议总览'!$J$5:$J$25,MATCH($A180,'建筑建议总览'!$A$5:$A$25,0))</f>
        <v/>
      </c>
      <c r="J180" s="44">
        <f>POWER(H180,D180-1)</f>
        <v/>
      </c>
      <c r="K180" s="44">
        <f>SUMIF($A$5:$A$328,$A180,$J$5:$J$328)</f>
        <v/>
      </c>
      <c r="L180" s="36">
        <f>IF(I180&gt;0,ROUNDDOWN(MAX(0,I180-G180*(F180-1))*J180/K180,0),0)</f>
        <v/>
      </c>
      <c r="M180" s="36">
        <f>IF(I180&gt;0,G180+L180+IF(D180=F180-1,MAX(0,I180-G180*(F180-1)-SUMIF($A$5:$A$328,$A180,$L$5:$L$328)),0),ROUNDUP(G180*POWER(INDEX('建筑总览'!$G$5:$G$25,MATCH($A180,'建筑总览'!$A$5:$A$25,0)),D180),0))</f>
        <v/>
      </c>
      <c r="N180" s="35">
        <f>M180/'参数与公式'!$B$21</f>
        <v/>
      </c>
      <c r="O180" s="36">
        <f>INDEX('建筑建议总览'!$P$5:$P$25,MATCH($A180,'建筑建议总览'!$A$5:$A$25,0))</f>
        <v/>
      </c>
      <c r="P180" s="36">
        <f>INDEX('建筑建议总览'!$Q$5:$Q$25,MATCH($A180,'建筑建议总览'!$A$5:$A$25,0))</f>
        <v/>
      </c>
      <c r="Q180" s="44">
        <f>INDEX('建筑建议总览'!$R$5:$R$25,MATCH($A180,'建筑建议总览'!$A$5:$A$25,0))</f>
        <v/>
      </c>
      <c r="R180" s="36">
        <f>INDEX('建筑建议总览'!$S$5:$S$25,MATCH($A180,'建筑建议总览'!$A$5:$A$25,0))</f>
        <v/>
      </c>
      <c r="S180" s="36">
        <f>INDEX('建筑建议总览'!$T$5:$T$25,MATCH($A180,'建筑建议总览'!$A$5:$A$25,0))</f>
        <v/>
      </c>
      <c r="T180" s="44">
        <f>POWER(Q180,D180-1)</f>
        <v/>
      </c>
      <c r="U180" s="44">
        <f>SUMIF($A$5:$A$328,$A180,$T$5:$T$328)</f>
        <v/>
      </c>
      <c r="V180" s="36">
        <f>IF(R180&gt;0,ROUNDDOWN(MAX(0,R180-O180*(F180-1))*T180/U180,0),0)</f>
        <v/>
      </c>
      <c r="W180" s="36">
        <f>IF(S180&gt;0,ROUNDDOWN(MAX(0,S180-P180*(F180-1))*T180/U180,0),0)</f>
        <v/>
      </c>
      <c r="X180" s="36">
        <f>IF(R180&gt;0,O180+V180+IF(D180=F180-1,MAX(0,R180-O180*(F180-1)-SUMIF($A$5:$A$328,$A180,$V$5:$V$328)),0),ROUNDUP(O180*POWER(INDEX('建筑总览'!$J$5:$J$25,MATCH($A180,'建筑总览'!$A$5:$A$25,0)),D180),0))</f>
        <v/>
      </c>
      <c r="Y180" s="36">
        <f>IF(P180=0,0,IF(S180&gt;0,P180+W180+IF(D180=F180-1,MAX(0,S180-P180*(F180-1)-SUMIF($A$5:$A$328,$A180,$W$5:$W$328)),0),ROUNDUP(P180*POWER(INDEX('建筑总览'!$J$5:$J$25,MATCH($A180,'建筑总览'!$A$5:$A$25,0)),D180),0)))</f>
        <v/>
      </c>
      <c r="Z180" s="36">
        <f>IF(X180=0,0,MAX(1,ROUNDUP(X180*(1-'参数与公式'!$B$17),0)))</f>
        <v/>
      </c>
      <c r="AA180" s="36">
        <f>IF(Y180=0,0,MAX(1,ROUNDUP(Y180*(1-'参数与公式'!$B$17),0)))</f>
        <v/>
      </c>
      <c r="AB180" s="33" t="inlineStr">
        <is>
          <t>预算模式末级补足余数；旧模式按指数公式</t>
        </is>
      </c>
      <c r="AC180" s="49">
        <f>IF(A180=A179,IFERROR(M180/M179,""),"")</f>
        <v/>
      </c>
      <c r="AD180" s="49">
        <f>IF(AND(A180=A179,X179&gt;0),X180/X179,"")</f>
        <v/>
      </c>
    </row>
    <row r="181" ht="30" customHeight="1">
      <c r="A181" s="33" t="inlineStr">
        <is>
          <t>treasury</t>
        </is>
      </c>
      <c r="B181" s="33" t="inlineStr">
        <is>
          <t>藏宝阁</t>
        </is>
      </c>
      <c r="C181" s="33" t="inlineStr">
        <is>
          <t>仓储设施</t>
        </is>
      </c>
      <c r="D181" s="43" t="n">
        <v>13</v>
      </c>
      <c r="E181" s="36">
        <f>D181+1</f>
        <v/>
      </c>
      <c r="F181" s="43" t="n">
        <v>20</v>
      </c>
      <c r="G181" s="36">
        <f>INDEX('建筑建议总览'!$H$5:$H$25,MATCH($A181,'建筑建议总览'!$A$5:$A$25,0))</f>
        <v/>
      </c>
      <c r="H181" s="44">
        <f>INDEX('建筑建议总览'!$I$5:$I$25,MATCH($A181,'建筑建议总览'!$A$5:$A$25,0))</f>
        <v/>
      </c>
      <c r="I181" s="36">
        <f>INDEX('建筑建议总览'!$J$5:$J$25,MATCH($A181,'建筑建议总览'!$A$5:$A$25,0))</f>
        <v/>
      </c>
      <c r="J181" s="44">
        <f>POWER(H181,D181-1)</f>
        <v/>
      </c>
      <c r="K181" s="44">
        <f>SUMIF($A$5:$A$328,$A181,$J$5:$J$328)</f>
        <v/>
      </c>
      <c r="L181" s="36">
        <f>IF(I181&gt;0,ROUNDDOWN(MAX(0,I181-G181*(F181-1))*J181/K181,0),0)</f>
        <v/>
      </c>
      <c r="M181" s="36">
        <f>IF(I181&gt;0,G181+L181+IF(D181=F181-1,MAX(0,I181-G181*(F181-1)-SUMIF($A$5:$A$328,$A181,$L$5:$L$328)),0),ROUNDUP(G181*POWER(INDEX('建筑总览'!$G$5:$G$25,MATCH($A181,'建筑总览'!$A$5:$A$25,0)),D181),0))</f>
        <v/>
      </c>
      <c r="N181" s="35">
        <f>M181/'参数与公式'!$B$21</f>
        <v/>
      </c>
      <c r="O181" s="36">
        <f>INDEX('建筑建议总览'!$P$5:$P$25,MATCH($A181,'建筑建议总览'!$A$5:$A$25,0))</f>
        <v/>
      </c>
      <c r="P181" s="36">
        <f>INDEX('建筑建议总览'!$Q$5:$Q$25,MATCH($A181,'建筑建议总览'!$A$5:$A$25,0))</f>
        <v/>
      </c>
      <c r="Q181" s="44">
        <f>INDEX('建筑建议总览'!$R$5:$R$25,MATCH($A181,'建筑建议总览'!$A$5:$A$25,0))</f>
        <v/>
      </c>
      <c r="R181" s="36">
        <f>INDEX('建筑建议总览'!$S$5:$S$25,MATCH($A181,'建筑建议总览'!$A$5:$A$25,0))</f>
        <v/>
      </c>
      <c r="S181" s="36">
        <f>INDEX('建筑建议总览'!$T$5:$T$25,MATCH($A181,'建筑建议总览'!$A$5:$A$25,0))</f>
        <v/>
      </c>
      <c r="T181" s="44">
        <f>POWER(Q181,D181-1)</f>
        <v/>
      </c>
      <c r="U181" s="44">
        <f>SUMIF($A$5:$A$328,$A181,$T$5:$T$328)</f>
        <v/>
      </c>
      <c r="V181" s="36">
        <f>IF(R181&gt;0,ROUNDDOWN(MAX(0,R181-O181*(F181-1))*T181/U181,0),0)</f>
        <v/>
      </c>
      <c r="W181" s="36">
        <f>IF(S181&gt;0,ROUNDDOWN(MAX(0,S181-P181*(F181-1))*T181/U181,0),0)</f>
        <v/>
      </c>
      <c r="X181" s="36">
        <f>IF(R181&gt;0,O181+V181+IF(D181=F181-1,MAX(0,R181-O181*(F181-1)-SUMIF($A$5:$A$328,$A181,$V$5:$V$328)),0),ROUNDUP(O181*POWER(INDEX('建筑总览'!$J$5:$J$25,MATCH($A181,'建筑总览'!$A$5:$A$25,0)),D181),0))</f>
        <v/>
      </c>
      <c r="Y181" s="36">
        <f>IF(P181=0,0,IF(S181&gt;0,P181+W181+IF(D181=F181-1,MAX(0,S181-P181*(F181-1)-SUMIF($A$5:$A$328,$A181,$W$5:$W$328)),0),ROUNDUP(P181*POWER(INDEX('建筑总览'!$J$5:$J$25,MATCH($A181,'建筑总览'!$A$5:$A$25,0)),D181),0)))</f>
        <v/>
      </c>
      <c r="Z181" s="36">
        <f>IF(X181=0,0,MAX(1,ROUNDUP(X181*(1-'参数与公式'!$B$17),0)))</f>
        <v/>
      </c>
      <c r="AA181" s="36">
        <f>IF(Y181=0,0,MAX(1,ROUNDUP(Y181*(1-'参数与公式'!$B$17),0)))</f>
        <v/>
      </c>
      <c r="AB181" s="33" t="inlineStr">
        <is>
          <t>预算模式末级补足余数；旧模式按指数公式</t>
        </is>
      </c>
      <c r="AC181" s="49">
        <f>IF(A181=A180,IFERROR(M181/M180,""),"")</f>
        <v/>
      </c>
      <c r="AD181" s="49">
        <f>IF(AND(A181=A180,X180&gt;0),X181/X180,"")</f>
        <v/>
      </c>
    </row>
    <row r="182" ht="30" customHeight="1">
      <c r="A182" s="33" t="inlineStr">
        <is>
          <t>treasury</t>
        </is>
      </c>
      <c r="B182" s="33" t="inlineStr">
        <is>
          <t>藏宝阁</t>
        </is>
      </c>
      <c r="C182" s="33" t="inlineStr">
        <is>
          <t>仓储设施</t>
        </is>
      </c>
      <c r="D182" s="43" t="n">
        <v>14</v>
      </c>
      <c r="E182" s="36">
        <f>D182+1</f>
        <v/>
      </c>
      <c r="F182" s="43" t="n">
        <v>20</v>
      </c>
      <c r="G182" s="36">
        <f>INDEX('建筑建议总览'!$H$5:$H$25,MATCH($A182,'建筑建议总览'!$A$5:$A$25,0))</f>
        <v/>
      </c>
      <c r="H182" s="44">
        <f>INDEX('建筑建议总览'!$I$5:$I$25,MATCH($A182,'建筑建议总览'!$A$5:$A$25,0))</f>
        <v/>
      </c>
      <c r="I182" s="36">
        <f>INDEX('建筑建议总览'!$J$5:$J$25,MATCH($A182,'建筑建议总览'!$A$5:$A$25,0))</f>
        <v/>
      </c>
      <c r="J182" s="44">
        <f>POWER(H182,D182-1)</f>
        <v/>
      </c>
      <c r="K182" s="44">
        <f>SUMIF($A$5:$A$328,$A182,$J$5:$J$328)</f>
        <v/>
      </c>
      <c r="L182" s="36">
        <f>IF(I182&gt;0,ROUNDDOWN(MAX(0,I182-G182*(F182-1))*J182/K182,0),0)</f>
        <v/>
      </c>
      <c r="M182" s="36">
        <f>IF(I182&gt;0,G182+L182+IF(D182=F182-1,MAX(0,I182-G182*(F182-1)-SUMIF($A$5:$A$328,$A182,$L$5:$L$328)),0),ROUNDUP(G182*POWER(INDEX('建筑总览'!$G$5:$G$25,MATCH($A182,'建筑总览'!$A$5:$A$25,0)),D182),0))</f>
        <v/>
      </c>
      <c r="N182" s="35">
        <f>M182/'参数与公式'!$B$21</f>
        <v/>
      </c>
      <c r="O182" s="36">
        <f>INDEX('建筑建议总览'!$P$5:$P$25,MATCH($A182,'建筑建议总览'!$A$5:$A$25,0))</f>
        <v/>
      </c>
      <c r="P182" s="36">
        <f>INDEX('建筑建议总览'!$Q$5:$Q$25,MATCH($A182,'建筑建议总览'!$A$5:$A$25,0))</f>
        <v/>
      </c>
      <c r="Q182" s="44">
        <f>INDEX('建筑建议总览'!$R$5:$R$25,MATCH($A182,'建筑建议总览'!$A$5:$A$25,0))</f>
        <v/>
      </c>
      <c r="R182" s="36">
        <f>INDEX('建筑建议总览'!$S$5:$S$25,MATCH($A182,'建筑建议总览'!$A$5:$A$25,0))</f>
        <v/>
      </c>
      <c r="S182" s="36">
        <f>INDEX('建筑建议总览'!$T$5:$T$25,MATCH($A182,'建筑建议总览'!$A$5:$A$25,0))</f>
        <v/>
      </c>
      <c r="T182" s="44">
        <f>POWER(Q182,D182-1)</f>
        <v/>
      </c>
      <c r="U182" s="44">
        <f>SUMIF($A$5:$A$328,$A182,$T$5:$T$328)</f>
        <v/>
      </c>
      <c r="V182" s="36">
        <f>IF(R182&gt;0,ROUNDDOWN(MAX(0,R182-O182*(F182-1))*T182/U182,0),0)</f>
        <v/>
      </c>
      <c r="W182" s="36">
        <f>IF(S182&gt;0,ROUNDDOWN(MAX(0,S182-P182*(F182-1))*T182/U182,0),0)</f>
        <v/>
      </c>
      <c r="X182" s="36">
        <f>IF(R182&gt;0,O182+V182+IF(D182=F182-1,MAX(0,R182-O182*(F182-1)-SUMIF($A$5:$A$328,$A182,$V$5:$V$328)),0),ROUNDUP(O182*POWER(INDEX('建筑总览'!$J$5:$J$25,MATCH($A182,'建筑总览'!$A$5:$A$25,0)),D182),0))</f>
        <v/>
      </c>
      <c r="Y182" s="36">
        <f>IF(P182=0,0,IF(S182&gt;0,P182+W182+IF(D182=F182-1,MAX(0,S182-P182*(F182-1)-SUMIF($A$5:$A$328,$A182,$W$5:$W$328)),0),ROUNDUP(P182*POWER(INDEX('建筑总览'!$J$5:$J$25,MATCH($A182,'建筑总览'!$A$5:$A$25,0)),D182),0)))</f>
        <v/>
      </c>
      <c r="Z182" s="36">
        <f>IF(X182=0,0,MAX(1,ROUNDUP(X182*(1-'参数与公式'!$B$17),0)))</f>
        <v/>
      </c>
      <c r="AA182" s="36">
        <f>IF(Y182=0,0,MAX(1,ROUNDUP(Y182*(1-'参数与公式'!$B$17),0)))</f>
        <v/>
      </c>
      <c r="AB182" s="33" t="inlineStr">
        <is>
          <t>预算模式末级补足余数；旧模式按指数公式</t>
        </is>
      </c>
      <c r="AC182" s="49">
        <f>IF(A182=A181,IFERROR(M182/M181,""),"")</f>
        <v/>
      </c>
      <c r="AD182" s="49">
        <f>IF(AND(A182=A181,X181&gt;0),X182/X181,"")</f>
        <v/>
      </c>
    </row>
    <row r="183" ht="30" customHeight="1">
      <c r="A183" s="33" t="inlineStr">
        <is>
          <t>treasury</t>
        </is>
      </c>
      <c r="B183" s="33" t="inlineStr">
        <is>
          <t>藏宝阁</t>
        </is>
      </c>
      <c r="C183" s="33" t="inlineStr">
        <is>
          <t>仓储设施</t>
        </is>
      </c>
      <c r="D183" s="43" t="n">
        <v>15</v>
      </c>
      <c r="E183" s="36">
        <f>D183+1</f>
        <v/>
      </c>
      <c r="F183" s="43" t="n">
        <v>20</v>
      </c>
      <c r="G183" s="36">
        <f>INDEX('建筑建议总览'!$H$5:$H$25,MATCH($A183,'建筑建议总览'!$A$5:$A$25,0))</f>
        <v/>
      </c>
      <c r="H183" s="44">
        <f>INDEX('建筑建议总览'!$I$5:$I$25,MATCH($A183,'建筑建议总览'!$A$5:$A$25,0))</f>
        <v/>
      </c>
      <c r="I183" s="36">
        <f>INDEX('建筑建议总览'!$J$5:$J$25,MATCH($A183,'建筑建议总览'!$A$5:$A$25,0))</f>
        <v/>
      </c>
      <c r="J183" s="44">
        <f>POWER(H183,D183-1)</f>
        <v/>
      </c>
      <c r="K183" s="44">
        <f>SUMIF($A$5:$A$328,$A183,$J$5:$J$328)</f>
        <v/>
      </c>
      <c r="L183" s="36">
        <f>IF(I183&gt;0,ROUNDDOWN(MAX(0,I183-G183*(F183-1))*J183/K183,0),0)</f>
        <v/>
      </c>
      <c r="M183" s="36">
        <f>IF(I183&gt;0,G183+L183+IF(D183=F183-1,MAX(0,I183-G183*(F183-1)-SUMIF($A$5:$A$328,$A183,$L$5:$L$328)),0),ROUNDUP(G183*POWER(INDEX('建筑总览'!$G$5:$G$25,MATCH($A183,'建筑总览'!$A$5:$A$25,0)),D183),0))</f>
        <v/>
      </c>
      <c r="N183" s="35">
        <f>M183/'参数与公式'!$B$21</f>
        <v/>
      </c>
      <c r="O183" s="36">
        <f>INDEX('建筑建议总览'!$P$5:$P$25,MATCH($A183,'建筑建议总览'!$A$5:$A$25,0))</f>
        <v/>
      </c>
      <c r="P183" s="36">
        <f>INDEX('建筑建议总览'!$Q$5:$Q$25,MATCH($A183,'建筑建议总览'!$A$5:$A$25,0))</f>
        <v/>
      </c>
      <c r="Q183" s="44">
        <f>INDEX('建筑建议总览'!$R$5:$R$25,MATCH($A183,'建筑建议总览'!$A$5:$A$25,0))</f>
        <v/>
      </c>
      <c r="R183" s="36">
        <f>INDEX('建筑建议总览'!$S$5:$S$25,MATCH($A183,'建筑建议总览'!$A$5:$A$25,0))</f>
        <v/>
      </c>
      <c r="S183" s="36">
        <f>INDEX('建筑建议总览'!$T$5:$T$25,MATCH($A183,'建筑建议总览'!$A$5:$A$25,0))</f>
        <v/>
      </c>
      <c r="T183" s="44">
        <f>POWER(Q183,D183-1)</f>
        <v/>
      </c>
      <c r="U183" s="44">
        <f>SUMIF($A$5:$A$328,$A183,$T$5:$T$328)</f>
        <v/>
      </c>
      <c r="V183" s="36">
        <f>IF(R183&gt;0,ROUNDDOWN(MAX(0,R183-O183*(F183-1))*T183/U183,0),0)</f>
        <v/>
      </c>
      <c r="W183" s="36">
        <f>IF(S183&gt;0,ROUNDDOWN(MAX(0,S183-P183*(F183-1))*T183/U183,0),0)</f>
        <v/>
      </c>
      <c r="X183" s="36">
        <f>IF(R183&gt;0,O183+V183+IF(D183=F183-1,MAX(0,R183-O183*(F183-1)-SUMIF($A$5:$A$328,$A183,$V$5:$V$328)),0),ROUNDUP(O183*POWER(INDEX('建筑总览'!$J$5:$J$25,MATCH($A183,'建筑总览'!$A$5:$A$25,0)),D183),0))</f>
        <v/>
      </c>
      <c r="Y183" s="36">
        <f>IF(P183=0,0,IF(S183&gt;0,P183+W183+IF(D183=F183-1,MAX(0,S183-P183*(F183-1)-SUMIF($A$5:$A$328,$A183,$W$5:$W$328)),0),ROUNDUP(P183*POWER(INDEX('建筑总览'!$J$5:$J$25,MATCH($A183,'建筑总览'!$A$5:$A$25,0)),D183),0)))</f>
        <v/>
      </c>
      <c r="Z183" s="36">
        <f>IF(X183=0,0,MAX(1,ROUNDUP(X183*(1-'参数与公式'!$B$17),0)))</f>
        <v/>
      </c>
      <c r="AA183" s="36">
        <f>IF(Y183=0,0,MAX(1,ROUNDUP(Y183*(1-'参数与公式'!$B$17),0)))</f>
        <v/>
      </c>
      <c r="AB183" s="33" t="inlineStr">
        <is>
          <t>预算模式末级补足余数；旧模式按指数公式</t>
        </is>
      </c>
      <c r="AC183" s="49">
        <f>IF(A183=A182,IFERROR(M183/M182,""),"")</f>
        <v/>
      </c>
      <c r="AD183" s="49">
        <f>IF(AND(A183=A182,X182&gt;0),X183/X182,"")</f>
        <v/>
      </c>
    </row>
    <row r="184" ht="30" customHeight="1">
      <c r="A184" s="33" t="inlineStr">
        <is>
          <t>treasury</t>
        </is>
      </c>
      <c r="B184" s="33" t="inlineStr">
        <is>
          <t>藏宝阁</t>
        </is>
      </c>
      <c r="C184" s="33" t="inlineStr">
        <is>
          <t>仓储设施</t>
        </is>
      </c>
      <c r="D184" s="43" t="n">
        <v>16</v>
      </c>
      <c r="E184" s="36">
        <f>D184+1</f>
        <v/>
      </c>
      <c r="F184" s="43" t="n">
        <v>20</v>
      </c>
      <c r="G184" s="36">
        <f>INDEX('建筑建议总览'!$H$5:$H$25,MATCH($A184,'建筑建议总览'!$A$5:$A$25,0))</f>
        <v/>
      </c>
      <c r="H184" s="44">
        <f>INDEX('建筑建议总览'!$I$5:$I$25,MATCH($A184,'建筑建议总览'!$A$5:$A$25,0))</f>
        <v/>
      </c>
      <c r="I184" s="36">
        <f>INDEX('建筑建议总览'!$J$5:$J$25,MATCH($A184,'建筑建议总览'!$A$5:$A$25,0))</f>
        <v/>
      </c>
      <c r="J184" s="44">
        <f>POWER(H184,D184-1)</f>
        <v/>
      </c>
      <c r="K184" s="44">
        <f>SUMIF($A$5:$A$328,$A184,$J$5:$J$328)</f>
        <v/>
      </c>
      <c r="L184" s="36">
        <f>IF(I184&gt;0,ROUNDDOWN(MAX(0,I184-G184*(F184-1))*J184/K184,0),0)</f>
        <v/>
      </c>
      <c r="M184" s="36">
        <f>IF(I184&gt;0,G184+L184+IF(D184=F184-1,MAX(0,I184-G184*(F184-1)-SUMIF($A$5:$A$328,$A184,$L$5:$L$328)),0),ROUNDUP(G184*POWER(INDEX('建筑总览'!$G$5:$G$25,MATCH($A184,'建筑总览'!$A$5:$A$25,0)),D184),0))</f>
        <v/>
      </c>
      <c r="N184" s="35">
        <f>M184/'参数与公式'!$B$21</f>
        <v/>
      </c>
      <c r="O184" s="36">
        <f>INDEX('建筑建议总览'!$P$5:$P$25,MATCH($A184,'建筑建议总览'!$A$5:$A$25,0))</f>
        <v/>
      </c>
      <c r="P184" s="36">
        <f>INDEX('建筑建议总览'!$Q$5:$Q$25,MATCH($A184,'建筑建议总览'!$A$5:$A$25,0))</f>
        <v/>
      </c>
      <c r="Q184" s="44">
        <f>INDEX('建筑建议总览'!$R$5:$R$25,MATCH($A184,'建筑建议总览'!$A$5:$A$25,0))</f>
        <v/>
      </c>
      <c r="R184" s="36">
        <f>INDEX('建筑建议总览'!$S$5:$S$25,MATCH($A184,'建筑建议总览'!$A$5:$A$25,0))</f>
        <v/>
      </c>
      <c r="S184" s="36">
        <f>INDEX('建筑建议总览'!$T$5:$T$25,MATCH($A184,'建筑建议总览'!$A$5:$A$25,0))</f>
        <v/>
      </c>
      <c r="T184" s="44">
        <f>POWER(Q184,D184-1)</f>
        <v/>
      </c>
      <c r="U184" s="44">
        <f>SUMIF($A$5:$A$328,$A184,$T$5:$T$328)</f>
        <v/>
      </c>
      <c r="V184" s="36">
        <f>IF(R184&gt;0,ROUNDDOWN(MAX(0,R184-O184*(F184-1))*T184/U184,0),0)</f>
        <v/>
      </c>
      <c r="W184" s="36">
        <f>IF(S184&gt;0,ROUNDDOWN(MAX(0,S184-P184*(F184-1))*T184/U184,0),0)</f>
        <v/>
      </c>
      <c r="X184" s="36">
        <f>IF(R184&gt;0,O184+V184+IF(D184=F184-1,MAX(0,R184-O184*(F184-1)-SUMIF($A$5:$A$328,$A184,$V$5:$V$328)),0),ROUNDUP(O184*POWER(INDEX('建筑总览'!$J$5:$J$25,MATCH($A184,'建筑总览'!$A$5:$A$25,0)),D184),0))</f>
        <v/>
      </c>
      <c r="Y184" s="36">
        <f>IF(P184=0,0,IF(S184&gt;0,P184+W184+IF(D184=F184-1,MAX(0,S184-P184*(F184-1)-SUMIF($A$5:$A$328,$A184,$W$5:$W$328)),0),ROUNDUP(P184*POWER(INDEX('建筑总览'!$J$5:$J$25,MATCH($A184,'建筑总览'!$A$5:$A$25,0)),D184),0)))</f>
        <v/>
      </c>
      <c r="Z184" s="36">
        <f>IF(X184=0,0,MAX(1,ROUNDUP(X184*(1-'参数与公式'!$B$17),0)))</f>
        <v/>
      </c>
      <c r="AA184" s="36">
        <f>IF(Y184=0,0,MAX(1,ROUNDUP(Y184*(1-'参数与公式'!$B$17),0)))</f>
        <v/>
      </c>
      <c r="AB184" s="33" t="inlineStr">
        <is>
          <t>预算模式末级补足余数；旧模式按指数公式</t>
        </is>
      </c>
      <c r="AC184" s="49">
        <f>IF(A184=A183,IFERROR(M184/M183,""),"")</f>
        <v/>
      </c>
      <c r="AD184" s="49">
        <f>IF(AND(A184=A183,X183&gt;0),X184/X183,"")</f>
        <v/>
      </c>
    </row>
    <row r="185" ht="30" customHeight="1">
      <c r="A185" s="33" t="inlineStr">
        <is>
          <t>treasury</t>
        </is>
      </c>
      <c r="B185" s="33" t="inlineStr">
        <is>
          <t>藏宝阁</t>
        </is>
      </c>
      <c r="C185" s="33" t="inlineStr">
        <is>
          <t>仓储设施</t>
        </is>
      </c>
      <c r="D185" s="43" t="n">
        <v>17</v>
      </c>
      <c r="E185" s="36">
        <f>D185+1</f>
        <v/>
      </c>
      <c r="F185" s="43" t="n">
        <v>20</v>
      </c>
      <c r="G185" s="36">
        <f>INDEX('建筑建议总览'!$H$5:$H$25,MATCH($A185,'建筑建议总览'!$A$5:$A$25,0))</f>
        <v/>
      </c>
      <c r="H185" s="44">
        <f>INDEX('建筑建议总览'!$I$5:$I$25,MATCH($A185,'建筑建议总览'!$A$5:$A$25,0))</f>
        <v/>
      </c>
      <c r="I185" s="36">
        <f>INDEX('建筑建议总览'!$J$5:$J$25,MATCH($A185,'建筑建议总览'!$A$5:$A$25,0))</f>
        <v/>
      </c>
      <c r="J185" s="44">
        <f>POWER(H185,D185-1)</f>
        <v/>
      </c>
      <c r="K185" s="44">
        <f>SUMIF($A$5:$A$328,$A185,$J$5:$J$328)</f>
        <v/>
      </c>
      <c r="L185" s="36">
        <f>IF(I185&gt;0,ROUNDDOWN(MAX(0,I185-G185*(F185-1))*J185/K185,0),0)</f>
        <v/>
      </c>
      <c r="M185" s="36">
        <f>IF(I185&gt;0,G185+L185+IF(D185=F185-1,MAX(0,I185-G185*(F185-1)-SUMIF($A$5:$A$328,$A185,$L$5:$L$328)),0),ROUNDUP(G185*POWER(INDEX('建筑总览'!$G$5:$G$25,MATCH($A185,'建筑总览'!$A$5:$A$25,0)),D185),0))</f>
        <v/>
      </c>
      <c r="N185" s="35">
        <f>M185/'参数与公式'!$B$21</f>
        <v/>
      </c>
      <c r="O185" s="36">
        <f>INDEX('建筑建议总览'!$P$5:$P$25,MATCH($A185,'建筑建议总览'!$A$5:$A$25,0))</f>
        <v/>
      </c>
      <c r="P185" s="36">
        <f>INDEX('建筑建议总览'!$Q$5:$Q$25,MATCH($A185,'建筑建议总览'!$A$5:$A$25,0))</f>
        <v/>
      </c>
      <c r="Q185" s="44">
        <f>INDEX('建筑建议总览'!$R$5:$R$25,MATCH($A185,'建筑建议总览'!$A$5:$A$25,0))</f>
        <v/>
      </c>
      <c r="R185" s="36">
        <f>INDEX('建筑建议总览'!$S$5:$S$25,MATCH($A185,'建筑建议总览'!$A$5:$A$25,0))</f>
        <v/>
      </c>
      <c r="S185" s="36">
        <f>INDEX('建筑建议总览'!$T$5:$T$25,MATCH($A185,'建筑建议总览'!$A$5:$A$25,0))</f>
        <v/>
      </c>
      <c r="T185" s="44">
        <f>POWER(Q185,D185-1)</f>
        <v/>
      </c>
      <c r="U185" s="44">
        <f>SUMIF($A$5:$A$328,$A185,$T$5:$T$328)</f>
        <v/>
      </c>
      <c r="V185" s="36">
        <f>IF(R185&gt;0,ROUNDDOWN(MAX(0,R185-O185*(F185-1))*T185/U185,0),0)</f>
        <v/>
      </c>
      <c r="W185" s="36">
        <f>IF(S185&gt;0,ROUNDDOWN(MAX(0,S185-P185*(F185-1))*T185/U185,0),0)</f>
        <v/>
      </c>
      <c r="X185" s="36">
        <f>IF(R185&gt;0,O185+V185+IF(D185=F185-1,MAX(0,R185-O185*(F185-1)-SUMIF($A$5:$A$328,$A185,$V$5:$V$328)),0),ROUNDUP(O185*POWER(INDEX('建筑总览'!$J$5:$J$25,MATCH($A185,'建筑总览'!$A$5:$A$25,0)),D185),0))</f>
        <v/>
      </c>
      <c r="Y185" s="36">
        <f>IF(P185=0,0,IF(S185&gt;0,P185+W185+IF(D185=F185-1,MAX(0,S185-P185*(F185-1)-SUMIF($A$5:$A$328,$A185,$W$5:$W$328)),0),ROUNDUP(P185*POWER(INDEX('建筑总览'!$J$5:$J$25,MATCH($A185,'建筑总览'!$A$5:$A$25,0)),D185),0)))</f>
        <v/>
      </c>
      <c r="Z185" s="36">
        <f>IF(X185=0,0,MAX(1,ROUNDUP(X185*(1-'参数与公式'!$B$17),0)))</f>
        <v/>
      </c>
      <c r="AA185" s="36">
        <f>IF(Y185=0,0,MAX(1,ROUNDUP(Y185*(1-'参数与公式'!$B$17),0)))</f>
        <v/>
      </c>
      <c r="AB185" s="33" t="inlineStr">
        <is>
          <t>预算模式末级补足余数；旧模式按指数公式</t>
        </is>
      </c>
      <c r="AC185" s="49">
        <f>IF(A185=A184,IFERROR(M185/M184,""),"")</f>
        <v/>
      </c>
      <c r="AD185" s="49">
        <f>IF(AND(A185=A184,X184&gt;0),X185/X184,"")</f>
        <v/>
      </c>
    </row>
    <row r="186" ht="30" customHeight="1">
      <c r="A186" s="33" t="inlineStr">
        <is>
          <t>treasury</t>
        </is>
      </c>
      <c r="B186" s="33" t="inlineStr">
        <is>
          <t>藏宝阁</t>
        </is>
      </c>
      <c r="C186" s="33" t="inlineStr">
        <is>
          <t>仓储设施</t>
        </is>
      </c>
      <c r="D186" s="43" t="n">
        <v>18</v>
      </c>
      <c r="E186" s="36">
        <f>D186+1</f>
        <v/>
      </c>
      <c r="F186" s="43" t="n">
        <v>20</v>
      </c>
      <c r="G186" s="36">
        <f>INDEX('建筑建议总览'!$H$5:$H$25,MATCH($A186,'建筑建议总览'!$A$5:$A$25,0))</f>
        <v/>
      </c>
      <c r="H186" s="44">
        <f>INDEX('建筑建议总览'!$I$5:$I$25,MATCH($A186,'建筑建议总览'!$A$5:$A$25,0))</f>
        <v/>
      </c>
      <c r="I186" s="36">
        <f>INDEX('建筑建议总览'!$J$5:$J$25,MATCH($A186,'建筑建议总览'!$A$5:$A$25,0))</f>
        <v/>
      </c>
      <c r="J186" s="44">
        <f>POWER(H186,D186-1)</f>
        <v/>
      </c>
      <c r="K186" s="44">
        <f>SUMIF($A$5:$A$328,$A186,$J$5:$J$328)</f>
        <v/>
      </c>
      <c r="L186" s="36">
        <f>IF(I186&gt;0,ROUNDDOWN(MAX(0,I186-G186*(F186-1))*J186/K186,0),0)</f>
        <v/>
      </c>
      <c r="M186" s="36">
        <f>IF(I186&gt;0,G186+L186+IF(D186=F186-1,MAX(0,I186-G186*(F186-1)-SUMIF($A$5:$A$328,$A186,$L$5:$L$328)),0),ROUNDUP(G186*POWER(INDEX('建筑总览'!$G$5:$G$25,MATCH($A186,'建筑总览'!$A$5:$A$25,0)),D186),0))</f>
        <v/>
      </c>
      <c r="N186" s="35">
        <f>M186/'参数与公式'!$B$21</f>
        <v/>
      </c>
      <c r="O186" s="36">
        <f>INDEX('建筑建议总览'!$P$5:$P$25,MATCH($A186,'建筑建议总览'!$A$5:$A$25,0))</f>
        <v/>
      </c>
      <c r="P186" s="36">
        <f>INDEX('建筑建议总览'!$Q$5:$Q$25,MATCH($A186,'建筑建议总览'!$A$5:$A$25,0))</f>
        <v/>
      </c>
      <c r="Q186" s="44">
        <f>INDEX('建筑建议总览'!$R$5:$R$25,MATCH($A186,'建筑建议总览'!$A$5:$A$25,0))</f>
        <v/>
      </c>
      <c r="R186" s="36">
        <f>INDEX('建筑建议总览'!$S$5:$S$25,MATCH($A186,'建筑建议总览'!$A$5:$A$25,0))</f>
        <v/>
      </c>
      <c r="S186" s="36">
        <f>INDEX('建筑建议总览'!$T$5:$T$25,MATCH($A186,'建筑建议总览'!$A$5:$A$25,0))</f>
        <v/>
      </c>
      <c r="T186" s="44">
        <f>POWER(Q186,D186-1)</f>
        <v/>
      </c>
      <c r="U186" s="44">
        <f>SUMIF($A$5:$A$328,$A186,$T$5:$T$328)</f>
        <v/>
      </c>
      <c r="V186" s="36">
        <f>IF(R186&gt;0,ROUNDDOWN(MAX(0,R186-O186*(F186-1))*T186/U186,0),0)</f>
        <v/>
      </c>
      <c r="W186" s="36">
        <f>IF(S186&gt;0,ROUNDDOWN(MAX(0,S186-P186*(F186-1))*T186/U186,0),0)</f>
        <v/>
      </c>
      <c r="X186" s="36">
        <f>IF(R186&gt;0,O186+V186+IF(D186=F186-1,MAX(0,R186-O186*(F186-1)-SUMIF($A$5:$A$328,$A186,$V$5:$V$328)),0),ROUNDUP(O186*POWER(INDEX('建筑总览'!$J$5:$J$25,MATCH($A186,'建筑总览'!$A$5:$A$25,0)),D186),0))</f>
        <v/>
      </c>
      <c r="Y186" s="36">
        <f>IF(P186=0,0,IF(S186&gt;0,P186+W186+IF(D186=F186-1,MAX(0,S186-P186*(F186-1)-SUMIF($A$5:$A$328,$A186,$W$5:$W$328)),0),ROUNDUP(P186*POWER(INDEX('建筑总览'!$J$5:$J$25,MATCH($A186,'建筑总览'!$A$5:$A$25,0)),D186),0)))</f>
        <v/>
      </c>
      <c r="Z186" s="36">
        <f>IF(X186=0,0,MAX(1,ROUNDUP(X186*(1-'参数与公式'!$B$17),0)))</f>
        <v/>
      </c>
      <c r="AA186" s="36">
        <f>IF(Y186=0,0,MAX(1,ROUNDUP(Y186*(1-'参数与公式'!$B$17),0)))</f>
        <v/>
      </c>
      <c r="AB186" s="33" t="inlineStr">
        <is>
          <t>预算模式末级补足余数；旧模式按指数公式</t>
        </is>
      </c>
      <c r="AC186" s="49">
        <f>IF(A186=A185,IFERROR(M186/M185,""),"")</f>
        <v/>
      </c>
      <c r="AD186" s="49">
        <f>IF(AND(A186=A185,X185&gt;0),X186/X185,"")</f>
        <v/>
      </c>
    </row>
    <row r="187" ht="30" customHeight="1">
      <c r="A187" s="33" t="inlineStr">
        <is>
          <t>treasury</t>
        </is>
      </c>
      <c r="B187" s="33" t="inlineStr">
        <is>
          <t>藏宝阁</t>
        </is>
      </c>
      <c r="C187" s="33" t="inlineStr">
        <is>
          <t>仓储设施</t>
        </is>
      </c>
      <c r="D187" s="43" t="n">
        <v>19</v>
      </c>
      <c r="E187" s="36">
        <f>D187+1</f>
        <v/>
      </c>
      <c r="F187" s="43" t="n">
        <v>20</v>
      </c>
      <c r="G187" s="36">
        <f>INDEX('建筑建议总览'!$H$5:$H$25,MATCH($A187,'建筑建议总览'!$A$5:$A$25,0))</f>
        <v/>
      </c>
      <c r="H187" s="44">
        <f>INDEX('建筑建议总览'!$I$5:$I$25,MATCH($A187,'建筑建议总览'!$A$5:$A$25,0))</f>
        <v/>
      </c>
      <c r="I187" s="36">
        <f>INDEX('建筑建议总览'!$J$5:$J$25,MATCH($A187,'建筑建议总览'!$A$5:$A$25,0))</f>
        <v/>
      </c>
      <c r="J187" s="44">
        <f>POWER(H187,D187-1)</f>
        <v/>
      </c>
      <c r="K187" s="44">
        <f>SUMIF($A$5:$A$328,$A187,$J$5:$J$328)</f>
        <v/>
      </c>
      <c r="L187" s="36">
        <f>IF(I187&gt;0,ROUNDDOWN(MAX(0,I187-G187*(F187-1))*J187/K187,0),0)</f>
        <v/>
      </c>
      <c r="M187" s="36">
        <f>IF(I187&gt;0,G187+L187+IF(D187=F187-1,MAX(0,I187-G187*(F187-1)-SUMIF($A$5:$A$328,$A187,$L$5:$L$328)),0),ROUNDUP(G187*POWER(INDEX('建筑总览'!$G$5:$G$25,MATCH($A187,'建筑总览'!$A$5:$A$25,0)),D187),0))</f>
        <v/>
      </c>
      <c r="N187" s="35">
        <f>M187/'参数与公式'!$B$21</f>
        <v/>
      </c>
      <c r="O187" s="36">
        <f>INDEX('建筑建议总览'!$P$5:$P$25,MATCH($A187,'建筑建议总览'!$A$5:$A$25,0))</f>
        <v/>
      </c>
      <c r="P187" s="36">
        <f>INDEX('建筑建议总览'!$Q$5:$Q$25,MATCH($A187,'建筑建议总览'!$A$5:$A$25,0))</f>
        <v/>
      </c>
      <c r="Q187" s="44">
        <f>INDEX('建筑建议总览'!$R$5:$R$25,MATCH($A187,'建筑建议总览'!$A$5:$A$25,0))</f>
        <v/>
      </c>
      <c r="R187" s="36">
        <f>INDEX('建筑建议总览'!$S$5:$S$25,MATCH($A187,'建筑建议总览'!$A$5:$A$25,0))</f>
        <v/>
      </c>
      <c r="S187" s="36">
        <f>INDEX('建筑建议总览'!$T$5:$T$25,MATCH($A187,'建筑建议总览'!$A$5:$A$25,0))</f>
        <v/>
      </c>
      <c r="T187" s="44">
        <f>POWER(Q187,D187-1)</f>
        <v/>
      </c>
      <c r="U187" s="44">
        <f>SUMIF($A$5:$A$328,$A187,$T$5:$T$328)</f>
        <v/>
      </c>
      <c r="V187" s="36">
        <f>IF(R187&gt;0,ROUNDDOWN(MAX(0,R187-O187*(F187-1))*T187/U187,0),0)</f>
        <v/>
      </c>
      <c r="W187" s="36">
        <f>IF(S187&gt;0,ROUNDDOWN(MAX(0,S187-P187*(F187-1))*T187/U187,0),0)</f>
        <v/>
      </c>
      <c r="X187" s="36">
        <f>IF(R187&gt;0,O187+V187+IF(D187=F187-1,MAX(0,R187-O187*(F187-1)-SUMIF($A$5:$A$328,$A187,$V$5:$V$328)),0),ROUNDUP(O187*POWER(INDEX('建筑总览'!$J$5:$J$25,MATCH($A187,'建筑总览'!$A$5:$A$25,0)),D187),0))</f>
        <v/>
      </c>
      <c r="Y187" s="36">
        <f>IF(P187=0,0,IF(S187&gt;0,P187+W187+IF(D187=F187-1,MAX(0,S187-P187*(F187-1)-SUMIF($A$5:$A$328,$A187,$W$5:$W$328)),0),ROUNDUP(P187*POWER(INDEX('建筑总览'!$J$5:$J$25,MATCH($A187,'建筑总览'!$A$5:$A$25,0)),D187),0)))</f>
        <v/>
      </c>
      <c r="Z187" s="36">
        <f>IF(X187=0,0,MAX(1,ROUNDUP(X187*(1-'参数与公式'!$B$17),0)))</f>
        <v/>
      </c>
      <c r="AA187" s="36">
        <f>IF(Y187=0,0,MAX(1,ROUNDUP(Y187*(1-'参数与公式'!$B$17),0)))</f>
        <v/>
      </c>
      <c r="AB187" s="33" t="inlineStr">
        <is>
          <t>预算模式末级补足余数；旧模式按指数公式</t>
        </is>
      </c>
      <c r="AC187" s="49">
        <f>IF(A187=A186,IFERROR(M187/M186,""),"")</f>
        <v/>
      </c>
      <c r="AD187" s="49">
        <f>IF(AND(A187=A186,X186&gt;0),X187/X186,"")</f>
        <v/>
      </c>
    </row>
    <row r="188" ht="30" customHeight="1">
      <c r="A188" s="33" t="inlineStr">
        <is>
          <t>ranch</t>
        </is>
      </c>
      <c r="B188" s="33" t="inlineStr">
        <is>
          <t>畜牧场</t>
        </is>
      </c>
      <c r="C188" s="33" t="inlineStr">
        <is>
          <t>生产加工</t>
        </is>
      </c>
      <c r="D188" s="43" t="n">
        <v>1</v>
      </c>
      <c r="E188" s="36">
        <f>D188+1</f>
        <v/>
      </c>
      <c r="F188" s="43" t="n">
        <v>10</v>
      </c>
      <c r="G188" s="36">
        <f>INDEX('建筑建议总览'!$H$5:$H$25,MATCH($A188,'建筑建议总览'!$A$5:$A$25,0))</f>
        <v/>
      </c>
      <c r="H188" s="44">
        <f>INDEX('建筑建议总览'!$I$5:$I$25,MATCH($A188,'建筑建议总览'!$A$5:$A$25,0))</f>
        <v/>
      </c>
      <c r="I188" s="36">
        <f>INDEX('建筑建议总览'!$J$5:$J$25,MATCH($A188,'建筑建议总览'!$A$5:$A$25,0))</f>
        <v/>
      </c>
      <c r="J188" s="44">
        <f>POWER(H188,D188-1)</f>
        <v/>
      </c>
      <c r="K188" s="44">
        <f>SUMIF($A$5:$A$328,$A188,$J$5:$J$328)</f>
        <v/>
      </c>
      <c r="L188" s="36">
        <f>IF(I188&gt;0,ROUNDDOWN(MAX(0,I188-G188*(F188-1))*J188/K188,0),0)</f>
        <v/>
      </c>
      <c r="M188" s="36">
        <f>IF(I188&gt;0,G188+L188+IF(D188=F188-1,MAX(0,I188-G188*(F188-1)-SUMIF($A$5:$A$328,$A188,$L$5:$L$328)),0),ROUNDUP(G188*POWER(INDEX('建筑总览'!$G$5:$G$25,MATCH($A188,'建筑总览'!$A$5:$A$25,0)),D188),0))</f>
        <v/>
      </c>
      <c r="N188" s="35">
        <f>M188/'参数与公式'!$B$21</f>
        <v/>
      </c>
      <c r="O188" s="36">
        <f>INDEX('建筑建议总览'!$P$5:$P$25,MATCH($A188,'建筑建议总览'!$A$5:$A$25,0))</f>
        <v/>
      </c>
      <c r="P188" s="36">
        <f>INDEX('建筑建议总览'!$Q$5:$Q$25,MATCH($A188,'建筑建议总览'!$A$5:$A$25,0))</f>
        <v/>
      </c>
      <c r="Q188" s="44">
        <f>INDEX('建筑建议总览'!$R$5:$R$25,MATCH($A188,'建筑建议总览'!$A$5:$A$25,0))</f>
        <v/>
      </c>
      <c r="R188" s="36">
        <f>INDEX('建筑建议总览'!$S$5:$S$25,MATCH($A188,'建筑建议总览'!$A$5:$A$25,0))</f>
        <v/>
      </c>
      <c r="S188" s="36">
        <f>INDEX('建筑建议总览'!$T$5:$T$25,MATCH($A188,'建筑建议总览'!$A$5:$A$25,0))</f>
        <v/>
      </c>
      <c r="T188" s="44">
        <f>POWER(Q188,D188-1)</f>
        <v/>
      </c>
      <c r="U188" s="44">
        <f>SUMIF($A$5:$A$328,$A188,$T$5:$T$328)</f>
        <v/>
      </c>
      <c r="V188" s="36">
        <f>IF(R188&gt;0,ROUNDDOWN(MAX(0,R188-O188*(F188-1))*T188/U188,0),0)</f>
        <v/>
      </c>
      <c r="W188" s="36">
        <f>IF(S188&gt;0,ROUNDDOWN(MAX(0,S188-P188*(F188-1))*T188/U188,0),0)</f>
        <v/>
      </c>
      <c r="X188" s="36">
        <f>IF(R188&gt;0,O188+V188+IF(D188=F188-1,MAX(0,R188-O188*(F188-1)-SUMIF($A$5:$A$328,$A188,$V$5:$V$328)),0),ROUNDUP(O188*POWER(INDEX('建筑总览'!$J$5:$J$25,MATCH($A188,'建筑总览'!$A$5:$A$25,0)),D188),0))</f>
        <v/>
      </c>
      <c r="Y188" s="36">
        <f>IF(P188=0,0,IF(S188&gt;0,P188+W188+IF(D188=F188-1,MAX(0,S188-P188*(F188-1)-SUMIF($A$5:$A$328,$A188,$W$5:$W$328)),0),ROUNDUP(P188*POWER(INDEX('建筑总览'!$J$5:$J$25,MATCH($A188,'建筑总览'!$A$5:$A$25,0)),D188),0)))</f>
        <v/>
      </c>
      <c r="Z188" s="36">
        <f>IF(X188=0,0,MAX(1,ROUNDUP(X188*(1-'参数与公式'!$B$17),0)))</f>
        <v/>
      </c>
      <c r="AA188" s="36">
        <f>IF(Y188=0,0,MAX(1,ROUNDUP(Y188*(1-'参数与公式'!$B$17),0)))</f>
        <v/>
      </c>
      <c r="AB188" s="33" t="inlineStr">
        <is>
          <t>预算模式末级补足余数；旧模式按指数公式</t>
        </is>
      </c>
      <c r="AC188" s="49">
        <f>IF(A188=A187,IFERROR(M188/M187,""),"")</f>
        <v/>
      </c>
      <c r="AD188" s="49">
        <f>IF(AND(A188=A187,X187&gt;0),X188/X187,"")</f>
        <v/>
      </c>
    </row>
    <row r="189" ht="30" customHeight="1">
      <c r="A189" s="33" t="inlineStr">
        <is>
          <t>ranch</t>
        </is>
      </c>
      <c r="B189" s="33" t="inlineStr">
        <is>
          <t>畜牧场</t>
        </is>
      </c>
      <c r="C189" s="33" t="inlineStr">
        <is>
          <t>生产加工</t>
        </is>
      </c>
      <c r="D189" s="43" t="n">
        <v>2</v>
      </c>
      <c r="E189" s="36">
        <f>D189+1</f>
        <v/>
      </c>
      <c r="F189" s="43" t="n">
        <v>10</v>
      </c>
      <c r="G189" s="36">
        <f>INDEX('建筑建议总览'!$H$5:$H$25,MATCH($A189,'建筑建议总览'!$A$5:$A$25,0))</f>
        <v/>
      </c>
      <c r="H189" s="44">
        <f>INDEX('建筑建议总览'!$I$5:$I$25,MATCH($A189,'建筑建议总览'!$A$5:$A$25,0))</f>
        <v/>
      </c>
      <c r="I189" s="36">
        <f>INDEX('建筑建议总览'!$J$5:$J$25,MATCH($A189,'建筑建议总览'!$A$5:$A$25,0))</f>
        <v/>
      </c>
      <c r="J189" s="44">
        <f>POWER(H189,D189-1)</f>
        <v/>
      </c>
      <c r="K189" s="44">
        <f>SUMIF($A$5:$A$328,$A189,$J$5:$J$328)</f>
        <v/>
      </c>
      <c r="L189" s="36">
        <f>IF(I189&gt;0,ROUNDDOWN(MAX(0,I189-G189*(F189-1))*J189/K189,0),0)</f>
        <v/>
      </c>
      <c r="M189" s="36">
        <f>IF(I189&gt;0,G189+L189+IF(D189=F189-1,MAX(0,I189-G189*(F189-1)-SUMIF($A$5:$A$328,$A189,$L$5:$L$328)),0),ROUNDUP(G189*POWER(INDEX('建筑总览'!$G$5:$G$25,MATCH($A189,'建筑总览'!$A$5:$A$25,0)),D189),0))</f>
        <v/>
      </c>
      <c r="N189" s="35">
        <f>M189/'参数与公式'!$B$21</f>
        <v/>
      </c>
      <c r="O189" s="36">
        <f>INDEX('建筑建议总览'!$P$5:$P$25,MATCH($A189,'建筑建议总览'!$A$5:$A$25,0))</f>
        <v/>
      </c>
      <c r="P189" s="36">
        <f>INDEX('建筑建议总览'!$Q$5:$Q$25,MATCH($A189,'建筑建议总览'!$A$5:$A$25,0))</f>
        <v/>
      </c>
      <c r="Q189" s="44">
        <f>INDEX('建筑建议总览'!$R$5:$R$25,MATCH($A189,'建筑建议总览'!$A$5:$A$25,0))</f>
        <v/>
      </c>
      <c r="R189" s="36">
        <f>INDEX('建筑建议总览'!$S$5:$S$25,MATCH($A189,'建筑建议总览'!$A$5:$A$25,0))</f>
        <v/>
      </c>
      <c r="S189" s="36">
        <f>INDEX('建筑建议总览'!$T$5:$T$25,MATCH($A189,'建筑建议总览'!$A$5:$A$25,0))</f>
        <v/>
      </c>
      <c r="T189" s="44">
        <f>POWER(Q189,D189-1)</f>
        <v/>
      </c>
      <c r="U189" s="44">
        <f>SUMIF($A$5:$A$328,$A189,$T$5:$T$328)</f>
        <v/>
      </c>
      <c r="V189" s="36">
        <f>IF(R189&gt;0,ROUNDDOWN(MAX(0,R189-O189*(F189-1))*T189/U189,0),0)</f>
        <v/>
      </c>
      <c r="W189" s="36">
        <f>IF(S189&gt;0,ROUNDDOWN(MAX(0,S189-P189*(F189-1))*T189/U189,0),0)</f>
        <v/>
      </c>
      <c r="X189" s="36">
        <f>IF(R189&gt;0,O189+V189+IF(D189=F189-1,MAX(0,R189-O189*(F189-1)-SUMIF($A$5:$A$328,$A189,$V$5:$V$328)),0),ROUNDUP(O189*POWER(INDEX('建筑总览'!$J$5:$J$25,MATCH($A189,'建筑总览'!$A$5:$A$25,0)),D189),0))</f>
        <v/>
      </c>
      <c r="Y189" s="36">
        <f>IF(P189=0,0,IF(S189&gt;0,P189+W189+IF(D189=F189-1,MAX(0,S189-P189*(F189-1)-SUMIF($A$5:$A$328,$A189,$W$5:$W$328)),0),ROUNDUP(P189*POWER(INDEX('建筑总览'!$J$5:$J$25,MATCH($A189,'建筑总览'!$A$5:$A$25,0)),D189),0)))</f>
        <v/>
      </c>
      <c r="Z189" s="36">
        <f>IF(X189=0,0,MAX(1,ROUNDUP(X189*(1-'参数与公式'!$B$17),0)))</f>
        <v/>
      </c>
      <c r="AA189" s="36">
        <f>IF(Y189=0,0,MAX(1,ROUNDUP(Y189*(1-'参数与公式'!$B$17),0)))</f>
        <v/>
      </c>
      <c r="AB189" s="33" t="inlineStr">
        <is>
          <t>预算模式末级补足余数；旧模式按指数公式</t>
        </is>
      </c>
      <c r="AC189" s="49">
        <f>IF(A189=A188,IFERROR(M189/M188,""),"")</f>
        <v/>
      </c>
      <c r="AD189" s="49">
        <f>IF(AND(A189=A188,X188&gt;0),X189/X188,"")</f>
        <v/>
      </c>
    </row>
    <row r="190" ht="30" customHeight="1">
      <c r="A190" s="33" t="inlineStr">
        <is>
          <t>ranch</t>
        </is>
      </c>
      <c r="B190" s="33" t="inlineStr">
        <is>
          <t>畜牧场</t>
        </is>
      </c>
      <c r="C190" s="33" t="inlineStr">
        <is>
          <t>生产加工</t>
        </is>
      </c>
      <c r="D190" s="43" t="n">
        <v>3</v>
      </c>
      <c r="E190" s="36">
        <f>D190+1</f>
        <v/>
      </c>
      <c r="F190" s="43" t="n">
        <v>10</v>
      </c>
      <c r="G190" s="36">
        <f>INDEX('建筑建议总览'!$H$5:$H$25,MATCH($A190,'建筑建议总览'!$A$5:$A$25,0))</f>
        <v/>
      </c>
      <c r="H190" s="44">
        <f>INDEX('建筑建议总览'!$I$5:$I$25,MATCH($A190,'建筑建议总览'!$A$5:$A$25,0))</f>
        <v/>
      </c>
      <c r="I190" s="36">
        <f>INDEX('建筑建议总览'!$J$5:$J$25,MATCH($A190,'建筑建议总览'!$A$5:$A$25,0))</f>
        <v/>
      </c>
      <c r="J190" s="44">
        <f>POWER(H190,D190-1)</f>
        <v/>
      </c>
      <c r="K190" s="44">
        <f>SUMIF($A$5:$A$328,$A190,$J$5:$J$328)</f>
        <v/>
      </c>
      <c r="L190" s="36">
        <f>IF(I190&gt;0,ROUNDDOWN(MAX(0,I190-G190*(F190-1))*J190/K190,0),0)</f>
        <v/>
      </c>
      <c r="M190" s="36">
        <f>IF(I190&gt;0,G190+L190+IF(D190=F190-1,MAX(0,I190-G190*(F190-1)-SUMIF($A$5:$A$328,$A190,$L$5:$L$328)),0),ROUNDUP(G190*POWER(INDEX('建筑总览'!$G$5:$G$25,MATCH($A190,'建筑总览'!$A$5:$A$25,0)),D190),0))</f>
        <v/>
      </c>
      <c r="N190" s="35">
        <f>M190/'参数与公式'!$B$21</f>
        <v/>
      </c>
      <c r="O190" s="36">
        <f>INDEX('建筑建议总览'!$P$5:$P$25,MATCH($A190,'建筑建议总览'!$A$5:$A$25,0))</f>
        <v/>
      </c>
      <c r="P190" s="36">
        <f>INDEX('建筑建议总览'!$Q$5:$Q$25,MATCH($A190,'建筑建议总览'!$A$5:$A$25,0))</f>
        <v/>
      </c>
      <c r="Q190" s="44">
        <f>INDEX('建筑建议总览'!$R$5:$R$25,MATCH($A190,'建筑建议总览'!$A$5:$A$25,0))</f>
        <v/>
      </c>
      <c r="R190" s="36">
        <f>INDEX('建筑建议总览'!$S$5:$S$25,MATCH($A190,'建筑建议总览'!$A$5:$A$25,0))</f>
        <v/>
      </c>
      <c r="S190" s="36">
        <f>INDEX('建筑建议总览'!$T$5:$T$25,MATCH($A190,'建筑建议总览'!$A$5:$A$25,0))</f>
        <v/>
      </c>
      <c r="T190" s="44">
        <f>POWER(Q190,D190-1)</f>
        <v/>
      </c>
      <c r="U190" s="44">
        <f>SUMIF($A$5:$A$328,$A190,$T$5:$T$328)</f>
        <v/>
      </c>
      <c r="V190" s="36">
        <f>IF(R190&gt;0,ROUNDDOWN(MAX(0,R190-O190*(F190-1))*T190/U190,0),0)</f>
        <v/>
      </c>
      <c r="W190" s="36">
        <f>IF(S190&gt;0,ROUNDDOWN(MAX(0,S190-P190*(F190-1))*T190/U190,0),0)</f>
        <v/>
      </c>
      <c r="X190" s="36">
        <f>IF(R190&gt;0,O190+V190+IF(D190=F190-1,MAX(0,R190-O190*(F190-1)-SUMIF($A$5:$A$328,$A190,$V$5:$V$328)),0),ROUNDUP(O190*POWER(INDEX('建筑总览'!$J$5:$J$25,MATCH($A190,'建筑总览'!$A$5:$A$25,0)),D190),0))</f>
        <v/>
      </c>
      <c r="Y190" s="36">
        <f>IF(P190=0,0,IF(S190&gt;0,P190+W190+IF(D190=F190-1,MAX(0,S190-P190*(F190-1)-SUMIF($A$5:$A$328,$A190,$W$5:$W$328)),0),ROUNDUP(P190*POWER(INDEX('建筑总览'!$J$5:$J$25,MATCH($A190,'建筑总览'!$A$5:$A$25,0)),D190),0)))</f>
        <v/>
      </c>
      <c r="Z190" s="36">
        <f>IF(X190=0,0,MAX(1,ROUNDUP(X190*(1-'参数与公式'!$B$17),0)))</f>
        <v/>
      </c>
      <c r="AA190" s="36">
        <f>IF(Y190=0,0,MAX(1,ROUNDUP(Y190*(1-'参数与公式'!$B$17),0)))</f>
        <v/>
      </c>
      <c r="AB190" s="33" t="inlineStr">
        <is>
          <t>预算模式末级补足余数；旧模式按指数公式</t>
        </is>
      </c>
      <c r="AC190" s="49">
        <f>IF(A190=A189,IFERROR(M190/M189,""),"")</f>
        <v/>
      </c>
      <c r="AD190" s="49">
        <f>IF(AND(A190=A189,X189&gt;0),X190/X189,"")</f>
        <v/>
      </c>
    </row>
    <row r="191" ht="30" customHeight="1">
      <c r="A191" s="33" t="inlineStr">
        <is>
          <t>ranch</t>
        </is>
      </c>
      <c r="B191" s="33" t="inlineStr">
        <is>
          <t>畜牧场</t>
        </is>
      </c>
      <c r="C191" s="33" t="inlineStr">
        <is>
          <t>生产加工</t>
        </is>
      </c>
      <c r="D191" s="43" t="n">
        <v>4</v>
      </c>
      <c r="E191" s="36">
        <f>D191+1</f>
        <v/>
      </c>
      <c r="F191" s="43" t="n">
        <v>10</v>
      </c>
      <c r="G191" s="36">
        <f>INDEX('建筑建议总览'!$H$5:$H$25,MATCH($A191,'建筑建议总览'!$A$5:$A$25,0))</f>
        <v/>
      </c>
      <c r="H191" s="44">
        <f>INDEX('建筑建议总览'!$I$5:$I$25,MATCH($A191,'建筑建议总览'!$A$5:$A$25,0))</f>
        <v/>
      </c>
      <c r="I191" s="36">
        <f>INDEX('建筑建议总览'!$J$5:$J$25,MATCH($A191,'建筑建议总览'!$A$5:$A$25,0))</f>
        <v/>
      </c>
      <c r="J191" s="44">
        <f>POWER(H191,D191-1)</f>
        <v/>
      </c>
      <c r="K191" s="44">
        <f>SUMIF($A$5:$A$328,$A191,$J$5:$J$328)</f>
        <v/>
      </c>
      <c r="L191" s="36">
        <f>IF(I191&gt;0,ROUNDDOWN(MAX(0,I191-G191*(F191-1))*J191/K191,0),0)</f>
        <v/>
      </c>
      <c r="M191" s="36">
        <f>IF(I191&gt;0,G191+L191+IF(D191=F191-1,MAX(0,I191-G191*(F191-1)-SUMIF($A$5:$A$328,$A191,$L$5:$L$328)),0),ROUNDUP(G191*POWER(INDEX('建筑总览'!$G$5:$G$25,MATCH($A191,'建筑总览'!$A$5:$A$25,0)),D191),0))</f>
        <v/>
      </c>
      <c r="N191" s="35">
        <f>M191/'参数与公式'!$B$21</f>
        <v/>
      </c>
      <c r="O191" s="36">
        <f>INDEX('建筑建议总览'!$P$5:$P$25,MATCH($A191,'建筑建议总览'!$A$5:$A$25,0))</f>
        <v/>
      </c>
      <c r="P191" s="36">
        <f>INDEX('建筑建议总览'!$Q$5:$Q$25,MATCH($A191,'建筑建议总览'!$A$5:$A$25,0))</f>
        <v/>
      </c>
      <c r="Q191" s="44">
        <f>INDEX('建筑建议总览'!$R$5:$R$25,MATCH($A191,'建筑建议总览'!$A$5:$A$25,0))</f>
        <v/>
      </c>
      <c r="R191" s="36">
        <f>INDEX('建筑建议总览'!$S$5:$S$25,MATCH($A191,'建筑建议总览'!$A$5:$A$25,0))</f>
        <v/>
      </c>
      <c r="S191" s="36">
        <f>INDEX('建筑建议总览'!$T$5:$T$25,MATCH($A191,'建筑建议总览'!$A$5:$A$25,0))</f>
        <v/>
      </c>
      <c r="T191" s="44">
        <f>POWER(Q191,D191-1)</f>
        <v/>
      </c>
      <c r="U191" s="44">
        <f>SUMIF($A$5:$A$328,$A191,$T$5:$T$328)</f>
        <v/>
      </c>
      <c r="V191" s="36">
        <f>IF(R191&gt;0,ROUNDDOWN(MAX(0,R191-O191*(F191-1))*T191/U191,0),0)</f>
        <v/>
      </c>
      <c r="W191" s="36">
        <f>IF(S191&gt;0,ROUNDDOWN(MAX(0,S191-P191*(F191-1))*T191/U191,0),0)</f>
        <v/>
      </c>
      <c r="X191" s="36">
        <f>IF(R191&gt;0,O191+V191+IF(D191=F191-1,MAX(0,R191-O191*(F191-1)-SUMIF($A$5:$A$328,$A191,$V$5:$V$328)),0),ROUNDUP(O191*POWER(INDEX('建筑总览'!$J$5:$J$25,MATCH($A191,'建筑总览'!$A$5:$A$25,0)),D191),0))</f>
        <v/>
      </c>
      <c r="Y191" s="36">
        <f>IF(P191=0,0,IF(S191&gt;0,P191+W191+IF(D191=F191-1,MAX(0,S191-P191*(F191-1)-SUMIF($A$5:$A$328,$A191,$W$5:$W$328)),0),ROUNDUP(P191*POWER(INDEX('建筑总览'!$J$5:$J$25,MATCH($A191,'建筑总览'!$A$5:$A$25,0)),D191),0)))</f>
        <v/>
      </c>
      <c r="Z191" s="36">
        <f>IF(X191=0,0,MAX(1,ROUNDUP(X191*(1-'参数与公式'!$B$17),0)))</f>
        <v/>
      </c>
      <c r="AA191" s="36">
        <f>IF(Y191=0,0,MAX(1,ROUNDUP(Y191*(1-'参数与公式'!$B$17),0)))</f>
        <v/>
      </c>
      <c r="AB191" s="33" t="inlineStr">
        <is>
          <t>预算模式末级补足余数；旧模式按指数公式</t>
        </is>
      </c>
      <c r="AC191" s="49">
        <f>IF(A191=A190,IFERROR(M191/M190,""),"")</f>
        <v/>
      </c>
      <c r="AD191" s="49">
        <f>IF(AND(A191=A190,X190&gt;0),X191/X190,"")</f>
        <v/>
      </c>
    </row>
    <row r="192" ht="30" customHeight="1">
      <c r="A192" s="33" t="inlineStr">
        <is>
          <t>ranch</t>
        </is>
      </c>
      <c r="B192" s="33" t="inlineStr">
        <is>
          <t>畜牧场</t>
        </is>
      </c>
      <c r="C192" s="33" t="inlineStr">
        <is>
          <t>生产加工</t>
        </is>
      </c>
      <c r="D192" s="43" t="n">
        <v>5</v>
      </c>
      <c r="E192" s="36">
        <f>D192+1</f>
        <v/>
      </c>
      <c r="F192" s="43" t="n">
        <v>10</v>
      </c>
      <c r="G192" s="36">
        <f>INDEX('建筑建议总览'!$H$5:$H$25,MATCH($A192,'建筑建议总览'!$A$5:$A$25,0))</f>
        <v/>
      </c>
      <c r="H192" s="44">
        <f>INDEX('建筑建议总览'!$I$5:$I$25,MATCH($A192,'建筑建议总览'!$A$5:$A$25,0))</f>
        <v/>
      </c>
      <c r="I192" s="36">
        <f>INDEX('建筑建议总览'!$J$5:$J$25,MATCH($A192,'建筑建议总览'!$A$5:$A$25,0))</f>
        <v/>
      </c>
      <c r="J192" s="44">
        <f>POWER(H192,D192-1)</f>
        <v/>
      </c>
      <c r="K192" s="44">
        <f>SUMIF($A$5:$A$328,$A192,$J$5:$J$328)</f>
        <v/>
      </c>
      <c r="L192" s="36">
        <f>IF(I192&gt;0,ROUNDDOWN(MAX(0,I192-G192*(F192-1))*J192/K192,0),0)</f>
        <v/>
      </c>
      <c r="M192" s="36">
        <f>IF(I192&gt;0,G192+L192+IF(D192=F192-1,MAX(0,I192-G192*(F192-1)-SUMIF($A$5:$A$328,$A192,$L$5:$L$328)),0),ROUNDUP(G192*POWER(INDEX('建筑总览'!$G$5:$G$25,MATCH($A192,'建筑总览'!$A$5:$A$25,0)),D192),0))</f>
        <v/>
      </c>
      <c r="N192" s="35">
        <f>M192/'参数与公式'!$B$21</f>
        <v/>
      </c>
      <c r="O192" s="36">
        <f>INDEX('建筑建议总览'!$P$5:$P$25,MATCH($A192,'建筑建议总览'!$A$5:$A$25,0))</f>
        <v/>
      </c>
      <c r="P192" s="36">
        <f>INDEX('建筑建议总览'!$Q$5:$Q$25,MATCH($A192,'建筑建议总览'!$A$5:$A$25,0))</f>
        <v/>
      </c>
      <c r="Q192" s="44">
        <f>INDEX('建筑建议总览'!$R$5:$R$25,MATCH($A192,'建筑建议总览'!$A$5:$A$25,0))</f>
        <v/>
      </c>
      <c r="R192" s="36">
        <f>INDEX('建筑建议总览'!$S$5:$S$25,MATCH($A192,'建筑建议总览'!$A$5:$A$25,0))</f>
        <v/>
      </c>
      <c r="S192" s="36">
        <f>INDEX('建筑建议总览'!$T$5:$T$25,MATCH($A192,'建筑建议总览'!$A$5:$A$25,0))</f>
        <v/>
      </c>
      <c r="T192" s="44">
        <f>POWER(Q192,D192-1)</f>
        <v/>
      </c>
      <c r="U192" s="44">
        <f>SUMIF($A$5:$A$328,$A192,$T$5:$T$328)</f>
        <v/>
      </c>
      <c r="V192" s="36">
        <f>IF(R192&gt;0,ROUNDDOWN(MAX(0,R192-O192*(F192-1))*T192/U192,0),0)</f>
        <v/>
      </c>
      <c r="W192" s="36">
        <f>IF(S192&gt;0,ROUNDDOWN(MAX(0,S192-P192*(F192-1))*T192/U192,0),0)</f>
        <v/>
      </c>
      <c r="X192" s="36">
        <f>IF(R192&gt;0,O192+V192+IF(D192=F192-1,MAX(0,R192-O192*(F192-1)-SUMIF($A$5:$A$328,$A192,$V$5:$V$328)),0),ROUNDUP(O192*POWER(INDEX('建筑总览'!$J$5:$J$25,MATCH($A192,'建筑总览'!$A$5:$A$25,0)),D192),0))</f>
        <v/>
      </c>
      <c r="Y192" s="36">
        <f>IF(P192=0,0,IF(S192&gt;0,P192+W192+IF(D192=F192-1,MAX(0,S192-P192*(F192-1)-SUMIF($A$5:$A$328,$A192,$W$5:$W$328)),0),ROUNDUP(P192*POWER(INDEX('建筑总览'!$J$5:$J$25,MATCH($A192,'建筑总览'!$A$5:$A$25,0)),D192),0)))</f>
        <v/>
      </c>
      <c r="Z192" s="36">
        <f>IF(X192=0,0,MAX(1,ROUNDUP(X192*(1-'参数与公式'!$B$17),0)))</f>
        <v/>
      </c>
      <c r="AA192" s="36">
        <f>IF(Y192=0,0,MAX(1,ROUNDUP(Y192*(1-'参数与公式'!$B$17),0)))</f>
        <v/>
      </c>
      <c r="AB192" s="33" t="inlineStr">
        <is>
          <t>预算模式末级补足余数；旧模式按指数公式</t>
        </is>
      </c>
      <c r="AC192" s="49">
        <f>IF(A192=A191,IFERROR(M192/M191,""),"")</f>
        <v/>
      </c>
      <c r="AD192" s="49">
        <f>IF(AND(A192=A191,X191&gt;0),X192/X191,"")</f>
        <v/>
      </c>
    </row>
    <row r="193" ht="30" customHeight="1">
      <c r="A193" s="33" t="inlineStr">
        <is>
          <t>ranch</t>
        </is>
      </c>
      <c r="B193" s="33" t="inlineStr">
        <is>
          <t>畜牧场</t>
        </is>
      </c>
      <c r="C193" s="33" t="inlineStr">
        <is>
          <t>生产加工</t>
        </is>
      </c>
      <c r="D193" s="43" t="n">
        <v>6</v>
      </c>
      <c r="E193" s="36">
        <f>D193+1</f>
        <v/>
      </c>
      <c r="F193" s="43" t="n">
        <v>10</v>
      </c>
      <c r="G193" s="36">
        <f>INDEX('建筑建议总览'!$H$5:$H$25,MATCH($A193,'建筑建议总览'!$A$5:$A$25,0))</f>
        <v/>
      </c>
      <c r="H193" s="44">
        <f>INDEX('建筑建议总览'!$I$5:$I$25,MATCH($A193,'建筑建议总览'!$A$5:$A$25,0))</f>
        <v/>
      </c>
      <c r="I193" s="36">
        <f>INDEX('建筑建议总览'!$J$5:$J$25,MATCH($A193,'建筑建议总览'!$A$5:$A$25,0))</f>
        <v/>
      </c>
      <c r="J193" s="44">
        <f>POWER(H193,D193-1)</f>
        <v/>
      </c>
      <c r="K193" s="44">
        <f>SUMIF($A$5:$A$328,$A193,$J$5:$J$328)</f>
        <v/>
      </c>
      <c r="L193" s="36">
        <f>IF(I193&gt;0,ROUNDDOWN(MAX(0,I193-G193*(F193-1))*J193/K193,0),0)</f>
        <v/>
      </c>
      <c r="M193" s="36">
        <f>IF(I193&gt;0,G193+L193+IF(D193=F193-1,MAX(0,I193-G193*(F193-1)-SUMIF($A$5:$A$328,$A193,$L$5:$L$328)),0),ROUNDUP(G193*POWER(INDEX('建筑总览'!$G$5:$G$25,MATCH($A193,'建筑总览'!$A$5:$A$25,0)),D193),0))</f>
        <v/>
      </c>
      <c r="N193" s="35">
        <f>M193/'参数与公式'!$B$21</f>
        <v/>
      </c>
      <c r="O193" s="36">
        <f>INDEX('建筑建议总览'!$P$5:$P$25,MATCH($A193,'建筑建议总览'!$A$5:$A$25,0))</f>
        <v/>
      </c>
      <c r="P193" s="36">
        <f>INDEX('建筑建议总览'!$Q$5:$Q$25,MATCH($A193,'建筑建议总览'!$A$5:$A$25,0))</f>
        <v/>
      </c>
      <c r="Q193" s="44">
        <f>INDEX('建筑建议总览'!$R$5:$R$25,MATCH($A193,'建筑建议总览'!$A$5:$A$25,0))</f>
        <v/>
      </c>
      <c r="R193" s="36">
        <f>INDEX('建筑建议总览'!$S$5:$S$25,MATCH($A193,'建筑建议总览'!$A$5:$A$25,0))</f>
        <v/>
      </c>
      <c r="S193" s="36">
        <f>INDEX('建筑建议总览'!$T$5:$T$25,MATCH($A193,'建筑建议总览'!$A$5:$A$25,0))</f>
        <v/>
      </c>
      <c r="T193" s="44">
        <f>POWER(Q193,D193-1)</f>
        <v/>
      </c>
      <c r="U193" s="44">
        <f>SUMIF($A$5:$A$328,$A193,$T$5:$T$328)</f>
        <v/>
      </c>
      <c r="V193" s="36">
        <f>IF(R193&gt;0,ROUNDDOWN(MAX(0,R193-O193*(F193-1))*T193/U193,0),0)</f>
        <v/>
      </c>
      <c r="W193" s="36">
        <f>IF(S193&gt;0,ROUNDDOWN(MAX(0,S193-P193*(F193-1))*T193/U193,0),0)</f>
        <v/>
      </c>
      <c r="X193" s="36">
        <f>IF(R193&gt;0,O193+V193+IF(D193=F193-1,MAX(0,R193-O193*(F193-1)-SUMIF($A$5:$A$328,$A193,$V$5:$V$328)),0),ROUNDUP(O193*POWER(INDEX('建筑总览'!$J$5:$J$25,MATCH($A193,'建筑总览'!$A$5:$A$25,0)),D193),0))</f>
        <v/>
      </c>
      <c r="Y193" s="36">
        <f>IF(P193=0,0,IF(S193&gt;0,P193+W193+IF(D193=F193-1,MAX(0,S193-P193*(F193-1)-SUMIF($A$5:$A$328,$A193,$W$5:$W$328)),0),ROUNDUP(P193*POWER(INDEX('建筑总览'!$J$5:$J$25,MATCH($A193,'建筑总览'!$A$5:$A$25,0)),D193),0)))</f>
        <v/>
      </c>
      <c r="Z193" s="36">
        <f>IF(X193=0,0,MAX(1,ROUNDUP(X193*(1-'参数与公式'!$B$17),0)))</f>
        <v/>
      </c>
      <c r="AA193" s="36">
        <f>IF(Y193=0,0,MAX(1,ROUNDUP(Y193*(1-'参数与公式'!$B$17),0)))</f>
        <v/>
      </c>
      <c r="AB193" s="33" t="inlineStr">
        <is>
          <t>预算模式末级补足余数；旧模式按指数公式</t>
        </is>
      </c>
      <c r="AC193" s="49">
        <f>IF(A193=A192,IFERROR(M193/M192,""),"")</f>
        <v/>
      </c>
      <c r="AD193" s="49">
        <f>IF(AND(A193=A192,X192&gt;0),X193/X192,"")</f>
        <v/>
      </c>
    </row>
    <row r="194" ht="30" customHeight="1">
      <c r="A194" s="33" t="inlineStr">
        <is>
          <t>ranch</t>
        </is>
      </c>
      <c r="B194" s="33" t="inlineStr">
        <is>
          <t>畜牧场</t>
        </is>
      </c>
      <c r="C194" s="33" t="inlineStr">
        <is>
          <t>生产加工</t>
        </is>
      </c>
      <c r="D194" s="43" t="n">
        <v>7</v>
      </c>
      <c r="E194" s="36">
        <f>D194+1</f>
        <v/>
      </c>
      <c r="F194" s="43" t="n">
        <v>10</v>
      </c>
      <c r="G194" s="36">
        <f>INDEX('建筑建议总览'!$H$5:$H$25,MATCH($A194,'建筑建议总览'!$A$5:$A$25,0))</f>
        <v/>
      </c>
      <c r="H194" s="44">
        <f>INDEX('建筑建议总览'!$I$5:$I$25,MATCH($A194,'建筑建议总览'!$A$5:$A$25,0))</f>
        <v/>
      </c>
      <c r="I194" s="36">
        <f>INDEX('建筑建议总览'!$J$5:$J$25,MATCH($A194,'建筑建议总览'!$A$5:$A$25,0))</f>
        <v/>
      </c>
      <c r="J194" s="44">
        <f>POWER(H194,D194-1)</f>
        <v/>
      </c>
      <c r="K194" s="44">
        <f>SUMIF($A$5:$A$328,$A194,$J$5:$J$328)</f>
        <v/>
      </c>
      <c r="L194" s="36">
        <f>IF(I194&gt;0,ROUNDDOWN(MAX(0,I194-G194*(F194-1))*J194/K194,0),0)</f>
        <v/>
      </c>
      <c r="M194" s="36">
        <f>IF(I194&gt;0,G194+L194+IF(D194=F194-1,MAX(0,I194-G194*(F194-1)-SUMIF($A$5:$A$328,$A194,$L$5:$L$328)),0),ROUNDUP(G194*POWER(INDEX('建筑总览'!$G$5:$G$25,MATCH($A194,'建筑总览'!$A$5:$A$25,0)),D194),0))</f>
        <v/>
      </c>
      <c r="N194" s="35">
        <f>M194/'参数与公式'!$B$21</f>
        <v/>
      </c>
      <c r="O194" s="36">
        <f>INDEX('建筑建议总览'!$P$5:$P$25,MATCH($A194,'建筑建议总览'!$A$5:$A$25,0))</f>
        <v/>
      </c>
      <c r="P194" s="36">
        <f>INDEX('建筑建议总览'!$Q$5:$Q$25,MATCH($A194,'建筑建议总览'!$A$5:$A$25,0))</f>
        <v/>
      </c>
      <c r="Q194" s="44">
        <f>INDEX('建筑建议总览'!$R$5:$R$25,MATCH($A194,'建筑建议总览'!$A$5:$A$25,0))</f>
        <v/>
      </c>
      <c r="R194" s="36">
        <f>INDEX('建筑建议总览'!$S$5:$S$25,MATCH($A194,'建筑建议总览'!$A$5:$A$25,0))</f>
        <v/>
      </c>
      <c r="S194" s="36">
        <f>INDEX('建筑建议总览'!$T$5:$T$25,MATCH($A194,'建筑建议总览'!$A$5:$A$25,0))</f>
        <v/>
      </c>
      <c r="T194" s="44">
        <f>POWER(Q194,D194-1)</f>
        <v/>
      </c>
      <c r="U194" s="44">
        <f>SUMIF($A$5:$A$328,$A194,$T$5:$T$328)</f>
        <v/>
      </c>
      <c r="V194" s="36">
        <f>IF(R194&gt;0,ROUNDDOWN(MAX(0,R194-O194*(F194-1))*T194/U194,0),0)</f>
        <v/>
      </c>
      <c r="W194" s="36">
        <f>IF(S194&gt;0,ROUNDDOWN(MAX(0,S194-P194*(F194-1))*T194/U194,0),0)</f>
        <v/>
      </c>
      <c r="X194" s="36">
        <f>IF(R194&gt;0,O194+V194+IF(D194=F194-1,MAX(0,R194-O194*(F194-1)-SUMIF($A$5:$A$328,$A194,$V$5:$V$328)),0),ROUNDUP(O194*POWER(INDEX('建筑总览'!$J$5:$J$25,MATCH($A194,'建筑总览'!$A$5:$A$25,0)),D194),0))</f>
        <v/>
      </c>
      <c r="Y194" s="36">
        <f>IF(P194=0,0,IF(S194&gt;0,P194+W194+IF(D194=F194-1,MAX(0,S194-P194*(F194-1)-SUMIF($A$5:$A$328,$A194,$W$5:$W$328)),0),ROUNDUP(P194*POWER(INDEX('建筑总览'!$J$5:$J$25,MATCH($A194,'建筑总览'!$A$5:$A$25,0)),D194),0)))</f>
        <v/>
      </c>
      <c r="Z194" s="36">
        <f>IF(X194=0,0,MAX(1,ROUNDUP(X194*(1-'参数与公式'!$B$17),0)))</f>
        <v/>
      </c>
      <c r="AA194" s="36">
        <f>IF(Y194=0,0,MAX(1,ROUNDUP(Y194*(1-'参数与公式'!$B$17),0)))</f>
        <v/>
      </c>
      <c r="AB194" s="33" t="inlineStr">
        <is>
          <t>预算模式末级补足余数；旧模式按指数公式</t>
        </is>
      </c>
      <c r="AC194" s="49">
        <f>IF(A194=A193,IFERROR(M194/M193,""),"")</f>
        <v/>
      </c>
      <c r="AD194" s="49">
        <f>IF(AND(A194=A193,X193&gt;0),X194/X193,"")</f>
        <v/>
      </c>
    </row>
    <row r="195" ht="30" customHeight="1">
      <c r="A195" s="33" t="inlineStr">
        <is>
          <t>ranch</t>
        </is>
      </c>
      <c r="B195" s="33" t="inlineStr">
        <is>
          <t>畜牧场</t>
        </is>
      </c>
      <c r="C195" s="33" t="inlineStr">
        <is>
          <t>生产加工</t>
        </is>
      </c>
      <c r="D195" s="43" t="n">
        <v>8</v>
      </c>
      <c r="E195" s="36">
        <f>D195+1</f>
        <v/>
      </c>
      <c r="F195" s="43" t="n">
        <v>10</v>
      </c>
      <c r="G195" s="36">
        <f>INDEX('建筑建议总览'!$H$5:$H$25,MATCH($A195,'建筑建议总览'!$A$5:$A$25,0))</f>
        <v/>
      </c>
      <c r="H195" s="44">
        <f>INDEX('建筑建议总览'!$I$5:$I$25,MATCH($A195,'建筑建议总览'!$A$5:$A$25,0))</f>
        <v/>
      </c>
      <c r="I195" s="36">
        <f>INDEX('建筑建议总览'!$J$5:$J$25,MATCH($A195,'建筑建议总览'!$A$5:$A$25,0))</f>
        <v/>
      </c>
      <c r="J195" s="44">
        <f>POWER(H195,D195-1)</f>
        <v/>
      </c>
      <c r="K195" s="44">
        <f>SUMIF($A$5:$A$328,$A195,$J$5:$J$328)</f>
        <v/>
      </c>
      <c r="L195" s="36">
        <f>IF(I195&gt;0,ROUNDDOWN(MAX(0,I195-G195*(F195-1))*J195/K195,0),0)</f>
        <v/>
      </c>
      <c r="M195" s="36">
        <f>IF(I195&gt;0,G195+L195+IF(D195=F195-1,MAX(0,I195-G195*(F195-1)-SUMIF($A$5:$A$328,$A195,$L$5:$L$328)),0),ROUNDUP(G195*POWER(INDEX('建筑总览'!$G$5:$G$25,MATCH($A195,'建筑总览'!$A$5:$A$25,0)),D195),0))</f>
        <v/>
      </c>
      <c r="N195" s="35">
        <f>M195/'参数与公式'!$B$21</f>
        <v/>
      </c>
      <c r="O195" s="36">
        <f>INDEX('建筑建议总览'!$P$5:$P$25,MATCH($A195,'建筑建议总览'!$A$5:$A$25,0))</f>
        <v/>
      </c>
      <c r="P195" s="36">
        <f>INDEX('建筑建议总览'!$Q$5:$Q$25,MATCH($A195,'建筑建议总览'!$A$5:$A$25,0))</f>
        <v/>
      </c>
      <c r="Q195" s="44">
        <f>INDEX('建筑建议总览'!$R$5:$R$25,MATCH($A195,'建筑建议总览'!$A$5:$A$25,0))</f>
        <v/>
      </c>
      <c r="R195" s="36">
        <f>INDEX('建筑建议总览'!$S$5:$S$25,MATCH($A195,'建筑建议总览'!$A$5:$A$25,0))</f>
        <v/>
      </c>
      <c r="S195" s="36">
        <f>INDEX('建筑建议总览'!$T$5:$T$25,MATCH($A195,'建筑建议总览'!$A$5:$A$25,0))</f>
        <v/>
      </c>
      <c r="T195" s="44">
        <f>POWER(Q195,D195-1)</f>
        <v/>
      </c>
      <c r="U195" s="44">
        <f>SUMIF($A$5:$A$328,$A195,$T$5:$T$328)</f>
        <v/>
      </c>
      <c r="V195" s="36">
        <f>IF(R195&gt;0,ROUNDDOWN(MAX(0,R195-O195*(F195-1))*T195/U195,0),0)</f>
        <v/>
      </c>
      <c r="W195" s="36">
        <f>IF(S195&gt;0,ROUNDDOWN(MAX(0,S195-P195*(F195-1))*T195/U195,0),0)</f>
        <v/>
      </c>
      <c r="X195" s="36">
        <f>IF(R195&gt;0,O195+V195+IF(D195=F195-1,MAX(0,R195-O195*(F195-1)-SUMIF($A$5:$A$328,$A195,$V$5:$V$328)),0),ROUNDUP(O195*POWER(INDEX('建筑总览'!$J$5:$J$25,MATCH($A195,'建筑总览'!$A$5:$A$25,0)),D195),0))</f>
        <v/>
      </c>
      <c r="Y195" s="36">
        <f>IF(P195=0,0,IF(S195&gt;0,P195+W195+IF(D195=F195-1,MAX(0,S195-P195*(F195-1)-SUMIF($A$5:$A$328,$A195,$W$5:$W$328)),0),ROUNDUP(P195*POWER(INDEX('建筑总览'!$J$5:$J$25,MATCH($A195,'建筑总览'!$A$5:$A$25,0)),D195),0)))</f>
        <v/>
      </c>
      <c r="Z195" s="36">
        <f>IF(X195=0,0,MAX(1,ROUNDUP(X195*(1-'参数与公式'!$B$17),0)))</f>
        <v/>
      </c>
      <c r="AA195" s="36">
        <f>IF(Y195=0,0,MAX(1,ROUNDUP(Y195*(1-'参数与公式'!$B$17),0)))</f>
        <v/>
      </c>
      <c r="AB195" s="33" t="inlineStr">
        <is>
          <t>预算模式末级补足余数；旧模式按指数公式</t>
        </is>
      </c>
      <c r="AC195" s="49">
        <f>IF(A195=A194,IFERROR(M195/M194,""),"")</f>
        <v/>
      </c>
      <c r="AD195" s="49">
        <f>IF(AND(A195=A194,X194&gt;0),X195/X194,"")</f>
        <v/>
      </c>
    </row>
    <row r="196" ht="30" customHeight="1">
      <c r="A196" s="33" t="inlineStr">
        <is>
          <t>ranch</t>
        </is>
      </c>
      <c r="B196" s="33" t="inlineStr">
        <is>
          <t>畜牧场</t>
        </is>
      </c>
      <c r="C196" s="33" t="inlineStr">
        <is>
          <t>生产加工</t>
        </is>
      </c>
      <c r="D196" s="43" t="n">
        <v>9</v>
      </c>
      <c r="E196" s="36">
        <f>D196+1</f>
        <v/>
      </c>
      <c r="F196" s="43" t="n">
        <v>10</v>
      </c>
      <c r="G196" s="36">
        <f>INDEX('建筑建议总览'!$H$5:$H$25,MATCH($A196,'建筑建议总览'!$A$5:$A$25,0))</f>
        <v/>
      </c>
      <c r="H196" s="44">
        <f>INDEX('建筑建议总览'!$I$5:$I$25,MATCH($A196,'建筑建议总览'!$A$5:$A$25,0))</f>
        <v/>
      </c>
      <c r="I196" s="36">
        <f>INDEX('建筑建议总览'!$J$5:$J$25,MATCH($A196,'建筑建议总览'!$A$5:$A$25,0))</f>
        <v/>
      </c>
      <c r="J196" s="44">
        <f>POWER(H196,D196-1)</f>
        <v/>
      </c>
      <c r="K196" s="44">
        <f>SUMIF($A$5:$A$328,$A196,$J$5:$J$328)</f>
        <v/>
      </c>
      <c r="L196" s="36">
        <f>IF(I196&gt;0,ROUNDDOWN(MAX(0,I196-G196*(F196-1))*J196/K196,0),0)</f>
        <v/>
      </c>
      <c r="M196" s="36">
        <f>IF(I196&gt;0,G196+L196+IF(D196=F196-1,MAX(0,I196-G196*(F196-1)-SUMIF($A$5:$A$328,$A196,$L$5:$L$328)),0),ROUNDUP(G196*POWER(INDEX('建筑总览'!$G$5:$G$25,MATCH($A196,'建筑总览'!$A$5:$A$25,0)),D196),0))</f>
        <v/>
      </c>
      <c r="N196" s="35">
        <f>M196/'参数与公式'!$B$21</f>
        <v/>
      </c>
      <c r="O196" s="36">
        <f>INDEX('建筑建议总览'!$P$5:$P$25,MATCH($A196,'建筑建议总览'!$A$5:$A$25,0))</f>
        <v/>
      </c>
      <c r="P196" s="36">
        <f>INDEX('建筑建议总览'!$Q$5:$Q$25,MATCH($A196,'建筑建议总览'!$A$5:$A$25,0))</f>
        <v/>
      </c>
      <c r="Q196" s="44">
        <f>INDEX('建筑建议总览'!$R$5:$R$25,MATCH($A196,'建筑建议总览'!$A$5:$A$25,0))</f>
        <v/>
      </c>
      <c r="R196" s="36">
        <f>INDEX('建筑建议总览'!$S$5:$S$25,MATCH($A196,'建筑建议总览'!$A$5:$A$25,0))</f>
        <v/>
      </c>
      <c r="S196" s="36">
        <f>INDEX('建筑建议总览'!$T$5:$T$25,MATCH($A196,'建筑建议总览'!$A$5:$A$25,0))</f>
        <v/>
      </c>
      <c r="T196" s="44">
        <f>POWER(Q196,D196-1)</f>
        <v/>
      </c>
      <c r="U196" s="44">
        <f>SUMIF($A$5:$A$328,$A196,$T$5:$T$328)</f>
        <v/>
      </c>
      <c r="V196" s="36">
        <f>IF(R196&gt;0,ROUNDDOWN(MAX(0,R196-O196*(F196-1))*T196/U196,0),0)</f>
        <v/>
      </c>
      <c r="W196" s="36">
        <f>IF(S196&gt;0,ROUNDDOWN(MAX(0,S196-P196*(F196-1))*T196/U196,0),0)</f>
        <v/>
      </c>
      <c r="X196" s="36">
        <f>IF(R196&gt;0,O196+V196+IF(D196=F196-1,MAX(0,R196-O196*(F196-1)-SUMIF($A$5:$A$328,$A196,$V$5:$V$328)),0),ROUNDUP(O196*POWER(INDEX('建筑总览'!$J$5:$J$25,MATCH($A196,'建筑总览'!$A$5:$A$25,0)),D196),0))</f>
        <v/>
      </c>
      <c r="Y196" s="36">
        <f>IF(P196=0,0,IF(S196&gt;0,P196+W196+IF(D196=F196-1,MAX(0,S196-P196*(F196-1)-SUMIF($A$5:$A$328,$A196,$W$5:$W$328)),0),ROUNDUP(P196*POWER(INDEX('建筑总览'!$J$5:$J$25,MATCH($A196,'建筑总览'!$A$5:$A$25,0)),D196),0)))</f>
        <v/>
      </c>
      <c r="Z196" s="36">
        <f>IF(X196=0,0,MAX(1,ROUNDUP(X196*(1-'参数与公式'!$B$17),0)))</f>
        <v/>
      </c>
      <c r="AA196" s="36">
        <f>IF(Y196=0,0,MAX(1,ROUNDUP(Y196*(1-'参数与公式'!$B$17),0)))</f>
        <v/>
      </c>
      <c r="AB196" s="33" t="inlineStr">
        <is>
          <t>预算模式末级补足余数；旧模式按指数公式</t>
        </is>
      </c>
      <c r="AC196" s="49">
        <f>IF(A196=A195,IFERROR(M196/M195,""),"")</f>
        <v/>
      </c>
      <c r="AD196" s="49">
        <f>IF(AND(A196=A195,X195&gt;0),X196/X195,"")</f>
        <v/>
      </c>
    </row>
    <row r="197" ht="30" customHeight="1">
      <c r="A197" s="33" t="inlineStr">
        <is>
          <t>smithy</t>
        </is>
      </c>
      <c r="B197" s="33" t="inlineStr">
        <is>
          <t>冶炼坊</t>
        </is>
      </c>
      <c r="C197" s="33" t="inlineStr">
        <is>
          <t>生产加工</t>
        </is>
      </c>
      <c r="D197" s="43" t="n">
        <v>1</v>
      </c>
      <c r="E197" s="36">
        <f>D197+1</f>
        <v/>
      </c>
      <c r="F197" s="43" t="n">
        <v>10</v>
      </c>
      <c r="G197" s="36">
        <f>INDEX('建筑建议总览'!$H$5:$H$25,MATCH($A197,'建筑建议总览'!$A$5:$A$25,0))</f>
        <v/>
      </c>
      <c r="H197" s="44">
        <f>INDEX('建筑建议总览'!$I$5:$I$25,MATCH($A197,'建筑建议总览'!$A$5:$A$25,0))</f>
        <v/>
      </c>
      <c r="I197" s="36">
        <f>INDEX('建筑建议总览'!$J$5:$J$25,MATCH($A197,'建筑建议总览'!$A$5:$A$25,0))</f>
        <v/>
      </c>
      <c r="J197" s="44">
        <f>POWER(H197,D197-1)</f>
        <v/>
      </c>
      <c r="K197" s="44">
        <f>SUMIF($A$5:$A$328,$A197,$J$5:$J$328)</f>
        <v/>
      </c>
      <c r="L197" s="36">
        <f>IF(I197&gt;0,ROUNDDOWN(MAX(0,I197-G197*(F197-1))*J197/K197,0),0)</f>
        <v/>
      </c>
      <c r="M197" s="36">
        <f>IF(I197&gt;0,G197+L197+IF(D197=F197-1,MAX(0,I197-G197*(F197-1)-SUMIF($A$5:$A$328,$A197,$L$5:$L$328)),0),ROUNDUP(G197*POWER(INDEX('建筑总览'!$G$5:$G$25,MATCH($A197,'建筑总览'!$A$5:$A$25,0)),D197),0))</f>
        <v/>
      </c>
      <c r="N197" s="35">
        <f>M197/'参数与公式'!$B$21</f>
        <v/>
      </c>
      <c r="O197" s="36">
        <f>INDEX('建筑建议总览'!$P$5:$P$25,MATCH($A197,'建筑建议总览'!$A$5:$A$25,0))</f>
        <v/>
      </c>
      <c r="P197" s="36">
        <f>INDEX('建筑建议总览'!$Q$5:$Q$25,MATCH($A197,'建筑建议总览'!$A$5:$A$25,0))</f>
        <v/>
      </c>
      <c r="Q197" s="44">
        <f>INDEX('建筑建议总览'!$R$5:$R$25,MATCH($A197,'建筑建议总览'!$A$5:$A$25,0))</f>
        <v/>
      </c>
      <c r="R197" s="36">
        <f>INDEX('建筑建议总览'!$S$5:$S$25,MATCH($A197,'建筑建议总览'!$A$5:$A$25,0))</f>
        <v/>
      </c>
      <c r="S197" s="36">
        <f>INDEX('建筑建议总览'!$T$5:$T$25,MATCH($A197,'建筑建议总览'!$A$5:$A$25,0))</f>
        <v/>
      </c>
      <c r="T197" s="44">
        <f>POWER(Q197,D197-1)</f>
        <v/>
      </c>
      <c r="U197" s="44">
        <f>SUMIF($A$5:$A$328,$A197,$T$5:$T$328)</f>
        <v/>
      </c>
      <c r="V197" s="36">
        <f>IF(R197&gt;0,ROUNDDOWN(MAX(0,R197-O197*(F197-1))*T197/U197,0),0)</f>
        <v/>
      </c>
      <c r="W197" s="36">
        <f>IF(S197&gt;0,ROUNDDOWN(MAX(0,S197-P197*(F197-1))*T197/U197,0),0)</f>
        <v/>
      </c>
      <c r="X197" s="36">
        <f>IF(R197&gt;0,O197+V197+IF(D197=F197-1,MAX(0,R197-O197*(F197-1)-SUMIF($A$5:$A$328,$A197,$V$5:$V$328)),0),ROUNDUP(O197*POWER(INDEX('建筑总览'!$J$5:$J$25,MATCH($A197,'建筑总览'!$A$5:$A$25,0)),D197),0))</f>
        <v/>
      </c>
      <c r="Y197" s="36">
        <f>IF(P197=0,0,IF(S197&gt;0,P197+W197+IF(D197=F197-1,MAX(0,S197-P197*(F197-1)-SUMIF($A$5:$A$328,$A197,$W$5:$W$328)),0),ROUNDUP(P197*POWER(INDEX('建筑总览'!$J$5:$J$25,MATCH($A197,'建筑总览'!$A$5:$A$25,0)),D197),0)))</f>
        <v/>
      </c>
      <c r="Z197" s="36">
        <f>IF(X197=0,0,MAX(1,ROUNDUP(X197*(1-'参数与公式'!$B$17),0)))</f>
        <v/>
      </c>
      <c r="AA197" s="36">
        <f>IF(Y197=0,0,MAX(1,ROUNDUP(Y197*(1-'参数与公式'!$B$17),0)))</f>
        <v/>
      </c>
      <c r="AB197" s="33" t="inlineStr">
        <is>
          <t>预算模式末级补足余数；旧模式按指数公式</t>
        </is>
      </c>
      <c r="AC197" s="49">
        <f>IF(A197=A196,IFERROR(M197/M196,""),"")</f>
        <v/>
      </c>
      <c r="AD197" s="49">
        <f>IF(AND(A197=A196,X196&gt;0),X197/X196,"")</f>
        <v/>
      </c>
    </row>
    <row r="198" ht="30" customHeight="1">
      <c r="A198" s="33" t="inlineStr">
        <is>
          <t>smithy</t>
        </is>
      </c>
      <c r="B198" s="33" t="inlineStr">
        <is>
          <t>冶炼坊</t>
        </is>
      </c>
      <c r="C198" s="33" t="inlineStr">
        <is>
          <t>生产加工</t>
        </is>
      </c>
      <c r="D198" s="43" t="n">
        <v>2</v>
      </c>
      <c r="E198" s="36">
        <f>D198+1</f>
        <v/>
      </c>
      <c r="F198" s="43" t="n">
        <v>10</v>
      </c>
      <c r="G198" s="36">
        <f>INDEX('建筑建议总览'!$H$5:$H$25,MATCH($A198,'建筑建议总览'!$A$5:$A$25,0))</f>
        <v/>
      </c>
      <c r="H198" s="44">
        <f>INDEX('建筑建议总览'!$I$5:$I$25,MATCH($A198,'建筑建议总览'!$A$5:$A$25,0))</f>
        <v/>
      </c>
      <c r="I198" s="36">
        <f>INDEX('建筑建议总览'!$J$5:$J$25,MATCH($A198,'建筑建议总览'!$A$5:$A$25,0))</f>
        <v/>
      </c>
      <c r="J198" s="44">
        <f>POWER(H198,D198-1)</f>
        <v/>
      </c>
      <c r="K198" s="44">
        <f>SUMIF($A$5:$A$328,$A198,$J$5:$J$328)</f>
        <v/>
      </c>
      <c r="L198" s="36">
        <f>IF(I198&gt;0,ROUNDDOWN(MAX(0,I198-G198*(F198-1))*J198/K198,0),0)</f>
        <v/>
      </c>
      <c r="M198" s="36">
        <f>IF(I198&gt;0,G198+L198+IF(D198=F198-1,MAX(0,I198-G198*(F198-1)-SUMIF($A$5:$A$328,$A198,$L$5:$L$328)),0),ROUNDUP(G198*POWER(INDEX('建筑总览'!$G$5:$G$25,MATCH($A198,'建筑总览'!$A$5:$A$25,0)),D198),0))</f>
        <v/>
      </c>
      <c r="N198" s="35">
        <f>M198/'参数与公式'!$B$21</f>
        <v/>
      </c>
      <c r="O198" s="36">
        <f>INDEX('建筑建议总览'!$P$5:$P$25,MATCH($A198,'建筑建议总览'!$A$5:$A$25,0))</f>
        <v/>
      </c>
      <c r="P198" s="36">
        <f>INDEX('建筑建议总览'!$Q$5:$Q$25,MATCH($A198,'建筑建议总览'!$A$5:$A$25,0))</f>
        <v/>
      </c>
      <c r="Q198" s="44">
        <f>INDEX('建筑建议总览'!$R$5:$R$25,MATCH($A198,'建筑建议总览'!$A$5:$A$25,0))</f>
        <v/>
      </c>
      <c r="R198" s="36">
        <f>INDEX('建筑建议总览'!$S$5:$S$25,MATCH($A198,'建筑建议总览'!$A$5:$A$25,0))</f>
        <v/>
      </c>
      <c r="S198" s="36">
        <f>INDEX('建筑建议总览'!$T$5:$T$25,MATCH($A198,'建筑建议总览'!$A$5:$A$25,0))</f>
        <v/>
      </c>
      <c r="T198" s="44">
        <f>POWER(Q198,D198-1)</f>
        <v/>
      </c>
      <c r="U198" s="44">
        <f>SUMIF($A$5:$A$328,$A198,$T$5:$T$328)</f>
        <v/>
      </c>
      <c r="V198" s="36">
        <f>IF(R198&gt;0,ROUNDDOWN(MAX(0,R198-O198*(F198-1))*T198/U198,0),0)</f>
        <v/>
      </c>
      <c r="W198" s="36">
        <f>IF(S198&gt;0,ROUNDDOWN(MAX(0,S198-P198*(F198-1))*T198/U198,0),0)</f>
        <v/>
      </c>
      <c r="X198" s="36">
        <f>IF(R198&gt;0,O198+V198+IF(D198=F198-1,MAX(0,R198-O198*(F198-1)-SUMIF($A$5:$A$328,$A198,$V$5:$V$328)),0),ROUNDUP(O198*POWER(INDEX('建筑总览'!$J$5:$J$25,MATCH($A198,'建筑总览'!$A$5:$A$25,0)),D198),0))</f>
        <v/>
      </c>
      <c r="Y198" s="36">
        <f>IF(P198=0,0,IF(S198&gt;0,P198+W198+IF(D198=F198-1,MAX(0,S198-P198*(F198-1)-SUMIF($A$5:$A$328,$A198,$W$5:$W$328)),0),ROUNDUP(P198*POWER(INDEX('建筑总览'!$J$5:$J$25,MATCH($A198,'建筑总览'!$A$5:$A$25,0)),D198),0)))</f>
        <v/>
      </c>
      <c r="Z198" s="36">
        <f>IF(X198=0,0,MAX(1,ROUNDUP(X198*(1-'参数与公式'!$B$17),0)))</f>
        <v/>
      </c>
      <c r="AA198" s="36">
        <f>IF(Y198=0,0,MAX(1,ROUNDUP(Y198*(1-'参数与公式'!$B$17),0)))</f>
        <v/>
      </c>
      <c r="AB198" s="33" t="inlineStr">
        <is>
          <t>预算模式末级补足余数；旧模式按指数公式</t>
        </is>
      </c>
      <c r="AC198" s="49">
        <f>IF(A198=A197,IFERROR(M198/M197,""),"")</f>
        <v/>
      </c>
      <c r="AD198" s="49">
        <f>IF(AND(A198=A197,X197&gt;0),X198/X197,"")</f>
        <v/>
      </c>
    </row>
    <row r="199" ht="30" customHeight="1">
      <c r="A199" s="33" t="inlineStr">
        <is>
          <t>smithy</t>
        </is>
      </c>
      <c r="B199" s="33" t="inlineStr">
        <is>
          <t>冶炼坊</t>
        </is>
      </c>
      <c r="C199" s="33" t="inlineStr">
        <is>
          <t>生产加工</t>
        </is>
      </c>
      <c r="D199" s="43" t="n">
        <v>3</v>
      </c>
      <c r="E199" s="36">
        <f>D199+1</f>
        <v/>
      </c>
      <c r="F199" s="43" t="n">
        <v>10</v>
      </c>
      <c r="G199" s="36">
        <f>INDEX('建筑建议总览'!$H$5:$H$25,MATCH($A199,'建筑建议总览'!$A$5:$A$25,0))</f>
        <v/>
      </c>
      <c r="H199" s="44">
        <f>INDEX('建筑建议总览'!$I$5:$I$25,MATCH($A199,'建筑建议总览'!$A$5:$A$25,0))</f>
        <v/>
      </c>
      <c r="I199" s="36">
        <f>INDEX('建筑建议总览'!$J$5:$J$25,MATCH($A199,'建筑建议总览'!$A$5:$A$25,0))</f>
        <v/>
      </c>
      <c r="J199" s="44">
        <f>POWER(H199,D199-1)</f>
        <v/>
      </c>
      <c r="K199" s="44">
        <f>SUMIF($A$5:$A$328,$A199,$J$5:$J$328)</f>
        <v/>
      </c>
      <c r="L199" s="36">
        <f>IF(I199&gt;0,ROUNDDOWN(MAX(0,I199-G199*(F199-1))*J199/K199,0),0)</f>
        <v/>
      </c>
      <c r="M199" s="36">
        <f>IF(I199&gt;0,G199+L199+IF(D199=F199-1,MAX(0,I199-G199*(F199-1)-SUMIF($A$5:$A$328,$A199,$L$5:$L$328)),0),ROUNDUP(G199*POWER(INDEX('建筑总览'!$G$5:$G$25,MATCH($A199,'建筑总览'!$A$5:$A$25,0)),D199),0))</f>
        <v/>
      </c>
      <c r="N199" s="35">
        <f>M199/'参数与公式'!$B$21</f>
        <v/>
      </c>
      <c r="O199" s="36">
        <f>INDEX('建筑建议总览'!$P$5:$P$25,MATCH($A199,'建筑建议总览'!$A$5:$A$25,0))</f>
        <v/>
      </c>
      <c r="P199" s="36">
        <f>INDEX('建筑建议总览'!$Q$5:$Q$25,MATCH($A199,'建筑建议总览'!$A$5:$A$25,0))</f>
        <v/>
      </c>
      <c r="Q199" s="44">
        <f>INDEX('建筑建议总览'!$R$5:$R$25,MATCH($A199,'建筑建议总览'!$A$5:$A$25,0))</f>
        <v/>
      </c>
      <c r="R199" s="36">
        <f>INDEX('建筑建议总览'!$S$5:$S$25,MATCH($A199,'建筑建议总览'!$A$5:$A$25,0))</f>
        <v/>
      </c>
      <c r="S199" s="36">
        <f>INDEX('建筑建议总览'!$T$5:$T$25,MATCH($A199,'建筑建议总览'!$A$5:$A$25,0))</f>
        <v/>
      </c>
      <c r="T199" s="44">
        <f>POWER(Q199,D199-1)</f>
        <v/>
      </c>
      <c r="U199" s="44">
        <f>SUMIF($A$5:$A$328,$A199,$T$5:$T$328)</f>
        <v/>
      </c>
      <c r="V199" s="36">
        <f>IF(R199&gt;0,ROUNDDOWN(MAX(0,R199-O199*(F199-1))*T199/U199,0),0)</f>
        <v/>
      </c>
      <c r="W199" s="36">
        <f>IF(S199&gt;0,ROUNDDOWN(MAX(0,S199-P199*(F199-1))*T199/U199,0),0)</f>
        <v/>
      </c>
      <c r="X199" s="36">
        <f>IF(R199&gt;0,O199+V199+IF(D199=F199-1,MAX(0,R199-O199*(F199-1)-SUMIF($A$5:$A$328,$A199,$V$5:$V$328)),0),ROUNDUP(O199*POWER(INDEX('建筑总览'!$J$5:$J$25,MATCH($A199,'建筑总览'!$A$5:$A$25,0)),D199),0))</f>
        <v/>
      </c>
      <c r="Y199" s="36">
        <f>IF(P199=0,0,IF(S199&gt;0,P199+W199+IF(D199=F199-1,MAX(0,S199-P199*(F199-1)-SUMIF($A$5:$A$328,$A199,$W$5:$W$328)),0),ROUNDUP(P199*POWER(INDEX('建筑总览'!$J$5:$J$25,MATCH($A199,'建筑总览'!$A$5:$A$25,0)),D199),0)))</f>
        <v/>
      </c>
      <c r="Z199" s="36">
        <f>IF(X199=0,0,MAX(1,ROUNDUP(X199*(1-'参数与公式'!$B$17),0)))</f>
        <v/>
      </c>
      <c r="AA199" s="36">
        <f>IF(Y199=0,0,MAX(1,ROUNDUP(Y199*(1-'参数与公式'!$B$17),0)))</f>
        <v/>
      </c>
      <c r="AB199" s="33" t="inlineStr">
        <is>
          <t>预算模式末级补足余数；旧模式按指数公式</t>
        </is>
      </c>
      <c r="AC199" s="49">
        <f>IF(A199=A198,IFERROR(M199/M198,""),"")</f>
        <v/>
      </c>
      <c r="AD199" s="49">
        <f>IF(AND(A199=A198,X198&gt;0),X199/X198,"")</f>
        <v/>
      </c>
    </row>
    <row r="200" ht="30" customHeight="1">
      <c r="A200" s="33" t="inlineStr">
        <is>
          <t>smithy</t>
        </is>
      </c>
      <c r="B200" s="33" t="inlineStr">
        <is>
          <t>冶炼坊</t>
        </is>
      </c>
      <c r="C200" s="33" t="inlineStr">
        <is>
          <t>生产加工</t>
        </is>
      </c>
      <c r="D200" s="43" t="n">
        <v>4</v>
      </c>
      <c r="E200" s="36">
        <f>D200+1</f>
        <v/>
      </c>
      <c r="F200" s="43" t="n">
        <v>10</v>
      </c>
      <c r="G200" s="36">
        <f>INDEX('建筑建议总览'!$H$5:$H$25,MATCH($A200,'建筑建议总览'!$A$5:$A$25,0))</f>
        <v/>
      </c>
      <c r="H200" s="44">
        <f>INDEX('建筑建议总览'!$I$5:$I$25,MATCH($A200,'建筑建议总览'!$A$5:$A$25,0))</f>
        <v/>
      </c>
      <c r="I200" s="36">
        <f>INDEX('建筑建议总览'!$J$5:$J$25,MATCH($A200,'建筑建议总览'!$A$5:$A$25,0))</f>
        <v/>
      </c>
      <c r="J200" s="44">
        <f>POWER(H200,D200-1)</f>
        <v/>
      </c>
      <c r="K200" s="44">
        <f>SUMIF($A$5:$A$328,$A200,$J$5:$J$328)</f>
        <v/>
      </c>
      <c r="L200" s="36">
        <f>IF(I200&gt;0,ROUNDDOWN(MAX(0,I200-G200*(F200-1))*J200/K200,0),0)</f>
        <v/>
      </c>
      <c r="M200" s="36">
        <f>IF(I200&gt;0,G200+L200+IF(D200=F200-1,MAX(0,I200-G200*(F200-1)-SUMIF($A$5:$A$328,$A200,$L$5:$L$328)),0),ROUNDUP(G200*POWER(INDEX('建筑总览'!$G$5:$G$25,MATCH($A200,'建筑总览'!$A$5:$A$25,0)),D200),0))</f>
        <v/>
      </c>
      <c r="N200" s="35">
        <f>M200/'参数与公式'!$B$21</f>
        <v/>
      </c>
      <c r="O200" s="36">
        <f>INDEX('建筑建议总览'!$P$5:$P$25,MATCH($A200,'建筑建议总览'!$A$5:$A$25,0))</f>
        <v/>
      </c>
      <c r="P200" s="36">
        <f>INDEX('建筑建议总览'!$Q$5:$Q$25,MATCH($A200,'建筑建议总览'!$A$5:$A$25,0))</f>
        <v/>
      </c>
      <c r="Q200" s="44">
        <f>INDEX('建筑建议总览'!$R$5:$R$25,MATCH($A200,'建筑建议总览'!$A$5:$A$25,0))</f>
        <v/>
      </c>
      <c r="R200" s="36">
        <f>INDEX('建筑建议总览'!$S$5:$S$25,MATCH($A200,'建筑建议总览'!$A$5:$A$25,0))</f>
        <v/>
      </c>
      <c r="S200" s="36">
        <f>INDEX('建筑建议总览'!$T$5:$T$25,MATCH($A200,'建筑建议总览'!$A$5:$A$25,0))</f>
        <v/>
      </c>
      <c r="T200" s="44">
        <f>POWER(Q200,D200-1)</f>
        <v/>
      </c>
      <c r="U200" s="44">
        <f>SUMIF($A$5:$A$328,$A200,$T$5:$T$328)</f>
        <v/>
      </c>
      <c r="V200" s="36">
        <f>IF(R200&gt;0,ROUNDDOWN(MAX(0,R200-O200*(F200-1))*T200/U200,0),0)</f>
        <v/>
      </c>
      <c r="W200" s="36">
        <f>IF(S200&gt;0,ROUNDDOWN(MAX(0,S200-P200*(F200-1))*T200/U200,0),0)</f>
        <v/>
      </c>
      <c r="X200" s="36">
        <f>IF(R200&gt;0,O200+V200+IF(D200=F200-1,MAX(0,R200-O200*(F200-1)-SUMIF($A$5:$A$328,$A200,$V$5:$V$328)),0),ROUNDUP(O200*POWER(INDEX('建筑总览'!$J$5:$J$25,MATCH($A200,'建筑总览'!$A$5:$A$25,0)),D200),0))</f>
        <v/>
      </c>
      <c r="Y200" s="36">
        <f>IF(P200=0,0,IF(S200&gt;0,P200+W200+IF(D200=F200-1,MAX(0,S200-P200*(F200-1)-SUMIF($A$5:$A$328,$A200,$W$5:$W$328)),0),ROUNDUP(P200*POWER(INDEX('建筑总览'!$J$5:$J$25,MATCH($A200,'建筑总览'!$A$5:$A$25,0)),D200),0)))</f>
        <v/>
      </c>
      <c r="Z200" s="36">
        <f>IF(X200=0,0,MAX(1,ROUNDUP(X200*(1-'参数与公式'!$B$17),0)))</f>
        <v/>
      </c>
      <c r="AA200" s="36">
        <f>IF(Y200=0,0,MAX(1,ROUNDUP(Y200*(1-'参数与公式'!$B$17),0)))</f>
        <v/>
      </c>
      <c r="AB200" s="33" t="inlineStr">
        <is>
          <t>预算模式末级补足余数；旧模式按指数公式</t>
        </is>
      </c>
      <c r="AC200" s="49">
        <f>IF(A200=A199,IFERROR(M200/M199,""),"")</f>
        <v/>
      </c>
      <c r="AD200" s="49">
        <f>IF(AND(A200=A199,X199&gt;0),X200/X199,"")</f>
        <v/>
      </c>
    </row>
    <row r="201" ht="30" customHeight="1">
      <c r="A201" s="33" t="inlineStr">
        <is>
          <t>smithy</t>
        </is>
      </c>
      <c r="B201" s="33" t="inlineStr">
        <is>
          <t>冶炼坊</t>
        </is>
      </c>
      <c r="C201" s="33" t="inlineStr">
        <is>
          <t>生产加工</t>
        </is>
      </c>
      <c r="D201" s="43" t="n">
        <v>5</v>
      </c>
      <c r="E201" s="36">
        <f>D201+1</f>
        <v/>
      </c>
      <c r="F201" s="43" t="n">
        <v>10</v>
      </c>
      <c r="G201" s="36">
        <f>INDEX('建筑建议总览'!$H$5:$H$25,MATCH($A201,'建筑建议总览'!$A$5:$A$25,0))</f>
        <v/>
      </c>
      <c r="H201" s="44">
        <f>INDEX('建筑建议总览'!$I$5:$I$25,MATCH($A201,'建筑建议总览'!$A$5:$A$25,0))</f>
        <v/>
      </c>
      <c r="I201" s="36">
        <f>INDEX('建筑建议总览'!$J$5:$J$25,MATCH($A201,'建筑建议总览'!$A$5:$A$25,0))</f>
        <v/>
      </c>
      <c r="J201" s="44">
        <f>POWER(H201,D201-1)</f>
        <v/>
      </c>
      <c r="K201" s="44">
        <f>SUMIF($A$5:$A$328,$A201,$J$5:$J$328)</f>
        <v/>
      </c>
      <c r="L201" s="36">
        <f>IF(I201&gt;0,ROUNDDOWN(MAX(0,I201-G201*(F201-1))*J201/K201,0),0)</f>
        <v/>
      </c>
      <c r="M201" s="36">
        <f>IF(I201&gt;0,G201+L201+IF(D201=F201-1,MAX(0,I201-G201*(F201-1)-SUMIF($A$5:$A$328,$A201,$L$5:$L$328)),0),ROUNDUP(G201*POWER(INDEX('建筑总览'!$G$5:$G$25,MATCH($A201,'建筑总览'!$A$5:$A$25,0)),D201),0))</f>
        <v/>
      </c>
      <c r="N201" s="35">
        <f>M201/'参数与公式'!$B$21</f>
        <v/>
      </c>
      <c r="O201" s="36">
        <f>INDEX('建筑建议总览'!$P$5:$P$25,MATCH($A201,'建筑建议总览'!$A$5:$A$25,0))</f>
        <v/>
      </c>
      <c r="P201" s="36">
        <f>INDEX('建筑建议总览'!$Q$5:$Q$25,MATCH($A201,'建筑建议总览'!$A$5:$A$25,0))</f>
        <v/>
      </c>
      <c r="Q201" s="44">
        <f>INDEX('建筑建议总览'!$R$5:$R$25,MATCH($A201,'建筑建议总览'!$A$5:$A$25,0))</f>
        <v/>
      </c>
      <c r="R201" s="36">
        <f>INDEX('建筑建议总览'!$S$5:$S$25,MATCH($A201,'建筑建议总览'!$A$5:$A$25,0))</f>
        <v/>
      </c>
      <c r="S201" s="36">
        <f>INDEX('建筑建议总览'!$T$5:$T$25,MATCH($A201,'建筑建议总览'!$A$5:$A$25,0))</f>
        <v/>
      </c>
      <c r="T201" s="44">
        <f>POWER(Q201,D201-1)</f>
        <v/>
      </c>
      <c r="U201" s="44">
        <f>SUMIF($A$5:$A$328,$A201,$T$5:$T$328)</f>
        <v/>
      </c>
      <c r="V201" s="36">
        <f>IF(R201&gt;0,ROUNDDOWN(MAX(0,R201-O201*(F201-1))*T201/U201,0),0)</f>
        <v/>
      </c>
      <c r="W201" s="36">
        <f>IF(S201&gt;0,ROUNDDOWN(MAX(0,S201-P201*(F201-1))*T201/U201,0),0)</f>
        <v/>
      </c>
      <c r="X201" s="36">
        <f>IF(R201&gt;0,O201+V201+IF(D201=F201-1,MAX(0,R201-O201*(F201-1)-SUMIF($A$5:$A$328,$A201,$V$5:$V$328)),0),ROUNDUP(O201*POWER(INDEX('建筑总览'!$J$5:$J$25,MATCH($A201,'建筑总览'!$A$5:$A$25,0)),D201),0))</f>
        <v/>
      </c>
      <c r="Y201" s="36">
        <f>IF(P201=0,0,IF(S201&gt;0,P201+W201+IF(D201=F201-1,MAX(0,S201-P201*(F201-1)-SUMIF($A$5:$A$328,$A201,$W$5:$W$328)),0),ROUNDUP(P201*POWER(INDEX('建筑总览'!$J$5:$J$25,MATCH($A201,'建筑总览'!$A$5:$A$25,0)),D201),0)))</f>
        <v/>
      </c>
      <c r="Z201" s="36">
        <f>IF(X201=0,0,MAX(1,ROUNDUP(X201*(1-'参数与公式'!$B$17),0)))</f>
        <v/>
      </c>
      <c r="AA201" s="36">
        <f>IF(Y201=0,0,MAX(1,ROUNDUP(Y201*(1-'参数与公式'!$B$17),0)))</f>
        <v/>
      </c>
      <c r="AB201" s="33" t="inlineStr">
        <is>
          <t>预算模式末级补足余数；旧模式按指数公式</t>
        </is>
      </c>
      <c r="AC201" s="49">
        <f>IF(A201=A200,IFERROR(M201/M200,""),"")</f>
        <v/>
      </c>
      <c r="AD201" s="49">
        <f>IF(AND(A201=A200,X200&gt;0),X201/X200,"")</f>
        <v/>
      </c>
    </row>
    <row r="202" ht="30" customHeight="1">
      <c r="A202" s="33" t="inlineStr">
        <is>
          <t>smithy</t>
        </is>
      </c>
      <c r="B202" s="33" t="inlineStr">
        <is>
          <t>冶炼坊</t>
        </is>
      </c>
      <c r="C202" s="33" t="inlineStr">
        <is>
          <t>生产加工</t>
        </is>
      </c>
      <c r="D202" s="43" t="n">
        <v>6</v>
      </c>
      <c r="E202" s="36">
        <f>D202+1</f>
        <v/>
      </c>
      <c r="F202" s="43" t="n">
        <v>10</v>
      </c>
      <c r="G202" s="36">
        <f>INDEX('建筑建议总览'!$H$5:$H$25,MATCH($A202,'建筑建议总览'!$A$5:$A$25,0))</f>
        <v/>
      </c>
      <c r="H202" s="44">
        <f>INDEX('建筑建议总览'!$I$5:$I$25,MATCH($A202,'建筑建议总览'!$A$5:$A$25,0))</f>
        <v/>
      </c>
      <c r="I202" s="36">
        <f>INDEX('建筑建议总览'!$J$5:$J$25,MATCH($A202,'建筑建议总览'!$A$5:$A$25,0))</f>
        <v/>
      </c>
      <c r="J202" s="44">
        <f>POWER(H202,D202-1)</f>
        <v/>
      </c>
      <c r="K202" s="44">
        <f>SUMIF($A$5:$A$328,$A202,$J$5:$J$328)</f>
        <v/>
      </c>
      <c r="L202" s="36">
        <f>IF(I202&gt;0,ROUNDDOWN(MAX(0,I202-G202*(F202-1))*J202/K202,0),0)</f>
        <v/>
      </c>
      <c r="M202" s="36">
        <f>IF(I202&gt;0,G202+L202+IF(D202=F202-1,MAX(0,I202-G202*(F202-1)-SUMIF($A$5:$A$328,$A202,$L$5:$L$328)),0),ROUNDUP(G202*POWER(INDEX('建筑总览'!$G$5:$G$25,MATCH($A202,'建筑总览'!$A$5:$A$25,0)),D202),0))</f>
        <v/>
      </c>
      <c r="N202" s="35">
        <f>M202/'参数与公式'!$B$21</f>
        <v/>
      </c>
      <c r="O202" s="36">
        <f>INDEX('建筑建议总览'!$P$5:$P$25,MATCH($A202,'建筑建议总览'!$A$5:$A$25,0))</f>
        <v/>
      </c>
      <c r="P202" s="36">
        <f>INDEX('建筑建议总览'!$Q$5:$Q$25,MATCH($A202,'建筑建议总览'!$A$5:$A$25,0))</f>
        <v/>
      </c>
      <c r="Q202" s="44">
        <f>INDEX('建筑建议总览'!$R$5:$R$25,MATCH($A202,'建筑建议总览'!$A$5:$A$25,0))</f>
        <v/>
      </c>
      <c r="R202" s="36">
        <f>INDEX('建筑建议总览'!$S$5:$S$25,MATCH($A202,'建筑建议总览'!$A$5:$A$25,0))</f>
        <v/>
      </c>
      <c r="S202" s="36">
        <f>INDEX('建筑建议总览'!$T$5:$T$25,MATCH($A202,'建筑建议总览'!$A$5:$A$25,0))</f>
        <v/>
      </c>
      <c r="T202" s="44">
        <f>POWER(Q202,D202-1)</f>
        <v/>
      </c>
      <c r="U202" s="44">
        <f>SUMIF($A$5:$A$328,$A202,$T$5:$T$328)</f>
        <v/>
      </c>
      <c r="V202" s="36">
        <f>IF(R202&gt;0,ROUNDDOWN(MAX(0,R202-O202*(F202-1))*T202/U202,0),0)</f>
        <v/>
      </c>
      <c r="W202" s="36">
        <f>IF(S202&gt;0,ROUNDDOWN(MAX(0,S202-P202*(F202-1))*T202/U202,0),0)</f>
        <v/>
      </c>
      <c r="X202" s="36">
        <f>IF(R202&gt;0,O202+V202+IF(D202=F202-1,MAX(0,R202-O202*(F202-1)-SUMIF($A$5:$A$328,$A202,$V$5:$V$328)),0),ROUNDUP(O202*POWER(INDEX('建筑总览'!$J$5:$J$25,MATCH($A202,'建筑总览'!$A$5:$A$25,0)),D202),0))</f>
        <v/>
      </c>
      <c r="Y202" s="36">
        <f>IF(P202=0,0,IF(S202&gt;0,P202+W202+IF(D202=F202-1,MAX(0,S202-P202*(F202-1)-SUMIF($A$5:$A$328,$A202,$W$5:$W$328)),0),ROUNDUP(P202*POWER(INDEX('建筑总览'!$J$5:$J$25,MATCH($A202,'建筑总览'!$A$5:$A$25,0)),D202),0)))</f>
        <v/>
      </c>
      <c r="Z202" s="36">
        <f>IF(X202=0,0,MAX(1,ROUNDUP(X202*(1-'参数与公式'!$B$17),0)))</f>
        <v/>
      </c>
      <c r="AA202" s="36">
        <f>IF(Y202=0,0,MAX(1,ROUNDUP(Y202*(1-'参数与公式'!$B$17),0)))</f>
        <v/>
      </c>
      <c r="AB202" s="33" t="inlineStr">
        <is>
          <t>预算模式末级补足余数；旧模式按指数公式</t>
        </is>
      </c>
      <c r="AC202" s="49">
        <f>IF(A202=A201,IFERROR(M202/M201,""),"")</f>
        <v/>
      </c>
      <c r="AD202" s="49">
        <f>IF(AND(A202=A201,X201&gt;0),X202/X201,"")</f>
        <v/>
      </c>
    </row>
    <row r="203" ht="30" customHeight="1">
      <c r="A203" s="33" t="inlineStr">
        <is>
          <t>smithy</t>
        </is>
      </c>
      <c r="B203" s="33" t="inlineStr">
        <is>
          <t>冶炼坊</t>
        </is>
      </c>
      <c r="C203" s="33" t="inlineStr">
        <is>
          <t>生产加工</t>
        </is>
      </c>
      <c r="D203" s="43" t="n">
        <v>7</v>
      </c>
      <c r="E203" s="36">
        <f>D203+1</f>
        <v/>
      </c>
      <c r="F203" s="43" t="n">
        <v>10</v>
      </c>
      <c r="G203" s="36">
        <f>INDEX('建筑建议总览'!$H$5:$H$25,MATCH($A203,'建筑建议总览'!$A$5:$A$25,0))</f>
        <v/>
      </c>
      <c r="H203" s="44">
        <f>INDEX('建筑建议总览'!$I$5:$I$25,MATCH($A203,'建筑建议总览'!$A$5:$A$25,0))</f>
        <v/>
      </c>
      <c r="I203" s="36">
        <f>INDEX('建筑建议总览'!$J$5:$J$25,MATCH($A203,'建筑建议总览'!$A$5:$A$25,0))</f>
        <v/>
      </c>
      <c r="J203" s="44">
        <f>POWER(H203,D203-1)</f>
        <v/>
      </c>
      <c r="K203" s="44">
        <f>SUMIF($A$5:$A$328,$A203,$J$5:$J$328)</f>
        <v/>
      </c>
      <c r="L203" s="36">
        <f>IF(I203&gt;0,ROUNDDOWN(MAX(0,I203-G203*(F203-1))*J203/K203,0),0)</f>
        <v/>
      </c>
      <c r="M203" s="36">
        <f>IF(I203&gt;0,G203+L203+IF(D203=F203-1,MAX(0,I203-G203*(F203-1)-SUMIF($A$5:$A$328,$A203,$L$5:$L$328)),0),ROUNDUP(G203*POWER(INDEX('建筑总览'!$G$5:$G$25,MATCH($A203,'建筑总览'!$A$5:$A$25,0)),D203),0))</f>
        <v/>
      </c>
      <c r="N203" s="35">
        <f>M203/'参数与公式'!$B$21</f>
        <v/>
      </c>
      <c r="O203" s="36">
        <f>INDEX('建筑建议总览'!$P$5:$P$25,MATCH($A203,'建筑建议总览'!$A$5:$A$25,0))</f>
        <v/>
      </c>
      <c r="P203" s="36">
        <f>INDEX('建筑建议总览'!$Q$5:$Q$25,MATCH($A203,'建筑建议总览'!$A$5:$A$25,0))</f>
        <v/>
      </c>
      <c r="Q203" s="44">
        <f>INDEX('建筑建议总览'!$R$5:$R$25,MATCH($A203,'建筑建议总览'!$A$5:$A$25,0))</f>
        <v/>
      </c>
      <c r="R203" s="36">
        <f>INDEX('建筑建议总览'!$S$5:$S$25,MATCH($A203,'建筑建议总览'!$A$5:$A$25,0))</f>
        <v/>
      </c>
      <c r="S203" s="36">
        <f>INDEX('建筑建议总览'!$T$5:$T$25,MATCH($A203,'建筑建议总览'!$A$5:$A$25,0))</f>
        <v/>
      </c>
      <c r="T203" s="44">
        <f>POWER(Q203,D203-1)</f>
        <v/>
      </c>
      <c r="U203" s="44">
        <f>SUMIF($A$5:$A$328,$A203,$T$5:$T$328)</f>
        <v/>
      </c>
      <c r="V203" s="36">
        <f>IF(R203&gt;0,ROUNDDOWN(MAX(0,R203-O203*(F203-1))*T203/U203,0),0)</f>
        <v/>
      </c>
      <c r="W203" s="36">
        <f>IF(S203&gt;0,ROUNDDOWN(MAX(0,S203-P203*(F203-1))*T203/U203,0),0)</f>
        <v/>
      </c>
      <c r="X203" s="36">
        <f>IF(R203&gt;0,O203+V203+IF(D203=F203-1,MAX(0,R203-O203*(F203-1)-SUMIF($A$5:$A$328,$A203,$V$5:$V$328)),0),ROUNDUP(O203*POWER(INDEX('建筑总览'!$J$5:$J$25,MATCH($A203,'建筑总览'!$A$5:$A$25,0)),D203),0))</f>
        <v/>
      </c>
      <c r="Y203" s="36">
        <f>IF(P203=0,0,IF(S203&gt;0,P203+W203+IF(D203=F203-1,MAX(0,S203-P203*(F203-1)-SUMIF($A$5:$A$328,$A203,$W$5:$W$328)),0),ROUNDUP(P203*POWER(INDEX('建筑总览'!$J$5:$J$25,MATCH($A203,'建筑总览'!$A$5:$A$25,0)),D203),0)))</f>
        <v/>
      </c>
      <c r="Z203" s="36">
        <f>IF(X203=0,0,MAX(1,ROUNDUP(X203*(1-'参数与公式'!$B$17),0)))</f>
        <v/>
      </c>
      <c r="AA203" s="36">
        <f>IF(Y203=0,0,MAX(1,ROUNDUP(Y203*(1-'参数与公式'!$B$17),0)))</f>
        <v/>
      </c>
      <c r="AB203" s="33" t="inlineStr">
        <is>
          <t>预算模式末级补足余数；旧模式按指数公式</t>
        </is>
      </c>
      <c r="AC203" s="49">
        <f>IF(A203=A202,IFERROR(M203/M202,""),"")</f>
        <v/>
      </c>
      <c r="AD203" s="49">
        <f>IF(AND(A203=A202,X202&gt;0),X203/X202,"")</f>
        <v/>
      </c>
    </row>
    <row r="204" ht="30" customHeight="1">
      <c r="A204" s="33" t="inlineStr">
        <is>
          <t>smithy</t>
        </is>
      </c>
      <c r="B204" s="33" t="inlineStr">
        <is>
          <t>冶炼坊</t>
        </is>
      </c>
      <c r="C204" s="33" t="inlineStr">
        <is>
          <t>生产加工</t>
        </is>
      </c>
      <c r="D204" s="43" t="n">
        <v>8</v>
      </c>
      <c r="E204" s="36">
        <f>D204+1</f>
        <v/>
      </c>
      <c r="F204" s="43" t="n">
        <v>10</v>
      </c>
      <c r="G204" s="36">
        <f>INDEX('建筑建议总览'!$H$5:$H$25,MATCH($A204,'建筑建议总览'!$A$5:$A$25,0))</f>
        <v/>
      </c>
      <c r="H204" s="44">
        <f>INDEX('建筑建议总览'!$I$5:$I$25,MATCH($A204,'建筑建议总览'!$A$5:$A$25,0))</f>
        <v/>
      </c>
      <c r="I204" s="36">
        <f>INDEX('建筑建议总览'!$J$5:$J$25,MATCH($A204,'建筑建议总览'!$A$5:$A$25,0))</f>
        <v/>
      </c>
      <c r="J204" s="44">
        <f>POWER(H204,D204-1)</f>
        <v/>
      </c>
      <c r="K204" s="44">
        <f>SUMIF($A$5:$A$328,$A204,$J$5:$J$328)</f>
        <v/>
      </c>
      <c r="L204" s="36">
        <f>IF(I204&gt;0,ROUNDDOWN(MAX(0,I204-G204*(F204-1))*J204/K204,0),0)</f>
        <v/>
      </c>
      <c r="M204" s="36">
        <f>IF(I204&gt;0,G204+L204+IF(D204=F204-1,MAX(0,I204-G204*(F204-1)-SUMIF($A$5:$A$328,$A204,$L$5:$L$328)),0),ROUNDUP(G204*POWER(INDEX('建筑总览'!$G$5:$G$25,MATCH($A204,'建筑总览'!$A$5:$A$25,0)),D204),0))</f>
        <v/>
      </c>
      <c r="N204" s="35">
        <f>M204/'参数与公式'!$B$21</f>
        <v/>
      </c>
      <c r="O204" s="36">
        <f>INDEX('建筑建议总览'!$P$5:$P$25,MATCH($A204,'建筑建议总览'!$A$5:$A$25,0))</f>
        <v/>
      </c>
      <c r="P204" s="36">
        <f>INDEX('建筑建议总览'!$Q$5:$Q$25,MATCH($A204,'建筑建议总览'!$A$5:$A$25,0))</f>
        <v/>
      </c>
      <c r="Q204" s="44">
        <f>INDEX('建筑建议总览'!$R$5:$R$25,MATCH($A204,'建筑建议总览'!$A$5:$A$25,0))</f>
        <v/>
      </c>
      <c r="R204" s="36">
        <f>INDEX('建筑建议总览'!$S$5:$S$25,MATCH($A204,'建筑建议总览'!$A$5:$A$25,0))</f>
        <v/>
      </c>
      <c r="S204" s="36">
        <f>INDEX('建筑建议总览'!$T$5:$T$25,MATCH($A204,'建筑建议总览'!$A$5:$A$25,0))</f>
        <v/>
      </c>
      <c r="T204" s="44">
        <f>POWER(Q204,D204-1)</f>
        <v/>
      </c>
      <c r="U204" s="44">
        <f>SUMIF($A$5:$A$328,$A204,$T$5:$T$328)</f>
        <v/>
      </c>
      <c r="V204" s="36">
        <f>IF(R204&gt;0,ROUNDDOWN(MAX(0,R204-O204*(F204-1))*T204/U204,0),0)</f>
        <v/>
      </c>
      <c r="W204" s="36">
        <f>IF(S204&gt;0,ROUNDDOWN(MAX(0,S204-P204*(F204-1))*T204/U204,0),0)</f>
        <v/>
      </c>
      <c r="X204" s="36">
        <f>IF(R204&gt;0,O204+V204+IF(D204=F204-1,MAX(0,R204-O204*(F204-1)-SUMIF($A$5:$A$328,$A204,$V$5:$V$328)),0),ROUNDUP(O204*POWER(INDEX('建筑总览'!$J$5:$J$25,MATCH($A204,'建筑总览'!$A$5:$A$25,0)),D204),0))</f>
        <v/>
      </c>
      <c r="Y204" s="36">
        <f>IF(P204=0,0,IF(S204&gt;0,P204+W204+IF(D204=F204-1,MAX(0,S204-P204*(F204-1)-SUMIF($A$5:$A$328,$A204,$W$5:$W$328)),0),ROUNDUP(P204*POWER(INDEX('建筑总览'!$J$5:$J$25,MATCH($A204,'建筑总览'!$A$5:$A$25,0)),D204),0)))</f>
        <v/>
      </c>
      <c r="Z204" s="36">
        <f>IF(X204=0,0,MAX(1,ROUNDUP(X204*(1-'参数与公式'!$B$17),0)))</f>
        <v/>
      </c>
      <c r="AA204" s="36">
        <f>IF(Y204=0,0,MAX(1,ROUNDUP(Y204*(1-'参数与公式'!$B$17),0)))</f>
        <v/>
      </c>
      <c r="AB204" s="33" t="inlineStr">
        <is>
          <t>预算模式末级补足余数；旧模式按指数公式</t>
        </is>
      </c>
      <c r="AC204" s="49">
        <f>IF(A204=A203,IFERROR(M204/M203,""),"")</f>
        <v/>
      </c>
      <c r="AD204" s="49">
        <f>IF(AND(A204=A203,X203&gt;0),X204/X203,"")</f>
        <v/>
      </c>
    </row>
    <row r="205" ht="30" customHeight="1">
      <c r="A205" s="33" t="inlineStr">
        <is>
          <t>smithy</t>
        </is>
      </c>
      <c r="B205" s="33" t="inlineStr">
        <is>
          <t>冶炼坊</t>
        </is>
      </c>
      <c r="C205" s="33" t="inlineStr">
        <is>
          <t>生产加工</t>
        </is>
      </c>
      <c r="D205" s="43" t="n">
        <v>9</v>
      </c>
      <c r="E205" s="36">
        <f>D205+1</f>
        <v/>
      </c>
      <c r="F205" s="43" t="n">
        <v>10</v>
      </c>
      <c r="G205" s="36">
        <f>INDEX('建筑建议总览'!$H$5:$H$25,MATCH($A205,'建筑建议总览'!$A$5:$A$25,0))</f>
        <v/>
      </c>
      <c r="H205" s="44">
        <f>INDEX('建筑建议总览'!$I$5:$I$25,MATCH($A205,'建筑建议总览'!$A$5:$A$25,0))</f>
        <v/>
      </c>
      <c r="I205" s="36">
        <f>INDEX('建筑建议总览'!$J$5:$J$25,MATCH($A205,'建筑建议总览'!$A$5:$A$25,0))</f>
        <v/>
      </c>
      <c r="J205" s="44">
        <f>POWER(H205,D205-1)</f>
        <v/>
      </c>
      <c r="K205" s="44">
        <f>SUMIF($A$5:$A$328,$A205,$J$5:$J$328)</f>
        <v/>
      </c>
      <c r="L205" s="36">
        <f>IF(I205&gt;0,ROUNDDOWN(MAX(0,I205-G205*(F205-1))*J205/K205,0),0)</f>
        <v/>
      </c>
      <c r="M205" s="36">
        <f>IF(I205&gt;0,G205+L205+IF(D205=F205-1,MAX(0,I205-G205*(F205-1)-SUMIF($A$5:$A$328,$A205,$L$5:$L$328)),0),ROUNDUP(G205*POWER(INDEX('建筑总览'!$G$5:$G$25,MATCH($A205,'建筑总览'!$A$5:$A$25,0)),D205),0))</f>
        <v/>
      </c>
      <c r="N205" s="35">
        <f>M205/'参数与公式'!$B$21</f>
        <v/>
      </c>
      <c r="O205" s="36">
        <f>INDEX('建筑建议总览'!$P$5:$P$25,MATCH($A205,'建筑建议总览'!$A$5:$A$25,0))</f>
        <v/>
      </c>
      <c r="P205" s="36">
        <f>INDEX('建筑建议总览'!$Q$5:$Q$25,MATCH($A205,'建筑建议总览'!$A$5:$A$25,0))</f>
        <v/>
      </c>
      <c r="Q205" s="44">
        <f>INDEX('建筑建议总览'!$R$5:$R$25,MATCH($A205,'建筑建议总览'!$A$5:$A$25,0))</f>
        <v/>
      </c>
      <c r="R205" s="36">
        <f>INDEX('建筑建议总览'!$S$5:$S$25,MATCH($A205,'建筑建议总览'!$A$5:$A$25,0))</f>
        <v/>
      </c>
      <c r="S205" s="36">
        <f>INDEX('建筑建议总览'!$T$5:$T$25,MATCH($A205,'建筑建议总览'!$A$5:$A$25,0))</f>
        <v/>
      </c>
      <c r="T205" s="44">
        <f>POWER(Q205,D205-1)</f>
        <v/>
      </c>
      <c r="U205" s="44">
        <f>SUMIF($A$5:$A$328,$A205,$T$5:$T$328)</f>
        <v/>
      </c>
      <c r="V205" s="36">
        <f>IF(R205&gt;0,ROUNDDOWN(MAX(0,R205-O205*(F205-1))*T205/U205,0),0)</f>
        <v/>
      </c>
      <c r="W205" s="36">
        <f>IF(S205&gt;0,ROUNDDOWN(MAX(0,S205-P205*(F205-1))*T205/U205,0),0)</f>
        <v/>
      </c>
      <c r="X205" s="36">
        <f>IF(R205&gt;0,O205+V205+IF(D205=F205-1,MAX(0,R205-O205*(F205-1)-SUMIF($A$5:$A$328,$A205,$V$5:$V$328)),0),ROUNDUP(O205*POWER(INDEX('建筑总览'!$J$5:$J$25,MATCH($A205,'建筑总览'!$A$5:$A$25,0)),D205),0))</f>
        <v/>
      </c>
      <c r="Y205" s="36">
        <f>IF(P205=0,0,IF(S205&gt;0,P205+W205+IF(D205=F205-1,MAX(0,S205-P205*(F205-1)-SUMIF($A$5:$A$328,$A205,$W$5:$W$328)),0),ROUNDUP(P205*POWER(INDEX('建筑总览'!$J$5:$J$25,MATCH($A205,'建筑总览'!$A$5:$A$25,0)),D205),0)))</f>
        <v/>
      </c>
      <c r="Z205" s="36">
        <f>IF(X205=0,0,MAX(1,ROUNDUP(X205*(1-'参数与公式'!$B$17),0)))</f>
        <v/>
      </c>
      <c r="AA205" s="36">
        <f>IF(Y205=0,0,MAX(1,ROUNDUP(Y205*(1-'参数与公式'!$B$17),0)))</f>
        <v/>
      </c>
      <c r="AB205" s="33" t="inlineStr">
        <is>
          <t>预算模式末级补足余数；旧模式按指数公式</t>
        </is>
      </c>
      <c r="AC205" s="49">
        <f>IF(A205=A204,IFERROR(M205/M204,""),"")</f>
        <v/>
      </c>
      <c r="AD205" s="49">
        <f>IF(AND(A205=A204,X204&gt;0),X205/X204,"")</f>
        <v/>
      </c>
    </row>
    <row r="206" ht="30" customHeight="1">
      <c r="A206" s="33" t="inlineStr">
        <is>
          <t>stable</t>
        </is>
      </c>
      <c r="B206" s="33" t="inlineStr">
        <is>
          <t>马房</t>
        </is>
      </c>
      <c r="C206" s="33" t="inlineStr">
        <is>
          <t>生产加工</t>
        </is>
      </c>
      <c r="D206" s="43" t="n">
        <v>1</v>
      </c>
      <c r="E206" s="36">
        <f>D206+1</f>
        <v/>
      </c>
      <c r="F206" s="43" t="n">
        <v>10</v>
      </c>
      <c r="G206" s="36">
        <f>INDEX('建筑建议总览'!$H$5:$H$25,MATCH($A206,'建筑建议总览'!$A$5:$A$25,0))</f>
        <v/>
      </c>
      <c r="H206" s="44">
        <f>INDEX('建筑建议总览'!$I$5:$I$25,MATCH($A206,'建筑建议总览'!$A$5:$A$25,0))</f>
        <v/>
      </c>
      <c r="I206" s="36">
        <f>INDEX('建筑建议总览'!$J$5:$J$25,MATCH($A206,'建筑建议总览'!$A$5:$A$25,0))</f>
        <v/>
      </c>
      <c r="J206" s="44">
        <f>POWER(H206,D206-1)</f>
        <v/>
      </c>
      <c r="K206" s="44">
        <f>SUMIF($A$5:$A$328,$A206,$J$5:$J$328)</f>
        <v/>
      </c>
      <c r="L206" s="36">
        <f>IF(I206&gt;0,ROUNDDOWN(MAX(0,I206-G206*(F206-1))*J206/K206,0),0)</f>
        <v/>
      </c>
      <c r="M206" s="36">
        <f>IF(I206&gt;0,G206+L206+IF(D206=F206-1,MAX(0,I206-G206*(F206-1)-SUMIF($A$5:$A$328,$A206,$L$5:$L$328)),0),ROUNDUP(G206*POWER(INDEX('建筑总览'!$G$5:$G$25,MATCH($A206,'建筑总览'!$A$5:$A$25,0)),D206),0))</f>
        <v/>
      </c>
      <c r="N206" s="35">
        <f>M206/'参数与公式'!$B$21</f>
        <v/>
      </c>
      <c r="O206" s="36">
        <f>INDEX('建筑建议总览'!$P$5:$P$25,MATCH($A206,'建筑建议总览'!$A$5:$A$25,0))</f>
        <v/>
      </c>
      <c r="P206" s="36">
        <f>INDEX('建筑建议总览'!$Q$5:$Q$25,MATCH($A206,'建筑建议总览'!$A$5:$A$25,0))</f>
        <v/>
      </c>
      <c r="Q206" s="44">
        <f>INDEX('建筑建议总览'!$R$5:$R$25,MATCH($A206,'建筑建议总览'!$A$5:$A$25,0))</f>
        <v/>
      </c>
      <c r="R206" s="36">
        <f>INDEX('建筑建议总览'!$S$5:$S$25,MATCH($A206,'建筑建议总览'!$A$5:$A$25,0))</f>
        <v/>
      </c>
      <c r="S206" s="36">
        <f>INDEX('建筑建议总览'!$T$5:$T$25,MATCH($A206,'建筑建议总览'!$A$5:$A$25,0))</f>
        <v/>
      </c>
      <c r="T206" s="44">
        <f>POWER(Q206,D206-1)</f>
        <v/>
      </c>
      <c r="U206" s="44">
        <f>SUMIF($A$5:$A$328,$A206,$T$5:$T$328)</f>
        <v/>
      </c>
      <c r="V206" s="36">
        <f>IF(R206&gt;0,ROUNDDOWN(MAX(0,R206-O206*(F206-1))*T206/U206,0),0)</f>
        <v/>
      </c>
      <c r="W206" s="36">
        <f>IF(S206&gt;0,ROUNDDOWN(MAX(0,S206-P206*(F206-1))*T206/U206,0),0)</f>
        <v/>
      </c>
      <c r="X206" s="36">
        <f>IF(R206&gt;0,O206+V206+IF(D206=F206-1,MAX(0,R206-O206*(F206-1)-SUMIF($A$5:$A$328,$A206,$V$5:$V$328)),0),ROUNDUP(O206*POWER(INDEX('建筑总览'!$J$5:$J$25,MATCH($A206,'建筑总览'!$A$5:$A$25,0)),D206),0))</f>
        <v/>
      </c>
      <c r="Y206" s="36">
        <f>IF(P206=0,0,IF(S206&gt;0,P206+W206+IF(D206=F206-1,MAX(0,S206-P206*(F206-1)-SUMIF($A$5:$A$328,$A206,$W$5:$W$328)),0),ROUNDUP(P206*POWER(INDEX('建筑总览'!$J$5:$J$25,MATCH($A206,'建筑总览'!$A$5:$A$25,0)),D206),0)))</f>
        <v/>
      </c>
      <c r="Z206" s="36">
        <f>IF(X206=0,0,MAX(1,ROUNDUP(X206*(1-'参数与公式'!$B$17),0)))</f>
        <v/>
      </c>
      <c r="AA206" s="36">
        <f>IF(Y206=0,0,MAX(1,ROUNDUP(Y206*(1-'参数与公式'!$B$17),0)))</f>
        <v/>
      </c>
      <c r="AB206" s="33" t="inlineStr">
        <is>
          <t>预算模式末级补足余数；旧模式按指数公式</t>
        </is>
      </c>
      <c r="AC206" s="49">
        <f>IF(A206=A205,IFERROR(M206/M205,""),"")</f>
        <v/>
      </c>
      <c r="AD206" s="49">
        <f>IF(AND(A206=A205,X205&gt;0),X206/X205,"")</f>
        <v/>
      </c>
    </row>
    <row r="207" ht="30" customHeight="1">
      <c r="A207" s="33" t="inlineStr">
        <is>
          <t>stable</t>
        </is>
      </c>
      <c r="B207" s="33" t="inlineStr">
        <is>
          <t>马房</t>
        </is>
      </c>
      <c r="C207" s="33" t="inlineStr">
        <is>
          <t>生产加工</t>
        </is>
      </c>
      <c r="D207" s="43" t="n">
        <v>2</v>
      </c>
      <c r="E207" s="36">
        <f>D207+1</f>
        <v/>
      </c>
      <c r="F207" s="43" t="n">
        <v>10</v>
      </c>
      <c r="G207" s="36">
        <f>INDEX('建筑建议总览'!$H$5:$H$25,MATCH($A207,'建筑建议总览'!$A$5:$A$25,0))</f>
        <v/>
      </c>
      <c r="H207" s="44">
        <f>INDEX('建筑建议总览'!$I$5:$I$25,MATCH($A207,'建筑建议总览'!$A$5:$A$25,0))</f>
        <v/>
      </c>
      <c r="I207" s="36">
        <f>INDEX('建筑建议总览'!$J$5:$J$25,MATCH($A207,'建筑建议总览'!$A$5:$A$25,0))</f>
        <v/>
      </c>
      <c r="J207" s="44">
        <f>POWER(H207,D207-1)</f>
        <v/>
      </c>
      <c r="K207" s="44">
        <f>SUMIF($A$5:$A$328,$A207,$J$5:$J$328)</f>
        <v/>
      </c>
      <c r="L207" s="36">
        <f>IF(I207&gt;0,ROUNDDOWN(MAX(0,I207-G207*(F207-1))*J207/K207,0),0)</f>
        <v/>
      </c>
      <c r="M207" s="36">
        <f>IF(I207&gt;0,G207+L207+IF(D207=F207-1,MAX(0,I207-G207*(F207-1)-SUMIF($A$5:$A$328,$A207,$L$5:$L$328)),0),ROUNDUP(G207*POWER(INDEX('建筑总览'!$G$5:$G$25,MATCH($A207,'建筑总览'!$A$5:$A$25,0)),D207),0))</f>
        <v/>
      </c>
      <c r="N207" s="35">
        <f>M207/'参数与公式'!$B$21</f>
        <v/>
      </c>
      <c r="O207" s="36">
        <f>INDEX('建筑建议总览'!$P$5:$P$25,MATCH($A207,'建筑建议总览'!$A$5:$A$25,0))</f>
        <v/>
      </c>
      <c r="P207" s="36">
        <f>INDEX('建筑建议总览'!$Q$5:$Q$25,MATCH($A207,'建筑建议总览'!$A$5:$A$25,0))</f>
        <v/>
      </c>
      <c r="Q207" s="44">
        <f>INDEX('建筑建议总览'!$R$5:$R$25,MATCH($A207,'建筑建议总览'!$A$5:$A$25,0))</f>
        <v/>
      </c>
      <c r="R207" s="36">
        <f>INDEX('建筑建议总览'!$S$5:$S$25,MATCH($A207,'建筑建议总览'!$A$5:$A$25,0))</f>
        <v/>
      </c>
      <c r="S207" s="36">
        <f>INDEX('建筑建议总览'!$T$5:$T$25,MATCH($A207,'建筑建议总览'!$A$5:$A$25,0))</f>
        <v/>
      </c>
      <c r="T207" s="44">
        <f>POWER(Q207,D207-1)</f>
        <v/>
      </c>
      <c r="U207" s="44">
        <f>SUMIF($A$5:$A$328,$A207,$T$5:$T$328)</f>
        <v/>
      </c>
      <c r="V207" s="36">
        <f>IF(R207&gt;0,ROUNDDOWN(MAX(0,R207-O207*(F207-1))*T207/U207,0),0)</f>
        <v/>
      </c>
      <c r="W207" s="36">
        <f>IF(S207&gt;0,ROUNDDOWN(MAX(0,S207-P207*(F207-1))*T207/U207,0),0)</f>
        <v/>
      </c>
      <c r="X207" s="36">
        <f>IF(R207&gt;0,O207+V207+IF(D207=F207-1,MAX(0,R207-O207*(F207-1)-SUMIF($A$5:$A$328,$A207,$V$5:$V$328)),0),ROUNDUP(O207*POWER(INDEX('建筑总览'!$J$5:$J$25,MATCH($A207,'建筑总览'!$A$5:$A$25,0)),D207),0))</f>
        <v/>
      </c>
      <c r="Y207" s="36">
        <f>IF(P207=0,0,IF(S207&gt;0,P207+W207+IF(D207=F207-1,MAX(0,S207-P207*(F207-1)-SUMIF($A$5:$A$328,$A207,$W$5:$W$328)),0),ROUNDUP(P207*POWER(INDEX('建筑总览'!$J$5:$J$25,MATCH($A207,'建筑总览'!$A$5:$A$25,0)),D207),0)))</f>
        <v/>
      </c>
      <c r="Z207" s="36">
        <f>IF(X207=0,0,MAX(1,ROUNDUP(X207*(1-'参数与公式'!$B$17),0)))</f>
        <v/>
      </c>
      <c r="AA207" s="36">
        <f>IF(Y207=0,0,MAX(1,ROUNDUP(Y207*(1-'参数与公式'!$B$17),0)))</f>
        <v/>
      </c>
      <c r="AB207" s="33" t="inlineStr">
        <is>
          <t>预算模式末级补足余数；旧模式按指数公式</t>
        </is>
      </c>
      <c r="AC207" s="49">
        <f>IF(A207=A206,IFERROR(M207/M206,""),"")</f>
        <v/>
      </c>
      <c r="AD207" s="49">
        <f>IF(AND(A207=A206,X206&gt;0),X207/X206,"")</f>
        <v/>
      </c>
    </row>
    <row r="208" ht="30" customHeight="1">
      <c r="A208" s="33" t="inlineStr">
        <is>
          <t>stable</t>
        </is>
      </c>
      <c r="B208" s="33" t="inlineStr">
        <is>
          <t>马房</t>
        </is>
      </c>
      <c r="C208" s="33" t="inlineStr">
        <is>
          <t>生产加工</t>
        </is>
      </c>
      <c r="D208" s="43" t="n">
        <v>3</v>
      </c>
      <c r="E208" s="36">
        <f>D208+1</f>
        <v/>
      </c>
      <c r="F208" s="43" t="n">
        <v>10</v>
      </c>
      <c r="G208" s="36">
        <f>INDEX('建筑建议总览'!$H$5:$H$25,MATCH($A208,'建筑建议总览'!$A$5:$A$25,0))</f>
        <v/>
      </c>
      <c r="H208" s="44">
        <f>INDEX('建筑建议总览'!$I$5:$I$25,MATCH($A208,'建筑建议总览'!$A$5:$A$25,0))</f>
        <v/>
      </c>
      <c r="I208" s="36">
        <f>INDEX('建筑建议总览'!$J$5:$J$25,MATCH($A208,'建筑建议总览'!$A$5:$A$25,0))</f>
        <v/>
      </c>
      <c r="J208" s="44">
        <f>POWER(H208,D208-1)</f>
        <v/>
      </c>
      <c r="K208" s="44">
        <f>SUMIF($A$5:$A$328,$A208,$J$5:$J$328)</f>
        <v/>
      </c>
      <c r="L208" s="36">
        <f>IF(I208&gt;0,ROUNDDOWN(MAX(0,I208-G208*(F208-1))*J208/K208,0),0)</f>
        <v/>
      </c>
      <c r="M208" s="36">
        <f>IF(I208&gt;0,G208+L208+IF(D208=F208-1,MAX(0,I208-G208*(F208-1)-SUMIF($A$5:$A$328,$A208,$L$5:$L$328)),0),ROUNDUP(G208*POWER(INDEX('建筑总览'!$G$5:$G$25,MATCH($A208,'建筑总览'!$A$5:$A$25,0)),D208),0))</f>
        <v/>
      </c>
      <c r="N208" s="35">
        <f>M208/'参数与公式'!$B$21</f>
        <v/>
      </c>
      <c r="O208" s="36">
        <f>INDEX('建筑建议总览'!$P$5:$P$25,MATCH($A208,'建筑建议总览'!$A$5:$A$25,0))</f>
        <v/>
      </c>
      <c r="P208" s="36">
        <f>INDEX('建筑建议总览'!$Q$5:$Q$25,MATCH($A208,'建筑建议总览'!$A$5:$A$25,0))</f>
        <v/>
      </c>
      <c r="Q208" s="44">
        <f>INDEX('建筑建议总览'!$R$5:$R$25,MATCH($A208,'建筑建议总览'!$A$5:$A$25,0))</f>
        <v/>
      </c>
      <c r="R208" s="36">
        <f>INDEX('建筑建议总览'!$S$5:$S$25,MATCH($A208,'建筑建议总览'!$A$5:$A$25,0))</f>
        <v/>
      </c>
      <c r="S208" s="36">
        <f>INDEX('建筑建议总览'!$T$5:$T$25,MATCH($A208,'建筑建议总览'!$A$5:$A$25,0))</f>
        <v/>
      </c>
      <c r="T208" s="44">
        <f>POWER(Q208,D208-1)</f>
        <v/>
      </c>
      <c r="U208" s="44">
        <f>SUMIF($A$5:$A$328,$A208,$T$5:$T$328)</f>
        <v/>
      </c>
      <c r="V208" s="36">
        <f>IF(R208&gt;0,ROUNDDOWN(MAX(0,R208-O208*(F208-1))*T208/U208,0),0)</f>
        <v/>
      </c>
      <c r="W208" s="36">
        <f>IF(S208&gt;0,ROUNDDOWN(MAX(0,S208-P208*(F208-1))*T208/U208,0),0)</f>
        <v/>
      </c>
      <c r="X208" s="36">
        <f>IF(R208&gt;0,O208+V208+IF(D208=F208-1,MAX(0,R208-O208*(F208-1)-SUMIF($A$5:$A$328,$A208,$V$5:$V$328)),0),ROUNDUP(O208*POWER(INDEX('建筑总览'!$J$5:$J$25,MATCH($A208,'建筑总览'!$A$5:$A$25,0)),D208),0))</f>
        <v/>
      </c>
      <c r="Y208" s="36">
        <f>IF(P208=0,0,IF(S208&gt;0,P208+W208+IF(D208=F208-1,MAX(0,S208-P208*(F208-1)-SUMIF($A$5:$A$328,$A208,$W$5:$W$328)),0),ROUNDUP(P208*POWER(INDEX('建筑总览'!$J$5:$J$25,MATCH($A208,'建筑总览'!$A$5:$A$25,0)),D208),0)))</f>
        <v/>
      </c>
      <c r="Z208" s="36">
        <f>IF(X208=0,0,MAX(1,ROUNDUP(X208*(1-'参数与公式'!$B$17),0)))</f>
        <v/>
      </c>
      <c r="AA208" s="36">
        <f>IF(Y208=0,0,MAX(1,ROUNDUP(Y208*(1-'参数与公式'!$B$17),0)))</f>
        <v/>
      </c>
      <c r="AB208" s="33" t="inlineStr">
        <is>
          <t>预算模式末级补足余数；旧模式按指数公式</t>
        </is>
      </c>
      <c r="AC208" s="49">
        <f>IF(A208=A207,IFERROR(M208/M207,""),"")</f>
        <v/>
      </c>
      <c r="AD208" s="49">
        <f>IF(AND(A208=A207,X207&gt;0),X208/X207,"")</f>
        <v/>
      </c>
    </row>
    <row r="209" ht="30" customHeight="1">
      <c r="A209" s="33" t="inlineStr">
        <is>
          <t>stable</t>
        </is>
      </c>
      <c r="B209" s="33" t="inlineStr">
        <is>
          <t>马房</t>
        </is>
      </c>
      <c r="C209" s="33" t="inlineStr">
        <is>
          <t>生产加工</t>
        </is>
      </c>
      <c r="D209" s="43" t="n">
        <v>4</v>
      </c>
      <c r="E209" s="36">
        <f>D209+1</f>
        <v/>
      </c>
      <c r="F209" s="43" t="n">
        <v>10</v>
      </c>
      <c r="G209" s="36">
        <f>INDEX('建筑建议总览'!$H$5:$H$25,MATCH($A209,'建筑建议总览'!$A$5:$A$25,0))</f>
        <v/>
      </c>
      <c r="H209" s="44">
        <f>INDEX('建筑建议总览'!$I$5:$I$25,MATCH($A209,'建筑建议总览'!$A$5:$A$25,0))</f>
        <v/>
      </c>
      <c r="I209" s="36">
        <f>INDEX('建筑建议总览'!$J$5:$J$25,MATCH($A209,'建筑建议总览'!$A$5:$A$25,0))</f>
        <v/>
      </c>
      <c r="J209" s="44">
        <f>POWER(H209,D209-1)</f>
        <v/>
      </c>
      <c r="K209" s="44">
        <f>SUMIF($A$5:$A$328,$A209,$J$5:$J$328)</f>
        <v/>
      </c>
      <c r="L209" s="36">
        <f>IF(I209&gt;0,ROUNDDOWN(MAX(0,I209-G209*(F209-1))*J209/K209,0),0)</f>
        <v/>
      </c>
      <c r="M209" s="36">
        <f>IF(I209&gt;0,G209+L209+IF(D209=F209-1,MAX(0,I209-G209*(F209-1)-SUMIF($A$5:$A$328,$A209,$L$5:$L$328)),0),ROUNDUP(G209*POWER(INDEX('建筑总览'!$G$5:$G$25,MATCH($A209,'建筑总览'!$A$5:$A$25,0)),D209),0))</f>
        <v/>
      </c>
      <c r="N209" s="35">
        <f>M209/'参数与公式'!$B$21</f>
        <v/>
      </c>
      <c r="O209" s="36">
        <f>INDEX('建筑建议总览'!$P$5:$P$25,MATCH($A209,'建筑建议总览'!$A$5:$A$25,0))</f>
        <v/>
      </c>
      <c r="P209" s="36">
        <f>INDEX('建筑建议总览'!$Q$5:$Q$25,MATCH($A209,'建筑建议总览'!$A$5:$A$25,0))</f>
        <v/>
      </c>
      <c r="Q209" s="44">
        <f>INDEX('建筑建议总览'!$R$5:$R$25,MATCH($A209,'建筑建议总览'!$A$5:$A$25,0))</f>
        <v/>
      </c>
      <c r="R209" s="36">
        <f>INDEX('建筑建议总览'!$S$5:$S$25,MATCH($A209,'建筑建议总览'!$A$5:$A$25,0))</f>
        <v/>
      </c>
      <c r="S209" s="36">
        <f>INDEX('建筑建议总览'!$T$5:$T$25,MATCH($A209,'建筑建议总览'!$A$5:$A$25,0))</f>
        <v/>
      </c>
      <c r="T209" s="44">
        <f>POWER(Q209,D209-1)</f>
        <v/>
      </c>
      <c r="U209" s="44">
        <f>SUMIF($A$5:$A$328,$A209,$T$5:$T$328)</f>
        <v/>
      </c>
      <c r="V209" s="36">
        <f>IF(R209&gt;0,ROUNDDOWN(MAX(0,R209-O209*(F209-1))*T209/U209,0),0)</f>
        <v/>
      </c>
      <c r="W209" s="36">
        <f>IF(S209&gt;0,ROUNDDOWN(MAX(0,S209-P209*(F209-1))*T209/U209,0),0)</f>
        <v/>
      </c>
      <c r="X209" s="36">
        <f>IF(R209&gt;0,O209+V209+IF(D209=F209-1,MAX(0,R209-O209*(F209-1)-SUMIF($A$5:$A$328,$A209,$V$5:$V$328)),0),ROUNDUP(O209*POWER(INDEX('建筑总览'!$J$5:$J$25,MATCH($A209,'建筑总览'!$A$5:$A$25,0)),D209),0))</f>
        <v/>
      </c>
      <c r="Y209" s="36">
        <f>IF(P209=0,0,IF(S209&gt;0,P209+W209+IF(D209=F209-1,MAX(0,S209-P209*(F209-1)-SUMIF($A$5:$A$328,$A209,$W$5:$W$328)),0),ROUNDUP(P209*POWER(INDEX('建筑总览'!$J$5:$J$25,MATCH($A209,'建筑总览'!$A$5:$A$25,0)),D209),0)))</f>
        <v/>
      </c>
      <c r="Z209" s="36">
        <f>IF(X209=0,0,MAX(1,ROUNDUP(X209*(1-'参数与公式'!$B$17),0)))</f>
        <v/>
      </c>
      <c r="AA209" s="36">
        <f>IF(Y209=0,0,MAX(1,ROUNDUP(Y209*(1-'参数与公式'!$B$17),0)))</f>
        <v/>
      </c>
      <c r="AB209" s="33" t="inlineStr">
        <is>
          <t>预算模式末级补足余数；旧模式按指数公式</t>
        </is>
      </c>
      <c r="AC209" s="49">
        <f>IF(A209=A208,IFERROR(M209/M208,""),"")</f>
        <v/>
      </c>
      <c r="AD209" s="49">
        <f>IF(AND(A209=A208,X208&gt;0),X209/X208,"")</f>
        <v/>
      </c>
    </row>
    <row r="210" ht="30" customHeight="1">
      <c r="A210" s="33" t="inlineStr">
        <is>
          <t>stable</t>
        </is>
      </c>
      <c r="B210" s="33" t="inlineStr">
        <is>
          <t>马房</t>
        </is>
      </c>
      <c r="C210" s="33" t="inlineStr">
        <is>
          <t>生产加工</t>
        </is>
      </c>
      <c r="D210" s="43" t="n">
        <v>5</v>
      </c>
      <c r="E210" s="36">
        <f>D210+1</f>
        <v/>
      </c>
      <c r="F210" s="43" t="n">
        <v>10</v>
      </c>
      <c r="G210" s="36">
        <f>INDEX('建筑建议总览'!$H$5:$H$25,MATCH($A210,'建筑建议总览'!$A$5:$A$25,0))</f>
        <v/>
      </c>
      <c r="H210" s="44">
        <f>INDEX('建筑建议总览'!$I$5:$I$25,MATCH($A210,'建筑建议总览'!$A$5:$A$25,0))</f>
        <v/>
      </c>
      <c r="I210" s="36">
        <f>INDEX('建筑建议总览'!$J$5:$J$25,MATCH($A210,'建筑建议总览'!$A$5:$A$25,0))</f>
        <v/>
      </c>
      <c r="J210" s="44">
        <f>POWER(H210,D210-1)</f>
        <v/>
      </c>
      <c r="K210" s="44">
        <f>SUMIF($A$5:$A$328,$A210,$J$5:$J$328)</f>
        <v/>
      </c>
      <c r="L210" s="36">
        <f>IF(I210&gt;0,ROUNDDOWN(MAX(0,I210-G210*(F210-1))*J210/K210,0),0)</f>
        <v/>
      </c>
      <c r="M210" s="36">
        <f>IF(I210&gt;0,G210+L210+IF(D210=F210-1,MAX(0,I210-G210*(F210-1)-SUMIF($A$5:$A$328,$A210,$L$5:$L$328)),0),ROUNDUP(G210*POWER(INDEX('建筑总览'!$G$5:$G$25,MATCH($A210,'建筑总览'!$A$5:$A$25,0)),D210),0))</f>
        <v/>
      </c>
      <c r="N210" s="35">
        <f>M210/'参数与公式'!$B$21</f>
        <v/>
      </c>
      <c r="O210" s="36">
        <f>INDEX('建筑建议总览'!$P$5:$P$25,MATCH($A210,'建筑建议总览'!$A$5:$A$25,0))</f>
        <v/>
      </c>
      <c r="P210" s="36">
        <f>INDEX('建筑建议总览'!$Q$5:$Q$25,MATCH($A210,'建筑建议总览'!$A$5:$A$25,0))</f>
        <v/>
      </c>
      <c r="Q210" s="44">
        <f>INDEX('建筑建议总览'!$R$5:$R$25,MATCH($A210,'建筑建议总览'!$A$5:$A$25,0))</f>
        <v/>
      </c>
      <c r="R210" s="36">
        <f>INDEX('建筑建议总览'!$S$5:$S$25,MATCH($A210,'建筑建议总览'!$A$5:$A$25,0))</f>
        <v/>
      </c>
      <c r="S210" s="36">
        <f>INDEX('建筑建议总览'!$T$5:$T$25,MATCH($A210,'建筑建议总览'!$A$5:$A$25,0))</f>
        <v/>
      </c>
      <c r="T210" s="44">
        <f>POWER(Q210,D210-1)</f>
        <v/>
      </c>
      <c r="U210" s="44">
        <f>SUMIF($A$5:$A$328,$A210,$T$5:$T$328)</f>
        <v/>
      </c>
      <c r="V210" s="36">
        <f>IF(R210&gt;0,ROUNDDOWN(MAX(0,R210-O210*(F210-1))*T210/U210,0),0)</f>
        <v/>
      </c>
      <c r="W210" s="36">
        <f>IF(S210&gt;0,ROUNDDOWN(MAX(0,S210-P210*(F210-1))*T210/U210,0),0)</f>
        <v/>
      </c>
      <c r="X210" s="36">
        <f>IF(R210&gt;0,O210+V210+IF(D210=F210-1,MAX(0,R210-O210*(F210-1)-SUMIF($A$5:$A$328,$A210,$V$5:$V$328)),0),ROUNDUP(O210*POWER(INDEX('建筑总览'!$J$5:$J$25,MATCH($A210,'建筑总览'!$A$5:$A$25,0)),D210),0))</f>
        <v/>
      </c>
      <c r="Y210" s="36">
        <f>IF(P210=0,0,IF(S210&gt;0,P210+W210+IF(D210=F210-1,MAX(0,S210-P210*(F210-1)-SUMIF($A$5:$A$328,$A210,$W$5:$W$328)),0),ROUNDUP(P210*POWER(INDEX('建筑总览'!$J$5:$J$25,MATCH($A210,'建筑总览'!$A$5:$A$25,0)),D210),0)))</f>
        <v/>
      </c>
      <c r="Z210" s="36">
        <f>IF(X210=0,0,MAX(1,ROUNDUP(X210*(1-'参数与公式'!$B$17),0)))</f>
        <v/>
      </c>
      <c r="AA210" s="36">
        <f>IF(Y210=0,0,MAX(1,ROUNDUP(Y210*(1-'参数与公式'!$B$17),0)))</f>
        <v/>
      </c>
      <c r="AB210" s="33" t="inlineStr">
        <is>
          <t>预算模式末级补足余数；旧模式按指数公式</t>
        </is>
      </c>
      <c r="AC210" s="49">
        <f>IF(A210=A209,IFERROR(M210/M209,""),"")</f>
        <v/>
      </c>
      <c r="AD210" s="49">
        <f>IF(AND(A210=A209,X209&gt;0),X210/X209,"")</f>
        <v/>
      </c>
    </row>
    <row r="211" ht="30" customHeight="1">
      <c r="A211" s="33" t="inlineStr">
        <is>
          <t>stable</t>
        </is>
      </c>
      <c r="B211" s="33" t="inlineStr">
        <is>
          <t>马房</t>
        </is>
      </c>
      <c r="C211" s="33" t="inlineStr">
        <is>
          <t>生产加工</t>
        </is>
      </c>
      <c r="D211" s="43" t="n">
        <v>6</v>
      </c>
      <c r="E211" s="36">
        <f>D211+1</f>
        <v/>
      </c>
      <c r="F211" s="43" t="n">
        <v>10</v>
      </c>
      <c r="G211" s="36">
        <f>INDEX('建筑建议总览'!$H$5:$H$25,MATCH($A211,'建筑建议总览'!$A$5:$A$25,0))</f>
        <v/>
      </c>
      <c r="H211" s="44">
        <f>INDEX('建筑建议总览'!$I$5:$I$25,MATCH($A211,'建筑建议总览'!$A$5:$A$25,0))</f>
        <v/>
      </c>
      <c r="I211" s="36">
        <f>INDEX('建筑建议总览'!$J$5:$J$25,MATCH($A211,'建筑建议总览'!$A$5:$A$25,0))</f>
        <v/>
      </c>
      <c r="J211" s="44">
        <f>POWER(H211,D211-1)</f>
        <v/>
      </c>
      <c r="K211" s="44">
        <f>SUMIF($A$5:$A$328,$A211,$J$5:$J$328)</f>
        <v/>
      </c>
      <c r="L211" s="36">
        <f>IF(I211&gt;0,ROUNDDOWN(MAX(0,I211-G211*(F211-1))*J211/K211,0),0)</f>
        <v/>
      </c>
      <c r="M211" s="36">
        <f>IF(I211&gt;0,G211+L211+IF(D211=F211-1,MAX(0,I211-G211*(F211-1)-SUMIF($A$5:$A$328,$A211,$L$5:$L$328)),0),ROUNDUP(G211*POWER(INDEX('建筑总览'!$G$5:$G$25,MATCH($A211,'建筑总览'!$A$5:$A$25,0)),D211),0))</f>
        <v/>
      </c>
      <c r="N211" s="35">
        <f>M211/'参数与公式'!$B$21</f>
        <v/>
      </c>
      <c r="O211" s="36">
        <f>INDEX('建筑建议总览'!$P$5:$P$25,MATCH($A211,'建筑建议总览'!$A$5:$A$25,0))</f>
        <v/>
      </c>
      <c r="P211" s="36">
        <f>INDEX('建筑建议总览'!$Q$5:$Q$25,MATCH($A211,'建筑建议总览'!$A$5:$A$25,0))</f>
        <v/>
      </c>
      <c r="Q211" s="44">
        <f>INDEX('建筑建议总览'!$R$5:$R$25,MATCH($A211,'建筑建议总览'!$A$5:$A$25,0))</f>
        <v/>
      </c>
      <c r="R211" s="36">
        <f>INDEX('建筑建议总览'!$S$5:$S$25,MATCH($A211,'建筑建议总览'!$A$5:$A$25,0))</f>
        <v/>
      </c>
      <c r="S211" s="36">
        <f>INDEX('建筑建议总览'!$T$5:$T$25,MATCH($A211,'建筑建议总览'!$A$5:$A$25,0))</f>
        <v/>
      </c>
      <c r="T211" s="44">
        <f>POWER(Q211,D211-1)</f>
        <v/>
      </c>
      <c r="U211" s="44">
        <f>SUMIF($A$5:$A$328,$A211,$T$5:$T$328)</f>
        <v/>
      </c>
      <c r="V211" s="36">
        <f>IF(R211&gt;0,ROUNDDOWN(MAX(0,R211-O211*(F211-1))*T211/U211,0),0)</f>
        <v/>
      </c>
      <c r="W211" s="36">
        <f>IF(S211&gt;0,ROUNDDOWN(MAX(0,S211-P211*(F211-1))*T211/U211,0),0)</f>
        <v/>
      </c>
      <c r="X211" s="36">
        <f>IF(R211&gt;0,O211+V211+IF(D211=F211-1,MAX(0,R211-O211*(F211-1)-SUMIF($A$5:$A$328,$A211,$V$5:$V$328)),0),ROUNDUP(O211*POWER(INDEX('建筑总览'!$J$5:$J$25,MATCH($A211,'建筑总览'!$A$5:$A$25,0)),D211),0))</f>
        <v/>
      </c>
      <c r="Y211" s="36">
        <f>IF(P211=0,0,IF(S211&gt;0,P211+W211+IF(D211=F211-1,MAX(0,S211-P211*(F211-1)-SUMIF($A$5:$A$328,$A211,$W$5:$W$328)),0),ROUNDUP(P211*POWER(INDEX('建筑总览'!$J$5:$J$25,MATCH($A211,'建筑总览'!$A$5:$A$25,0)),D211),0)))</f>
        <v/>
      </c>
      <c r="Z211" s="36">
        <f>IF(X211=0,0,MAX(1,ROUNDUP(X211*(1-'参数与公式'!$B$17),0)))</f>
        <v/>
      </c>
      <c r="AA211" s="36">
        <f>IF(Y211=0,0,MAX(1,ROUNDUP(Y211*(1-'参数与公式'!$B$17),0)))</f>
        <v/>
      </c>
      <c r="AB211" s="33" t="inlineStr">
        <is>
          <t>预算模式末级补足余数；旧模式按指数公式</t>
        </is>
      </c>
      <c r="AC211" s="49">
        <f>IF(A211=A210,IFERROR(M211/M210,""),"")</f>
        <v/>
      </c>
      <c r="AD211" s="49">
        <f>IF(AND(A211=A210,X210&gt;0),X211/X210,"")</f>
        <v/>
      </c>
    </row>
    <row r="212" ht="30" customHeight="1">
      <c r="A212" s="33" t="inlineStr">
        <is>
          <t>stable</t>
        </is>
      </c>
      <c r="B212" s="33" t="inlineStr">
        <is>
          <t>马房</t>
        </is>
      </c>
      <c r="C212" s="33" t="inlineStr">
        <is>
          <t>生产加工</t>
        </is>
      </c>
      <c r="D212" s="43" t="n">
        <v>7</v>
      </c>
      <c r="E212" s="36">
        <f>D212+1</f>
        <v/>
      </c>
      <c r="F212" s="43" t="n">
        <v>10</v>
      </c>
      <c r="G212" s="36">
        <f>INDEX('建筑建议总览'!$H$5:$H$25,MATCH($A212,'建筑建议总览'!$A$5:$A$25,0))</f>
        <v/>
      </c>
      <c r="H212" s="44">
        <f>INDEX('建筑建议总览'!$I$5:$I$25,MATCH($A212,'建筑建议总览'!$A$5:$A$25,0))</f>
        <v/>
      </c>
      <c r="I212" s="36">
        <f>INDEX('建筑建议总览'!$J$5:$J$25,MATCH($A212,'建筑建议总览'!$A$5:$A$25,0))</f>
        <v/>
      </c>
      <c r="J212" s="44">
        <f>POWER(H212,D212-1)</f>
        <v/>
      </c>
      <c r="K212" s="44">
        <f>SUMIF($A$5:$A$328,$A212,$J$5:$J$328)</f>
        <v/>
      </c>
      <c r="L212" s="36">
        <f>IF(I212&gt;0,ROUNDDOWN(MAX(0,I212-G212*(F212-1))*J212/K212,0),0)</f>
        <v/>
      </c>
      <c r="M212" s="36">
        <f>IF(I212&gt;0,G212+L212+IF(D212=F212-1,MAX(0,I212-G212*(F212-1)-SUMIF($A$5:$A$328,$A212,$L$5:$L$328)),0),ROUNDUP(G212*POWER(INDEX('建筑总览'!$G$5:$G$25,MATCH($A212,'建筑总览'!$A$5:$A$25,0)),D212),0))</f>
        <v/>
      </c>
      <c r="N212" s="35">
        <f>M212/'参数与公式'!$B$21</f>
        <v/>
      </c>
      <c r="O212" s="36">
        <f>INDEX('建筑建议总览'!$P$5:$P$25,MATCH($A212,'建筑建议总览'!$A$5:$A$25,0))</f>
        <v/>
      </c>
      <c r="P212" s="36">
        <f>INDEX('建筑建议总览'!$Q$5:$Q$25,MATCH($A212,'建筑建议总览'!$A$5:$A$25,0))</f>
        <v/>
      </c>
      <c r="Q212" s="44">
        <f>INDEX('建筑建议总览'!$R$5:$R$25,MATCH($A212,'建筑建议总览'!$A$5:$A$25,0))</f>
        <v/>
      </c>
      <c r="R212" s="36">
        <f>INDEX('建筑建议总览'!$S$5:$S$25,MATCH($A212,'建筑建议总览'!$A$5:$A$25,0))</f>
        <v/>
      </c>
      <c r="S212" s="36">
        <f>INDEX('建筑建议总览'!$T$5:$T$25,MATCH($A212,'建筑建议总览'!$A$5:$A$25,0))</f>
        <v/>
      </c>
      <c r="T212" s="44">
        <f>POWER(Q212,D212-1)</f>
        <v/>
      </c>
      <c r="U212" s="44">
        <f>SUMIF($A$5:$A$328,$A212,$T$5:$T$328)</f>
        <v/>
      </c>
      <c r="V212" s="36">
        <f>IF(R212&gt;0,ROUNDDOWN(MAX(0,R212-O212*(F212-1))*T212/U212,0),0)</f>
        <v/>
      </c>
      <c r="W212" s="36">
        <f>IF(S212&gt;0,ROUNDDOWN(MAX(0,S212-P212*(F212-1))*T212/U212,0),0)</f>
        <v/>
      </c>
      <c r="X212" s="36">
        <f>IF(R212&gt;0,O212+V212+IF(D212=F212-1,MAX(0,R212-O212*(F212-1)-SUMIF($A$5:$A$328,$A212,$V$5:$V$328)),0),ROUNDUP(O212*POWER(INDEX('建筑总览'!$J$5:$J$25,MATCH($A212,'建筑总览'!$A$5:$A$25,0)),D212),0))</f>
        <v/>
      </c>
      <c r="Y212" s="36">
        <f>IF(P212=0,0,IF(S212&gt;0,P212+W212+IF(D212=F212-1,MAX(0,S212-P212*(F212-1)-SUMIF($A$5:$A$328,$A212,$W$5:$W$328)),0),ROUNDUP(P212*POWER(INDEX('建筑总览'!$J$5:$J$25,MATCH($A212,'建筑总览'!$A$5:$A$25,0)),D212),0)))</f>
        <v/>
      </c>
      <c r="Z212" s="36">
        <f>IF(X212=0,0,MAX(1,ROUNDUP(X212*(1-'参数与公式'!$B$17),0)))</f>
        <v/>
      </c>
      <c r="AA212" s="36">
        <f>IF(Y212=0,0,MAX(1,ROUNDUP(Y212*(1-'参数与公式'!$B$17),0)))</f>
        <v/>
      </c>
      <c r="AB212" s="33" t="inlineStr">
        <is>
          <t>预算模式末级补足余数；旧模式按指数公式</t>
        </is>
      </c>
      <c r="AC212" s="49">
        <f>IF(A212=A211,IFERROR(M212/M211,""),"")</f>
        <v/>
      </c>
      <c r="AD212" s="49">
        <f>IF(AND(A212=A211,X211&gt;0),X212/X211,"")</f>
        <v/>
      </c>
    </row>
    <row r="213" ht="30" customHeight="1">
      <c r="A213" s="33" t="inlineStr">
        <is>
          <t>stable</t>
        </is>
      </c>
      <c r="B213" s="33" t="inlineStr">
        <is>
          <t>马房</t>
        </is>
      </c>
      <c r="C213" s="33" t="inlineStr">
        <is>
          <t>生产加工</t>
        </is>
      </c>
      <c r="D213" s="43" t="n">
        <v>8</v>
      </c>
      <c r="E213" s="36">
        <f>D213+1</f>
        <v/>
      </c>
      <c r="F213" s="43" t="n">
        <v>10</v>
      </c>
      <c r="G213" s="36">
        <f>INDEX('建筑建议总览'!$H$5:$H$25,MATCH($A213,'建筑建议总览'!$A$5:$A$25,0))</f>
        <v/>
      </c>
      <c r="H213" s="44">
        <f>INDEX('建筑建议总览'!$I$5:$I$25,MATCH($A213,'建筑建议总览'!$A$5:$A$25,0))</f>
        <v/>
      </c>
      <c r="I213" s="36">
        <f>INDEX('建筑建议总览'!$J$5:$J$25,MATCH($A213,'建筑建议总览'!$A$5:$A$25,0))</f>
        <v/>
      </c>
      <c r="J213" s="44">
        <f>POWER(H213,D213-1)</f>
        <v/>
      </c>
      <c r="K213" s="44">
        <f>SUMIF($A$5:$A$328,$A213,$J$5:$J$328)</f>
        <v/>
      </c>
      <c r="L213" s="36">
        <f>IF(I213&gt;0,ROUNDDOWN(MAX(0,I213-G213*(F213-1))*J213/K213,0),0)</f>
        <v/>
      </c>
      <c r="M213" s="36">
        <f>IF(I213&gt;0,G213+L213+IF(D213=F213-1,MAX(0,I213-G213*(F213-1)-SUMIF($A$5:$A$328,$A213,$L$5:$L$328)),0),ROUNDUP(G213*POWER(INDEX('建筑总览'!$G$5:$G$25,MATCH($A213,'建筑总览'!$A$5:$A$25,0)),D213),0))</f>
        <v/>
      </c>
      <c r="N213" s="35">
        <f>M213/'参数与公式'!$B$21</f>
        <v/>
      </c>
      <c r="O213" s="36">
        <f>INDEX('建筑建议总览'!$P$5:$P$25,MATCH($A213,'建筑建议总览'!$A$5:$A$25,0))</f>
        <v/>
      </c>
      <c r="P213" s="36">
        <f>INDEX('建筑建议总览'!$Q$5:$Q$25,MATCH($A213,'建筑建议总览'!$A$5:$A$25,0))</f>
        <v/>
      </c>
      <c r="Q213" s="44">
        <f>INDEX('建筑建议总览'!$R$5:$R$25,MATCH($A213,'建筑建议总览'!$A$5:$A$25,0))</f>
        <v/>
      </c>
      <c r="R213" s="36">
        <f>INDEX('建筑建议总览'!$S$5:$S$25,MATCH($A213,'建筑建议总览'!$A$5:$A$25,0))</f>
        <v/>
      </c>
      <c r="S213" s="36">
        <f>INDEX('建筑建议总览'!$T$5:$T$25,MATCH($A213,'建筑建议总览'!$A$5:$A$25,0))</f>
        <v/>
      </c>
      <c r="T213" s="44">
        <f>POWER(Q213,D213-1)</f>
        <v/>
      </c>
      <c r="U213" s="44">
        <f>SUMIF($A$5:$A$328,$A213,$T$5:$T$328)</f>
        <v/>
      </c>
      <c r="V213" s="36">
        <f>IF(R213&gt;0,ROUNDDOWN(MAX(0,R213-O213*(F213-1))*T213/U213,0),0)</f>
        <v/>
      </c>
      <c r="W213" s="36">
        <f>IF(S213&gt;0,ROUNDDOWN(MAX(0,S213-P213*(F213-1))*T213/U213,0),0)</f>
        <v/>
      </c>
      <c r="X213" s="36">
        <f>IF(R213&gt;0,O213+V213+IF(D213=F213-1,MAX(0,R213-O213*(F213-1)-SUMIF($A$5:$A$328,$A213,$V$5:$V$328)),0),ROUNDUP(O213*POWER(INDEX('建筑总览'!$J$5:$J$25,MATCH($A213,'建筑总览'!$A$5:$A$25,0)),D213),0))</f>
        <v/>
      </c>
      <c r="Y213" s="36">
        <f>IF(P213=0,0,IF(S213&gt;0,P213+W213+IF(D213=F213-1,MAX(0,S213-P213*(F213-1)-SUMIF($A$5:$A$328,$A213,$W$5:$W$328)),0),ROUNDUP(P213*POWER(INDEX('建筑总览'!$J$5:$J$25,MATCH($A213,'建筑总览'!$A$5:$A$25,0)),D213),0)))</f>
        <v/>
      </c>
      <c r="Z213" s="36">
        <f>IF(X213=0,0,MAX(1,ROUNDUP(X213*(1-'参数与公式'!$B$17),0)))</f>
        <v/>
      </c>
      <c r="AA213" s="36">
        <f>IF(Y213=0,0,MAX(1,ROUNDUP(Y213*(1-'参数与公式'!$B$17),0)))</f>
        <v/>
      </c>
      <c r="AB213" s="33" t="inlineStr">
        <is>
          <t>预算模式末级补足余数；旧模式按指数公式</t>
        </is>
      </c>
      <c r="AC213" s="49">
        <f>IF(A213=A212,IFERROR(M213/M212,""),"")</f>
        <v/>
      </c>
      <c r="AD213" s="49">
        <f>IF(AND(A213=A212,X212&gt;0),X213/X212,"")</f>
        <v/>
      </c>
    </row>
    <row r="214" ht="30" customHeight="1">
      <c r="A214" s="33" t="inlineStr">
        <is>
          <t>stable</t>
        </is>
      </c>
      <c r="B214" s="33" t="inlineStr">
        <is>
          <t>马房</t>
        </is>
      </c>
      <c r="C214" s="33" t="inlineStr">
        <is>
          <t>生产加工</t>
        </is>
      </c>
      <c r="D214" s="43" t="n">
        <v>9</v>
      </c>
      <c r="E214" s="36">
        <f>D214+1</f>
        <v/>
      </c>
      <c r="F214" s="43" t="n">
        <v>10</v>
      </c>
      <c r="G214" s="36">
        <f>INDEX('建筑建议总览'!$H$5:$H$25,MATCH($A214,'建筑建议总览'!$A$5:$A$25,0))</f>
        <v/>
      </c>
      <c r="H214" s="44">
        <f>INDEX('建筑建议总览'!$I$5:$I$25,MATCH($A214,'建筑建议总览'!$A$5:$A$25,0))</f>
        <v/>
      </c>
      <c r="I214" s="36">
        <f>INDEX('建筑建议总览'!$J$5:$J$25,MATCH($A214,'建筑建议总览'!$A$5:$A$25,0))</f>
        <v/>
      </c>
      <c r="J214" s="44">
        <f>POWER(H214,D214-1)</f>
        <v/>
      </c>
      <c r="K214" s="44">
        <f>SUMIF($A$5:$A$328,$A214,$J$5:$J$328)</f>
        <v/>
      </c>
      <c r="L214" s="36">
        <f>IF(I214&gt;0,ROUNDDOWN(MAX(0,I214-G214*(F214-1))*J214/K214,0),0)</f>
        <v/>
      </c>
      <c r="M214" s="36">
        <f>IF(I214&gt;0,G214+L214+IF(D214=F214-1,MAX(0,I214-G214*(F214-1)-SUMIF($A$5:$A$328,$A214,$L$5:$L$328)),0),ROUNDUP(G214*POWER(INDEX('建筑总览'!$G$5:$G$25,MATCH($A214,'建筑总览'!$A$5:$A$25,0)),D214),0))</f>
        <v/>
      </c>
      <c r="N214" s="35">
        <f>M214/'参数与公式'!$B$21</f>
        <v/>
      </c>
      <c r="O214" s="36">
        <f>INDEX('建筑建议总览'!$P$5:$P$25,MATCH($A214,'建筑建议总览'!$A$5:$A$25,0))</f>
        <v/>
      </c>
      <c r="P214" s="36">
        <f>INDEX('建筑建议总览'!$Q$5:$Q$25,MATCH($A214,'建筑建议总览'!$A$5:$A$25,0))</f>
        <v/>
      </c>
      <c r="Q214" s="44">
        <f>INDEX('建筑建议总览'!$R$5:$R$25,MATCH($A214,'建筑建议总览'!$A$5:$A$25,0))</f>
        <v/>
      </c>
      <c r="R214" s="36">
        <f>INDEX('建筑建议总览'!$S$5:$S$25,MATCH($A214,'建筑建议总览'!$A$5:$A$25,0))</f>
        <v/>
      </c>
      <c r="S214" s="36">
        <f>INDEX('建筑建议总览'!$T$5:$T$25,MATCH($A214,'建筑建议总览'!$A$5:$A$25,0))</f>
        <v/>
      </c>
      <c r="T214" s="44">
        <f>POWER(Q214,D214-1)</f>
        <v/>
      </c>
      <c r="U214" s="44">
        <f>SUMIF($A$5:$A$328,$A214,$T$5:$T$328)</f>
        <v/>
      </c>
      <c r="V214" s="36">
        <f>IF(R214&gt;0,ROUNDDOWN(MAX(0,R214-O214*(F214-1))*T214/U214,0),0)</f>
        <v/>
      </c>
      <c r="W214" s="36">
        <f>IF(S214&gt;0,ROUNDDOWN(MAX(0,S214-P214*(F214-1))*T214/U214,0),0)</f>
        <v/>
      </c>
      <c r="X214" s="36">
        <f>IF(R214&gt;0,O214+V214+IF(D214=F214-1,MAX(0,R214-O214*(F214-1)-SUMIF($A$5:$A$328,$A214,$V$5:$V$328)),0),ROUNDUP(O214*POWER(INDEX('建筑总览'!$J$5:$J$25,MATCH($A214,'建筑总览'!$A$5:$A$25,0)),D214),0))</f>
        <v/>
      </c>
      <c r="Y214" s="36">
        <f>IF(P214=0,0,IF(S214&gt;0,P214+W214+IF(D214=F214-1,MAX(0,S214-P214*(F214-1)-SUMIF($A$5:$A$328,$A214,$W$5:$W$328)),0),ROUNDUP(P214*POWER(INDEX('建筑总览'!$J$5:$J$25,MATCH($A214,'建筑总览'!$A$5:$A$25,0)),D214),0)))</f>
        <v/>
      </c>
      <c r="Z214" s="36">
        <f>IF(X214=0,0,MAX(1,ROUNDUP(X214*(1-'参数与公式'!$B$17),0)))</f>
        <v/>
      </c>
      <c r="AA214" s="36">
        <f>IF(Y214=0,0,MAX(1,ROUNDUP(Y214*(1-'参数与公式'!$B$17),0)))</f>
        <v/>
      </c>
      <c r="AB214" s="33" t="inlineStr">
        <is>
          <t>预算模式末级补足余数；旧模式按指数公式</t>
        </is>
      </c>
      <c r="AC214" s="49">
        <f>IF(A214=A213,IFERROR(M214/M213,""),"")</f>
        <v/>
      </c>
      <c r="AD214" s="49">
        <f>IF(AND(A214=A213,X213&gt;0),X214/X213,"")</f>
        <v/>
      </c>
    </row>
    <row r="215" ht="30" customHeight="1">
      <c r="A215" s="33" t="inlineStr">
        <is>
          <t>forge</t>
        </is>
      </c>
      <c r="B215" s="33" t="inlineStr">
        <is>
          <t>铁匠铺</t>
        </is>
      </c>
      <c r="C215" s="33" t="inlineStr">
        <is>
          <t>生产加工</t>
        </is>
      </c>
      <c r="D215" s="43" t="n">
        <v>1</v>
      </c>
      <c r="E215" s="36">
        <f>D215+1</f>
        <v/>
      </c>
      <c r="F215" s="43" t="n">
        <v>10</v>
      </c>
      <c r="G215" s="36">
        <f>INDEX('建筑建议总览'!$H$5:$H$25,MATCH($A215,'建筑建议总览'!$A$5:$A$25,0))</f>
        <v/>
      </c>
      <c r="H215" s="44">
        <f>INDEX('建筑建议总览'!$I$5:$I$25,MATCH($A215,'建筑建议总览'!$A$5:$A$25,0))</f>
        <v/>
      </c>
      <c r="I215" s="36">
        <f>INDEX('建筑建议总览'!$J$5:$J$25,MATCH($A215,'建筑建议总览'!$A$5:$A$25,0))</f>
        <v/>
      </c>
      <c r="J215" s="44">
        <f>POWER(H215,D215-1)</f>
        <v/>
      </c>
      <c r="K215" s="44">
        <f>SUMIF($A$5:$A$328,$A215,$J$5:$J$328)</f>
        <v/>
      </c>
      <c r="L215" s="36">
        <f>IF(I215&gt;0,ROUNDDOWN(MAX(0,I215-G215*(F215-1))*J215/K215,0),0)</f>
        <v/>
      </c>
      <c r="M215" s="36">
        <f>IF(I215&gt;0,G215+L215+IF(D215=F215-1,MAX(0,I215-G215*(F215-1)-SUMIF($A$5:$A$328,$A215,$L$5:$L$328)),0),ROUNDUP(G215*POWER(INDEX('建筑总览'!$G$5:$G$25,MATCH($A215,'建筑总览'!$A$5:$A$25,0)),D215),0))</f>
        <v/>
      </c>
      <c r="N215" s="35">
        <f>M215/'参数与公式'!$B$21</f>
        <v/>
      </c>
      <c r="O215" s="36">
        <f>INDEX('建筑建议总览'!$P$5:$P$25,MATCH($A215,'建筑建议总览'!$A$5:$A$25,0))</f>
        <v/>
      </c>
      <c r="P215" s="36">
        <f>INDEX('建筑建议总览'!$Q$5:$Q$25,MATCH($A215,'建筑建议总览'!$A$5:$A$25,0))</f>
        <v/>
      </c>
      <c r="Q215" s="44">
        <f>INDEX('建筑建议总览'!$R$5:$R$25,MATCH($A215,'建筑建议总览'!$A$5:$A$25,0))</f>
        <v/>
      </c>
      <c r="R215" s="36">
        <f>INDEX('建筑建议总览'!$S$5:$S$25,MATCH($A215,'建筑建议总览'!$A$5:$A$25,0))</f>
        <v/>
      </c>
      <c r="S215" s="36">
        <f>INDEX('建筑建议总览'!$T$5:$T$25,MATCH($A215,'建筑建议总览'!$A$5:$A$25,0))</f>
        <v/>
      </c>
      <c r="T215" s="44">
        <f>POWER(Q215,D215-1)</f>
        <v/>
      </c>
      <c r="U215" s="44">
        <f>SUMIF($A$5:$A$328,$A215,$T$5:$T$328)</f>
        <v/>
      </c>
      <c r="V215" s="36">
        <f>IF(R215&gt;0,ROUNDDOWN(MAX(0,R215-O215*(F215-1))*T215/U215,0),0)</f>
        <v/>
      </c>
      <c r="W215" s="36">
        <f>IF(S215&gt;0,ROUNDDOWN(MAX(0,S215-P215*(F215-1))*T215/U215,0),0)</f>
        <v/>
      </c>
      <c r="X215" s="36">
        <f>IF(R215&gt;0,O215+V215+IF(D215=F215-1,MAX(0,R215-O215*(F215-1)-SUMIF($A$5:$A$328,$A215,$V$5:$V$328)),0),ROUNDUP(O215*POWER(INDEX('建筑总览'!$J$5:$J$25,MATCH($A215,'建筑总览'!$A$5:$A$25,0)),D215),0))</f>
        <v/>
      </c>
      <c r="Y215" s="36">
        <f>IF(P215=0,0,IF(S215&gt;0,P215+W215+IF(D215=F215-1,MAX(0,S215-P215*(F215-1)-SUMIF($A$5:$A$328,$A215,$W$5:$W$328)),0),ROUNDUP(P215*POWER(INDEX('建筑总览'!$J$5:$J$25,MATCH($A215,'建筑总览'!$A$5:$A$25,0)),D215),0)))</f>
        <v/>
      </c>
      <c r="Z215" s="36">
        <f>IF(X215=0,0,MAX(1,ROUNDUP(X215*(1-'参数与公式'!$B$17),0)))</f>
        <v/>
      </c>
      <c r="AA215" s="36">
        <f>IF(Y215=0,0,MAX(1,ROUNDUP(Y215*(1-'参数与公式'!$B$17),0)))</f>
        <v/>
      </c>
      <c r="AB215" s="33" t="inlineStr">
        <is>
          <t>预算模式末级补足余数；旧模式按指数公式</t>
        </is>
      </c>
      <c r="AC215" s="49">
        <f>IF(A215=A214,IFERROR(M215/M214,""),"")</f>
        <v/>
      </c>
      <c r="AD215" s="49">
        <f>IF(AND(A215=A214,X214&gt;0),X215/X214,"")</f>
        <v/>
      </c>
    </row>
    <row r="216" ht="30" customHeight="1">
      <c r="A216" s="33" t="inlineStr">
        <is>
          <t>forge</t>
        </is>
      </c>
      <c r="B216" s="33" t="inlineStr">
        <is>
          <t>铁匠铺</t>
        </is>
      </c>
      <c r="C216" s="33" t="inlineStr">
        <is>
          <t>生产加工</t>
        </is>
      </c>
      <c r="D216" s="43" t="n">
        <v>2</v>
      </c>
      <c r="E216" s="36">
        <f>D216+1</f>
        <v/>
      </c>
      <c r="F216" s="43" t="n">
        <v>10</v>
      </c>
      <c r="G216" s="36">
        <f>INDEX('建筑建议总览'!$H$5:$H$25,MATCH($A216,'建筑建议总览'!$A$5:$A$25,0))</f>
        <v/>
      </c>
      <c r="H216" s="44">
        <f>INDEX('建筑建议总览'!$I$5:$I$25,MATCH($A216,'建筑建议总览'!$A$5:$A$25,0))</f>
        <v/>
      </c>
      <c r="I216" s="36">
        <f>INDEX('建筑建议总览'!$J$5:$J$25,MATCH($A216,'建筑建议总览'!$A$5:$A$25,0))</f>
        <v/>
      </c>
      <c r="J216" s="44">
        <f>POWER(H216,D216-1)</f>
        <v/>
      </c>
      <c r="K216" s="44">
        <f>SUMIF($A$5:$A$328,$A216,$J$5:$J$328)</f>
        <v/>
      </c>
      <c r="L216" s="36">
        <f>IF(I216&gt;0,ROUNDDOWN(MAX(0,I216-G216*(F216-1))*J216/K216,0),0)</f>
        <v/>
      </c>
      <c r="M216" s="36">
        <f>IF(I216&gt;0,G216+L216+IF(D216=F216-1,MAX(0,I216-G216*(F216-1)-SUMIF($A$5:$A$328,$A216,$L$5:$L$328)),0),ROUNDUP(G216*POWER(INDEX('建筑总览'!$G$5:$G$25,MATCH($A216,'建筑总览'!$A$5:$A$25,0)),D216),0))</f>
        <v/>
      </c>
      <c r="N216" s="35">
        <f>M216/'参数与公式'!$B$21</f>
        <v/>
      </c>
      <c r="O216" s="36">
        <f>INDEX('建筑建议总览'!$P$5:$P$25,MATCH($A216,'建筑建议总览'!$A$5:$A$25,0))</f>
        <v/>
      </c>
      <c r="P216" s="36">
        <f>INDEX('建筑建议总览'!$Q$5:$Q$25,MATCH($A216,'建筑建议总览'!$A$5:$A$25,0))</f>
        <v/>
      </c>
      <c r="Q216" s="44">
        <f>INDEX('建筑建议总览'!$R$5:$R$25,MATCH($A216,'建筑建议总览'!$A$5:$A$25,0))</f>
        <v/>
      </c>
      <c r="R216" s="36">
        <f>INDEX('建筑建议总览'!$S$5:$S$25,MATCH($A216,'建筑建议总览'!$A$5:$A$25,0))</f>
        <v/>
      </c>
      <c r="S216" s="36">
        <f>INDEX('建筑建议总览'!$T$5:$T$25,MATCH($A216,'建筑建议总览'!$A$5:$A$25,0))</f>
        <v/>
      </c>
      <c r="T216" s="44">
        <f>POWER(Q216,D216-1)</f>
        <v/>
      </c>
      <c r="U216" s="44">
        <f>SUMIF($A$5:$A$328,$A216,$T$5:$T$328)</f>
        <v/>
      </c>
      <c r="V216" s="36">
        <f>IF(R216&gt;0,ROUNDDOWN(MAX(0,R216-O216*(F216-1))*T216/U216,0),0)</f>
        <v/>
      </c>
      <c r="W216" s="36">
        <f>IF(S216&gt;0,ROUNDDOWN(MAX(0,S216-P216*(F216-1))*T216/U216,0),0)</f>
        <v/>
      </c>
      <c r="X216" s="36">
        <f>IF(R216&gt;0,O216+V216+IF(D216=F216-1,MAX(0,R216-O216*(F216-1)-SUMIF($A$5:$A$328,$A216,$V$5:$V$328)),0),ROUNDUP(O216*POWER(INDEX('建筑总览'!$J$5:$J$25,MATCH($A216,'建筑总览'!$A$5:$A$25,0)),D216),0))</f>
        <v/>
      </c>
      <c r="Y216" s="36">
        <f>IF(P216=0,0,IF(S216&gt;0,P216+W216+IF(D216=F216-1,MAX(0,S216-P216*(F216-1)-SUMIF($A$5:$A$328,$A216,$W$5:$W$328)),0),ROUNDUP(P216*POWER(INDEX('建筑总览'!$J$5:$J$25,MATCH($A216,'建筑总览'!$A$5:$A$25,0)),D216),0)))</f>
        <v/>
      </c>
      <c r="Z216" s="36">
        <f>IF(X216=0,0,MAX(1,ROUNDUP(X216*(1-'参数与公式'!$B$17),0)))</f>
        <v/>
      </c>
      <c r="AA216" s="36">
        <f>IF(Y216=0,0,MAX(1,ROUNDUP(Y216*(1-'参数与公式'!$B$17),0)))</f>
        <v/>
      </c>
      <c r="AB216" s="33" t="inlineStr">
        <is>
          <t>预算模式末级补足余数；旧模式按指数公式</t>
        </is>
      </c>
      <c r="AC216" s="49">
        <f>IF(A216=A215,IFERROR(M216/M215,""),"")</f>
        <v/>
      </c>
      <c r="AD216" s="49">
        <f>IF(AND(A216=A215,X215&gt;0),X216/X215,"")</f>
        <v/>
      </c>
    </row>
    <row r="217" ht="30" customHeight="1">
      <c r="A217" s="33" t="inlineStr">
        <is>
          <t>forge</t>
        </is>
      </c>
      <c r="B217" s="33" t="inlineStr">
        <is>
          <t>铁匠铺</t>
        </is>
      </c>
      <c r="C217" s="33" t="inlineStr">
        <is>
          <t>生产加工</t>
        </is>
      </c>
      <c r="D217" s="43" t="n">
        <v>3</v>
      </c>
      <c r="E217" s="36">
        <f>D217+1</f>
        <v/>
      </c>
      <c r="F217" s="43" t="n">
        <v>10</v>
      </c>
      <c r="G217" s="36">
        <f>INDEX('建筑建议总览'!$H$5:$H$25,MATCH($A217,'建筑建议总览'!$A$5:$A$25,0))</f>
        <v/>
      </c>
      <c r="H217" s="44">
        <f>INDEX('建筑建议总览'!$I$5:$I$25,MATCH($A217,'建筑建议总览'!$A$5:$A$25,0))</f>
        <v/>
      </c>
      <c r="I217" s="36">
        <f>INDEX('建筑建议总览'!$J$5:$J$25,MATCH($A217,'建筑建议总览'!$A$5:$A$25,0))</f>
        <v/>
      </c>
      <c r="J217" s="44">
        <f>POWER(H217,D217-1)</f>
        <v/>
      </c>
      <c r="K217" s="44">
        <f>SUMIF($A$5:$A$328,$A217,$J$5:$J$328)</f>
        <v/>
      </c>
      <c r="L217" s="36">
        <f>IF(I217&gt;0,ROUNDDOWN(MAX(0,I217-G217*(F217-1))*J217/K217,0),0)</f>
        <v/>
      </c>
      <c r="M217" s="36">
        <f>IF(I217&gt;0,G217+L217+IF(D217=F217-1,MAX(0,I217-G217*(F217-1)-SUMIF($A$5:$A$328,$A217,$L$5:$L$328)),0),ROUNDUP(G217*POWER(INDEX('建筑总览'!$G$5:$G$25,MATCH($A217,'建筑总览'!$A$5:$A$25,0)),D217),0))</f>
        <v/>
      </c>
      <c r="N217" s="35">
        <f>M217/'参数与公式'!$B$21</f>
        <v/>
      </c>
      <c r="O217" s="36">
        <f>INDEX('建筑建议总览'!$P$5:$P$25,MATCH($A217,'建筑建议总览'!$A$5:$A$25,0))</f>
        <v/>
      </c>
      <c r="P217" s="36">
        <f>INDEX('建筑建议总览'!$Q$5:$Q$25,MATCH($A217,'建筑建议总览'!$A$5:$A$25,0))</f>
        <v/>
      </c>
      <c r="Q217" s="44">
        <f>INDEX('建筑建议总览'!$R$5:$R$25,MATCH($A217,'建筑建议总览'!$A$5:$A$25,0))</f>
        <v/>
      </c>
      <c r="R217" s="36">
        <f>INDEX('建筑建议总览'!$S$5:$S$25,MATCH($A217,'建筑建议总览'!$A$5:$A$25,0))</f>
        <v/>
      </c>
      <c r="S217" s="36">
        <f>INDEX('建筑建议总览'!$T$5:$T$25,MATCH($A217,'建筑建议总览'!$A$5:$A$25,0))</f>
        <v/>
      </c>
      <c r="T217" s="44">
        <f>POWER(Q217,D217-1)</f>
        <v/>
      </c>
      <c r="U217" s="44">
        <f>SUMIF($A$5:$A$328,$A217,$T$5:$T$328)</f>
        <v/>
      </c>
      <c r="V217" s="36">
        <f>IF(R217&gt;0,ROUNDDOWN(MAX(0,R217-O217*(F217-1))*T217/U217,0),0)</f>
        <v/>
      </c>
      <c r="W217" s="36">
        <f>IF(S217&gt;0,ROUNDDOWN(MAX(0,S217-P217*(F217-1))*T217/U217,0),0)</f>
        <v/>
      </c>
      <c r="X217" s="36">
        <f>IF(R217&gt;0,O217+V217+IF(D217=F217-1,MAX(0,R217-O217*(F217-1)-SUMIF($A$5:$A$328,$A217,$V$5:$V$328)),0),ROUNDUP(O217*POWER(INDEX('建筑总览'!$J$5:$J$25,MATCH($A217,'建筑总览'!$A$5:$A$25,0)),D217),0))</f>
        <v/>
      </c>
      <c r="Y217" s="36">
        <f>IF(P217=0,0,IF(S217&gt;0,P217+W217+IF(D217=F217-1,MAX(0,S217-P217*(F217-1)-SUMIF($A$5:$A$328,$A217,$W$5:$W$328)),0),ROUNDUP(P217*POWER(INDEX('建筑总览'!$J$5:$J$25,MATCH($A217,'建筑总览'!$A$5:$A$25,0)),D217),0)))</f>
        <v/>
      </c>
      <c r="Z217" s="36">
        <f>IF(X217=0,0,MAX(1,ROUNDUP(X217*(1-'参数与公式'!$B$17),0)))</f>
        <v/>
      </c>
      <c r="AA217" s="36">
        <f>IF(Y217=0,0,MAX(1,ROUNDUP(Y217*(1-'参数与公式'!$B$17),0)))</f>
        <v/>
      </c>
      <c r="AB217" s="33" t="inlineStr">
        <is>
          <t>预算模式末级补足余数；旧模式按指数公式</t>
        </is>
      </c>
      <c r="AC217" s="49">
        <f>IF(A217=A216,IFERROR(M217/M216,""),"")</f>
        <v/>
      </c>
      <c r="AD217" s="49">
        <f>IF(AND(A217=A216,X216&gt;0),X217/X216,"")</f>
        <v/>
      </c>
    </row>
    <row r="218" ht="30" customHeight="1">
      <c r="A218" s="33" t="inlineStr">
        <is>
          <t>forge</t>
        </is>
      </c>
      <c r="B218" s="33" t="inlineStr">
        <is>
          <t>铁匠铺</t>
        </is>
      </c>
      <c r="C218" s="33" t="inlineStr">
        <is>
          <t>生产加工</t>
        </is>
      </c>
      <c r="D218" s="43" t="n">
        <v>4</v>
      </c>
      <c r="E218" s="36">
        <f>D218+1</f>
        <v/>
      </c>
      <c r="F218" s="43" t="n">
        <v>10</v>
      </c>
      <c r="G218" s="36">
        <f>INDEX('建筑建议总览'!$H$5:$H$25,MATCH($A218,'建筑建议总览'!$A$5:$A$25,0))</f>
        <v/>
      </c>
      <c r="H218" s="44">
        <f>INDEX('建筑建议总览'!$I$5:$I$25,MATCH($A218,'建筑建议总览'!$A$5:$A$25,0))</f>
        <v/>
      </c>
      <c r="I218" s="36">
        <f>INDEX('建筑建议总览'!$J$5:$J$25,MATCH($A218,'建筑建议总览'!$A$5:$A$25,0))</f>
        <v/>
      </c>
      <c r="J218" s="44">
        <f>POWER(H218,D218-1)</f>
        <v/>
      </c>
      <c r="K218" s="44">
        <f>SUMIF($A$5:$A$328,$A218,$J$5:$J$328)</f>
        <v/>
      </c>
      <c r="L218" s="36">
        <f>IF(I218&gt;0,ROUNDDOWN(MAX(0,I218-G218*(F218-1))*J218/K218,0),0)</f>
        <v/>
      </c>
      <c r="M218" s="36">
        <f>IF(I218&gt;0,G218+L218+IF(D218=F218-1,MAX(0,I218-G218*(F218-1)-SUMIF($A$5:$A$328,$A218,$L$5:$L$328)),0),ROUNDUP(G218*POWER(INDEX('建筑总览'!$G$5:$G$25,MATCH($A218,'建筑总览'!$A$5:$A$25,0)),D218),0))</f>
        <v/>
      </c>
      <c r="N218" s="35">
        <f>M218/'参数与公式'!$B$21</f>
        <v/>
      </c>
      <c r="O218" s="36">
        <f>INDEX('建筑建议总览'!$P$5:$P$25,MATCH($A218,'建筑建议总览'!$A$5:$A$25,0))</f>
        <v/>
      </c>
      <c r="P218" s="36">
        <f>INDEX('建筑建议总览'!$Q$5:$Q$25,MATCH($A218,'建筑建议总览'!$A$5:$A$25,0))</f>
        <v/>
      </c>
      <c r="Q218" s="44">
        <f>INDEX('建筑建议总览'!$R$5:$R$25,MATCH($A218,'建筑建议总览'!$A$5:$A$25,0))</f>
        <v/>
      </c>
      <c r="R218" s="36">
        <f>INDEX('建筑建议总览'!$S$5:$S$25,MATCH($A218,'建筑建议总览'!$A$5:$A$25,0))</f>
        <v/>
      </c>
      <c r="S218" s="36">
        <f>INDEX('建筑建议总览'!$T$5:$T$25,MATCH($A218,'建筑建议总览'!$A$5:$A$25,0))</f>
        <v/>
      </c>
      <c r="T218" s="44">
        <f>POWER(Q218,D218-1)</f>
        <v/>
      </c>
      <c r="U218" s="44">
        <f>SUMIF($A$5:$A$328,$A218,$T$5:$T$328)</f>
        <v/>
      </c>
      <c r="V218" s="36">
        <f>IF(R218&gt;0,ROUNDDOWN(MAX(0,R218-O218*(F218-1))*T218/U218,0),0)</f>
        <v/>
      </c>
      <c r="W218" s="36">
        <f>IF(S218&gt;0,ROUNDDOWN(MAX(0,S218-P218*(F218-1))*T218/U218,0),0)</f>
        <v/>
      </c>
      <c r="X218" s="36">
        <f>IF(R218&gt;0,O218+V218+IF(D218=F218-1,MAX(0,R218-O218*(F218-1)-SUMIF($A$5:$A$328,$A218,$V$5:$V$328)),0),ROUNDUP(O218*POWER(INDEX('建筑总览'!$J$5:$J$25,MATCH($A218,'建筑总览'!$A$5:$A$25,0)),D218),0))</f>
        <v/>
      </c>
      <c r="Y218" s="36">
        <f>IF(P218=0,0,IF(S218&gt;0,P218+W218+IF(D218=F218-1,MAX(0,S218-P218*(F218-1)-SUMIF($A$5:$A$328,$A218,$W$5:$W$328)),0),ROUNDUP(P218*POWER(INDEX('建筑总览'!$J$5:$J$25,MATCH($A218,'建筑总览'!$A$5:$A$25,0)),D218),0)))</f>
        <v/>
      </c>
      <c r="Z218" s="36">
        <f>IF(X218=0,0,MAX(1,ROUNDUP(X218*(1-'参数与公式'!$B$17),0)))</f>
        <v/>
      </c>
      <c r="AA218" s="36">
        <f>IF(Y218=0,0,MAX(1,ROUNDUP(Y218*(1-'参数与公式'!$B$17),0)))</f>
        <v/>
      </c>
      <c r="AB218" s="33" t="inlineStr">
        <is>
          <t>预算模式末级补足余数；旧模式按指数公式</t>
        </is>
      </c>
      <c r="AC218" s="49">
        <f>IF(A218=A217,IFERROR(M218/M217,""),"")</f>
        <v/>
      </c>
      <c r="AD218" s="49">
        <f>IF(AND(A218=A217,X217&gt;0),X218/X217,"")</f>
        <v/>
      </c>
    </row>
    <row r="219" ht="30" customHeight="1">
      <c r="A219" s="33" t="inlineStr">
        <is>
          <t>forge</t>
        </is>
      </c>
      <c r="B219" s="33" t="inlineStr">
        <is>
          <t>铁匠铺</t>
        </is>
      </c>
      <c r="C219" s="33" t="inlineStr">
        <is>
          <t>生产加工</t>
        </is>
      </c>
      <c r="D219" s="43" t="n">
        <v>5</v>
      </c>
      <c r="E219" s="36">
        <f>D219+1</f>
        <v/>
      </c>
      <c r="F219" s="43" t="n">
        <v>10</v>
      </c>
      <c r="G219" s="36">
        <f>INDEX('建筑建议总览'!$H$5:$H$25,MATCH($A219,'建筑建议总览'!$A$5:$A$25,0))</f>
        <v/>
      </c>
      <c r="H219" s="44">
        <f>INDEX('建筑建议总览'!$I$5:$I$25,MATCH($A219,'建筑建议总览'!$A$5:$A$25,0))</f>
        <v/>
      </c>
      <c r="I219" s="36">
        <f>INDEX('建筑建议总览'!$J$5:$J$25,MATCH($A219,'建筑建议总览'!$A$5:$A$25,0))</f>
        <v/>
      </c>
      <c r="J219" s="44">
        <f>POWER(H219,D219-1)</f>
        <v/>
      </c>
      <c r="K219" s="44">
        <f>SUMIF($A$5:$A$328,$A219,$J$5:$J$328)</f>
        <v/>
      </c>
      <c r="L219" s="36">
        <f>IF(I219&gt;0,ROUNDDOWN(MAX(0,I219-G219*(F219-1))*J219/K219,0),0)</f>
        <v/>
      </c>
      <c r="M219" s="36">
        <f>IF(I219&gt;0,G219+L219+IF(D219=F219-1,MAX(0,I219-G219*(F219-1)-SUMIF($A$5:$A$328,$A219,$L$5:$L$328)),0),ROUNDUP(G219*POWER(INDEX('建筑总览'!$G$5:$G$25,MATCH($A219,'建筑总览'!$A$5:$A$25,0)),D219),0))</f>
        <v/>
      </c>
      <c r="N219" s="35">
        <f>M219/'参数与公式'!$B$21</f>
        <v/>
      </c>
      <c r="O219" s="36">
        <f>INDEX('建筑建议总览'!$P$5:$P$25,MATCH($A219,'建筑建议总览'!$A$5:$A$25,0))</f>
        <v/>
      </c>
      <c r="P219" s="36">
        <f>INDEX('建筑建议总览'!$Q$5:$Q$25,MATCH($A219,'建筑建议总览'!$A$5:$A$25,0))</f>
        <v/>
      </c>
      <c r="Q219" s="44">
        <f>INDEX('建筑建议总览'!$R$5:$R$25,MATCH($A219,'建筑建议总览'!$A$5:$A$25,0))</f>
        <v/>
      </c>
      <c r="R219" s="36">
        <f>INDEX('建筑建议总览'!$S$5:$S$25,MATCH($A219,'建筑建议总览'!$A$5:$A$25,0))</f>
        <v/>
      </c>
      <c r="S219" s="36">
        <f>INDEX('建筑建议总览'!$T$5:$T$25,MATCH($A219,'建筑建议总览'!$A$5:$A$25,0))</f>
        <v/>
      </c>
      <c r="T219" s="44">
        <f>POWER(Q219,D219-1)</f>
        <v/>
      </c>
      <c r="U219" s="44">
        <f>SUMIF($A$5:$A$328,$A219,$T$5:$T$328)</f>
        <v/>
      </c>
      <c r="V219" s="36">
        <f>IF(R219&gt;0,ROUNDDOWN(MAX(0,R219-O219*(F219-1))*T219/U219,0),0)</f>
        <v/>
      </c>
      <c r="W219" s="36">
        <f>IF(S219&gt;0,ROUNDDOWN(MAX(0,S219-P219*(F219-1))*T219/U219,0),0)</f>
        <v/>
      </c>
      <c r="X219" s="36">
        <f>IF(R219&gt;0,O219+V219+IF(D219=F219-1,MAX(0,R219-O219*(F219-1)-SUMIF($A$5:$A$328,$A219,$V$5:$V$328)),0),ROUNDUP(O219*POWER(INDEX('建筑总览'!$J$5:$J$25,MATCH($A219,'建筑总览'!$A$5:$A$25,0)),D219),0))</f>
        <v/>
      </c>
      <c r="Y219" s="36">
        <f>IF(P219=0,0,IF(S219&gt;0,P219+W219+IF(D219=F219-1,MAX(0,S219-P219*(F219-1)-SUMIF($A$5:$A$328,$A219,$W$5:$W$328)),0),ROUNDUP(P219*POWER(INDEX('建筑总览'!$J$5:$J$25,MATCH($A219,'建筑总览'!$A$5:$A$25,0)),D219),0)))</f>
        <v/>
      </c>
      <c r="Z219" s="36">
        <f>IF(X219=0,0,MAX(1,ROUNDUP(X219*(1-'参数与公式'!$B$17),0)))</f>
        <v/>
      </c>
      <c r="AA219" s="36">
        <f>IF(Y219=0,0,MAX(1,ROUNDUP(Y219*(1-'参数与公式'!$B$17),0)))</f>
        <v/>
      </c>
      <c r="AB219" s="33" t="inlineStr">
        <is>
          <t>预算模式末级补足余数；旧模式按指数公式</t>
        </is>
      </c>
      <c r="AC219" s="49">
        <f>IF(A219=A218,IFERROR(M219/M218,""),"")</f>
        <v/>
      </c>
      <c r="AD219" s="49">
        <f>IF(AND(A219=A218,X218&gt;0),X219/X218,"")</f>
        <v/>
      </c>
    </row>
    <row r="220" ht="30" customHeight="1">
      <c r="A220" s="33" t="inlineStr">
        <is>
          <t>forge</t>
        </is>
      </c>
      <c r="B220" s="33" t="inlineStr">
        <is>
          <t>铁匠铺</t>
        </is>
      </c>
      <c r="C220" s="33" t="inlineStr">
        <is>
          <t>生产加工</t>
        </is>
      </c>
      <c r="D220" s="43" t="n">
        <v>6</v>
      </c>
      <c r="E220" s="36">
        <f>D220+1</f>
        <v/>
      </c>
      <c r="F220" s="43" t="n">
        <v>10</v>
      </c>
      <c r="G220" s="36">
        <f>INDEX('建筑建议总览'!$H$5:$H$25,MATCH($A220,'建筑建议总览'!$A$5:$A$25,0))</f>
        <v/>
      </c>
      <c r="H220" s="44">
        <f>INDEX('建筑建议总览'!$I$5:$I$25,MATCH($A220,'建筑建议总览'!$A$5:$A$25,0))</f>
        <v/>
      </c>
      <c r="I220" s="36">
        <f>INDEX('建筑建议总览'!$J$5:$J$25,MATCH($A220,'建筑建议总览'!$A$5:$A$25,0))</f>
        <v/>
      </c>
      <c r="J220" s="44">
        <f>POWER(H220,D220-1)</f>
        <v/>
      </c>
      <c r="K220" s="44">
        <f>SUMIF($A$5:$A$328,$A220,$J$5:$J$328)</f>
        <v/>
      </c>
      <c r="L220" s="36">
        <f>IF(I220&gt;0,ROUNDDOWN(MAX(0,I220-G220*(F220-1))*J220/K220,0),0)</f>
        <v/>
      </c>
      <c r="M220" s="36">
        <f>IF(I220&gt;0,G220+L220+IF(D220=F220-1,MAX(0,I220-G220*(F220-1)-SUMIF($A$5:$A$328,$A220,$L$5:$L$328)),0),ROUNDUP(G220*POWER(INDEX('建筑总览'!$G$5:$G$25,MATCH($A220,'建筑总览'!$A$5:$A$25,0)),D220),0))</f>
        <v/>
      </c>
      <c r="N220" s="35">
        <f>M220/'参数与公式'!$B$21</f>
        <v/>
      </c>
      <c r="O220" s="36">
        <f>INDEX('建筑建议总览'!$P$5:$P$25,MATCH($A220,'建筑建议总览'!$A$5:$A$25,0))</f>
        <v/>
      </c>
      <c r="P220" s="36">
        <f>INDEX('建筑建议总览'!$Q$5:$Q$25,MATCH($A220,'建筑建议总览'!$A$5:$A$25,0))</f>
        <v/>
      </c>
      <c r="Q220" s="44">
        <f>INDEX('建筑建议总览'!$R$5:$R$25,MATCH($A220,'建筑建议总览'!$A$5:$A$25,0))</f>
        <v/>
      </c>
      <c r="R220" s="36">
        <f>INDEX('建筑建议总览'!$S$5:$S$25,MATCH($A220,'建筑建议总览'!$A$5:$A$25,0))</f>
        <v/>
      </c>
      <c r="S220" s="36">
        <f>INDEX('建筑建议总览'!$T$5:$T$25,MATCH($A220,'建筑建议总览'!$A$5:$A$25,0))</f>
        <v/>
      </c>
      <c r="T220" s="44">
        <f>POWER(Q220,D220-1)</f>
        <v/>
      </c>
      <c r="U220" s="44">
        <f>SUMIF($A$5:$A$328,$A220,$T$5:$T$328)</f>
        <v/>
      </c>
      <c r="V220" s="36">
        <f>IF(R220&gt;0,ROUNDDOWN(MAX(0,R220-O220*(F220-1))*T220/U220,0),0)</f>
        <v/>
      </c>
      <c r="W220" s="36">
        <f>IF(S220&gt;0,ROUNDDOWN(MAX(0,S220-P220*(F220-1))*T220/U220,0),0)</f>
        <v/>
      </c>
      <c r="X220" s="36">
        <f>IF(R220&gt;0,O220+V220+IF(D220=F220-1,MAX(0,R220-O220*(F220-1)-SUMIF($A$5:$A$328,$A220,$V$5:$V$328)),0),ROUNDUP(O220*POWER(INDEX('建筑总览'!$J$5:$J$25,MATCH($A220,'建筑总览'!$A$5:$A$25,0)),D220),0))</f>
        <v/>
      </c>
      <c r="Y220" s="36">
        <f>IF(P220=0,0,IF(S220&gt;0,P220+W220+IF(D220=F220-1,MAX(0,S220-P220*(F220-1)-SUMIF($A$5:$A$328,$A220,$W$5:$W$328)),0),ROUNDUP(P220*POWER(INDEX('建筑总览'!$J$5:$J$25,MATCH($A220,'建筑总览'!$A$5:$A$25,0)),D220),0)))</f>
        <v/>
      </c>
      <c r="Z220" s="36">
        <f>IF(X220=0,0,MAX(1,ROUNDUP(X220*(1-'参数与公式'!$B$17),0)))</f>
        <v/>
      </c>
      <c r="AA220" s="36">
        <f>IF(Y220=0,0,MAX(1,ROUNDUP(Y220*(1-'参数与公式'!$B$17),0)))</f>
        <v/>
      </c>
      <c r="AB220" s="33" t="inlineStr">
        <is>
          <t>预算模式末级补足余数；旧模式按指数公式</t>
        </is>
      </c>
      <c r="AC220" s="49">
        <f>IF(A220=A219,IFERROR(M220/M219,""),"")</f>
        <v/>
      </c>
      <c r="AD220" s="49">
        <f>IF(AND(A220=A219,X219&gt;0),X220/X219,"")</f>
        <v/>
      </c>
    </row>
    <row r="221" ht="30" customHeight="1">
      <c r="A221" s="33" t="inlineStr">
        <is>
          <t>forge</t>
        </is>
      </c>
      <c r="B221" s="33" t="inlineStr">
        <is>
          <t>铁匠铺</t>
        </is>
      </c>
      <c r="C221" s="33" t="inlineStr">
        <is>
          <t>生产加工</t>
        </is>
      </c>
      <c r="D221" s="43" t="n">
        <v>7</v>
      </c>
      <c r="E221" s="36">
        <f>D221+1</f>
        <v/>
      </c>
      <c r="F221" s="43" t="n">
        <v>10</v>
      </c>
      <c r="G221" s="36">
        <f>INDEX('建筑建议总览'!$H$5:$H$25,MATCH($A221,'建筑建议总览'!$A$5:$A$25,0))</f>
        <v/>
      </c>
      <c r="H221" s="44">
        <f>INDEX('建筑建议总览'!$I$5:$I$25,MATCH($A221,'建筑建议总览'!$A$5:$A$25,0))</f>
        <v/>
      </c>
      <c r="I221" s="36">
        <f>INDEX('建筑建议总览'!$J$5:$J$25,MATCH($A221,'建筑建议总览'!$A$5:$A$25,0))</f>
        <v/>
      </c>
      <c r="J221" s="44">
        <f>POWER(H221,D221-1)</f>
        <v/>
      </c>
      <c r="K221" s="44">
        <f>SUMIF($A$5:$A$328,$A221,$J$5:$J$328)</f>
        <v/>
      </c>
      <c r="L221" s="36">
        <f>IF(I221&gt;0,ROUNDDOWN(MAX(0,I221-G221*(F221-1))*J221/K221,0),0)</f>
        <v/>
      </c>
      <c r="M221" s="36">
        <f>IF(I221&gt;0,G221+L221+IF(D221=F221-1,MAX(0,I221-G221*(F221-1)-SUMIF($A$5:$A$328,$A221,$L$5:$L$328)),0),ROUNDUP(G221*POWER(INDEX('建筑总览'!$G$5:$G$25,MATCH($A221,'建筑总览'!$A$5:$A$25,0)),D221),0))</f>
        <v/>
      </c>
      <c r="N221" s="35">
        <f>M221/'参数与公式'!$B$21</f>
        <v/>
      </c>
      <c r="O221" s="36">
        <f>INDEX('建筑建议总览'!$P$5:$P$25,MATCH($A221,'建筑建议总览'!$A$5:$A$25,0))</f>
        <v/>
      </c>
      <c r="P221" s="36">
        <f>INDEX('建筑建议总览'!$Q$5:$Q$25,MATCH($A221,'建筑建议总览'!$A$5:$A$25,0))</f>
        <v/>
      </c>
      <c r="Q221" s="44">
        <f>INDEX('建筑建议总览'!$R$5:$R$25,MATCH($A221,'建筑建议总览'!$A$5:$A$25,0))</f>
        <v/>
      </c>
      <c r="R221" s="36">
        <f>INDEX('建筑建议总览'!$S$5:$S$25,MATCH($A221,'建筑建议总览'!$A$5:$A$25,0))</f>
        <v/>
      </c>
      <c r="S221" s="36">
        <f>INDEX('建筑建议总览'!$T$5:$T$25,MATCH($A221,'建筑建议总览'!$A$5:$A$25,0))</f>
        <v/>
      </c>
      <c r="T221" s="44">
        <f>POWER(Q221,D221-1)</f>
        <v/>
      </c>
      <c r="U221" s="44">
        <f>SUMIF($A$5:$A$328,$A221,$T$5:$T$328)</f>
        <v/>
      </c>
      <c r="V221" s="36">
        <f>IF(R221&gt;0,ROUNDDOWN(MAX(0,R221-O221*(F221-1))*T221/U221,0),0)</f>
        <v/>
      </c>
      <c r="W221" s="36">
        <f>IF(S221&gt;0,ROUNDDOWN(MAX(0,S221-P221*(F221-1))*T221/U221,0),0)</f>
        <v/>
      </c>
      <c r="X221" s="36">
        <f>IF(R221&gt;0,O221+V221+IF(D221=F221-1,MAX(0,R221-O221*(F221-1)-SUMIF($A$5:$A$328,$A221,$V$5:$V$328)),0),ROUNDUP(O221*POWER(INDEX('建筑总览'!$J$5:$J$25,MATCH($A221,'建筑总览'!$A$5:$A$25,0)),D221),0))</f>
        <v/>
      </c>
      <c r="Y221" s="36">
        <f>IF(P221=0,0,IF(S221&gt;0,P221+W221+IF(D221=F221-1,MAX(0,S221-P221*(F221-1)-SUMIF($A$5:$A$328,$A221,$W$5:$W$328)),0),ROUNDUP(P221*POWER(INDEX('建筑总览'!$J$5:$J$25,MATCH($A221,'建筑总览'!$A$5:$A$25,0)),D221),0)))</f>
        <v/>
      </c>
      <c r="Z221" s="36">
        <f>IF(X221=0,0,MAX(1,ROUNDUP(X221*(1-'参数与公式'!$B$17),0)))</f>
        <v/>
      </c>
      <c r="AA221" s="36">
        <f>IF(Y221=0,0,MAX(1,ROUNDUP(Y221*(1-'参数与公式'!$B$17),0)))</f>
        <v/>
      </c>
      <c r="AB221" s="33" t="inlineStr">
        <is>
          <t>预算模式末级补足余数；旧模式按指数公式</t>
        </is>
      </c>
      <c r="AC221" s="49">
        <f>IF(A221=A220,IFERROR(M221/M220,""),"")</f>
        <v/>
      </c>
      <c r="AD221" s="49">
        <f>IF(AND(A221=A220,X220&gt;0),X221/X220,"")</f>
        <v/>
      </c>
    </row>
    <row r="222" ht="30" customHeight="1">
      <c r="A222" s="33" t="inlineStr">
        <is>
          <t>forge</t>
        </is>
      </c>
      <c r="B222" s="33" t="inlineStr">
        <is>
          <t>铁匠铺</t>
        </is>
      </c>
      <c r="C222" s="33" t="inlineStr">
        <is>
          <t>生产加工</t>
        </is>
      </c>
      <c r="D222" s="43" t="n">
        <v>8</v>
      </c>
      <c r="E222" s="36">
        <f>D222+1</f>
        <v/>
      </c>
      <c r="F222" s="43" t="n">
        <v>10</v>
      </c>
      <c r="G222" s="36">
        <f>INDEX('建筑建议总览'!$H$5:$H$25,MATCH($A222,'建筑建议总览'!$A$5:$A$25,0))</f>
        <v/>
      </c>
      <c r="H222" s="44">
        <f>INDEX('建筑建议总览'!$I$5:$I$25,MATCH($A222,'建筑建议总览'!$A$5:$A$25,0))</f>
        <v/>
      </c>
      <c r="I222" s="36">
        <f>INDEX('建筑建议总览'!$J$5:$J$25,MATCH($A222,'建筑建议总览'!$A$5:$A$25,0))</f>
        <v/>
      </c>
      <c r="J222" s="44">
        <f>POWER(H222,D222-1)</f>
        <v/>
      </c>
      <c r="K222" s="44">
        <f>SUMIF($A$5:$A$328,$A222,$J$5:$J$328)</f>
        <v/>
      </c>
      <c r="L222" s="36">
        <f>IF(I222&gt;0,ROUNDDOWN(MAX(0,I222-G222*(F222-1))*J222/K222,0),0)</f>
        <v/>
      </c>
      <c r="M222" s="36">
        <f>IF(I222&gt;0,G222+L222+IF(D222=F222-1,MAX(0,I222-G222*(F222-1)-SUMIF($A$5:$A$328,$A222,$L$5:$L$328)),0),ROUNDUP(G222*POWER(INDEX('建筑总览'!$G$5:$G$25,MATCH($A222,'建筑总览'!$A$5:$A$25,0)),D222),0))</f>
        <v/>
      </c>
      <c r="N222" s="35">
        <f>M222/'参数与公式'!$B$21</f>
        <v/>
      </c>
      <c r="O222" s="36">
        <f>INDEX('建筑建议总览'!$P$5:$P$25,MATCH($A222,'建筑建议总览'!$A$5:$A$25,0))</f>
        <v/>
      </c>
      <c r="P222" s="36">
        <f>INDEX('建筑建议总览'!$Q$5:$Q$25,MATCH($A222,'建筑建议总览'!$A$5:$A$25,0))</f>
        <v/>
      </c>
      <c r="Q222" s="44">
        <f>INDEX('建筑建议总览'!$R$5:$R$25,MATCH($A222,'建筑建议总览'!$A$5:$A$25,0))</f>
        <v/>
      </c>
      <c r="R222" s="36">
        <f>INDEX('建筑建议总览'!$S$5:$S$25,MATCH($A222,'建筑建议总览'!$A$5:$A$25,0))</f>
        <v/>
      </c>
      <c r="S222" s="36">
        <f>INDEX('建筑建议总览'!$T$5:$T$25,MATCH($A222,'建筑建议总览'!$A$5:$A$25,0))</f>
        <v/>
      </c>
      <c r="T222" s="44">
        <f>POWER(Q222,D222-1)</f>
        <v/>
      </c>
      <c r="U222" s="44">
        <f>SUMIF($A$5:$A$328,$A222,$T$5:$T$328)</f>
        <v/>
      </c>
      <c r="V222" s="36">
        <f>IF(R222&gt;0,ROUNDDOWN(MAX(0,R222-O222*(F222-1))*T222/U222,0),0)</f>
        <v/>
      </c>
      <c r="W222" s="36">
        <f>IF(S222&gt;0,ROUNDDOWN(MAX(0,S222-P222*(F222-1))*T222/U222,0),0)</f>
        <v/>
      </c>
      <c r="X222" s="36">
        <f>IF(R222&gt;0,O222+V222+IF(D222=F222-1,MAX(0,R222-O222*(F222-1)-SUMIF($A$5:$A$328,$A222,$V$5:$V$328)),0),ROUNDUP(O222*POWER(INDEX('建筑总览'!$J$5:$J$25,MATCH($A222,'建筑总览'!$A$5:$A$25,0)),D222),0))</f>
        <v/>
      </c>
      <c r="Y222" s="36">
        <f>IF(P222=0,0,IF(S222&gt;0,P222+W222+IF(D222=F222-1,MAX(0,S222-P222*(F222-1)-SUMIF($A$5:$A$328,$A222,$W$5:$W$328)),0),ROUNDUP(P222*POWER(INDEX('建筑总览'!$J$5:$J$25,MATCH($A222,'建筑总览'!$A$5:$A$25,0)),D222),0)))</f>
        <v/>
      </c>
      <c r="Z222" s="36">
        <f>IF(X222=0,0,MAX(1,ROUNDUP(X222*(1-'参数与公式'!$B$17),0)))</f>
        <v/>
      </c>
      <c r="AA222" s="36">
        <f>IF(Y222=0,0,MAX(1,ROUNDUP(Y222*(1-'参数与公式'!$B$17),0)))</f>
        <v/>
      </c>
      <c r="AB222" s="33" t="inlineStr">
        <is>
          <t>预算模式末级补足余数；旧模式按指数公式</t>
        </is>
      </c>
      <c r="AC222" s="49">
        <f>IF(A222=A221,IFERROR(M222/M221,""),"")</f>
        <v/>
      </c>
      <c r="AD222" s="49">
        <f>IF(AND(A222=A221,X221&gt;0),X222/X221,"")</f>
        <v/>
      </c>
    </row>
    <row r="223" ht="30" customHeight="1">
      <c r="A223" s="33" t="inlineStr">
        <is>
          <t>forge</t>
        </is>
      </c>
      <c r="B223" s="33" t="inlineStr">
        <is>
          <t>铁匠铺</t>
        </is>
      </c>
      <c r="C223" s="33" t="inlineStr">
        <is>
          <t>生产加工</t>
        </is>
      </c>
      <c r="D223" s="43" t="n">
        <v>9</v>
      </c>
      <c r="E223" s="36">
        <f>D223+1</f>
        <v/>
      </c>
      <c r="F223" s="43" t="n">
        <v>10</v>
      </c>
      <c r="G223" s="36">
        <f>INDEX('建筑建议总览'!$H$5:$H$25,MATCH($A223,'建筑建议总览'!$A$5:$A$25,0))</f>
        <v/>
      </c>
      <c r="H223" s="44">
        <f>INDEX('建筑建议总览'!$I$5:$I$25,MATCH($A223,'建筑建议总览'!$A$5:$A$25,0))</f>
        <v/>
      </c>
      <c r="I223" s="36">
        <f>INDEX('建筑建议总览'!$J$5:$J$25,MATCH($A223,'建筑建议总览'!$A$5:$A$25,0))</f>
        <v/>
      </c>
      <c r="J223" s="44">
        <f>POWER(H223,D223-1)</f>
        <v/>
      </c>
      <c r="K223" s="44">
        <f>SUMIF($A$5:$A$328,$A223,$J$5:$J$328)</f>
        <v/>
      </c>
      <c r="L223" s="36">
        <f>IF(I223&gt;0,ROUNDDOWN(MAX(0,I223-G223*(F223-1))*J223/K223,0),0)</f>
        <v/>
      </c>
      <c r="M223" s="36">
        <f>IF(I223&gt;0,G223+L223+IF(D223=F223-1,MAX(0,I223-G223*(F223-1)-SUMIF($A$5:$A$328,$A223,$L$5:$L$328)),0),ROUNDUP(G223*POWER(INDEX('建筑总览'!$G$5:$G$25,MATCH($A223,'建筑总览'!$A$5:$A$25,0)),D223),0))</f>
        <v/>
      </c>
      <c r="N223" s="35">
        <f>M223/'参数与公式'!$B$21</f>
        <v/>
      </c>
      <c r="O223" s="36">
        <f>INDEX('建筑建议总览'!$P$5:$P$25,MATCH($A223,'建筑建议总览'!$A$5:$A$25,0))</f>
        <v/>
      </c>
      <c r="P223" s="36">
        <f>INDEX('建筑建议总览'!$Q$5:$Q$25,MATCH($A223,'建筑建议总览'!$A$5:$A$25,0))</f>
        <v/>
      </c>
      <c r="Q223" s="44">
        <f>INDEX('建筑建议总览'!$R$5:$R$25,MATCH($A223,'建筑建议总览'!$A$5:$A$25,0))</f>
        <v/>
      </c>
      <c r="R223" s="36">
        <f>INDEX('建筑建议总览'!$S$5:$S$25,MATCH($A223,'建筑建议总览'!$A$5:$A$25,0))</f>
        <v/>
      </c>
      <c r="S223" s="36">
        <f>INDEX('建筑建议总览'!$T$5:$T$25,MATCH($A223,'建筑建议总览'!$A$5:$A$25,0))</f>
        <v/>
      </c>
      <c r="T223" s="44">
        <f>POWER(Q223,D223-1)</f>
        <v/>
      </c>
      <c r="U223" s="44">
        <f>SUMIF($A$5:$A$328,$A223,$T$5:$T$328)</f>
        <v/>
      </c>
      <c r="V223" s="36">
        <f>IF(R223&gt;0,ROUNDDOWN(MAX(0,R223-O223*(F223-1))*T223/U223,0),0)</f>
        <v/>
      </c>
      <c r="W223" s="36">
        <f>IF(S223&gt;0,ROUNDDOWN(MAX(0,S223-P223*(F223-1))*T223/U223,0),0)</f>
        <v/>
      </c>
      <c r="X223" s="36">
        <f>IF(R223&gt;0,O223+V223+IF(D223=F223-1,MAX(0,R223-O223*(F223-1)-SUMIF($A$5:$A$328,$A223,$V$5:$V$328)),0),ROUNDUP(O223*POWER(INDEX('建筑总览'!$J$5:$J$25,MATCH($A223,'建筑总览'!$A$5:$A$25,0)),D223),0))</f>
        <v/>
      </c>
      <c r="Y223" s="36">
        <f>IF(P223=0,0,IF(S223&gt;0,P223+W223+IF(D223=F223-1,MAX(0,S223-P223*(F223-1)-SUMIF($A$5:$A$328,$A223,$W$5:$W$328)),0),ROUNDUP(P223*POWER(INDEX('建筑总览'!$J$5:$J$25,MATCH($A223,'建筑总览'!$A$5:$A$25,0)),D223),0)))</f>
        <v/>
      </c>
      <c r="Z223" s="36">
        <f>IF(X223=0,0,MAX(1,ROUNDUP(X223*(1-'参数与公式'!$B$17),0)))</f>
        <v/>
      </c>
      <c r="AA223" s="36">
        <f>IF(Y223=0,0,MAX(1,ROUNDUP(Y223*(1-'参数与公式'!$B$17),0)))</f>
        <v/>
      </c>
      <c r="AB223" s="33" t="inlineStr">
        <is>
          <t>预算模式末级补足余数；旧模式按指数公式</t>
        </is>
      </c>
      <c r="AC223" s="49">
        <f>IF(A223=A222,IFERROR(M223/M222,""),"")</f>
        <v/>
      </c>
      <c r="AD223" s="49">
        <f>IF(AND(A223=A222,X222&gt;0),X223/X222,"")</f>
        <v/>
      </c>
    </row>
    <row r="224" ht="30" customHeight="1">
      <c r="A224" s="33" t="inlineStr">
        <is>
          <t>juxianzhuang</t>
        </is>
      </c>
      <c r="B224" s="33" t="inlineStr">
        <is>
          <t>聚贤庄</t>
        </is>
      </c>
      <c r="C224" s="33" t="inlineStr">
        <is>
          <t>人员管理</t>
        </is>
      </c>
      <c r="D224" s="43" t="n">
        <v>1</v>
      </c>
      <c r="E224" s="36">
        <f>D224+1</f>
        <v/>
      </c>
      <c r="F224" s="43" t="n">
        <v>15</v>
      </c>
      <c r="G224" s="36">
        <f>INDEX('建筑建议总览'!$H$5:$H$25,MATCH($A224,'建筑建议总览'!$A$5:$A$25,0))</f>
        <v/>
      </c>
      <c r="H224" s="44">
        <f>INDEX('建筑建议总览'!$I$5:$I$25,MATCH($A224,'建筑建议总览'!$A$5:$A$25,0))</f>
        <v/>
      </c>
      <c r="I224" s="36">
        <f>INDEX('建筑建议总览'!$J$5:$J$25,MATCH($A224,'建筑建议总览'!$A$5:$A$25,0))</f>
        <v/>
      </c>
      <c r="J224" s="44">
        <f>POWER(H224,D224-1)</f>
        <v/>
      </c>
      <c r="K224" s="44">
        <f>SUMIF($A$5:$A$328,$A224,$J$5:$J$328)</f>
        <v/>
      </c>
      <c r="L224" s="36">
        <f>IF(I224&gt;0,ROUNDDOWN(MAX(0,I224-G224*(F224-1))*J224/K224,0),0)</f>
        <v/>
      </c>
      <c r="M224" s="36">
        <f>IF(I224&gt;0,G224+L224+IF(D224=F224-1,MAX(0,I224-G224*(F224-1)-SUMIF($A$5:$A$328,$A224,$L$5:$L$328)),0),ROUNDUP(G224*POWER(INDEX('建筑总览'!$G$5:$G$25,MATCH($A224,'建筑总览'!$A$5:$A$25,0)),D224),0))</f>
        <v/>
      </c>
      <c r="N224" s="35">
        <f>M224/'参数与公式'!$B$21</f>
        <v/>
      </c>
      <c r="O224" s="36">
        <f>INDEX('建筑建议总览'!$P$5:$P$25,MATCH($A224,'建筑建议总览'!$A$5:$A$25,0))</f>
        <v/>
      </c>
      <c r="P224" s="36">
        <f>INDEX('建筑建议总览'!$Q$5:$Q$25,MATCH($A224,'建筑建议总览'!$A$5:$A$25,0))</f>
        <v/>
      </c>
      <c r="Q224" s="44">
        <f>INDEX('建筑建议总览'!$R$5:$R$25,MATCH($A224,'建筑建议总览'!$A$5:$A$25,0))</f>
        <v/>
      </c>
      <c r="R224" s="36">
        <f>INDEX('建筑建议总览'!$S$5:$S$25,MATCH($A224,'建筑建议总览'!$A$5:$A$25,0))</f>
        <v/>
      </c>
      <c r="S224" s="36">
        <f>INDEX('建筑建议总览'!$T$5:$T$25,MATCH($A224,'建筑建议总览'!$A$5:$A$25,0))</f>
        <v/>
      </c>
      <c r="T224" s="44">
        <f>POWER(Q224,D224-1)</f>
        <v/>
      </c>
      <c r="U224" s="44">
        <f>SUMIF($A$5:$A$328,$A224,$T$5:$T$328)</f>
        <v/>
      </c>
      <c r="V224" s="36">
        <f>IF(R224&gt;0,ROUNDDOWN(MAX(0,R224-O224*(F224-1))*T224/U224,0),0)</f>
        <v/>
      </c>
      <c r="W224" s="36">
        <f>IF(S224&gt;0,ROUNDDOWN(MAX(0,S224-P224*(F224-1))*T224/U224,0),0)</f>
        <v/>
      </c>
      <c r="X224" s="36">
        <f>IF(R224&gt;0,O224+V224+IF(D224=F224-1,MAX(0,R224-O224*(F224-1)-SUMIF($A$5:$A$328,$A224,$V$5:$V$328)),0),ROUNDUP(O224*POWER(INDEX('建筑总览'!$J$5:$J$25,MATCH($A224,'建筑总览'!$A$5:$A$25,0)),D224),0))</f>
        <v/>
      </c>
      <c r="Y224" s="36">
        <f>IF(P224=0,0,IF(S224&gt;0,P224+W224+IF(D224=F224-1,MAX(0,S224-P224*(F224-1)-SUMIF($A$5:$A$328,$A224,$W$5:$W$328)),0),ROUNDUP(P224*POWER(INDEX('建筑总览'!$J$5:$J$25,MATCH($A224,'建筑总览'!$A$5:$A$25,0)),D224),0)))</f>
        <v/>
      </c>
      <c r="Z224" s="36">
        <f>IF(X224=0,0,MAX(1,ROUNDUP(X224*(1-'参数与公式'!$B$17),0)))</f>
        <v/>
      </c>
      <c r="AA224" s="36">
        <f>IF(Y224=0,0,MAX(1,ROUNDUP(Y224*(1-'参数与公式'!$B$17),0)))</f>
        <v/>
      </c>
      <c r="AB224" s="33" t="inlineStr">
        <is>
          <t>预算模式末级补足余数；旧模式按指数公式</t>
        </is>
      </c>
      <c r="AC224" s="49">
        <f>IF(A224=A223,IFERROR(M224/M223,""),"")</f>
        <v/>
      </c>
      <c r="AD224" s="49">
        <f>IF(AND(A224=A223,X223&gt;0),X224/X223,"")</f>
        <v/>
      </c>
    </row>
    <row r="225" ht="30" customHeight="1">
      <c r="A225" s="33" t="inlineStr">
        <is>
          <t>juxianzhuang</t>
        </is>
      </c>
      <c r="B225" s="33" t="inlineStr">
        <is>
          <t>聚贤庄</t>
        </is>
      </c>
      <c r="C225" s="33" t="inlineStr">
        <is>
          <t>人员管理</t>
        </is>
      </c>
      <c r="D225" s="43" t="n">
        <v>2</v>
      </c>
      <c r="E225" s="36">
        <f>D225+1</f>
        <v/>
      </c>
      <c r="F225" s="43" t="n">
        <v>15</v>
      </c>
      <c r="G225" s="36">
        <f>INDEX('建筑建议总览'!$H$5:$H$25,MATCH($A225,'建筑建议总览'!$A$5:$A$25,0))</f>
        <v/>
      </c>
      <c r="H225" s="44">
        <f>INDEX('建筑建议总览'!$I$5:$I$25,MATCH($A225,'建筑建议总览'!$A$5:$A$25,0))</f>
        <v/>
      </c>
      <c r="I225" s="36">
        <f>INDEX('建筑建议总览'!$J$5:$J$25,MATCH($A225,'建筑建议总览'!$A$5:$A$25,0))</f>
        <v/>
      </c>
      <c r="J225" s="44">
        <f>POWER(H225,D225-1)</f>
        <v/>
      </c>
      <c r="K225" s="44">
        <f>SUMIF($A$5:$A$328,$A225,$J$5:$J$328)</f>
        <v/>
      </c>
      <c r="L225" s="36">
        <f>IF(I225&gt;0,ROUNDDOWN(MAX(0,I225-G225*(F225-1))*J225/K225,0),0)</f>
        <v/>
      </c>
      <c r="M225" s="36">
        <f>IF(I225&gt;0,G225+L225+IF(D225=F225-1,MAX(0,I225-G225*(F225-1)-SUMIF($A$5:$A$328,$A225,$L$5:$L$328)),0),ROUNDUP(G225*POWER(INDEX('建筑总览'!$G$5:$G$25,MATCH($A225,'建筑总览'!$A$5:$A$25,0)),D225),0))</f>
        <v/>
      </c>
      <c r="N225" s="35">
        <f>M225/'参数与公式'!$B$21</f>
        <v/>
      </c>
      <c r="O225" s="36">
        <f>INDEX('建筑建议总览'!$P$5:$P$25,MATCH($A225,'建筑建议总览'!$A$5:$A$25,0))</f>
        <v/>
      </c>
      <c r="P225" s="36">
        <f>INDEX('建筑建议总览'!$Q$5:$Q$25,MATCH($A225,'建筑建议总览'!$A$5:$A$25,0))</f>
        <v/>
      </c>
      <c r="Q225" s="44">
        <f>INDEX('建筑建议总览'!$R$5:$R$25,MATCH($A225,'建筑建议总览'!$A$5:$A$25,0))</f>
        <v/>
      </c>
      <c r="R225" s="36">
        <f>INDEX('建筑建议总览'!$S$5:$S$25,MATCH($A225,'建筑建议总览'!$A$5:$A$25,0))</f>
        <v/>
      </c>
      <c r="S225" s="36">
        <f>INDEX('建筑建议总览'!$T$5:$T$25,MATCH($A225,'建筑建议总览'!$A$5:$A$25,0))</f>
        <v/>
      </c>
      <c r="T225" s="44">
        <f>POWER(Q225,D225-1)</f>
        <v/>
      </c>
      <c r="U225" s="44">
        <f>SUMIF($A$5:$A$328,$A225,$T$5:$T$328)</f>
        <v/>
      </c>
      <c r="V225" s="36">
        <f>IF(R225&gt;0,ROUNDDOWN(MAX(0,R225-O225*(F225-1))*T225/U225,0),0)</f>
        <v/>
      </c>
      <c r="W225" s="36">
        <f>IF(S225&gt;0,ROUNDDOWN(MAX(0,S225-P225*(F225-1))*T225/U225,0),0)</f>
        <v/>
      </c>
      <c r="X225" s="36">
        <f>IF(R225&gt;0,O225+V225+IF(D225=F225-1,MAX(0,R225-O225*(F225-1)-SUMIF($A$5:$A$328,$A225,$V$5:$V$328)),0),ROUNDUP(O225*POWER(INDEX('建筑总览'!$J$5:$J$25,MATCH($A225,'建筑总览'!$A$5:$A$25,0)),D225),0))</f>
        <v/>
      </c>
      <c r="Y225" s="36">
        <f>IF(P225=0,0,IF(S225&gt;0,P225+W225+IF(D225=F225-1,MAX(0,S225-P225*(F225-1)-SUMIF($A$5:$A$328,$A225,$W$5:$W$328)),0),ROUNDUP(P225*POWER(INDEX('建筑总览'!$J$5:$J$25,MATCH($A225,'建筑总览'!$A$5:$A$25,0)),D225),0)))</f>
        <v/>
      </c>
      <c r="Z225" s="36">
        <f>IF(X225=0,0,MAX(1,ROUNDUP(X225*(1-'参数与公式'!$B$17),0)))</f>
        <v/>
      </c>
      <c r="AA225" s="36">
        <f>IF(Y225=0,0,MAX(1,ROUNDUP(Y225*(1-'参数与公式'!$B$17),0)))</f>
        <v/>
      </c>
      <c r="AB225" s="33" t="inlineStr">
        <is>
          <t>预算模式末级补足余数；旧模式按指数公式</t>
        </is>
      </c>
      <c r="AC225" s="49">
        <f>IF(A225=A224,IFERROR(M225/M224,""),"")</f>
        <v/>
      </c>
      <c r="AD225" s="49">
        <f>IF(AND(A225=A224,X224&gt;0),X225/X224,"")</f>
        <v/>
      </c>
    </row>
    <row r="226" ht="30" customHeight="1">
      <c r="A226" s="33" t="inlineStr">
        <is>
          <t>juxianzhuang</t>
        </is>
      </c>
      <c r="B226" s="33" t="inlineStr">
        <is>
          <t>聚贤庄</t>
        </is>
      </c>
      <c r="C226" s="33" t="inlineStr">
        <is>
          <t>人员管理</t>
        </is>
      </c>
      <c r="D226" s="43" t="n">
        <v>3</v>
      </c>
      <c r="E226" s="36">
        <f>D226+1</f>
        <v/>
      </c>
      <c r="F226" s="43" t="n">
        <v>15</v>
      </c>
      <c r="G226" s="36">
        <f>INDEX('建筑建议总览'!$H$5:$H$25,MATCH($A226,'建筑建议总览'!$A$5:$A$25,0))</f>
        <v/>
      </c>
      <c r="H226" s="44">
        <f>INDEX('建筑建议总览'!$I$5:$I$25,MATCH($A226,'建筑建议总览'!$A$5:$A$25,0))</f>
        <v/>
      </c>
      <c r="I226" s="36">
        <f>INDEX('建筑建议总览'!$J$5:$J$25,MATCH($A226,'建筑建议总览'!$A$5:$A$25,0))</f>
        <v/>
      </c>
      <c r="J226" s="44">
        <f>POWER(H226,D226-1)</f>
        <v/>
      </c>
      <c r="K226" s="44">
        <f>SUMIF($A$5:$A$328,$A226,$J$5:$J$328)</f>
        <v/>
      </c>
      <c r="L226" s="36">
        <f>IF(I226&gt;0,ROUNDDOWN(MAX(0,I226-G226*(F226-1))*J226/K226,0),0)</f>
        <v/>
      </c>
      <c r="M226" s="36">
        <f>IF(I226&gt;0,G226+L226+IF(D226=F226-1,MAX(0,I226-G226*(F226-1)-SUMIF($A$5:$A$328,$A226,$L$5:$L$328)),0),ROUNDUP(G226*POWER(INDEX('建筑总览'!$G$5:$G$25,MATCH($A226,'建筑总览'!$A$5:$A$25,0)),D226),0))</f>
        <v/>
      </c>
      <c r="N226" s="35">
        <f>M226/'参数与公式'!$B$21</f>
        <v/>
      </c>
      <c r="O226" s="36">
        <f>INDEX('建筑建议总览'!$P$5:$P$25,MATCH($A226,'建筑建议总览'!$A$5:$A$25,0))</f>
        <v/>
      </c>
      <c r="P226" s="36">
        <f>INDEX('建筑建议总览'!$Q$5:$Q$25,MATCH($A226,'建筑建议总览'!$A$5:$A$25,0))</f>
        <v/>
      </c>
      <c r="Q226" s="44">
        <f>INDEX('建筑建议总览'!$R$5:$R$25,MATCH($A226,'建筑建议总览'!$A$5:$A$25,0))</f>
        <v/>
      </c>
      <c r="R226" s="36">
        <f>INDEX('建筑建议总览'!$S$5:$S$25,MATCH($A226,'建筑建议总览'!$A$5:$A$25,0))</f>
        <v/>
      </c>
      <c r="S226" s="36">
        <f>INDEX('建筑建议总览'!$T$5:$T$25,MATCH($A226,'建筑建议总览'!$A$5:$A$25,0))</f>
        <v/>
      </c>
      <c r="T226" s="44">
        <f>POWER(Q226,D226-1)</f>
        <v/>
      </c>
      <c r="U226" s="44">
        <f>SUMIF($A$5:$A$328,$A226,$T$5:$T$328)</f>
        <v/>
      </c>
      <c r="V226" s="36">
        <f>IF(R226&gt;0,ROUNDDOWN(MAX(0,R226-O226*(F226-1))*T226/U226,0),0)</f>
        <v/>
      </c>
      <c r="W226" s="36">
        <f>IF(S226&gt;0,ROUNDDOWN(MAX(0,S226-P226*(F226-1))*T226/U226,0),0)</f>
        <v/>
      </c>
      <c r="X226" s="36">
        <f>IF(R226&gt;0,O226+V226+IF(D226=F226-1,MAX(0,R226-O226*(F226-1)-SUMIF($A$5:$A$328,$A226,$V$5:$V$328)),0),ROUNDUP(O226*POWER(INDEX('建筑总览'!$J$5:$J$25,MATCH($A226,'建筑总览'!$A$5:$A$25,0)),D226),0))</f>
        <v/>
      </c>
      <c r="Y226" s="36">
        <f>IF(P226=0,0,IF(S226&gt;0,P226+W226+IF(D226=F226-1,MAX(0,S226-P226*(F226-1)-SUMIF($A$5:$A$328,$A226,$W$5:$W$328)),0),ROUNDUP(P226*POWER(INDEX('建筑总览'!$J$5:$J$25,MATCH($A226,'建筑总览'!$A$5:$A$25,0)),D226),0)))</f>
        <v/>
      </c>
      <c r="Z226" s="36">
        <f>IF(X226=0,0,MAX(1,ROUNDUP(X226*(1-'参数与公式'!$B$17),0)))</f>
        <v/>
      </c>
      <c r="AA226" s="36">
        <f>IF(Y226=0,0,MAX(1,ROUNDUP(Y226*(1-'参数与公式'!$B$17),0)))</f>
        <v/>
      </c>
      <c r="AB226" s="33" t="inlineStr">
        <is>
          <t>预算模式末级补足余数；旧模式按指数公式</t>
        </is>
      </c>
      <c r="AC226" s="49">
        <f>IF(A226=A225,IFERROR(M226/M225,""),"")</f>
        <v/>
      </c>
      <c r="AD226" s="49">
        <f>IF(AND(A226=A225,X225&gt;0),X226/X225,"")</f>
        <v/>
      </c>
    </row>
    <row r="227" ht="30" customHeight="1">
      <c r="A227" s="33" t="inlineStr">
        <is>
          <t>juxianzhuang</t>
        </is>
      </c>
      <c r="B227" s="33" t="inlineStr">
        <is>
          <t>聚贤庄</t>
        </is>
      </c>
      <c r="C227" s="33" t="inlineStr">
        <is>
          <t>人员管理</t>
        </is>
      </c>
      <c r="D227" s="43" t="n">
        <v>4</v>
      </c>
      <c r="E227" s="36">
        <f>D227+1</f>
        <v/>
      </c>
      <c r="F227" s="43" t="n">
        <v>15</v>
      </c>
      <c r="G227" s="36">
        <f>INDEX('建筑建议总览'!$H$5:$H$25,MATCH($A227,'建筑建议总览'!$A$5:$A$25,0))</f>
        <v/>
      </c>
      <c r="H227" s="44">
        <f>INDEX('建筑建议总览'!$I$5:$I$25,MATCH($A227,'建筑建议总览'!$A$5:$A$25,0))</f>
        <v/>
      </c>
      <c r="I227" s="36">
        <f>INDEX('建筑建议总览'!$J$5:$J$25,MATCH($A227,'建筑建议总览'!$A$5:$A$25,0))</f>
        <v/>
      </c>
      <c r="J227" s="44">
        <f>POWER(H227,D227-1)</f>
        <v/>
      </c>
      <c r="K227" s="44">
        <f>SUMIF($A$5:$A$328,$A227,$J$5:$J$328)</f>
        <v/>
      </c>
      <c r="L227" s="36">
        <f>IF(I227&gt;0,ROUNDDOWN(MAX(0,I227-G227*(F227-1))*J227/K227,0),0)</f>
        <v/>
      </c>
      <c r="M227" s="36">
        <f>IF(I227&gt;0,G227+L227+IF(D227=F227-1,MAX(0,I227-G227*(F227-1)-SUMIF($A$5:$A$328,$A227,$L$5:$L$328)),0),ROUNDUP(G227*POWER(INDEX('建筑总览'!$G$5:$G$25,MATCH($A227,'建筑总览'!$A$5:$A$25,0)),D227),0))</f>
        <v/>
      </c>
      <c r="N227" s="35">
        <f>M227/'参数与公式'!$B$21</f>
        <v/>
      </c>
      <c r="O227" s="36">
        <f>INDEX('建筑建议总览'!$P$5:$P$25,MATCH($A227,'建筑建议总览'!$A$5:$A$25,0))</f>
        <v/>
      </c>
      <c r="P227" s="36">
        <f>INDEX('建筑建议总览'!$Q$5:$Q$25,MATCH($A227,'建筑建议总览'!$A$5:$A$25,0))</f>
        <v/>
      </c>
      <c r="Q227" s="44">
        <f>INDEX('建筑建议总览'!$R$5:$R$25,MATCH($A227,'建筑建议总览'!$A$5:$A$25,0))</f>
        <v/>
      </c>
      <c r="R227" s="36">
        <f>INDEX('建筑建议总览'!$S$5:$S$25,MATCH($A227,'建筑建议总览'!$A$5:$A$25,0))</f>
        <v/>
      </c>
      <c r="S227" s="36">
        <f>INDEX('建筑建议总览'!$T$5:$T$25,MATCH($A227,'建筑建议总览'!$A$5:$A$25,0))</f>
        <v/>
      </c>
      <c r="T227" s="44">
        <f>POWER(Q227,D227-1)</f>
        <v/>
      </c>
      <c r="U227" s="44">
        <f>SUMIF($A$5:$A$328,$A227,$T$5:$T$328)</f>
        <v/>
      </c>
      <c r="V227" s="36">
        <f>IF(R227&gt;0,ROUNDDOWN(MAX(0,R227-O227*(F227-1))*T227/U227,0),0)</f>
        <v/>
      </c>
      <c r="W227" s="36">
        <f>IF(S227&gt;0,ROUNDDOWN(MAX(0,S227-P227*(F227-1))*T227/U227,0),0)</f>
        <v/>
      </c>
      <c r="X227" s="36">
        <f>IF(R227&gt;0,O227+V227+IF(D227=F227-1,MAX(0,R227-O227*(F227-1)-SUMIF($A$5:$A$328,$A227,$V$5:$V$328)),0),ROUNDUP(O227*POWER(INDEX('建筑总览'!$J$5:$J$25,MATCH($A227,'建筑总览'!$A$5:$A$25,0)),D227),0))</f>
        <v/>
      </c>
      <c r="Y227" s="36">
        <f>IF(P227=0,0,IF(S227&gt;0,P227+W227+IF(D227=F227-1,MAX(0,S227-P227*(F227-1)-SUMIF($A$5:$A$328,$A227,$W$5:$W$328)),0),ROUNDUP(P227*POWER(INDEX('建筑总览'!$J$5:$J$25,MATCH($A227,'建筑总览'!$A$5:$A$25,0)),D227),0)))</f>
        <v/>
      </c>
      <c r="Z227" s="36">
        <f>IF(X227=0,0,MAX(1,ROUNDUP(X227*(1-'参数与公式'!$B$17),0)))</f>
        <v/>
      </c>
      <c r="AA227" s="36">
        <f>IF(Y227=0,0,MAX(1,ROUNDUP(Y227*(1-'参数与公式'!$B$17),0)))</f>
        <v/>
      </c>
      <c r="AB227" s="33" t="inlineStr">
        <is>
          <t>预算模式末级补足余数；旧模式按指数公式</t>
        </is>
      </c>
      <c r="AC227" s="49">
        <f>IF(A227=A226,IFERROR(M227/M226,""),"")</f>
        <v/>
      </c>
      <c r="AD227" s="49">
        <f>IF(AND(A227=A226,X226&gt;0),X227/X226,"")</f>
        <v/>
      </c>
    </row>
    <row r="228" ht="30" customHeight="1">
      <c r="A228" s="33" t="inlineStr">
        <is>
          <t>juxianzhuang</t>
        </is>
      </c>
      <c r="B228" s="33" t="inlineStr">
        <is>
          <t>聚贤庄</t>
        </is>
      </c>
      <c r="C228" s="33" t="inlineStr">
        <is>
          <t>人员管理</t>
        </is>
      </c>
      <c r="D228" s="43" t="n">
        <v>5</v>
      </c>
      <c r="E228" s="36">
        <f>D228+1</f>
        <v/>
      </c>
      <c r="F228" s="43" t="n">
        <v>15</v>
      </c>
      <c r="G228" s="36">
        <f>INDEX('建筑建议总览'!$H$5:$H$25,MATCH($A228,'建筑建议总览'!$A$5:$A$25,0))</f>
        <v/>
      </c>
      <c r="H228" s="44">
        <f>INDEX('建筑建议总览'!$I$5:$I$25,MATCH($A228,'建筑建议总览'!$A$5:$A$25,0))</f>
        <v/>
      </c>
      <c r="I228" s="36">
        <f>INDEX('建筑建议总览'!$J$5:$J$25,MATCH($A228,'建筑建议总览'!$A$5:$A$25,0))</f>
        <v/>
      </c>
      <c r="J228" s="44">
        <f>POWER(H228,D228-1)</f>
        <v/>
      </c>
      <c r="K228" s="44">
        <f>SUMIF($A$5:$A$328,$A228,$J$5:$J$328)</f>
        <v/>
      </c>
      <c r="L228" s="36">
        <f>IF(I228&gt;0,ROUNDDOWN(MAX(0,I228-G228*(F228-1))*J228/K228,0),0)</f>
        <v/>
      </c>
      <c r="M228" s="36">
        <f>IF(I228&gt;0,G228+L228+IF(D228=F228-1,MAX(0,I228-G228*(F228-1)-SUMIF($A$5:$A$328,$A228,$L$5:$L$328)),0),ROUNDUP(G228*POWER(INDEX('建筑总览'!$G$5:$G$25,MATCH($A228,'建筑总览'!$A$5:$A$25,0)),D228),0))</f>
        <v/>
      </c>
      <c r="N228" s="35">
        <f>M228/'参数与公式'!$B$21</f>
        <v/>
      </c>
      <c r="O228" s="36">
        <f>INDEX('建筑建议总览'!$P$5:$P$25,MATCH($A228,'建筑建议总览'!$A$5:$A$25,0))</f>
        <v/>
      </c>
      <c r="P228" s="36">
        <f>INDEX('建筑建议总览'!$Q$5:$Q$25,MATCH($A228,'建筑建议总览'!$A$5:$A$25,0))</f>
        <v/>
      </c>
      <c r="Q228" s="44">
        <f>INDEX('建筑建议总览'!$R$5:$R$25,MATCH($A228,'建筑建议总览'!$A$5:$A$25,0))</f>
        <v/>
      </c>
      <c r="R228" s="36">
        <f>INDEX('建筑建议总览'!$S$5:$S$25,MATCH($A228,'建筑建议总览'!$A$5:$A$25,0))</f>
        <v/>
      </c>
      <c r="S228" s="36">
        <f>INDEX('建筑建议总览'!$T$5:$T$25,MATCH($A228,'建筑建议总览'!$A$5:$A$25,0))</f>
        <v/>
      </c>
      <c r="T228" s="44">
        <f>POWER(Q228,D228-1)</f>
        <v/>
      </c>
      <c r="U228" s="44">
        <f>SUMIF($A$5:$A$328,$A228,$T$5:$T$328)</f>
        <v/>
      </c>
      <c r="V228" s="36">
        <f>IF(R228&gt;0,ROUNDDOWN(MAX(0,R228-O228*(F228-1))*T228/U228,0),0)</f>
        <v/>
      </c>
      <c r="W228" s="36">
        <f>IF(S228&gt;0,ROUNDDOWN(MAX(0,S228-P228*(F228-1))*T228/U228,0),0)</f>
        <v/>
      </c>
      <c r="X228" s="36">
        <f>IF(R228&gt;0,O228+V228+IF(D228=F228-1,MAX(0,R228-O228*(F228-1)-SUMIF($A$5:$A$328,$A228,$V$5:$V$328)),0),ROUNDUP(O228*POWER(INDEX('建筑总览'!$J$5:$J$25,MATCH($A228,'建筑总览'!$A$5:$A$25,0)),D228),0))</f>
        <v/>
      </c>
      <c r="Y228" s="36">
        <f>IF(P228=0,0,IF(S228&gt;0,P228+W228+IF(D228=F228-1,MAX(0,S228-P228*(F228-1)-SUMIF($A$5:$A$328,$A228,$W$5:$W$328)),0),ROUNDUP(P228*POWER(INDEX('建筑总览'!$J$5:$J$25,MATCH($A228,'建筑总览'!$A$5:$A$25,0)),D228),0)))</f>
        <v/>
      </c>
      <c r="Z228" s="36">
        <f>IF(X228=0,0,MAX(1,ROUNDUP(X228*(1-'参数与公式'!$B$17),0)))</f>
        <v/>
      </c>
      <c r="AA228" s="36">
        <f>IF(Y228=0,0,MAX(1,ROUNDUP(Y228*(1-'参数与公式'!$B$17),0)))</f>
        <v/>
      </c>
      <c r="AB228" s="33" t="inlineStr">
        <is>
          <t>预算模式末级补足余数；旧模式按指数公式</t>
        </is>
      </c>
      <c r="AC228" s="49">
        <f>IF(A228=A227,IFERROR(M228/M227,""),"")</f>
        <v/>
      </c>
      <c r="AD228" s="49">
        <f>IF(AND(A228=A227,X227&gt;0),X228/X227,"")</f>
        <v/>
      </c>
    </row>
    <row r="229" ht="30" customHeight="1">
      <c r="A229" s="33" t="inlineStr">
        <is>
          <t>juxianzhuang</t>
        </is>
      </c>
      <c r="B229" s="33" t="inlineStr">
        <is>
          <t>聚贤庄</t>
        </is>
      </c>
      <c r="C229" s="33" t="inlineStr">
        <is>
          <t>人员管理</t>
        </is>
      </c>
      <c r="D229" s="43" t="n">
        <v>6</v>
      </c>
      <c r="E229" s="36">
        <f>D229+1</f>
        <v/>
      </c>
      <c r="F229" s="43" t="n">
        <v>15</v>
      </c>
      <c r="G229" s="36">
        <f>INDEX('建筑建议总览'!$H$5:$H$25,MATCH($A229,'建筑建议总览'!$A$5:$A$25,0))</f>
        <v/>
      </c>
      <c r="H229" s="44">
        <f>INDEX('建筑建议总览'!$I$5:$I$25,MATCH($A229,'建筑建议总览'!$A$5:$A$25,0))</f>
        <v/>
      </c>
      <c r="I229" s="36">
        <f>INDEX('建筑建议总览'!$J$5:$J$25,MATCH($A229,'建筑建议总览'!$A$5:$A$25,0))</f>
        <v/>
      </c>
      <c r="J229" s="44">
        <f>POWER(H229,D229-1)</f>
        <v/>
      </c>
      <c r="K229" s="44">
        <f>SUMIF($A$5:$A$328,$A229,$J$5:$J$328)</f>
        <v/>
      </c>
      <c r="L229" s="36">
        <f>IF(I229&gt;0,ROUNDDOWN(MAX(0,I229-G229*(F229-1))*J229/K229,0),0)</f>
        <v/>
      </c>
      <c r="M229" s="36">
        <f>IF(I229&gt;0,G229+L229+IF(D229=F229-1,MAX(0,I229-G229*(F229-1)-SUMIF($A$5:$A$328,$A229,$L$5:$L$328)),0),ROUNDUP(G229*POWER(INDEX('建筑总览'!$G$5:$G$25,MATCH($A229,'建筑总览'!$A$5:$A$25,0)),D229),0))</f>
        <v/>
      </c>
      <c r="N229" s="35">
        <f>M229/'参数与公式'!$B$21</f>
        <v/>
      </c>
      <c r="O229" s="36">
        <f>INDEX('建筑建议总览'!$P$5:$P$25,MATCH($A229,'建筑建议总览'!$A$5:$A$25,0))</f>
        <v/>
      </c>
      <c r="P229" s="36">
        <f>INDEX('建筑建议总览'!$Q$5:$Q$25,MATCH($A229,'建筑建议总览'!$A$5:$A$25,0))</f>
        <v/>
      </c>
      <c r="Q229" s="44">
        <f>INDEX('建筑建议总览'!$R$5:$R$25,MATCH($A229,'建筑建议总览'!$A$5:$A$25,0))</f>
        <v/>
      </c>
      <c r="R229" s="36">
        <f>INDEX('建筑建议总览'!$S$5:$S$25,MATCH($A229,'建筑建议总览'!$A$5:$A$25,0))</f>
        <v/>
      </c>
      <c r="S229" s="36">
        <f>INDEX('建筑建议总览'!$T$5:$T$25,MATCH($A229,'建筑建议总览'!$A$5:$A$25,0))</f>
        <v/>
      </c>
      <c r="T229" s="44">
        <f>POWER(Q229,D229-1)</f>
        <v/>
      </c>
      <c r="U229" s="44">
        <f>SUMIF($A$5:$A$328,$A229,$T$5:$T$328)</f>
        <v/>
      </c>
      <c r="V229" s="36">
        <f>IF(R229&gt;0,ROUNDDOWN(MAX(0,R229-O229*(F229-1))*T229/U229,0),0)</f>
        <v/>
      </c>
      <c r="W229" s="36">
        <f>IF(S229&gt;0,ROUNDDOWN(MAX(0,S229-P229*(F229-1))*T229/U229,0),0)</f>
        <v/>
      </c>
      <c r="X229" s="36">
        <f>IF(R229&gt;0,O229+V229+IF(D229=F229-1,MAX(0,R229-O229*(F229-1)-SUMIF($A$5:$A$328,$A229,$V$5:$V$328)),0),ROUNDUP(O229*POWER(INDEX('建筑总览'!$J$5:$J$25,MATCH($A229,'建筑总览'!$A$5:$A$25,0)),D229),0))</f>
        <v/>
      </c>
      <c r="Y229" s="36">
        <f>IF(P229=0,0,IF(S229&gt;0,P229+W229+IF(D229=F229-1,MAX(0,S229-P229*(F229-1)-SUMIF($A$5:$A$328,$A229,$W$5:$W$328)),0),ROUNDUP(P229*POWER(INDEX('建筑总览'!$J$5:$J$25,MATCH($A229,'建筑总览'!$A$5:$A$25,0)),D229),0)))</f>
        <v/>
      </c>
      <c r="Z229" s="36">
        <f>IF(X229=0,0,MAX(1,ROUNDUP(X229*(1-'参数与公式'!$B$17),0)))</f>
        <v/>
      </c>
      <c r="AA229" s="36">
        <f>IF(Y229=0,0,MAX(1,ROUNDUP(Y229*(1-'参数与公式'!$B$17),0)))</f>
        <v/>
      </c>
      <c r="AB229" s="33" t="inlineStr">
        <is>
          <t>预算模式末级补足余数；旧模式按指数公式</t>
        </is>
      </c>
      <c r="AC229" s="49">
        <f>IF(A229=A228,IFERROR(M229/M228,""),"")</f>
        <v/>
      </c>
      <c r="AD229" s="49">
        <f>IF(AND(A229=A228,X228&gt;0),X229/X228,"")</f>
        <v/>
      </c>
    </row>
    <row r="230" ht="30" customHeight="1">
      <c r="A230" s="33" t="inlineStr">
        <is>
          <t>juxianzhuang</t>
        </is>
      </c>
      <c r="B230" s="33" t="inlineStr">
        <is>
          <t>聚贤庄</t>
        </is>
      </c>
      <c r="C230" s="33" t="inlineStr">
        <is>
          <t>人员管理</t>
        </is>
      </c>
      <c r="D230" s="43" t="n">
        <v>7</v>
      </c>
      <c r="E230" s="36">
        <f>D230+1</f>
        <v/>
      </c>
      <c r="F230" s="43" t="n">
        <v>15</v>
      </c>
      <c r="G230" s="36">
        <f>INDEX('建筑建议总览'!$H$5:$H$25,MATCH($A230,'建筑建议总览'!$A$5:$A$25,0))</f>
        <v/>
      </c>
      <c r="H230" s="44">
        <f>INDEX('建筑建议总览'!$I$5:$I$25,MATCH($A230,'建筑建议总览'!$A$5:$A$25,0))</f>
        <v/>
      </c>
      <c r="I230" s="36">
        <f>INDEX('建筑建议总览'!$J$5:$J$25,MATCH($A230,'建筑建议总览'!$A$5:$A$25,0))</f>
        <v/>
      </c>
      <c r="J230" s="44">
        <f>POWER(H230,D230-1)</f>
        <v/>
      </c>
      <c r="K230" s="44">
        <f>SUMIF($A$5:$A$328,$A230,$J$5:$J$328)</f>
        <v/>
      </c>
      <c r="L230" s="36">
        <f>IF(I230&gt;0,ROUNDDOWN(MAX(0,I230-G230*(F230-1))*J230/K230,0),0)</f>
        <v/>
      </c>
      <c r="M230" s="36">
        <f>IF(I230&gt;0,G230+L230+IF(D230=F230-1,MAX(0,I230-G230*(F230-1)-SUMIF($A$5:$A$328,$A230,$L$5:$L$328)),0),ROUNDUP(G230*POWER(INDEX('建筑总览'!$G$5:$G$25,MATCH($A230,'建筑总览'!$A$5:$A$25,0)),D230),0))</f>
        <v/>
      </c>
      <c r="N230" s="35">
        <f>M230/'参数与公式'!$B$21</f>
        <v/>
      </c>
      <c r="O230" s="36">
        <f>INDEX('建筑建议总览'!$P$5:$P$25,MATCH($A230,'建筑建议总览'!$A$5:$A$25,0))</f>
        <v/>
      </c>
      <c r="P230" s="36">
        <f>INDEX('建筑建议总览'!$Q$5:$Q$25,MATCH($A230,'建筑建议总览'!$A$5:$A$25,0))</f>
        <v/>
      </c>
      <c r="Q230" s="44">
        <f>INDEX('建筑建议总览'!$R$5:$R$25,MATCH($A230,'建筑建议总览'!$A$5:$A$25,0))</f>
        <v/>
      </c>
      <c r="R230" s="36">
        <f>INDEX('建筑建议总览'!$S$5:$S$25,MATCH($A230,'建筑建议总览'!$A$5:$A$25,0))</f>
        <v/>
      </c>
      <c r="S230" s="36">
        <f>INDEX('建筑建议总览'!$T$5:$T$25,MATCH($A230,'建筑建议总览'!$A$5:$A$25,0))</f>
        <v/>
      </c>
      <c r="T230" s="44">
        <f>POWER(Q230,D230-1)</f>
        <v/>
      </c>
      <c r="U230" s="44">
        <f>SUMIF($A$5:$A$328,$A230,$T$5:$T$328)</f>
        <v/>
      </c>
      <c r="V230" s="36">
        <f>IF(R230&gt;0,ROUNDDOWN(MAX(0,R230-O230*(F230-1))*T230/U230,0),0)</f>
        <v/>
      </c>
      <c r="W230" s="36">
        <f>IF(S230&gt;0,ROUNDDOWN(MAX(0,S230-P230*(F230-1))*T230/U230,0),0)</f>
        <v/>
      </c>
      <c r="X230" s="36">
        <f>IF(R230&gt;0,O230+V230+IF(D230=F230-1,MAX(0,R230-O230*(F230-1)-SUMIF($A$5:$A$328,$A230,$V$5:$V$328)),0),ROUNDUP(O230*POWER(INDEX('建筑总览'!$J$5:$J$25,MATCH($A230,'建筑总览'!$A$5:$A$25,0)),D230),0))</f>
        <v/>
      </c>
      <c r="Y230" s="36">
        <f>IF(P230=0,0,IF(S230&gt;0,P230+W230+IF(D230=F230-1,MAX(0,S230-P230*(F230-1)-SUMIF($A$5:$A$328,$A230,$W$5:$W$328)),0),ROUNDUP(P230*POWER(INDEX('建筑总览'!$J$5:$J$25,MATCH($A230,'建筑总览'!$A$5:$A$25,0)),D230),0)))</f>
        <v/>
      </c>
      <c r="Z230" s="36">
        <f>IF(X230=0,0,MAX(1,ROUNDUP(X230*(1-'参数与公式'!$B$17),0)))</f>
        <v/>
      </c>
      <c r="AA230" s="36">
        <f>IF(Y230=0,0,MAX(1,ROUNDUP(Y230*(1-'参数与公式'!$B$17),0)))</f>
        <v/>
      </c>
      <c r="AB230" s="33" t="inlineStr">
        <is>
          <t>预算模式末级补足余数；旧模式按指数公式</t>
        </is>
      </c>
      <c r="AC230" s="49">
        <f>IF(A230=A229,IFERROR(M230/M229,""),"")</f>
        <v/>
      </c>
      <c r="AD230" s="49">
        <f>IF(AND(A230=A229,X229&gt;0),X230/X229,"")</f>
        <v/>
      </c>
    </row>
    <row r="231" ht="30" customHeight="1">
      <c r="A231" s="33" t="inlineStr">
        <is>
          <t>juxianzhuang</t>
        </is>
      </c>
      <c r="B231" s="33" t="inlineStr">
        <is>
          <t>聚贤庄</t>
        </is>
      </c>
      <c r="C231" s="33" t="inlineStr">
        <is>
          <t>人员管理</t>
        </is>
      </c>
      <c r="D231" s="43" t="n">
        <v>8</v>
      </c>
      <c r="E231" s="36">
        <f>D231+1</f>
        <v/>
      </c>
      <c r="F231" s="43" t="n">
        <v>15</v>
      </c>
      <c r="G231" s="36">
        <f>INDEX('建筑建议总览'!$H$5:$H$25,MATCH($A231,'建筑建议总览'!$A$5:$A$25,0))</f>
        <v/>
      </c>
      <c r="H231" s="44">
        <f>INDEX('建筑建议总览'!$I$5:$I$25,MATCH($A231,'建筑建议总览'!$A$5:$A$25,0))</f>
        <v/>
      </c>
      <c r="I231" s="36">
        <f>INDEX('建筑建议总览'!$J$5:$J$25,MATCH($A231,'建筑建议总览'!$A$5:$A$25,0))</f>
        <v/>
      </c>
      <c r="J231" s="44">
        <f>POWER(H231,D231-1)</f>
        <v/>
      </c>
      <c r="K231" s="44">
        <f>SUMIF($A$5:$A$328,$A231,$J$5:$J$328)</f>
        <v/>
      </c>
      <c r="L231" s="36">
        <f>IF(I231&gt;0,ROUNDDOWN(MAX(0,I231-G231*(F231-1))*J231/K231,0),0)</f>
        <v/>
      </c>
      <c r="M231" s="36">
        <f>IF(I231&gt;0,G231+L231+IF(D231=F231-1,MAX(0,I231-G231*(F231-1)-SUMIF($A$5:$A$328,$A231,$L$5:$L$328)),0),ROUNDUP(G231*POWER(INDEX('建筑总览'!$G$5:$G$25,MATCH($A231,'建筑总览'!$A$5:$A$25,0)),D231),0))</f>
        <v/>
      </c>
      <c r="N231" s="35">
        <f>M231/'参数与公式'!$B$21</f>
        <v/>
      </c>
      <c r="O231" s="36">
        <f>INDEX('建筑建议总览'!$P$5:$P$25,MATCH($A231,'建筑建议总览'!$A$5:$A$25,0))</f>
        <v/>
      </c>
      <c r="P231" s="36">
        <f>INDEX('建筑建议总览'!$Q$5:$Q$25,MATCH($A231,'建筑建议总览'!$A$5:$A$25,0))</f>
        <v/>
      </c>
      <c r="Q231" s="44">
        <f>INDEX('建筑建议总览'!$R$5:$R$25,MATCH($A231,'建筑建议总览'!$A$5:$A$25,0))</f>
        <v/>
      </c>
      <c r="R231" s="36">
        <f>INDEX('建筑建议总览'!$S$5:$S$25,MATCH($A231,'建筑建议总览'!$A$5:$A$25,0))</f>
        <v/>
      </c>
      <c r="S231" s="36">
        <f>INDEX('建筑建议总览'!$T$5:$T$25,MATCH($A231,'建筑建议总览'!$A$5:$A$25,0))</f>
        <v/>
      </c>
      <c r="T231" s="44">
        <f>POWER(Q231,D231-1)</f>
        <v/>
      </c>
      <c r="U231" s="44">
        <f>SUMIF($A$5:$A$328,$A231,$T$5:$T$328)</f>
        <v/>
      </c>
      <c r="V231" s="36">
        <f>IF(R231&gt;0,ROUNDDOWN(MAX(0,R231-O231*(F231-1))*T231/U231,0),0)</f>
        <v/>
      </c>
      <c r="W231" s="36">
        <f>IF(S231&gt;0,ROUNDDOWN(MAX(0,S231-P231*(F231-1))*T231/U231,0),0)</f>
        <v/>
      </c>
      <c r="X231" s="36">
        <f>IF(R231&gt;0,O231+V231+IF(D231=F231-1,MAX(0,R231-O231*(F231-1)-SUMIF($A$5:$A$328,$A231,$V$5:$V$328)),0),ROUNDUP(O231*POWER(INDEX('建筑总览'!$J$5:$J$25,MATCH($A231,'建筑总览'!$A$5:$A$25,0)),D231),0))</f>
        <v/>
      </c>
      <c r="Y231" s="36">
        <f>IF(P231=0,0,IF(S231&gt;0,P231+W231+IF(D231=F231-1,MAX(0,S231-P231*(F231-1)-SUMIF($A$5:$A$328,$A231,$W$5:$W$328)),0),ROUNDUP(P231*POWER(INDEX('建筑总览'!$J$5:$J$25,MATCH($A231,'建筑总览'!$A$5:$A$25,0)),D231),0)))</f>
        <v/>
      </c>
      <c r="Z231" s="36">
        <f>IF(X231=0,0,MAX(1,ROUNDUP(X231*(1-'参数与公式'!$B$17),0)))</f>
        <v/>
      </c>
      <c r="AA231" s="36">
        <f>IF(Y231=0,0,MAX(1,ROUNDUP(Y231*(1-'参数与公式'!$B$17),0)))</f>
        <v/>
      </c>
      <c r="AB231" s="33" t="inlineStr">
        <is>
          <t>预算模式末级补足余数；旧模式按指数公式</t>
        </is>
      </c>
      <c r="AC231" s="49">
        <f>IF(A231=A230,IFERROR(M231/M230,""),"")</f>
        <v/>
      </c>
      <c r="AD231" s="49">
        <f>IF(AND(A231=A230,X230&gt;0),X231/X230,"")</f>
        <v/>
      </c>
    </row>
    <row r="232" ht="30" customHeight="1">
      <c r="A232" s="33" t="inlineStr">
        <is>
          <t>juxianzhuang</t>
        </is>
      </c>
      <c r="B232" s="33" t="inlineStr">
        <is>
          <t>聚贤庄</t>
        </is>
      </c>
      <c r="C232" s="33" t="inlineStr">
        <is>
          <t>人员管理</t>
        </is>
      </c>
      <c r="D232" s="43" t="n">
        <v>9</v>
      </c>
      <c r="E232" s="36">
        <f>D232+1</f>
        <v/>
      </c>
      <c r="F232" s="43" t="n">
        <v>15</v>
      </c>
      <c r="G232" s="36">
        <f>INDEX('建筑建议总览'!$H$5:$H$25,MATCH($A232,'建筑建议总览'!$A$5:$A$25,0))</f>
        <v/>
      </c>
      <c r="H232" s="44">
        <f>INDEX('建筑建议总览'!$I$5:$I$25,MATCH($A232,'建筑建议总览'!$A$5:$A$25,0))</f>
        <v/>
      </c>
      <c r="I232" s="36">
        <f>INDEX('建筑建议总览'!$J$5:$J$25,MATCH($A232,'建筑建议总览'!$A$5:$A$25,0))</f>
        <v/>
      </c>
      <c r="J232" s="44">
        <f>POWER(H232,D232-1)</f>
        <v/>
      </c>
      <c r="K232" s="44">
        <f>SUMIF($A$5:$A$328,$A232,$J$5:$J$328)</f>
        <v/>
      </c>
      <c r="L232" s="36">
        <f>IF(I232&gt;0,ROUNDDOWN(MAX(0,I232-G232*(F232-1))*J232/K232,0),0)</f>
        <v/>
      </c>
      <c r="M232" s="36">
        <f>IF(I232&gt;0,G232+L232+IF(D232=F232-1,MAX(0,I232-G232*(F232-1)-SUMIF($A$5:$A$328,$A232,$L$5:$L$328)),0),ROUNDUP(G232*POWER(INDEX('建筑总览'!$G$5:$G$25,MATCH($A232,'建筑总览'!$A$5:$A$25,0)),D232),0))</f>
        <v/>
      </c>
      <c r="N232" s="35">
        <f>M232/'参数与公式'!$B$21</f>
        <v/>
      </c>
      <c r="O232" s="36">
        <f>INDEX('建筑建议总览'!$P$5:$P$25,MATCH($A232,'建筑建议总览'!$A$5:$A$25,0))</f>
        <v/>
      </c>
      <c r="P232" s="36">
        <f>INDEX('建筑建议总览'!$Q$5:$Q$25,MATCH($A232,'建筑建议总览'!$A$5:$A$25,0))</f>
        <v/>
      </c>
      <c r="Q232" s="44">
        <f>INDEX('建筑建议总览'!$R$5:$R$25,MATCH($A232,'建筑建议总览'!$A$5:$A$25,0))</f>
        <v/>
      </c>
      <c r="R232" s="36">
        <f>INDEX('建筑建议总览'!$S$5:$S$25,MATCH($A232,'建筑建议总览'!$A$5:$A$25,0))</f>
        <v/>
      </c>
      <c r="S232" s="36">
        <f>INDEX('建筑建议总览'!$T$5:$T$25,MATCH($A232,'建筑建议总览'!$A$5:$A$25,0))</f>
        <v/>
      </c>
      <c r="T232" s="44">
        <f>POWER(Q232,D232-1)</f>
        <v/>
      </c>
      <c r="U232" s="44">
        <f>SUMIF($A$5:$A$328,$A232,$T$5:$T$328)</f>
        <v/>
      </c>
      <c r="V232" s="36">
        <f>IF(R232&gt;0,ROUNDDOWN(MAX(0,R232-O232*(F232-1))*T232/U232,0),0)</f>
        <v/>
      </c>
      <c r="W232" s="36">
        <f>IF(S232&gt;0,ROUNDDOWN(MAX(0,S232-P232*(F232-1))*T232/U232,0),0)</f>
        <v/>
      </c>
      <c r="X232" s="36">
        <f>IF(R232&gt;0,O232+V232+IF(D232=F232-1,MAX(0,R232-O232*(F232-1)-SUMIF($A$5:$A$328,$A232,$V$5:$V$328)),0),ROUNDUP(O232*POWER(INDEX('建筑总览'!$J$5:$J$25,MATCH($A232,'建筑总览'!$A$5:$A$25,0)),D232),0))</f>
        <v/>
      </c>
      <c r="Y232" s="36">
        <f>IF(P232=0,0,IF(S232&gt;0,P232+W232+IF(D232=F232-1,MAX(0,S232-P232*(F232-1)-SUMIF($A$5:$A$328,$A232,$W$5:$W$328)),0),ROUNDUP(P232*POWER(INDEX('建筑总览'!$J$5:$J$25,MATCH($A232,'建筑总览'!$A$5:$A$25,0)),D232),0)))</f>
        <v/>
      </c>
      <c r="Z232" s="36">
        <f>IF(X232=0,0,MAX(1,ROUNDUP(X232*(1-'参数与公式'!$B$17),0)))</f>
        <v/>
      </c>
      <c r="AA232" s="36">
        <f>IF(Y232=0,0,MAX(1,ROUNDUP(Y232*(1-'参数与公式'!$B$17),0)))</f>
        <v/>
      </c>
      <c r="AB232" s="33" t="inlineStr">
        <is>
          <t>预算模式末级补足余数；旧模式按指数公式</t>
        </is>
      </c>
      <c r="AC232" s="49">
        <f>IF(A232=A231,IFERROR(M232/M231,""),"")</f>
        <v/>
      </c>
      <c r="AD232" s="49">
        <f>IF(AND(A232=A231,X231&gt;0),X232/X231,"")</f>
        <v/>
      </c>
    </row>
    <row r="233" ht="30" customHeight="1">
      <c r="A233" s="33" t="inlineStr">
        <is>
          <t>juxianzhuang</t>
        </is>
      </c>
      <c r="B233" s="33" t="inlineStr">
        <is>
          <t>聚贤庄</t>
        </is>
      </c>
      <c r="C233" s="33" t="inlineStr">
        <is>
          <t>人员管理</t>
        </is>
      </c>
      <c r="D233" s="43" t="n">
        <v>10</v>
      </c>
      <c r="E233" s="36">
        <f>D233+1</f>
        <v/>
      </c>
      <c r="F233" s="43" t="n">
        <v>15</v>
      </c>
      <c r="G233" s="36">
        <f>INDEX('建筑建议总览'!$H$5:$H$25,MATCH($A233,'建筑建议总览'!$A$5:$A$25,0))</f>
        <v/>
      </c>
      <c r="H233" s="44">
        <f>INDEX('建筑建议总览'!$I$5:$I$25,MATCH($A233,'建筑建议总览'!$A$5:$A$25,0))</f>
        <v/>
      </c>
      <c r="I233" s="36">
        <f>INDEX('建筑建议总览'!$J$5:$J$25,MATCH($A233,'建筑建议总览'!$A$5:$A$25,0))</f>
        <v/>
      </c>
      <c r="J233" s="44">
        <f>POWER(H233,D233-1)</f>
        <v/>
      </c>
      <c r="K233" s="44">
        <f>SUMIF($A$5:$A$328,$A233,$J$5:$J$328)</f>
        <v/>
      </c>
      <c r="L233" s="36">
        <f>IF(I233&gt;0,ROUNDDOWN(MAX(0,I233-G233*(F233-1))*J233/K233,0),0)</f>
        <v/>
      </c>
      <c r="M233" s="36">
        <f>IF(I233&gt;0,G233+L233+IF(D233=F233-1,MAX(0,I233-G233*(F233-1)-SUMIF($A$5:$A$328,$A233,$L$5:$L$328)),0),ROUNDUP(G233*POWER(INDEX('建筑总览'!$G$5:$G$25,MATCH($A233,'建筑总览'!$A$5:$A$25,0)),D233),0))</f>
        <v/>
      </c>
      <c r="N233" s="35">
        <f>M233/'参数与公式'!$B$21</f>
        <v/>
      </c>
      <c r="O233" s="36">
        <f>INDEX('建筑建议总览'!$P$5:$P$25,MATCH($A233,'建筑建议总览'!$A$5:$A$25,0))</f>
        <v/>
      </c>
      <c r="P233" s="36">
        <f>INDEX('建筑建议总览'!$Q$5:$Q$25,MATCH($A233,'建筑建议总览'!$A$5:$A$25,0))</f>
        <v/>
      </c>
      <c r="Q233" s="44">
        <f>INDEX('建筑建议总览'!$R$5:$R$25,MATCH($A233,'建筑建议总览'!$A$5:$A$25,0))</f>
        <v/>
      </c>
      <c r="R233" s="36">
        <f>INDEX('建筑建议总览'!$S$5:$S$25,MATCH($A233,'建筑建议总览'!$A$5:$A$25,0))</f>
        <v/>
      </c>
      <c r="S233" s="36">
        <f>INDEX('建筑建议总览'!$T$5:$T$25,MATCH($A233,'建筑建议总览'!$A$5:$A$25,0))</f>
        <v/>
      </c>
      <c r="T233" s="44">
        <f>POWER(Q233,D233-1)</f>
        <v/>
      </c>
      <c r="U233" s="44">
        <f>SUMIF($A$5:$A$328,$A233,$T$5:$T$328)</f>
        <v/>
      </c>
      <c r="V233" s="36">
        <f>IF(R233&gt;0,ROUNDDOWN(MAX(0,R233-O233*(F233-1))*T233/U233,0),0)</f>
        <v/>
      </c>
      <c r="W233" s="36">
        <f>IF(S233&gt;0,ROUNDDOWN(MAX(0,S233-P233*(F233-1))*T233/U233,0),0)</f>
        <v/>
      </c>
      <c r="X233" s="36">
        <f>IF(R233&gt;0,O233+V233+IF(D233=F233-1,MAX(0,R233-O233*(F233-1)-SUMIF($A$5:$A$328,$A233,$V$5:$V$328)),0),ROUNDUP(O233*POWER(INDEX('建筑总览'!$J$5:$J$25,MATCH($A233,'建筑总览'!$A$5:$A$25,0)),D233),0))</f>
        <v/>
      </c>
      <c r="Y233" s="36">
        <f>IF(P233=0,0,IF(S233&gt;0,P233+W233+IF(D233=F233-1,MAX(0,S233-P233*(F233-1)-SUMIF($A$5:$A$328,$A233,$W$5:$W$328)),0),ROUNDUP(P233*POWER(INDEX('建筑总览'!$J$5:$J$25,MATCH($A233,'建筑总览'!$A$5:$A$25,0)),D233),0)))</f>
        <v/>
      </c>
      <c r="Z233" s="36">
        <f>IF(X233=0,0,MAX(1,ROUNDUP(X233*(1-'参数与公式'!$B$17),0)))</f>
        <v/>
      </c>
      <c r="AA233" s="36">
        <f>IF(Y233=0,0,MAX(1,ROUNDUP(Y233*(1-'参数与公式'!$B$17),0)))</f>
        <v/>
      </c>
      <c r="AB233" s="33" t="inlineStr">
        <is>
          <t>预算模式末级补足余数；旧模式按指数公式</t>
        </is>
      </c>
      <c r="AC233" s="49">
        <f>IF(A233=A232,IFERROR(M233/M232,""),"")</f>
        <v/>
      </c>
      <c r="AD233" s="49">
        <f>IF(AND(A233=A232,X232&gt;0),X233/X232,"")</f>
        <v/>
      </c>
    </row>
    <row r="234" ht="30" customHeight="1">
      <c r="A234" s="33" t="inlineStr">
        <is>
          <t>juxianzhuang</t>
        </is>
      </c>
      <c r="B234" s="33" t="inlineStr">
        <is>
          <t>聚贤庄</t>
        </is>
      </c>
      <c r="C234" s="33" t="inlineStr">
        <is>
          <t>人员管理</t>
        </is>
      </c>
      <c r="D234" s="43" t="n">
        <v>11</v>
      </c>
      <c r="E234" s="36">
        <f>D234+1</f>
        <v/>
      </c>
      <c r="F234" s="43" t="n">
        <v>15</v>
      </c>
      <c r="G234" s="36">
        <f>INDEX('建筑建议总览'!$H$5:$H$25,MATCH($A234,'建筑建议总览'!$A$5:$A$25,0))</f>
        <v/>
      </c>
      <c r="H234" s="44">
        <f>INDEX('建筑建议总览'!$I$5:$I$25,MATCH($A234,'建筑建议总览'!$A$5:$A$25,0))</f>
        <v/>
      </c>
      <c r="I234" s="36">
        <f>INDEX('建筑建议总览'!$J$5:$J$25,MATCH($A234,'建筑建议总览'!$A$5:$A$25,0))</f>
        <v/>
      </c>
      <c r="J234" s="44">
        <f>POWER(H234,D234-1)</f>
        <v/>
      </c>
      <c r="K234" s="44">
        <f>SUMIF($A$5:$A$328,$A234,$J$5:$J$328)</f>
        <v/>
      </c>
      <c r="L234" s="36">
        <f>IF(I234&gt;0,ROUNDDOWN(MAX(0,I234-G234*(F234-1))*J234/K234,0),0)</f>
        <v/>
      </c>
      <c r="M234" s="36">
        <f>IF(I234&gt;0,G234+L234+IF(D234=F234-1,MAX(0,I234-G234*(F234-1)-SUMIF($A$5:$A$328,$A234,$L$5:$L$328)),0),ROUNDUP(G234*POWER(INDEX('建筑总览'!$G$5:$G$25,MATCH($A234,'建筑总览'!$A$5:$A$25,0)),D234),0))</f>
        <v/>
      </c>
      <c r="N234" s="35">
        <f>M234/'参数与公式'!$B$21</f>
        <v/>
      </c>
      <c r="O234" s="36">
        <f>INDEX('建筑建议总览'!$P$5:$P$25,MATCH($A234,'建筑建议总览'!$A$5:$A$25,0))</f>
        <v/>
      </c>
      <c r="P234" s="36">
        <f>INDEX('建筑建议总览'!$Q$5:$Q$25,MATCH($A234,'建筑建议总览'!$A$5:$A$25,0))</f>
        <v/>
      </c>
      <c r="Q234" s="44">
        <f>INDEX('建筑建议总览'!$R$5:$R$25,MATCH($A234,'建筑建议总览'!$A$5:$A$25,0))</f>
        <v/>
      </c>
      <c r="R234" s="36">
        <f>INDEX('建筑建议总览'!$S$5:$S$25,MATCH($A234,'建筑建议总览'!$A$5:$A$25,0))</f>
        <v/>
      </c>
      <c r="S234" s="36">
        <f>INDEX('建筑建议总览'!$T$5:$T$25,MATCH($A234,'建筑建议总览'!$A$5:$A$25,0))</f>
        <v/>
      </c>
      <c r="T234" s="44">
        <f>POWER(Q234,D234-1)</f>
        <v/>
      </c>
      <c r="U234" s="44">
        <f>SUMIF($A$5:$A$328,$A234,$T$5:$T$328)</f>
        <v/>
      </c>
      <c r="V234" s="36">
        <f>IF(R234&gt;0,ROUNDDOWN(MAX(0,R234-O234*(F234-1))*T234/U234,0),0)</f>
        <v/>
      </c>
      <c r="W234" s="36">
        <f>IF(S234&gt;0,ROUNDDOWN(MAX(0,S234-P234*(F234-1))*T234/U234,0),0)</f>
        <v/>
      </c>
      <c r="X234" s="36">
        <f>IF(R234&gt;0,O234+V234+IF(D234=F234-1,MAX(0,R234-O234*(F234-1)-SUMIF($A$5:$A$328,$A234,$V$5:$V$328)),0),ROUNDUP(O234*POWER(INDEX('建筑总览'!$J$5:$J$25,MATCH($A234,'建筑总览'!$A$5:$A$25,0)),D234),0))</f>
        <v/>
      </c>
      <c r="Y234" s="36">
        <f>IF(P234=0,0,IF(S234&gt;0,P234+W234+IF(D234=F234-1,MAX(0,S234-P234*(F234-1)-SUMIF($A$5:$A$328,$A234,$W$5:$W$328)),0),ROUNDUP(P234*POWER(INDEX('建筑总览'!$J$5:$J$25,MATCH($A234,'建筑总览'!$A$5:$A$25,0)),D234),0)))</f>
        <v/>
      </c>
      <c r="Z234" s="36">
        <f>IF(X234=0,0,MAX(1,ROUNDUP(X234*(1-'参数与公式'!$B$17),0)))</f>
        <v/>
      </c>
      <c r="AA234" s="36">
        <f>IF(Y234=0,0,MAX(1,ROUNDUP(Y234*(1-'参数与公式'!$B$17),0)))</f>
        <v/>
      </c>
      <c r="AB234" s="33" t="inlineStr">
        <is>
          <t>预算模式末级补足余数；旧模式按指数公式</t>
        </is>
      </c>
      <c r="AC234" s="49">
        <f>IF(A234=A233,IFERROR(M234/M233,""),"")</f>
        <v/>
      </c>
      <c r="AD234" s="49">
        <f>IF(AND(A234=A233,X233&gt;0),X234/X233,"")</f>
        <v/>
      </c>
    </row>
    <row r="235" ht="30" customHeight="1">
      <c r="A235" s="33" t="inlineStr">
        <is>
          <t>juxianzhuang</t>
        </is>
      </c>
      <c r="B235" s="33" t="inlineStr">
        <is>
          <t>聚贤庄</t>
        </is>
      </c>
      <c r="C235" s="33" t="inlineStr">
        <is>
          <t>人员管理</t>
        </is>
      </c>
      <c r="D235" s="43" t="n">
        <v>12</v>
      </c>
      <c r="E235" s="36">
        <f>D235+1</f>
        <v/>
      </c>
      <c r="F235" s="43" t="n">
        <v>15</v>
      </c>
      <c r="G235" s="36">
        <f>INDEX('建筑建议总览'!$H$5:$H$25,MATCH($A235,'建筑建议总览'!$A$5:$A$25,0))</f>
        <v/>
      </c>
      <c r="H235" s="44">
        <f>INDEX('建筑建议总览'!$I$5:$I$25,MATCH($A235,'建筑建议总览'!$A$5:$A$25,0))</f>
        <v/>
      </c>
      <c r="I235" s="36">
        <f>INDEX('建筑建议总览'!$J$5:$J$25,MATCH($A235,'建筑建议总览'!$A$5:$A$25,0))</f>
        <v/>
      </c>
      <c r="J235" s="44">
        <f>POWER(H235,D235-1)</f>
        <v/>
      </c>
      <c r="K235" s="44">
        <f>SUMIF($A$5:$A$328,$A235,$J$5:$J$328)</f>
        <v/>
      </c>
      <c r="L235" s="36">
        <f>IF(I235&gt;0,ROUNDDOWN(MAX(0,I235-G235*(F235-1))*J235/K235,0),0)</f>
        <v/>
      </c>
      <c r="M235" s="36">
        <f>IF(I235&gt;0,G235+L235+IF(D235=F235-1,MAX(0,I235-G235*(F235-1)-SUMIF($A$5:$A$328,$A235,$L$5:$L$328)),0),ROUNDUP(G235*POWER(INDEX('建筑总览'!$G$5:$G$25,MATCH($A235,'建筑总览'!$A$5:$A$25,0)),D235),0))</f>
        <v/>
      </c>
      <c r="N235" s="35">
        <f>M235/'参数与公式'!$B$21</f>
        <v/>
      </c>
      <c r="O235" s="36">
        <f>INDEX('建筑建议总览'!$P$5:$P$25,MATCH($A235,'建筑建议总览'!$A$5:$A$25,0))</f>
        <v/>
      </c>
      <c r="P235" s="36">
        <f>INDEX('建筑建议总览'!$Q$5:$Q$25,MATCH($A235,'建筑建议总览'!$A$5:$A$25,0))</f>
        <v/>
      </c>
      <c r="Q235" s="44">
        <f>INDEX('建筑建议总览'!$R$5:$R$25,MATCH($A235,'建筑建议总览'!$A$5:$A$25,0))</f>
        <v/>
      </c>
      <c r="R235" s="36">
        <f>INDEX('建筑建议总览'!$S$5:$S$25,MATCH($A235,'建筑建议总览'!$A$5:$A$25,0))</f>
        <v/>
      </c>
      <c r="S235" s="36">
        <f>INDEX('建筑建议总览'!$T$5:$T$25,MATCH($A235,'建筑建议总览'!$A$5:$A$25,0))</f>
        <v/>
      </c>
      <c r="T235" s="44">
        <f>POWER(Q235,D235-1)</f>
        <v/>
      </c>
      <c r="U235" s="44">
        <f>SUMIF($A$5:$A$328,$A235,$T$5:$T$328)</f>
        <v/>
      </c>
      <c r="V235" s="36">
        <f>IF(R235&gt;0,ROUNDDOWN(MAX(0,R235-O235*(F235-1))*T235/U235,0),0)</f>
        <v/>
      </c>
      <c r="W235" s="36">
        <f>IF(S235&gt;0,ROUNDDOWN(MAX(0,S235-P235*(F235-1))*T235/U235,0),0)</f>
        <v/>
      </c>
      <c r="X235" s="36">
        <f>IF(R235&gt;0,O235+V235+IF(D235=F235-1,MAX(0,R235-O235*(F235-1)-SUMIF($A$5:$A$328,$A235,$V$5:$V$328)),0),ROUNDUP(O235*POWER(INDEX('建筑总览'!$J$5:$J$25,MATCH($A235,'建筑总览'!$A$5:$A$25,0)),D235),0))</f>
        <v/>
      </c>
      <c r="Y235" s="36">
        <f>IF(P235=0,0,IF(S235&gt;0,P235+W235+IF(D235=F235-1,MAX(0,S235-P235*(F235-1)-SUMIF($A$5:$A$328,$A235,$W$5:$W$328)),0),ROUNDUP(P235*POWER(INDEX('建筑总览'!$J$5:$J$25,MATCH($A235,'建筑总览'!$A$5:$A$25,0)),D235),0)))</f>
        <v/>
      </c>
      <c r="Z235" s="36">
        <f>IF(X235=0,0,MAX(1,ROUNDUP(X235*(1-'参数与公式'!$B$17),0)))</f>
        <v/>
      </c>
      <c r="AA235" s="36">
        <f>IF(Y235=0,0,MAX(1,ROUNDUP(Y235*(1-'参数与公式'!$B$17),0)))</f>
        <v/>
      </c>
      <c r="AB235" s="33" t="inlineStr">
        <is>
          <t>预算模式末级补足余数；旧模式按指数公式</t>
        </is>
      </c>
      <c r="AC235" s="49">
        <f>IF(A235=A234,IFERROR(M235/M234,""),"")</f>
        <v/>
      </c>
      <c r="AD235" s="49">
        <f>IF(AND(A235=A234,X234&gt;0),X235/X234,"")</f>
        <v/>
      </c>
    </row>
    <row r="236" ht="30" customHeight="1">
      <c r="A236" s="33" t="inlineStr">
        <is>
          <t>juxianzhuang</t>
        </is>
      </c>
      <c r="B236" s="33" t="inlineStr">
        <is>
          <t>聚贤庄</t>
        </is>
      </c>
      <c r="C236" s="33" t="inlineStr">
        <is>
          <t>人员管理</t>
        </is>
      </c>
      <c r="D236" s="43" t="n">
        <v>13</v>
      </c>
      <c r="E236" s="36">
        <f>D236+1</f>
        <v/>
      </c>
      <c r="F236" s="43" t="n">
        <v>15</v>
      </c>
      <c r="G236" s="36">
        <f>INDEX('建筑建议总览'!$H$5:$H$25,MATCH($A236,'建筑建议总览'!$A$5:$A$25,0))</f>
        <v/>
      </c>
      <c r="H236" s="44">
        <f>INDEX('建筑建议总览'!$I$5:$I$25,MATCH($A236,'建筑建议总览'!$A$5:$A$25,0))</f>
        <v/>
      </c>
      <c r="I236" s="36">
        <f>INDEX('建筑建议总览'!$J$5:$J$25,MATCH($A236,'建筑建议总览'!$A$5:$A$25,0))</f>
        <v/>
      </c>
      <c r="J236" s="44">
        <f>POWER(H236,D236-1)</f>
        <v/>
      </c>
      <c r="K236" s="44">
        <f>SUMIF($A$5:$A$328,$A236,$J$5:$J$328)</f>
        <v/>
      </c>
      <c r="L236" s="36">
        <f>IF(I236&gt;0,ROUNDDOWN(MAX(0,I236-G236*(F236-1))*J236/K236,0),0)</f>
        <v/>
      </c>
      <c r="M236" s="36">
        <f>IF(I236&gt;0,G236+L236+IF(D236=F236-1,MAX(0,I236-G236*(F236-1)-SUMIF($A$5:$A$328,$A236,$L$5:$L$328)),0),ROUNDUP(G236*POWER(INDEX('建筑总览'!$G$5:$G$25,MATCH($A236,'建筑总览'!$A$5:$A$25,0)),D236),0))</f>
        <v/>
      </c>
      <c r="N236" s="35">
        <f>M236/'参数与公式'!$B$21</f>
        <v/>
      </c>
      <c r="O236" s="36">
        <f>INDEX('建筑建议总览'!$P$5:$P$25,MATCH($A236,'建筑建议总览'!$A$5:$A$25,0))</f>
        <v/>
      </c>
      <c r="P236" s="36">
        <f>INDEX('建筑建议总览'!$Q$5:$Q$25,MATCH($A236,'建筑建议总览'!$A$5:$A$25,0))</f>
        <v/>
      </c>
      <c r="Q236" s="44">
        <f>INDEX('建筑建议总览'!$R$5:$R$25,MATCH($A236,'建筑建议总览'!$A$5:$A$25,0))</f>
        <v/>
      </c>
      <c r="R236" s="36">
        <f>INDEX('建筑建议总览'!$S$5:$S$25,MATCH($A236,'建筑建议总览'!$A$5:$A$25,0))</f>
        <v/>
      </c>
      <c r="S236" s="36">
        <f>INDEX('建筑建议总览'!$T$5:$T$25,MATCH($A236,'建筑建议总览'!$A$5:$A$25,0))</f>
        <v/>
      </c>
      <c r="T236" s="44">
        <f>POWER(Q236,D236-1)</f>
        <v/>
      </c>
      <c r="U236" s="44">
        <f>SUMIF($A$5:$A$328,$A236,$T$5:$T$328)</f>
        <v/>
      </c>
      <c r="V236" s="36">
        <f>IF(R236&gt;0,ROUNDDOWN(MAX(0,R236-O236*(F236-1))*T236/U236,0),0)</f>
        <v/>
      </c>
      <c r="W236" s="36">
        <f>IF(S236&gt;0,ROUNDDOWN(MAX(0,S236-P236*(F236-1))*T236/U236,0),0)</f>
        <v/>
      </c>
      <c r="X236" s="36">
        <f>IF(R236&gt;0,O236+V236+IF(D236=F236-1,MAX(0,R236-O236*(F236-1)-SUMIF($A$5:$A$328,$A236,$V$5:$V$328)),0),ROUNDUP(O236*POWER(INDEX('建筑总览'!$J$5:$J$25,MATCH($A236,'建筑总览'!$A$5:$A$25,0)),D236),0))</f>
        <v/>
      </c>
      <c r="Y236" s="36">
        <f>IF(P236=0,0,IF(S236&gt;0,P236+W236+IF(D236=F236-1,MAX(0,S236-P236*(F236-1)-SUMIF($A$5:$A$328,$A236,$W$5:$W$328)),0),ROUNDUP(P236*POWER(INDEX('建筑总览'!$J$5:$J$25,MATCH($A236,'建筑总览'!$A$5:$A$25,0)),D236),0)))</f>
        <v/>
      </c>
      <c r="Z236" s="36">
        <f>IF(X236=0,0,MAX(1,ROUNDUP(X236*(1-'参数与公式'!$B$17),0)))</f>
        <v/>
      </c>
      <c r="AA236" s="36">
        <f>IF(Y236=0,0,MAX(1,ROUNDUP(Y236*(1-'参数与公式'!$B$17),0)))</f>
        <v/>
      </c>
      <c r="AB236" s="33" t="inlineStr">
        <is>
          <t>预算模式末级补足余数；旧模式按指数公式</t>
        </is>
      </c>
      <c r="AC236" s="49">
        <f>IF(A236=A235,IFERROR(M236/M235,""),"")</f>
        <v/>
      </c>
      <c r="AD236" s="49">
        <f>IF(AND(A236=A235,X235&gt;0),X236/X235,"")</f>
        <v/>
      </c>
    </row>
    <row r="237" ht="30" customHeight="1">
      <c r="A237" s="33" t="inlineStr">
        <is>
          <t>juxianzhuang</t>
        </is>
      </c>
      <c r="B237" s="33" t="inlineStr">
        <is>
          <t>聚贤庄</t>
        </is>
      </c>
      <c r="C237" s="33" t="inlineStr">
        <is>
          <t>人员管理</t>
        </is>
      </c>
      <c r="D237" s="43" t="n">
        <v>14</v>
      </c>
      <c r="E237" s="36">
        <f>D237+1</f>
        <v/>
      </c>
      <c r="F237" s="43" t="n">
        <v>15</v>
      </c>
      <c r="G237" s="36">
        <f>INDEX('建筑建议总览'!$H$5:$H$25,MATCH($A237,'建筑建议总览'!$A$5:$A$25,0))</f>
        <v/>
      </c>
      <c r="H237" s="44">
        <f>INDEX('建筑建议总览'!$I$5:$I$25,MATCH($A237,'建筑建议总览'!$A$5:$A$25,0))</f>
        <v/>
      </c>
      <c r="I237" s="36">
        <f>INDEX('建筑建议总览'!$J$5:$J$25,MATCH($A237,'建筑建议总览'!$A$5:$A$25,0))</f>
        <v/>
      </c>
      <c r="J237" s="44">
        <f>POWER(H237,D237-1)</f>
        <v/>
      </c>
      <c r="K237" s="44">
        <f>SUMIF($A$5:$A$328,$A237,$J$5:$J$328)</f>
        <v/>
      </c>
      <c r="L237" s="36">
        <f>IF(I237&gt;0,ROUNDDOWN(MAX(0,I237-G237*(F237-1))*J237/K237,0),0)</f>
        <v/>
      </c>
      <c r="M237" s="36">
        <f>IF(I237&gt;0,G237+L237+IF(D237=F237-1,MAX(0,I237-G237*(F237-1)-SUMIF($A$5:$A$328,$A237,$L$5:$L$328)),0),ROUNDUP(G237*POWER(INDEX('建筑总览'!$G$5:$G$25,MATCH($A237,'建筑总览'!$A$5:$A$25,0)),D237),0))</f>
        <v/>
      </c>
      <c r="N237" s="35">
        <f>M237/'参数与公式'!$B$21</f>
        <v/>
      </c>
      <c r="O237" s="36">
        <f>INDEX('建筑建议总览'!$P$5:$P$25,MATCH($A237,'建筑建议总览'!$A$5:$A$25,0))</f>
        <v/>
      </c>
      <c r="P237" s="36">
        <f>INDEX('建筑建议总览'!$Q$5:$Q$25,MATCH($A237,'建筑建议总览'!$A$5:$A$25,0))</f>
        <v/>
      </c>
      <c r="Q237" s="44">
        <f>INDEX('建筑建议总览'!$R$5:$R$25,MATCH($A237,'建筑建议总览'!$A$5:$A$25,0))</f>
        <v/>
      </c>
      <c r="R237" s="36">
        <f>INDEX('建筑建议总览'!$S$5:$S$25,MATCH($A237,'建筑建议总览'!$A$5:$A$25,0))</f>
        <v/>
      </c>
      <c r="S237" s="36">
        <f>INDEX('建筑建议总览'!$T$5:$T$25,MATCH($A237,'建筑建议总览'!$A$5:$A$25,0))</f>
        <v/>
      </c>
      <c r="T237" s="44">
        <f>POWER(Q237,D237-1)</f>
        <v/>
      </c>
      <c r="U237" s="44">
        <f>SUMIF($A$5:$A$328,$A237,$T$5:$T$328)</f>
        <v/>
      </c>
      <c r="V237" s="36">
        <f>IF(R237&gt;0,ROUNDDOWN(MAX(0,R237-O237*(F237-1))*T237/U237,0),0)</f>
        <v/>
      </c>
      <c r="W237" s="36">
        <f>IF(S237&gt;0,ROUNDDOWN(MAX(0,S237-P237*(F237-1))*T237/U237,0),0)</f>
        <v/>
      </c>
      <c r="X237" s="36">
        <f>IF(R237&gt;0,O237+V237+IF(D237=F237-1,MAX(0,R237-O237*(F237-1)-SUMIF($A$5:$A$328,$A237,$V$5:$V$328)),0),ROUNDUP(O237*POWER(INDEX('建筑总览'!$J$5:$J$25,MATCH($A237,'建筑总览'!$A$5:$A$25,0)),D237),0))</f>
        <v/>
      </c>
      <c r="Y237" s="36">
        <f>IF(P237=0,0,IF(S237&gt;0,P237+W237+IF(D237=F237-1,MAX(0,S237-P237*(F237-1)-SUMIF($A$5:$A$328,$A237,$W$5:$W$328)),0),ROUNDUP(P237*POWER(INDEX('建筑总览'!$J$5:$J$25,MATCH($A237,'建筑总览'!$A$5:$A$25,0)),D237),0)))</f>
        <v/>
      </c>
      <c r="Z237" s="36">
        <f>IF(X237=0,0,MAX(1,ROUNDUP(X237*(1-'参数与公式'!$B$17),0)))</f>
        <v/>
      </c>
      <c r="AA237" s="36">
        <f>IF(Y237=0,0,MAX(1,ROUNDUP(Y237*(1-'参数与公式'!$B$17),0)))</f>
        <v/>
      </c>
      <c r="AB237" s="33" t="inlineStr">
        <is>
          <t>预算模式末级补足余数；旧模式按指数公式</t>
        </is>
      </c>
      <c r="AC237" s="49">
        <f>IF(A237=A236,IFERROR(M237/M236,""),"")</f>
        <v/>
      </c>
      <c r="AD237" s="49">
        <f>IF(AND(A237=A236,X236&gt;0),X237/X236,"")</f>
        <v/>
      </c>
    </row>
    <row r="238" ht="30" customHeight="1">
      <c r="A238" s="33" t="inlineStr">
        <is>
          <t>jiadingfang</t>
        </is>
      </c>
      <c r="B238" s="33" t="inlineStr">
        <is>
          <t>家丁房</t>
        </is>
      </c>
      <c r="C238" s="33" t="inlineStr">
        <is>
          <t>人员管理</t>
        </is>
      </c>
      <c r="D238" s="43" t="n">
        <v>1</v>
      </c>
      <c r="E238" s="36">
        <f>D238+1</f>
        <v/>
      </c>
      <c r="F238" s="43" t="n">
        <v>30</v>
      </c>
      <c r="G238" s="36">
        <f>INDEX('建筑建议总览'!$H$5:$H$25,MATCH($A238,'建筑建议总览'!$A$5:$A$25,0))</f>
        <v/>
      </c>
      <c r="H238" s="44">
        <f>INDEX('建筑建议总览'!$I$5:$I$25,MATCH($A238,'建筑建议总览'!$A$5:$A$25,0))</f>
        <v/>
      </c>
      <c r="I238" s="36">
        <f>INDEX('建筑建议总览'!$J$5:$J$25,MATCH($A238,'建筑建议总览'!$A$5:$A$25,0))</f>
        <v/>
      </c>
      <c r="J238" s="44">
        <f>POWER(H238,D238-1)</f>
        <v/>
      </c>
      <c r="K238" s="44">
        <f>SUMIF($A$5:$A$328,$A238,$J$5:$J$328)</f>
        <v/>
      </c>
      <c r="L238" s="36">
        <f>IF(I238&gt;0,ROUNDDOWN(MAX(0,I238-G238*(F238-1))*J238/K238,0),0)</f>
        <v/>
      </c>
      <c r="M238" s="36">
        <f>IF(I238&gt;0,G238+L238+IF(D238=F238-1,MAX(0,I238-G238*(F238-1)-SUMIF($A$5:$A$328,$A238,$L$5:$L$328)),0),ROUNDUP(G238*POWER(INDEX('建筑总览'!$G$5:$G$25,MATCH($A238,'建筑总览'!$A$5:$A$25,0)),D238),0))</f>
        <v/>
      </c>
      <c r="N238" s="35">
        <f>M238/'参数与公式'!$B$21</f>
        <v/>
      </c>
      <c r="O238" s="36">
        <f>INDEX('建筑建议总览'!$P$5:$P$25,MATCH($A238,'建筑建议总览'!$A$5:$A$25,0))</f>
        <v/>
      </c>
      <c r="P238" s="36">
        <f>INDEX('建筑建议总览'!$Q$5:$Q$25,MATCH($A238,'建筑建议总览'!$A$5:$A$25,0))</f>
        <v/>
      </c>
      <c r="Q238" s="44">
        <f>INDEX('建筑建议总览'!$R$5:$R$25,MATCH($A238,'建筑建议总览'!$A$5:$A$25,0))</f>
        <v/>
      </c>
      <c r="R238" s="36">
        <f>INDEX('建筑建议总览'!$S$5:$S$25,MATCH($A238,'建筑建议总览'!$A$5:$A$25,0))</f>
        <v/>
      </c>
      <c r="S238" s="36">
        <f>INDEX('建筑建议总览'!$T$5:$T$25,MATCH($A238,'建筑建议总览'!$A$5:$A$25,0))</f>
        <v/>
      </c>
      <c r="T238" s="44">
        <f>POWER(Q238,D238-1)</f>
        <v/>
      </c>
      <c r="U238" s="44">
        <f>SUMIF($A$5:$A$328,$A238,$T$5:$T$328)</f>
        <v/>
      </c>
      <c r="V238" s="36">
        <f>IF(R238&gt;0,ROUNDDOWN(MAX(0,R238-O238*(F238-1))*T238/U238,0),0)</f>
        <v/>
      </c>
      <c r="W238" s="36">
        <f>IF(S238&gt;0,ROUNDDOWN(MAX(0,S238-P238*(F238-1))*T238/U238,0),0)</f>
        <v/>
      </c>
      <c r="X238" s="36">
        <f>IF(R238&gt;0,O238+V238+IF(D238=F238-1,MAX(0,R238-O238*(F238-1)-SUMIF($A$5:$A$328,$A238,$V$5:$V$328)),0),ROUNDUP(O238*POWER(INDEX('建筑总览'!$J$5:$J$25,MATCH($A238,'建筑总览'!$A$5:$A$25,0)),D238),0))</f>
        <v/>
      </c>
      <c r="Y238" s="36">
        <f>IF(P238=0,0,IF(S238&gt;0,P238+W238+IF(D238=F238-1,MAX(0,S238-P238*(F238-1)-SUMIF($A$5:$A$328,$A238,$W$5:$W$328)),0),ROUNDUP(P238*POWER(INDEX('建筑总览'!$J$5:$J$25,MATCH($A238,'建筑总览'!$A$5:$A$25,0)),D238),0)))</f>
        <v/>
      </c>
      <c r="Z238" s="36">
        <f>IF(X238=0,0,MAX(1,ROUNDUP(X238*(1-'参数与公式'!$B$17),0)))</f>
        <v/>
      </c>
      <c r="AA238" s="36">
        <f>IF(Y238=0,0,MAX(1,ROUNDUP(Y238*(1-'参数与公式'!$B$17),0)))</f>
        <v/>
      </c>
      <c r="AB238" s="33" t="inlineStr">
        <is>
          <t>预算模式末级补足余数；旧模式按指数公式</t>
        </is>
      </c>
      <c r="AC238" s="49">
        <f>IF(A238=A237,IFERROR(M238/M237,""),"")</f>
        <v/>
      </c>
      <c r="AD238" s="49">
        <f>IF(AND(A238=A237,X237&gt;0),X238/X237,"")</f>
        <v/>
      </c>
    </row>
    <row r="239" ht="30" customHeight="1">
      <c r="A239" s="33" t="inlineStr">
        <is>
          <t>jiadingfang</t>
        </is>
      </c>
      <c r="B239" s="33" t="inlineStr">
        <is>
          <t>家丁房</t>
        </is>
      </c>
      <c r="C239" s="33" t="inlineStr">
        <is>
          <t>人员管理</t>
        </is>
      </c>
      <c r="D239" s="43" t="n">
        <v>2</v>
      </c>
      <c r="E239" s="36">
        <f>D239+1</f>
        <v/>
      </c>
      <c r="F239" s="43" t="n">
        <v>30</v>
      </c>
      <c r="G239" s="36">
        <f>INDEX('建筑建议总览'!$H$5:$H$25,MATCH($A239,'建筑建议总览'!$A$5:$A$25,0))</f>
        <v/>
      </c>
      <c r="H239" s="44">
        <f>INDEX('建筑建议总览'!$I$5:$I$25,MATCH($A239,'建筑建议总览'!$A$5:$A$25,0))</f>
        <v/>
      </c>
      <c r="I239" s="36">
        <f>INDEX('建筑建议总览'!$J$5:$J$25,MATCH($A239,'建筑建议总览'!$A$5:$A$25,0))</f>
        <v/>
      </c>
      <c r="J239" s="44">
        <f>POWER(H239,D239-1)</f>
        <v/>
      </c>
      <c r="K239" s="44">
        <f>SUMIF($A$5:$A$328,$A239,$J$5:$J$328)</f>
        <v/>
      </c>
      <c r="L239" s="36">
        <f>IF(I239&gt;0,ROUNDDOWN(MAX(0,I239-G239*(F239-1))*J239/K239,0),0)</f>
        <v/>
      </c>
      <c r="M239" s="36">
        <f>IF(I239&gt;0,G239+L239+IF(D239=F239-1,MAX(0,I239-G239*(F239-1)-SUMIF($A$5:$A$328,$A239,$L$5:$L$328)),0),ROUNDUP(G239*POWER(INDEX('建筑总览'!$G$5:$G$25,MATCH($A239,'建筑总览'!$A$5:$A$25,0)),D239),0))</f>
        <v/>
      </c>
      <c r="N239" s="35">
        <f>M239/'参数与公式'!$B$21</f>
        <v/>
      </c>
      <c r="O239" s="36">
        <f>INDEX('建筑建议总览'!$P$5:$P$25,MATCH($A239,'建筑建议总览'!$A$5:$A$25,0))</f>
        <v/>
      </c>
      <c r="P239" s="36">
        <f>INDEX('建筑建议总览'!$Q$5:$Q$25,MATCH($A239,'建筑建议总览'!$A$5:$A$25,0))</f>
        <v/>
      </c>
      <c r="Q239" s="44">
        <f>INDEX('建筑建议总览'!$R$5:$R$25,MATCH($A239,'建筑建议总览'!$A$5:$A$25,0))</f>
        <v/>
      </c>
      <c r="R239" s="36">
        <f>INDEX('建筑建议总览'!$S$5:$S$25,MATCH($A239,'建筑建议总览'!$A$5:$A$25,0))</f>
        <v/>
      </c>
      <c r="S239" s="36">
        <f>INDEX('建筑建议总览'!$T$5:$T$25,MATCH($A239,'建筑建议总览'!$A$5:$A$25,0))</f>
        <v/>
      </c>
      <c r="T239" s="44">
        <f>POWER(Q239,D239-1)</f>
        <v/>
      </c>
      <c r="U239" s="44">
        <f>SUMIF($A$5:$A$328,$A239,$T$5:$T$328)</f>
        <v/>
      </c>
      <c r="V239" s="36">
        <f>IF(R239&gt;0,ROUNDDOWN(MAX(0,R239-O239*(F239-1))*T239/U239,0),0)</f>
        <v/>
      </c>
      <c r="W239" s="36">
        <f>IF(S239&gt;0,ROUNDDOWN(MAX(0,S239-P239*(F239-1))*T239/U239,0),0)</f>
        <v/>
      </c>
      <c r="X239" s="36">
        <f>IF(R239&gt;0,O239+V239+IF(D239=F239-1,MAX(0,R239-O239*(F239-1)-SUMIF($A$5:$A$328,$A239,$V$5:$V$328)),0),ROUNDUP(O239*POWER(INDEX('建筑总览'!$J$5:$J$25,MATCH($A239,'建筑总览'!$A$5:$A$25,0)),D239),0))</f>
        <v/>
      </c>
      <c r="Y239" s="36">
        <f>IF(P239=0,0,IF(S239&gt;0,P239+W239+IF(D239=F239-1,MAX(0,S239-P239*(F239-1)-SUMIF($A$5:$A$328,$A239,$W$5:$W$328)),0),ROUNDUP(P239*POWER(INDEX('建筑总览'!$J$5:$J$25,MATCH($A239,'建筑总览'!$A$5:$A$25,0)),D239),0)))</f>
        <v/>
      </c>
      <c r="Z239" s="36">
        <f>IF(X239=0,0,MAX(1,ROUNDUP(X239*(1-'参数与公式'!$B$17),0)))</f>
        <v/>
      </c>
      <c r="AA239" s="36">
        <f>IF(Y239=0,0,MAX(1,ROUNDUP(Y239*(1-'参数与公式'!$B$17),0)))</f>
        <v/>
      </c>
      <c r="AB239" s="33" t="inlineStr">
        <is>
          <t>预算模式末级补足余数；旧模式按指数公式</t>
        </is>
      </c>
      <c r="AC239" s="49">
        <f>IF(A239=A238,IFERROR(M239/M238,""),"")</f>
        <v/>
      </c>
      <c r="AD239" s="49">
        <f>IF(AND(A239=A238,X238&gt;0),X239/X238,"")</f>
        <v/>
      </c>
    </row>
    <row r="240" ht="30" customHeight="1">
      <c r="A240" s="33" t="inlineStr">
        <is>
          <t>jiadingfang</t>
        </is>
      </c>
      <c r="B240" s="33" t="inlineStr">
        <is>
          <t>家丁房</t>
        </is>
      </c>
      <c r="C240" s="33" t="inlineStr">
        <is>
          <t>人员管理</t>
        </is>
      </c>
      <c r="D240" s="43" t="n">
        <v>3</v>
      </c>
      <c r="E240" s="36">
        <f>D240+1</f>
        <v/>
      </c>
      <c r="F240" s="43" t="n">
        <v>30</v>
      </c>
      <c r="G240" s="36">
        <f>INDEX('建筑建议总览'!$H$5:$H$25,MATCH($A240,'建筑建议总览'!$A$5:$A$25,0))</f>
        <v/>
      </c>
      <c r="H240" s="44">
        <f>INDEX('建筑建议总览'!$I$5:$I$25,MATCH($A240,'建筑建议总览'!$A$5:$A$25,0))</f>
        <v/>
      </c>
      <c r="I240" s="36">
        <f>INDEX('建筑建议总览'!$J$5:$J$25,MATCH($A240,'建筑建议总览'!$A$5:$A$25,0))</f>
        <v/>
      </c>
      <c r="J240" s="44">
        <f>POWER(H240,D240-1)</f>
        <v/>
      </c>
      <c r="K240" s="44">
        <f>SUMIF($A$5:$A$328,$A240,$J$5:$J$328)</f>
        <v/>
      </c>
      <c r="L240" s="36">
        <f>IF(I240&gt;0,ROUNDDOWN(MAX(0,I240-G240*(F240-1))*J240/K240,0),0)</f>
        <v/>
      </c>
      <c r="M240" s="36">
        <f>IF(I240&gt;0,G240+L240+IF(D240=F240-1,MAX(0,I240-G240*(F240-1)-SUMIF($A$5:$A$328,$A240,$L$5:$L$328)),0),ROUNDUP(G240*POWER(INDEX('建筑总览'!$G$5:$G$25,MATCH($A240,'建筑总览'!$A$5:$A$25,0)),D240),0))</f>
        <v/>
      </c>
      <c r="N240" s="35">
        <f>M240/'参数与公式'!$B$21</f>
        <v/>
      </c>
      <c r="O240" s="36">
        <f>INDEX('建筑建议总览'!$P$5:$P$25,MATCH($A240,'建筑建议总览'!$A$5:$A$25,0))</f>
        <v/>
      </c>
      <c r="P240" s="36">
        <f>INDEX('建筑建议总览'!$Q$5:$Q$25,MATCH($A240,'建筑建议总览'!$A$5:$A$25,0))</f>
        <v/>
      </c>
      <c r="Q240" s="44">
        <f>INDEX('建筑建议总览'!$R$5:$R$25,MATCH($A240,'建筑建议总览'!$A$5:$A$25,0))</f>
        <v/>
      </c>
      <c r="R240" s="36">
        <f>INDEX('建筑建议总览'!$S$5:$S$25,MATCH($A240,'建筑建议总览'!$A$5:$A$25,0))</f>
        <v/>
      </c>
      <c r="S240" s="36">
        <f>INDEX('建筑建议总览'!$T$5:$T$25,MATCH($A240,'建筑建议总览'!$A$5:$A$25,0))</f>
        <v/>
      </c>
      <c r="T240" s="44">
        <f>POWER(Q240,D240-1)</f>
        <v/>
      </c>
      <c r="U240" s="44">
        <f>SUMIF($A$5:$A$328,$A240,$T$5:$T$328)</f>
        <v/>
      </c>
      <c r="V240" s="36">
        <f>IF(R240&gt;0,ROUNDDOWN(MAX(0,R240-O240*(F240-1))*T240/U240,0),0)</f>
        <v/>
      </c>
      <c r="W240" s="36">
        <f>IF(S240&gt;0,ROUNDDOWN(MAX(0,S240-P240*(F240-1))*T240/U240,0),0)</f>
        <v/>
      </c>
      <c r="X240" s="36">
        <f>IF(R240&gt;0,O240+V240+IF(D240=F240-1,MAX(0,R240-O240*(F240-1)-SUMIF($A$5:$A$328,$A240,$V$5:$V$328)),0),ROUNDUP(O240*POWER(INDEX('建筑总览'!$J$5:$J$25,MATCH($A240,'建筑总览'!$A$5:$A$25,0)),D240),0))</f>
        <v/>
      </c>
      <c r="Y240" s="36">
        <f>IF(P240=0,0,IF(S240&gt;0,P240+W240+IF(D240=F240-1,MAX(0,S240-P240*(F240-1)-SUMIF($A$5:$A$328,$A240,$W$5:$W$328)),0),ROUNDUP(P240*POWER(INDEX('建筑总览'!$J$5:$J$25,MATCH($A240,'建筑总览'!$A$5:$A$25,0)),D240),0)))</f>
        <v/>
      </c>
      <c r="Z240" s="36">
        <f>IF(X240=0,0,MAX(1,ROUNDUP(X240*(1-'参数与公式'!$B$17),0)))</f>
        <v/>
      </c>
      <c r="AA240" s="36">
        <f>IF(Y240=0,0,MAX(1,ROUNDUP(Y240*(1-'参数与公式'!$B$17),0)))</f>
        <v/>
      </c>
      <c r="AB240" s="33" t="inlineStr">
        <is>
          <t>预算模式末级补足余数；旧模式按指数公式</t>
        </is>
      </c>
      <c r="AC240" s="49">
        <f>IF(A240=A239,IFERROR(M240/M239,""),"")</f>
        <v/>
      </c>
      <c r="AD240" s="49">
        <f>IF(AND(A240=A239,X239&gt;0),X240/X239,"")</f>
        <v/>
      </c>
    </row>
    <row r="241" ht="30" customHeight="1">
      <c r="A241" s="33" t="inlineStr">
        <is>
          <t>jiadingfang</t>
        </is>
      </c>
      <c r="B241" s="33" t="inlineStr">
        <is>
          <t>家丁房</t>
        </is>
      </c>
      <c r="C241" s="33" t="inlineStr">
        <is>
          <t>人员管理</t>
        </is>
      </c>
      <c r="D241" s="43" t="n">
        <v>4</v>
      </c>
      <c r="E241" s="36">
        <f>D241+1</f>
        <v/>
      </c>
      <c r="F241" s="43" t="n">
        <v>30</v>
      </c>
      <c r="G241" s="36">
        <f>INDEX('建筑建议总览'!$H$5:$H$25,MATCH($A241,'建筑建议总览'!$A$5:$A$25,0))</f>
        <v/>
      </c>
      <c r="H241" s="44">
        <f>INDEX('建筑建议总览'!$I$5:$I$25,MATCH($A241,'建筑建议总览'!$A$5:$A$25,0))</f>
        <v/>
      </c>
      <c r="I241" s="36">
        <f>INDEX('建筑建议总览'!$J$5:$J$25,MATCH($A241,'建筑建议总览'!$A$5:$A$25,0))</f>
        <v/>
      </c>
      <c r="J241" s="44">
        <f>POWER(H241,D241-1)</f>
        <v/>
      </c>
      <c r="K241" s="44">
        <f>SUMIF($A$5:$A$328,$A241,$J$5:$J$328)</f>
        <v/>
      </c>
      <c r="L241" s="36">
        <f>IF(I241&gt;0,ROUNDDOWN(MAX(0,I241-G241*(F241-1))*J241/K241,0),0)</f>
        <v/>
      </c>
      <c r="M241" s="36">
        <f>IF(I241&gt;0,G241+L241+IF(D241=F241-1,MAX(0,I241-G241*(F241-1)-SUMIF($A$5:$A$328,$A241,$L$5:$L$328)),0),ROUNDUP(G241*POWER(INDEX('建筑总览'!$G$5:$G$25,MATCH($A241,'建筑总览'!$A$5:$A$25,0)),D241),0))</f>
        <v/>
      </c>
      <c r="N241" s="35">
        <f>M241/'参数与公式'!$B$21</f>
        <v/>
      </c>
      <c r="O241" s="36">
        <f>INDEX('建筑建议总览'!$P$5:$P$25,MATCH($A241,'建筑建议总览'!$A$5:$A$25,0))</f>
        <v/>
      </c>
      <c r="P241" s="36">
        <f>INDEX('建筑建议总览'!$Q$5:$Q$25,MATCH($A241,'建筑建议总览'!$A$5:$A$25,0))</f>
        <v/>
      </c>
      <c r="Q241" s="44">
        <f>INDEX('建筑建议总览'!$R$5:$R$25,MATCH($A241,'建筑建议总览'!$A$5:$A$25,0))</f>
        <v/>
      </c>
      <c r="R241" s="36">
        <f>INDEX('建筑建议总览'!$S$5:$S$25,MATCH($A241,'建筑建议总览'!$A$5:$A$25,0))</f>
        <v/>
      </c>
      <c r="S241" s="36">
        <f>INDEX('建筑建议总览'!$T$5:$T$25,MATCH($A241,'建筑建议总览'!$A$5:$A$25,0))</f>
        <v/>
      </c>
      <c r="T241" s="44">
        <f>POWER(Q241,D241-1)</f>
        <v/>
      </c>
      <c r="U241" s="44">
        <f>SUMIF($A$5:$A$328,$A241,$T$5:$T$328)</f>
        <v/>
      </c>
      <c r="V241" s="36">
        <f>IF(R241&gt;0,ROUNDDOWN(MAX(0,R241-O241*(F241-1))*T241/U241,0),0)</f>
        <v/>
      </c>
      <c r="W241" s="36">
        <f>IF(S241&gt;0,ROUNDDOWN(MAX(0,S241-P241*(F241-1))*T241/U241,0),0)</f>
        <v/>
      </c>
      <c r="X241" s="36">
        <f>IF(R241&gt;0,O241+V241+IF(D241=F241-1,MAX(0,R241-O241*(F241-1)-SUMIF($A$5:$A$328,$A241,$V$5:$V$328)),0),ROUNDUP(O241*POWER(INDEX('建筑总览'!$J$5:$J$25,MATCH($A241,'建筑总览'!$A$5:$A$25,0)),D241),0))</f>
        <v/>
      </c>
      <c r="Y241" s="36">
        <f>IF(P241=0,0,IF(S241&gt;0,P241+W241+IF(D241=F241-1,MAX(0,S241-P241*(F241-1)-SUMIF($A$5:$A$328,$A241,$W$5:$W$328)),0),ROUNDUP(P241*POWER(INDEX('建筑总览'!$J$5:$J$25,MATCH($A241,'建筑总览'!$A$5:$A$25,0)),D241),0)))</f>
        <v/>
      </c>
      <c r="Z241" s="36">
        <f>IF(X241=0,0,MAX(1,ROUNDUP(X241*(1-'参数与公式'!$B$17),0)))</f>
        <v/>
      </c>
      <c r="AA241" s="36">
        <f>IF(Y241=0,0,MAX(1,ROUNDUP(Y241*(1-'参数与公式'!$B$17),0)))</f>
        <v/>
      </c>
      <c r="AB241" s="33" t="inlineStr">
        <is>
          <t>预算模式末级补足余数；旧模式按指数公式</t>
        </is>
      </c>
      <c r="AC241" s="49">
        <f>IF(A241=A240,IFERROR(M241/M240,""),"")</f>
        <v/>
      </c>
      <c r="AD241" s="49">
        <f>IF(AND(A241=A240,X240&gt;0),X241/X240,"")</f>
        <v/>
      </c>
    </row>
    <row r="242" ht="30" customHeight="1">
      <c r="A242" s="33" t="inlineStr">
        <is>
          <t>jiadingfang</t>
        </is>
      </c>
      <c r="B242" s="33" t="inlineStr">
        <is>
          <t>家丁房</t>
        </is>
      </c>
      <c r="C242" s="33" t="inlineStr">
        <is>
          <t>人员管理</t>
        </is>
      </c>
      <c r="D242" s="43" t="n">
        <v>5</v>
      </c>
      <c r="E242" s="36">
        <f>D242+1</f>
        <v/>
      </c>
      <c r="F242" s="43" t="n">
        <v>30</v>
      </c>
      <c r="G242" s="36">
        <f>INDEX('建筑建议总览'!$H$5:$H$25,MATCH($A242,'建筑建议总览'!$A$5:$A$25,0))</f>
        <v/>
      </c>
      <c r="H242" s="44">
        <f>INDEX('建筑建议总览'!$I$5:$I$25,MATCH($A242,'建筑建议总览'!$A$5:$A$25,0))</f>
        <v/>
      </c>
      <c r="I242" s="36">
        <f>INDEX('建筑建议总览'!$J$5:$J$25,MATCH($A242,'建筑建议总览'!$A$5:$A$25,0))</f>
        <v/>
      </c>
      <c r="J242" s="44">
        <f>POWER(H242,D242-1)</f>
        <v/>
      </c>
      <c r="K242" s="44">
        <f>SUMIF($A$5:$A$328,$A242,$J$5:$J$328)</f>
        <v/>
      </c>
      <c r="L242" s="36">
        <f>IF(I242&gt;0,ROUNDDOWN(MAX(0,I242-G242*(F242-1))*J242/K242,0),0)</f>
        <v/>
      </c>
      <c r="M242" s="36">
        <f>IF(I242&gt;0,G242+L242+IF(D242=F242-1,MAX(0,I242-G242*(F242-1)-SUMIF($A$5:$A$328,$A242,$L$5:$L$328)),0),ROUNDUP(G242*POWER(INDEX('建筑总览'!$G$5:$G$25,MATCH($A242,'建筑总览'!$A$5:$A$25,0)),D242),0))</f>
        <v/>
      </c>
      <c r="N242" s="35">
        <f>M242/'参数与公式'!$B$21</f>
        <v/>
      </c>
      <c r="O242" s="36">
        <f>INDEX('建筑建议总览'!$P$5:$P$25,MATCH($A242,'建筑建议总览'!$A$5:$A$25,0))</f>
        <v/>
      </c>
      <c r="P242" s="36">
        <f>INDEX('建筑建议总览'!$Q$5:$Q$25,MATCH($A242,'建筑建议总览'!$A$5:$A$25,0))</f>
        <v/>
      </c>
      <c r="Q242" s="44">
        <f>INDEX('建筑建议总览'!$R$5:$R$25,MATCH($A242,'建筑建议总览'!$A$5:$A$25,0))</f>
        <v/>
      </c>
      <c r="R242" s="36">
        <f>INDEX('建筑建议总览'!$S$5:$S$25,MATCH($A242,'建筑建议总览'!$A$5:$A$25,0))</f>
        <v/>
      </c>
      <c r="S242" s="36">
        <f>INDEX('建筑建议总览'!$T$5:$T$25,MATCH($A242,'建筑建议总览'!$A$5:$A$25,0))</f>
        <v/>
      </c>
      <c r="T242" s="44">
        <f>POWER(Q242,D242-1)</f>
        <v/>
      </c>
      <c r="U242" s="44">
        <f>SUMIF($A$5:$A$328,$A242,$T$5:$T$328)</f>
        <v/>
      </c>
      <c r="V242" s="36">
        <f>IF(R242&gt;0,ROUNDDOWN(MAX(0,R242-O242*(F242-1))*T242/U242,0),0)</f>
        <v/>
      </c>
      <c r="W242" s="36">
        <f>IF(S242&gt;0,ROUNDDOWN(MAX(0,S242-P242*(F242-1))*T242/U242,0),0)</f>
        <v/>
      </c>
      <c r="X242" s="36">
        <f>IF(R242&gt;0,O242+V242+IF(D242=F242-1,MAX(0,R242-O242*(F242-1)-SUMIF($A$5:$A$328,$A242,$V$5:$V$328)),0),ROUNDUP(O242*POWER(INDEX('建筑总览'!$J$5:$J$25,MATCH($A242,'建筑总览'!$A$5:$A$25,0)),D242),0))</f>
        <v/>
      </c>
      <c r="Y242" s="36">
        <f>IF(P242=0,0,IF(S242&gt;0,P242+W242+IF(D242=F242-1,MAX(0,S242-P242*(F242-1)-SUMIF($A$5:$A$328,$A242,$W$5:$W$328)),0),ROUNDUP(P242*POWER(INDEX('建筑总览'!$J$5:$J$25,MATCH($A242,'建筑总览'!$A$5:$A$25,0)),D242),0)))</f>
        <v/>
      </c>
      <c r="Z242" s="36">
        <f>IF(X242=0,0,MAX(1,ROUNDUP(X242*(1-'参数与公式'!$B$17),0)))</f>
        <v/>
      </c>
      <c r="AA242" s="36">
        <f>IF(Y242=0,0,MAX(1,ROUNDUP(Y242*(1-'参数与公式'!$B$17),0)))</f>
        <v/>
      </c>
      <c r="AB242" s="33" t="inlineStr">
        <is>
          <t>预算模式末级补足余数；旧模式按指数公式</t>
        </is>
      </c>
      <c r="AC242" s="49">
        <f>IF(A242=A241,IFERROR(M242/M241,""),"")</f>
        <v/>
      </c>
      <c r="AD242" s="49">
        <f>IF(AND(A242=A241,X241&gt;0),X242/X241,"")</f>
        <v/>
      </c>
    </row>
    <row r="243" ht="30" customHeight="1">
      <c r="A243" s="33" t="inlineStr">
        <is>
          <t>jiadingfang</t>
        </is>
      </c>
      <c r="B243" s="33" t="inlineStr">
        <is>
          <t>家丁房</t>
        </is>
      </c>
      <c r="C243" s="33" t="inlineStr">
        <is>
          <t>人员管理</t>
        </is>
      </c>
      <c r="D243" s="43" t="n">
        <v>6</v>
      </c>
      <c r="E243" s="36">
        <f>D243+1</f>
        <v/>
      </c>
      <c r="F243" s="43" t="n">
        <v>30</v>
      </c>
      <c r="G243" s="36">
        <f>INDEX('建筑建议总览'!$H$5:$H$25,MATCH($A243,'建筑建议总览'!$A$5:$A$25,0))</f>
        <v/>
      </c>
      <c r="H243" s="44">
        <f>INDEX('建筑建议总览'!$I$5:$I$25,MATCH($A243,'建筑建议总览'!$A$5:$A$25,0))</f>
        <v/>
      </c>
      <c r="I243" s="36">
        <f>INDEX('建筑建议总览'!$J$5:$J$25,MATCH($A243,'建筑建议总览'!$A$5:$A$25,0))</f>
        <v/>
      </c>
      <c r="J243" s="44">
        <f>POWER(H243,D243-1)</f>
        <v/>
      </c>
      <c r="K243" s="44">
        <f>SUMIF($A$5:$A$328,$A243,$J$5:$J$328)</f>
        <v/>
      </c>
      <c r="L243" s="36">
        <f>IF(I243&gt;0,ROUNDDOWN(MAX(0,I243-G243*(F243-1))*J243/K243,0),0)</f>
        <v/>
      </c>
      <c r="M243" s="36">
        <f>IF(I243&gt;0,G243+L243+IF(D243=F243-1,MAX(0,I243-G243*(F243-1)-SUMIF($A$5:$A$328,$A243,$L$5:$L$328)),0),ROUNDUP(G243*POWER(INDEX('建筑总览'!$G$5:$G$25,MATCH($A243,'建筑总览'!$A$5:$A$25,0)),D243),0))</f>
        <v/>
      </c>
      <c r="N243" s="35">
        <f>M243/'参数与公式'!$B$21</f>
        <v/>
      </c>
      <c r="O243" s="36">
        <f>INDEX('建筑建议总览'!$P$5:$P$25,MATCH($A243,'建筑建议总览'!$A$5:$A$25,0))</f>
        <v/>
      </c>
      <c r="P243" s="36">
        <f>INDEX('建筑建议总览'!$Q$5:$Q$25,MATCH($A243,'建筑建议总览'!$A$5:$A$25,0))</f>
        <v/>
      </c>
      <c r="Q243" s="44">
        <f>INDEX('建筑建议总览'!$R$5:$R$25,MATCH($A243,'建筑建议总览'!$A$5:$A$25,0))</f>
        <v/>
      </c>
      <c r="R243" s="36">
        <f>INDEX('建筑建议总览'!$S$5:$S$25,MATCH($A243,'建筑建议总览'!$A$5:$A$25,0))</f>
        <v/>
      </c>
      <c r="S243" s="36">
        <f>INDEX('建筑建议总览'!$T$5:$T$25,MATCH($A243,'建筑建议总览'!$A$5:$A$25,0))</f>
        <v/>
      </c>
      <c r="T243" s="44">
        <f>POWER(Q243,D243-1)</f>
        <v/>
      </c>
      <c r="U243" s="44">
        <f>SUMIF($A$5:$A$328,$A243,$T$5:$T$328)</f>
        <v/>
      </c>
      <c r="V243" s="36">
        <f>IF(R243&gt;0,ROUNDDOWN(MAX(0,R243-O243*(F243-1))*T243/U243,0),0)</f>
        <v/>
      </c>
      <c r="W243" s="36">
        <f>IF(S243&gt;0,ROUNDDOWN(MAX(0,S243-P243*(F243-1))*T243/U243,0),0)</f>
        <v/>
      </c>
      <c r="X243" s="36">
        <f>IF(R243&gt;0,O243+V243+IF(D243=F243-1,MAX(0,R243-O243*(F243-1)-SUMIF($A$5:$A$328,$A243,$V$5:$V$328)),0),ROUNDUP(O243*POWER(INDEX('建筑总览'!$J$5:$J$25,MATCH($A243,'建筑总览'!$A$5:$A$25,0)),D243),0))</f>
        <v/>
      </c>
      <c r="Y243" s="36">
        <f>IF(P243=0,0,IF(S243&gt;0,P243+W243+IF(D243=F243-1,MAX(0,S243-P243*(F243-1)-SUMIF($A$5:$A$328,$A243,$W$5:$W$328)),0),ROUNDUP(P243*POWER(INDEX('建筑总览'!$J$5:$J$25,MATCH($A243,'建筑总览'!$A$5:$A$25,0)),D243),0)))</f>
        <v/>
      </c>
      <c r="Z243" s="36">
        <f>IF(X243=0,0,MAX(1,ROUNDUP(X243*(1-'参数与公式'!$B$17),0)))</f>
        <v/>
      </c>
      <c r="AA243" s="36">
        <f>IF(Y243=0,0,MAX(1,ROUNDUP(Y243*(1-'参数与公式'!$B$17),0)))</f>
        <v/>
      </c>
      <c r="AB243" s="33" t="inlineStr">
        <is>
          <t>预算模式末级补足余数；旧模式按指数公式</t>
        </is>
      </c>
      <c r="AC243" s="49">
        <f>IF(A243=A242,IFERROR(M243/M242,""),"")</f>
        <v/>
      </c>
      <c r="AD243" s="49">
        <f>IF(AND(A243=A242,X242&gt;0),X243/X242,"")</f>
        <v/>
      </c>
    </row>
    <row r="244" ht="30" customHeight="1">
      <c r="A244" s="33" t="inlineStr">
        <is>
          <t>jiadingfang</t>
        </is>
      </c>
      <c r="B244" s="33" t="inlineStr">
        <is>
          <t>家丁房</t>
        </is>
      </c>
      <c r="C244" s="33" t="inlineStr">
        <is>
          <t>人员管理</t>
        </is>
      </c>
      <c r="D244" s="43" t="n">
        <v>7</v>
      </c>
      <c r="E244" s="36">
        <f>D244+1</f>
        <v/>
      </c>
      <c r="F244" s="43" t="n">
        <v>30</v>
      </c>
      <c r="G244" s="36">
        <f>INDEX('建筑建议总览'!$H$5:$H$25,MATCH($A244,'建筑建议总览'!$A$5:$A$25,0))</f>
        <v/>
      </c>
      <c r="H244" s="44">
        <f>INDEX('建筑建议总览'!$I$5:$I$25,MATCH($A244,'建筑建议总览'!$A$5:$A$25,0))</f>
        <v/>
      </c>
      <c r="I244" s="36">
        <f>INDEX('建筑建议总览'!$J$5:$J$25,MATCH($A244,'建筑建议总览'!$A$5:$A$25,0))</f>
        <v/>
      </c>
      <c r="J244" s="44">
        <f>POWER(H244,D244-1)</f>
        <v/>
      </c>
      <c r="K244" s="44">
        <f>SUMIF($A$5:$A$328,$A244,$J$5:$J$328)</f>
        <v/>
      </c>
      <c r="L244" s="36">
        <f>IF(I244&gt;0,ROUNDDOWN(MAX(0,I244-G244*(F244-1))*J244/K244,0),0)</f>
        <v/>
      </c>
      <c r="M244" s="36">
        <f>IF(I244&gt;0,G244+L244+IF(D244=F244-1,MAX(0,I244-G244*(F244-1)-SUMIF($A$5:$A$328,$A244,$L$5:$L$328)),0),ROUNDUP(G244*POWER(INDEX('建筑总览'!$G$5:$G$25,MATCH($A244,'建筑总览'!$A$5:$A$25,0)),D244),0))</f>
        <v/>
      </c>
      <c r="N244" s="35">
        <f>M244/'参数与公式'!$B$21</f>
        <v/>
      </c>
      <c r="O244" s="36">
        <f>INDEX('建筑建议总览'!$P$5:$P$25,MATCH($A244,'建筑建议总览'!$A$5:$A$25,0))</f>
        <v/>
      </c>
      <c r="P244" s="36">
        <f>INDEX('建筑建议总览'!$Q$5:$Q$25,MATCH($A244,'建筑建议总览'!$A$5:$A$25,0))</f>
        <v/>
      </c>
      <c r="Q244" s="44">
        <f>INDEX('建筑建议总览'!$R$5:$R$25,MATCH($A244,'建筑建议总览'!$A$5:$A$25,0))</f>
        <v/>
      </c>
      <c r="R244" s="36">
        <f>INDEX('建筑建议总览'!$S$5:$S$25,MATCH($A244,'建筑建议总览'!$A$5:$A$25,0))</f>
        <v/>
      </c>
      <c r="S244" s="36">
        <f>INDEX('建筑建议总览'!$T$5:$T$25,MATCH($A244,'建筑建议总览'!$A$5:$A$25,0))</f>
        <v/>
      </c>
      <c r="T244" s="44">
        <f>POWER(Q244,D244-1)</f>
        <v/>
      </c>
      <c r="U244" s="44">
        <f>SUMIF($A$5:$A$328,$A244,$T$5:$T$328)</f>
        <v/>
      </c>
      <c r="V244" s="36">
        <f>IF(R244&gt;0,ROUNDDOWN(MAX(0,R244-O244*(F244-1))*T244/U244,0),0)</f>
        <v/>
      </c>
      <c r="W244" s="36">
        <f>IF(S244&gt;0,ROUNDDOWN(MAX(0,S244-P244*(F244-1))*T244/U244,0),0)</f>
        <v/>
      </c>
      <c r="X244" s="36">
        <f>IF(R244&gt;0,O244+V244+IF(D244=F244-1,MAX(0,R244-O244*(F244-1)-SUMIF($A$5:$A$328,$A244,$V$5:$V$328)),0),ROUNDUP(O244*POWER(INDEX('建筑总览'!$J$5:$J$25,MATCH($A244,'建筑总览'!$A$5:$A$25,0)),D244),0))</f>
        <v/>
      </c>
      <c r="Y244" s="36">
        <f>IF(P244=0,0,IF(S244&gt;0,P244+W244+IF(D244=F244-1,MAX(0,S244-P244*(F244-1)-SUMIF($A$5:$A$328,$A244,$W$5:$W$328)),0),ROUNDUP(P244*POWER(INDEX('建筑总览'!$J$5:$J$25,MATCH($A244,'建筑总览'!$A$5:$A$25,0)),D244),0)))</f>
        <v/>
      </c>
      <c r="Z244" s="36">
        <f>IF(X244=0,0,MAX(1,ROUNDUP(X244*(1-'参数与公式'!$B$17),0)))</f>
        <v/>
      </c>
      <c r="AA244" s="36">
        <f>IF(Y244=0,0,MAX(1,ROUNDUP(Y244*(1-'参数与公式'!$B$17),0)))</f>
        <v/>
      </c>
      <c r="AB244" s="33" t="inlineStr">
        <is>
          <t>预算模式末级补足余数；旧模式按指数公式</t>
        </is>
      </c>
      <c r="AC244" s="49">
        <f>IF(A244=A243,IFERROR(M244/M243,""),"")</f>
        <v/>
      </c>
      <c r="AD244" s="49">
        <f>IF(AND(A244=A243,X243&gt;0),X244/X243,"")</f>
        <v/>
      </c>
    </row>
    <row r="245" ht="30" customHeight="1">
      <c r="A245" s="33" t="inlineStr">
        <is>
          <t>jiadingfang</t>
        </is>
      </c>
      <c r="B245" s="33" t="inlineStr">
        <is>
          <t>家丁房</t>
        </is>
      </c>
      <c r="C245" s="33" t="inlineStr">
        <is>
          <t>人员管理</t>
        </is>
      </c>
      <c r="D245" s="43" t="n">
        <v>8</v>
      </c>
      <c r="E245" s="36">
        <f>D245+1</f>
        <v/>
      </c>
      <c r="F245" s="43" t="n">
        <v>30</v>
      </c>
      <c r="G245" s="36">
        <f>INDEX('建筑建议总览'!$H$5:$H$25,MATCH($A245,'建筑建议总览'!$A$5:$A$25,0))</f>
        <v/>
      </c>
      <c r="H245" s="44">
        <f>INDEX('建筑建议总览'!$I$5:$I$25,MATCH($A245,'建筑建议总览'!$A$5:$A$25,0))</f>
        <v/>
      </c>
      <c r="I245" s="36">
        <f>INDEX('建筑建议总览'!$J$5:$J$25,MATCH($A245,'建筑建议总览'!$A$5:$A$25,0))</f>
        <v/>
      </c>
      <c r="J245" s="44">
        <f>POWER(H245,D245-1)</f>
        <v/>
      </c>
      <c r="K245" s="44">
        <f>SUMIF($A$5:$A$328,$A245,$J$5:$J$328)</f>
        <v/>
      </c>
      <c r="L245" s="36">
        <f>IF(I245&gt;0,ROUNDDOWN(MAX(0,I245-G245*(F245-1))*J245/K245,0),0)</f>
        <v/>
      </c>
      <c r="M245" s="36">
        <f>IF(I245&gt;0,G245+L245+IF(D245=F245-1,MAX(0,I245-G245*(F245-1)-SUMIF($A$5:$A$328,$A245,$L$5:$L$328)),0),ROUNDUP(G245*POWER(INDEX('建筑总览'!$G$5:$G$25,MATCH($A245,'建筑总览'!$A$5:$A$25,0)),D245),0))</f>
        <v/>
      </c>
      <c r="N245" s="35">
        <f>M245/'参数与公式'!$B$21</f>
        <v/>
      </c>
      <c r="O245" s="36">
        <f>INDEX('建筑建议总览'!$P$5:$P$25,MATCH($A245,'建筑建议总览'!$A$5:$A$25,0))</f>
        <v/>
      </c>
      <c r="P245" s="36">
        <f>INDEX('建筑建议总览'!$Q$5:$Q$25,MATCH($A245,'建筑建议总览'!$A$5:$A$25,0))</f>
        <v/>
      </c>
      <c r="Q245" s="44">
        <f>INDEX('建筑建议总览'!$R$5:$R$25,MATCH($A245,'建筑建议总览'!$A$5:$A$25,0))</f>
        <v/>
      </c>
      <c r="R245" s="36">
        <f>INDEX('建筑建议总览'!$S$5:$S$25,MATCH($A245,'建筑建议总览'!$A$5:$A$25,0))</f>
        <v/>
      </c>
      <c r="S245" s="36">
        <f>INDEX('建筑建议总览'!$T$5:$T$25,MATCH($A245,'建筑建议总览'!$A$5:$A$25,0))</f>
        <v/>
      </c>
      <c r="T245" s="44">
        <f>POWER(Q245,D245-1)</f>
        <v/>
      </c>
      <c r="U245" s="44">
        <f>SUMIF($A$5:$A$328,$A245,$T$5:$T$328)</f>
        <v/>
      </c>
      <c r="V245" s="36">
        <f>IF(R245&gt;0,ROUNDDOWN(MAX(0,R245-O245*(F245-1))*T245/U245,0),0)</f>
        <v/>
      </c>
      <c r="W245" s="36">
        <f>IF(S245&gt;0,ROUNDDOWN(MAX(0,S245-P245*(F245-1))*T245/U245,0),0)</f>
        <v/>
      </c>
      <c r="X245" s="36">
        <f>IF(R245&gt;0,O245+V245+IF(D245=F245-1,MAX(0,R245-O245*(F245-1)-SUMIF($A$5:$A$328,$A245,$V$5:$V$328)),0),ROUNDUP(O245*POWER(INDEX('建筑总览'!$J$5:$J$25,MATCH($A245,'建筑总览'!$A$5:$A$25,0)),D245),0))</f>
        <v/>
      </c>
      <c r="Y245" s="36">
        <f>IF(P245=0,0,IF(S245&gt;0,P245+W245+IF(D245=F245-1,MAX(0,S245-P245*(F245-1)-SUMIF($A$5:$A$328,$A245,$W$5:$W$328)),0),ROUNDUP(P245*POWER(INDEX('建筑总览'!$J$5:$J$25,MATCH($A245,'建筑总览'!$A$5:$A$25,0)),D245),0)))</f>
        <v/>
      </c>
      <c r="Z245" s="36">
        <f>IF(X245=0,0,MAX(1,ROUNDUP(X245*(1-'参数与公式'!$B$17),0)))</f>
        <v/>
      </c>
      <c r="AA245" s="36">
        <f>IF(Y245=0,0,MAX(1,ROUNDUP(Y245*(1-'参数与公式'!$B$17),0)))</f>
        <v/>
      </c>
      <c r="AB245" s="33" t="inlineStr">
        <is>
          <t>预算模式末级补足余数；旧模式按指数公式</t>
        </is>
      </c>
      <c r="AC245" s="49">
        <f>IF(A245=A244,IFERROR(M245/M244,""),"")</f>
        <v/>
      </c>
      <c r="AD245" s="49">
        <f>IF(AND(A245=A244,X244&gt;0),X245/X244,"")</f>
        <v/>
      </c>
    </row>
    <row r="246" ht="30" customHeight="1">
      <c r="A246" s="33" t="inlineStr">
        <is>
          <t>jiadingfang</t>
        </is>
      </c>
      <c r="B246" s="33" t="inlineStr">
        <is>
          <t>家丁房</t>
        </is>
      </c>
      <c r="C246" s="33" t="inlineStr">
        <is>
          <t>人员管理</t>
        </is>
      </c>
      <c r="D246" s="43" t="n">
        <v>9</v>
      </c>
      <c r="E246" s="36">
        <f>D246+1</f>
        <v/>
      </c>
      <c r="F246" s="43" t="n">
        <v>30</v>
      </c>
      <c r="G246" s="36">
        <f>INDEX('建筑建议总览'!$H$5:$H$25,MATCH($A246,'建筑建议总览'!$A$5:$A$25,0))</f>
        <v/>
      </c>
      <c r="H246" s="44">
        <f>INDEX('建筑建议总览'!$I$5:$I$25,MATCH($A246,'建筑建议总览'!$A$5:$A$25,0))</f>
        <v/>
      </c>
      <c r="I246" s="36">
        <f>INDEX('建筑建议总览'!$J$5:$J$25,MATCH($A246,'建筑建议总览'!$A$5:$A$25,0))</f>
        <v/>
      </c>
      <c r="J246" s="44">
        <f>POWER(H246,D246-1)</f>
        <v/>
      </c>
      <c r="K246" s="44">
        <f>SUMIF($A$5:$A$328,$A246,$J$5:$J$328)</f>
        <v/>
      </c>
      <c r="L246" s="36">
        <f>IF(I246&gt;0,ROUNDDOWN(MAX(0,I246-G246*(F246-1))*J246/K246,0),0)</f>
        <v/>
      </c>
      <c r="M246" s="36">
        <f>IF(I246&gt;0,G246+L246+IF(D246=F246-1,MAX(0,I246-G246*(F246-1)-SUMIF($A$5:$A$328,$A246,$L$5:$L$328)),0),ROUNDUP(G246*POWER(INDEX('建筑总览'!$G$5:$G$25,MATCH($A246,'建筑总览'!$A$5:$A$25,0)),D246),0))</f>
        <v/>
      </c>
      <c r="N246" s="35">
        <f>M246/'参数与公式'!$B$21</f>
        <v/>
      </c>
      <c r="O246" s="36">
        <f>INDEX('建筑建议总览'!$P$5:$P$25,MATCH($A246,'建筑建议总览'!$A$5:$A$25,0))</f>
        <v/>
      </c>
      <c r="P246" s="36">
        <f>INDEX('建筑建议总览'!$Q$5:$Q$25,MATCH($A246,'建筑建议总览'!$A$5:$A$25,0))</f>
        <v/>
      </c>
      <c r="Q246" s="44">
        <f>INDEX('建筑建议总览'!$R$5:$R$25,MATCH($A246,'建筑建议总览'!$A$5:$A$25,0))</f>
        <v/>
      </c>
      <c r="R246" s="36">
        <f>INDEX('建筑建议总览'!$S$5:$S$25,MATCH($A246,'建筑建议总览'!$A$5:$A$25,0))</f>
        <v/>
      </c>
      <c r="S246" s="36">
        <f>INDEX('建筑建议总览'!$T$5:$T$25,MATCH($A246,'建筑建议总览'!$A$5:$A$25,0))</f>
        <v/>
      </c>
      <c r="T246" s="44">
        <f>POWER(Q246,D246-1)</f>
        <v/>
      </c>
      <c r="U246" s="44">
        <f>SUMIF($A$5:$A$328,$A246,$T$5:$T$328)</f>
        <v/>
      </c>
      <c r="V246" s="36">
        <f>IF(R246&gt;0,ROUNDDOWN(MAX(0,R246-O246*(F246-1))*T246/U246,0),0)</f>
        <v/>
      </c>
      <c r="W246" s="36">
        <f>IF(S246&gt;0,ROUNDDOWN(MAX(0,S246-P246*(F246-1))*T246/U246,0),0)</f>
        <v/>
      </c>
      <c r="X246" s="36">
        <f>IF(R246&gt;0,O246+V246+IF(D246=F246-1,MAX(0,R246-O246*(F246-1)-SUMIF($A$5:$A$328,$A246,$V$5:$V$328)),0),ROUNDUP(O246*POWER(INDEX('建筑总览'!$J$5:$J$25,MATCH($A246,'建筑总览'!$A$5:$A$25,0)),D246),0))</f>
        <v/>
      </c>
      <c r="Y246" s="36">
        <f>IF(P246=0,0,IF(S246&gt;0,P246+W246+IF(D246=F246-1,MAX(0,S246-P246*(F246-1)-SUMIF($A$5:$A$328,$A246,$W$5:$W$328)),0),ROUNDUP(P246*POWER(INDEX('建筑总览'!$J$5:$J$25,MATCH($A246,'建筑总览'!$A$5:$A$25,0)),D246),0)))</f>
        <v/>
      </c>
      <c r="Z246" s="36">
        <f>IF(X246=0,0,MAX(1,ROUNDUP(X246*(1-'参数与公式'!$B$17),0)))</f>
        <v/>
      </c>
      <c r="AA246" s="36">
        <f>IF(Y246=0,0,MAX(1,ROUNDUP(Y246*(1-'参数与公式'!$B$17),0)))</f>
        <v/>
      </c>
      <c r="AB246" s="33" t="inlineStr">
        <is>
          <t>预算模式末级补足余数；旧模式按指数公式</t>
        </is>
      </c>
      <c r="AC246" s="49">
        <f>IF(A246=A245,IFERROR(M246/M245,""),"")</f>
        <v/>
      </c>
      <c r="AD246" s="49">
        <f>IF(AND(A246=A245,X245&gt;0),X246/X245,"")</f>
        <v/>
      </c>
    </row>
    <row r="247" ht="30" customHeight="1">
      <c r="A247" s="33" t="inlineStr">
        <is>
          <t>jiadingfang</t>
        </is>
      </c>
      <c r="B247" s="33" t="inlineStr">
        <is>
          <t>家丁房</t>
        </is>
      </c>
      <c r="C247" s="33" t="inlineStr">
        <is>
          <t>人员管理</t>
        </is>
      </c>
      <c r="D247" s="43" t="n">
        <v>10</v>
      </c>
      <c r="E247" s="36">
        <f>D247+1</f>
        <v/>
      </c>
      <c r="F247" s="43" t="n">
        <v>30</v>
      </c>
      <c r="G247" s="36">
        <f>INDEX('建筑建议总览'!$H$5:$H$25,MATCH($A247,'建筑建议总览'!$A$5:$A$25,0))</f>
        <v/>
      </c>
      <c r="H247" s="44">
        <f>INDEX('建筑建议总览'!$I$5:$I$25,MATCH($A247,'建筑建议总览'!$A$5:$A$25,0))</f>
        <v/>
      </c>
      <c r="I247" s="36">
        <f>INDEX('建筑建议总览'!$J$5:$J$25,MATCH($A247,'建筑建议总览'!$A$5:$A$25,0))</f>
        <v/>
      </c>
      <c r="J247" s="44">
        <f>POWER(H247,D247-1)</f>
        <v/>
      </c>
      <c r="K247" s="44">
        <f>SUMIF($A$5:$A$328,$A247,$J$5:$J$328)</f>
        <v/>
      </c>
      <c r="L247" s="36">
        <f>IF(I247&gt;0,ROUNDDOWN(MAX(0,I247-G247*(F247-1))*J247/K247,0),0)</f>
        <v/>
      </c>
      <c r="M247" s="36">
        <f>IF(I247&gt;0,G247+L247+IF(D247=F247-1,MAX(0,I247-G247*(F247-1)-SUMIF($A$5:$A$328,$A247,$L$5:$L$328)),0),ROUNDUP(G247*POWER(INDEX('建筑总览'!$G$5:$G$25,MATCH($A247,'建筑总览'!$A$5:$A$25,0)),D247),0))</f>
        <v/>
      </c>
      <c r="N247" s="35">
        <f>M247/'参数与公式'!$B$21</f>
        <v/>
      </c>
      <c r="O247" s="36">
        <f>INDEX('建筑建议总览'!$P$5:$P$25,MATCH($A247,'建筑建议总览'!$A$5:$A$25,0))</f>
        <v/>
      </c>
      <c r="P247" s="36">
        <f>INDEX('建筑建议总览'!$Q$5:$Q$25,MATCH($A247,'建筑建议总览'!$A$5:$A$25,0))</f>
        <v/>
      </c>
      <c r="Q247" s="44">
        <f>INDEX('建筑建议总览'!$R$5:$R$25,MATCH($A247,'建筑建议总览'!$A$5:$A$25,0))</f>
        <v/>
      </c>
      <c r="R247" s="36">
        <f>INDEX('建筑建议总览'!$S$5:$S$25,MATCH($A247,'建筑建议总览'!$A$5:$A$25,0))</f>
        <v/>
      </c>
      <c r="S247" s="36">
        <f>INDEX('建筑建议总览'!$T$5:$T$25,MATCH($A247,'建筑建议总览'!$A$5:$A$25,0))</f>
        <v/>
      </c>
      <c r="T247" s="44">
        <f>POWER(Q247,D247-1)</f>
        <v/>
      </c>
      <c r="U247" s="44">
        <f>SUMIF($A$5:$A$328,$A247,$T$5:$T$328)</f>
        <v/>
      </c>
      <c r="V247" s="36">
        <f>IF(R247&gt;0,ROUNDDOWN(MAX(0,R247-O247*(F247-1))*T247/U247,0),0)</f>
        <v/>
      </c>
      <c r="W247" s="36">
        <f>IF(S247&gt;0,ROUNDDOWN(MAX(0,S247-P247*(F247-1))*T247/U247,0),0)</f>
        <v/>
      </c>
      <c r="X247" s="36">
        <f>IF(R247&gt;0,O247+V247+IF(D247=F247-1,MAX(0,R247-O247*(F247-1)-SUMIF($A$5:$A$328,$A247,$V$5:$V$328)),0),ROUNDUP(O247*POWER(INDEX('建筑总览'!$J$5:$J$25,MATCH($A247,'建筑总览'!$A$5:$A$25,0)),D247),0))</f>
        <v/>
      </c>
      <c r="Y247" s="36">
        <f>IF(P247=0,0,IF(S247&gt;0,P247+W247+IF(D247=F247-1,MAX(0,S247-P247*(F247-1)-SUMIF($A$5:$A$328,$A247,$W$5:$W$328)),0),ROUNDUP(P247*POWER(INDEX('建筑总览'!$J$5:$J$25,MATCH($A247,'建筑总览'!$A$5:$A$25,0)),D247),0)))</f>
        <v/>
      </c>
      <c r="Z247" s="36">
        <f>IF(X247=0,0,MAX(1,ROUNDUP(X247*(1-'参数与公式'!$B$17),0)))</f>
        <v/>
      </c>
      <c r="AA247" s="36">
        <f>IF(Y247=0,0,MAX(1,ROUNDUP(Y247*(1-'参数与公式'!$B$17),0)))</f>
        <v/>
      </c>
      <c r="AB247" s="33" t="inlineStr">
        <is>
          <t>预算模式末级补足余数；旧模式按指数公式</t>
        </is>
      </c>
      <c r="AC247" s="49">
        <f>IF(A247=A246,IFERROR(M247/M246,""),"")</f>
        <v/>
      </c>
      <c r="AD247" s="49">
        <f>IF(AND(A247=A246,X246&gt;0),X247/X246,"")</f>
        <v/>
      </c>
    </row>
    <row r="248" ht="30" customHeight="1">
      <c r="A248" s="33" t="inlineStr">
        <is>
          <t>jiadingfang</t>
        </is>
      </c>
      <c r="B248" s="33" t="inlineStr">
        <is>
          <t>家丁房</t>
        </is>
      </c>
      <c r="C248" s="33" t="inlineStr">
        <is>
          <t>人员管理</t>
        </is>
      </c>
      <c r="D248" s="43" t="n">
        <v>11</v>
      </c>
      <c r="E248" s="36">
        <f>D248+1</f>
        <v/>
      </c>
      <c r="F248" s="43" t="n">
        <v>30</v>
      </c>
      <c r="G248" s="36">
        <f>INDEX('建筑建议总览'!$H$5:$H$25,MATCH($A248,'建筑建议总览'!$A$5:$A$25,0))</f>
        <v/>
      </c>
      <c r="H248" s="44">
        <f>INDEX('建筑建议总览'!$I$5:$I$25,MATCH($A248,'建筑建议总览'!$A$5:$A$25,0))</f>
        <v/>
      </c>
      <c r="I248" s="36">
        <f>INDEX('建筑建议总览'!$J$5:$J$25,MATCH($A248,'建筑建议总览'!$A$5:$A$25,0))</f>
        <v/>
      </c>
      <c r="J248" s="44">
        <f>POWER(H248,D248-1)</f>
        <v/>
      </c>
      <c r="K248" s="44">
        <f>SUMIF($A$5:$A$328,$A248,$J$5:$J$328)</f>
        <v/>
      </c>
      <c r="L248" s="36">
        <f>IF(I248&gt;0,ROUNDDOWN(MAX(0,I248-G248*(F248-1))*J248/K248,0),0)</f>
        <v/>
      </c>
      <c r="M248" s="36">
        <f>IF(I248&gt;0,G248+L248+IF(D248=F248-1,MAX(0,I248-G248*(F248-1)-SUMIF($A$5:$A$328,$A248,$L$5:$L$328)),0),ROUNDUP(G248*POWER(INDEX('建筑总览'!$G$5:$G$25,MATCH($A248,'建筑总览'!$A$5:$A$25,0)),D248),0))</f>
        <v/>
      </c>
      <c r="N248" s="35">
        <f>M248/'参数与公式'!$B$21</f>
        <v/>
      </c>
      <c r="O248" s="36">
        <f>INDEX('建筑建议总览'!$P$5:$P$25,MATCH($A248,'建筑建议总览'!$A$5:$A$25,0))</f>
        <v/>
      </c>
      <c r="P248" s="36">
        <f>INDEX('建筑建议总览'!$Q$5:$Q$25,MATCH($A248,'建筑建议总览'!$A$5:$A$25,0))</f>
        <v/>
      </c>
      <c r="Q248" s="44">
        <f>INDEX('建筑建议总览'!$R$5:$R$25,MATCH($A248,'建筑建议总览'!$A$5:$A$25,0))</f>
        <v/>
      </c>
      <c r="R248" s="36">
        <f>INDEX('建筑建议总览'!$S$5:$S$25,MATCH($A248,'建筑建议总览'!$A$5:$A$25,0))</f>
        <v/>
      </c>
      <c r="S248" s="36">
        <f>INDEX('建筑建议总览'!$T$5:$T$25,MATCH($A248,'建筑建议总览'!$A$5:$A$25,0))</f>
        <v/>
      </c>
      <c r="T248" s="44">
        <f>POWER(Q248,D248-1)</f>
        <v/>
      </c>
      <c r="U248" s="44">
        <f>SUMIF($A$5:$A$328,$A248,$T$5:$T$328)</f>
        <v/>
      </c>
      <c r="V248" s="36">
        <f>IF(R248&gt;0,ROUNDDOWN(MAX(0,R248-O248*(F248-1))*T248/U248,0),0)</f>
        <v/>
      </c>
      <c r="W248" s="36">
        <f>IF(S248&gt;0,ROUNDDOWN(MAX(0,S248-P248*(F248-1))*T248/U248,0),0)</f>
        <v/>
      </c>
      <c r="X248" s="36">
        <f>IF(R248&gt;0,O248+V248+IF(D248=F248-1,MAX(0,R248-O248*(F248-1)-SUMIF($A$5:$A$328,$A248,$V$5:$V$328)),0),ROUNDUP(O248*POWER(INDEX('建筑总览'!$J$5:$J$25,MATCH($A248,'建筑总览'!$A$5:$A$25,0)),D248),0))</f>
        <v/>
      </c>
      <c r="Y248" s="36">
        <f>IF(P248=0,0,IF(S248&gt;0,P248+W248+IF(D248=F248-1,MAX(0,S248-P248*(F248-1)-SUMIF($A$5:$A$328,$A248,$W$5:$W$328)),0),ROUNDUP(P248*POWER(INDEX('建筑总览'!$J$5:$J$25,MATCH($A248,'建筑总览'!$A$5:$A$25,0)),D248),0)))</f>
        <v/>
      </c>
      <c r="Z248" s="36">
        <f>IF(X248=0,0,MAX(1,ROUNDUP(X248*(1-'参数与公式'!$B$17),0)))</f>
        <v/>
      </c>
      <c r="AA248" s="36">
        <f>IF(Y248=0,0,MAX(1,ROUNDUP(Y248*(1-'参数与公式'!$B$17),0)))</f>
        <v/>
      </c>
      <c r="AB248" s="33" t="inlineStr">
        <is>
          <t>预算模式末级补足余数；旧模式按指数公式</t>
        </is>
      </c>
      <c r="AC248" s="49">
        <f>IF(A248=A247,IFERROR(M248/M247,""),"")</f>
        <v/>
      </c>
      <c r="AD248" s="49">
        <f>IF(AND(A248=A247,X247&gt;0),X248/X247,"")</f>
        <v/>
      </c>
    </row>
    <row r="249" ht="30" customHeight="1">
      <c r="A249" s="33" t="inlineStr">
        <is>
          <t>jiadingfang</t>
        </is>
      </c>
      <c r="B249" s="33" t="inlineStr">
        <is>
          <t>家丁房</t>
        </is>
      </c>
      <c r="C249" s="33" t="inlineStr">
        <is>
          <t>人员管理</t>
        </is>
      </c>
      <c r="D249" s="43" t="n">
        <v>12</v>
      </c>
      <c r="E249" s="36">
        <f>D249+1</f>
        <v/>
      </c>
      <c r="F249" s="43" t="n">
        <v>30</v>
      </c>
      <c r="G249" s="36">
        <f>INDEX('建筑建议总览'!$H$5:$H$25,MATCH($A249,'建筑建议总览'!$A$5:$A$25,0))</f>
        <v/>
      </c>
      <c r="H249" s="44">
        <f>INDEX('建筑建议总览'!$I$5:$I$25,MATCH($A249,'建筑建议总览'!$A$5:$A$25,0))</f>
        <v/>
      </c>
      <c r="I249" s="36">
        <f>INDEX('建筑建议总览'!$J$5:$J$25,MATCH($A249,'建筑建议总览'!$A$5:$A$25,0))</f>
        <v/>
      </c>
      <c r="J249" s="44">
        <f>POWER(H249,D249-1)</f>
        <v/>
      </c>
      <c r="K249" s="44">
        <f>SUMIF($A$5:$A$328,$A249,$J$5:$J$328)</f>
        <v/>
      </c>
      <c r="L249" s="36">
        <f>IF(I249&gt;0,ROUNDDOWN(MAX(0,I249-G249*(F249-1))*J249/K249,0),0)</f>
        <v/>
      </c>
      <c r="M249" s="36">
        <f>IF(I249&gt;0,G249+L249+IF(D249=F249-1,MAX(0,I249-G249*(F249-1)-SUMIF($A$5:$A$328,$A249,$L$5:$L$328)),0),ROUNDUP(G249*POWER(INDEX('建筑总览'!$G$5:$G$25,MATCH($A249,'建筑总览'!$A$5:$A$25,0)),D249),0))</f>
        <v/>
      </c>
      <c r="N249" s="35">
        <f>M249/'参数与公式'!$B$21</f>
        <v/>
      </c>
      <c r="O249" s="36">
        <f>INDEX('建筑建议总览'!$P$5:$P$25,MATCH($A249,'建筑建议总览'!$A$5:$A$25,0))</f>
        <v/>
      </c>
      <c r="P249" s="36">
        <f>INDEX('建筑建议总览'!$Q$5:$Q$25,MATCH($A249,'建筑建议总览'!$A$5:$A$25,0))</f>
        <v/>
      </c>
      <c r="Q249" s="44">
        <f>INDEX('建筑建议总览'!$R$5:$R$25,MATCH($A249,'建筑建议总览'!$A$5:$A$25,0))</f>
        <v/>
      </c>
      <c r="R249" s="36">
        <f>INDEX('建筑建议总览'!$S$5:$S$25,MATCH($A249,'建筑建议总览'!$A$5:$A$25,0))</f>
        <v/>
      </c>
      <c r="S249" s="36">
        <f>INDEX('建筑建议总览'!$T$5:$T$25,MATCH($A249,'建筑建议总览'!$A$5:$A$25,0))</f>
        <v/>
      </c>
      <c r="T249" s="44">
        <f>POWER(Q249,D249-1)</f>
        <v/>
      </c>
      <c r="U249" s="44">
        <f>SUMIF($A$5:$A$328,$A249,$T$5:$T$328)</f>
        <v/>
      </c>
      <c r="V249" s="36">
        <f>IF(R249&gt;0,ROUNDDOWN(MAX(0,R249-O249*(F249-1))*T249/U249,0),0)</f>
        <v/>
      </c>
      <c r="W249" s="36">
        <f>IF(S249&gt;0,ROUNDDOWN(MAX(0,S249-P249*(F249-1))*T249/U249,0),0)</f>
        <v/>
      </c>
      <c r="X249" s="36">
        <f>IF(R249&gt;0,O249+V249+IF(D249=F249-1,MAX(0,R249-O249*(F249-1)-SUMIF($A$5:$A$328,$A249,$V$5:$V$328)),0),ROUNDUP(O249*POWER(INDEX('建筑总览'!$J$5:$J$25,MATCH($A249,'建筑总览'!$A$5:$A$25,0)),D249),0))</f>
        <v/>
      </c>
      <c r="Y249" s="36">
        <f>IF(P249=0,0,IF(S249&gt;0,P249+W249+IF(D249=F249-1,MAX(0,S249-P249*(F249-1)-SUMIF($A$5:$A$328,$A249,$W$5:$W$328)),0),ROUNDUP(P249*POWER(INDEX('建筑总览'!$J$5:$J$25,MATCH($A249,'建筑总览'!$A$5:$A$25,0)),D249),0)))</f>
        <v/>
      </c>
      <c r="Z249" s="36">
        <f>IF(X249=0,0,MAX(1,ROUNDUP(X249*(1-'参数与公式'!$B$17),0)))</f>
        <v/>
      </c>
      <c r="AA249" s="36">
        <f>IF(Y249=0,0,MAX(1,ROUNDUP(Y249*(1-'参数与公式'!$B$17),0)))</f>
        <v/>
      </c>
      <c r="AB249" s="33" t="inlineStr">
        <is>
          <t>预算模式末级补足余数；旧模式按指数公式</t>
        </is>
      </c>
      <c r="AC249" s="49">
        <f>IF(A249=A248,IFERROR(M249/M248,""),"")</f>
        <v/>
      </c>
      <c r="AD249" s="49">
        <f>IF(AND(A249=A248,X248&gt;0),X249/X248,"")</f>
        <v/>
      </c>
    </row>
    <row r="250" ht="30" customHeight="1">
      <c r="A250" s="33" t="inlineStr">
        <is>
          <t>jiadingfang</t>
        </is>
      </c>
      <c r="B250" s="33" t="inlineStr">
        <is>
          <t>家丁房</t>
        </is>
      </c>
      <c r="C250" s="33" t="inlineStr">
        <is>
          <t>人员管理</t>
        </is>
      </c>
      <c r="D250" s="43" t="n">
        <v>13</v>
      </c>
      <c r="E250" s="36">
        <f>D250+1</f>
        <v/>
      </c>
      <c r="F250" s="43" t="n">
        <v>30</v>
      </c>
      <c r="G250" s="36">
        <f>INDEX('建筑建议总览'!$H$5:$H$25,MATCH($A250,'建筑建议总览'!$A$5:$A$25,0))</f>
        <v/>
      </c>
      <c r="H250" s="44">
        <f>INDEX('建筑建议总览'!$I$5:$I$25,MATCH($A250,'建筑建议总览'!$A$5:$A$25,0))</f>
        <v/>
      </c>
      <c r="I250" s="36">
        <f>INDEX('建筑建议总览'!$J$5:$J$25,MATCH($A250,'建筑建议总览'!$A$5:$A$25,0))</f>
        <v/>
      </c>
      <c r="J250" s="44">
        <f>POWER(H250,D250-1)</f>
        <v/>
      </c>
      <c r="K250" s="44">
        <f>SUMIF($A$5:$A$328,$A250,$J$5:$J$328)</f>
        <v/>
      </c>
      <c r="L250" s="36">
        <f>IF(I250&gt;0,ROUNDDOWN(MAX(0,I250-G250*(F250-1))*J250/K250,0),0)</f>
        <v/>
      </c>
      <c r="M250" s="36">
        <f>IF(I250&gt;0,G250+L250+IF(D250=F250-1,MAX(0,I250-G250*(F250-1)-SUMIF($A$5:$A$328,$A250,$L$5:$L$328)),0),ROUNDUP(G250*POWER(INDEX('建筑总览'!$G$5:$G$25,MATCH($A250,'建筑总览'!$A$5:$A$25,0)),D250),0))</f>
        <v/>
      </c>
      <c r="N250" s="35">
        <f>M250/'参数与公式'!$B$21</f>
        <v/>
      </c>
      <c r="O250" s="36">
        <f>INDEX('建筑建议总览'!$P$5:$P$25,MATCH($A250,'建筑建议总览'!$A$5:$A$25,0))</f>
        <v/>
      </c>
      <c r="P250" s="36">
        <f>INDEX('建筑建议总览'!$Q$5:$Q$25,MATCH($A250,'建筑建议总览'!$A$5:$A$25,0))</f>
        <v/>
      </c>
      <c r="Q250" s="44">
        <f>INDEX('建筑建议总览'!$R$5:$R$25,MATCH($A250,'建筑建议总览'!$A$5:$A$25,0))</f>
        <v/>
      </c>
      <c r="R250" s="36">
        <f>INDEX('建筑建议总览'!$S$5:$S$25,MATCH($A250,'建筑建议总览'!$A$5:$A$25,0))</f>
        <v/>
      </c>
      <c r="S250" s="36">
        <f>INDEX('建筑建议总览'!$T$5:$T$25,MATCH($A250,'建筑建议总览'!$A$5:$A$25,0))</f>
        <v/>
      </c>
      <c r="T250" s="44">
        <f>POWER(Q250,D250-1)</f>
        <v/>
      </c>
      <c r="U250" s="44">
        <f>SUMIF($A$5:$A$328,$A250,$T$5:$T$328)</f>
        <v/>
      </c>
      <c r="V250" s="36">
        <f>IF(R250&gt;0,ROUNDDOWN(MAX(0,R250-O250*(F250-1))*T250/U250,0),0)</f>
        <v/>
      </c>
      <c r="W250" s="36">
        <f>IF(S250&gt;0,ROUNDDOWN(MAX(0,S250-P250*(F250-1))*T250/U250,0),0)</f>
        <v/>
      </c>
      <c r="X250" s="36">
        <f>IF(R250&gt;0,O250+V250+IF(D250=F250-1,MAX(0,R250-O250*(F250-1)-SUMIF($A$5:$A$328,$A250,$V$5:$V$328)),0),ROUNDUP(O250*POWER(INDEX('建筑总览'!$J$5:$J$25,MATCH($A250,'建筑总览'!$A$5:$A$25,0)),D250),0))</f>
        <v/>
      </c>
      <c r="Y250" s="36">
        <f>IF(P250=0,0,IF(S250&gt;0,P250+W250+IF(D250=F250-1,MAX(0,S250-P250*(F250-1)-SUMIF($A$5:$A$328,$A250,$W$5:$W$328)),0),ROUNDUP(P250*POWER(INDEX('建筑总览'!$J$5:$J$25,MATCH($A250,'建筑总览'!$A$5:$A$25,0)),D250),0)))</f>
        <v/>
      </c>
      <c r="Z250" s="36">
        <f>IF(X250=0,0,MAX(1,ROUNDUP(X250*(1-'参数与公式'!$B$17),0)))</f>
        <v/>
      </c>
      <c r="AA250" s="36">
        <f>IF(Y250=0,0,MAX(1,ROUNDUP(Y250*(1-'参数与公式'!$B$17),0)))</f>
        <v/>
      </c>
      <c r="AB250" s="33" t="inlineStr">
        <is>
          <t>预算模式末级补足余数；旧模式按指数公式</t>
        </is>
      </c>
      <c r="AC250" s="49">
        <f>IF(A250=A249,IFERROR(M250/M249,""),"")</f>
        <v/>
      </c>
      <c r="AD250" s="49">
        <f>IF(AND(A250=A249,X249&gt;0),X250/X249,"")</f>
        <v/>
      </c>
    </row>
    <row r="251" ht="30" customHeight="1">
      <c r="A251" s="33" t="inlineStr">
        <is>
          <t>jiadingfang</t>
        </is>
      </c>
      <c r="B251" s="33" t="inlineStr">
        <is>
          <t>家丁房</t>
        </is>
      </c>
      <c r="C251" s="33" t="inlineStr">
        <is>
          <t>人员管理</t>
        </is>
      </c>
      <c r="D251" s="43" t="n">
        <v>14</v>
      </c>
      <c r="E251" s="36">
        <f>D251+1</f>
        <v/>
      </c>
      <c r="F251" s="43" t="n">
        <v>30</v>
      </c>
      <c r="G251" s="36">
        <f>INDEX('建筑建议总览'!$H$5:$H$25,MATCH($A251,'建筑建议总览'!$A$5:$A$25,0))</f>
        <v/>
      </c>
      <c r="H251" s="44">
        <f>INDEX('建筑建议总览'!$I$5:$I$25,MATCH($A251,'建筑建议总览'!$A$5:$A$25,0))</f>
        <v/>
      </c>
      <c r="I251" s="36">
        <f>INDEX('建筑建议总览'!$J$5:$J$25,MATCH($A251,'建筑建议总览'!$A$5:$A$25,0))</f>
        <v/>
      </c>
      <c r="J251" s="44">
        <f>POWER(H251,D251-1)</f>
        <v/>
      </c>
      <c r="K251" s="44">
        <f>SUMIF($A$5:$A$328,$A251,$J$5:$J$328)</f>
        <v/>
      </c>
      <c r="L251" s="36">
        <f>IF(I251&gt;0,ROUNDDOWN(MAX(0,I251-G251*(F251-1))*J251/K251,0),0)</f>
        <v/>
      </c>
      <c r="M251" s="36">
        <f>IF(I251&gt;0,G251+L251+IF(D251=F251-1,MAX(0,I251-G251*(F251-1)-SUMIF($A$5:$A$328,$A251,$L$5:$L$328)),0),ROUNDUP(G251*POWER(INDEX('建筑总览'!$G$5:$G$25,MATCH($A251,'建筑总览'!$A$5:$A$25,0)),D251),0))</f>
        <v/>
      </c>
      <c r="N251" s="35">
        <f>M251/'参数与公式'!$B$21</f>
        <v/>
      </c>
      <c r="O251" s="36">
        <f>INDEX('建筑建议总览'!$P$5:$P$25,MATCH($A251,'建筑建议总览'!$A$5:$A$25,0))</f>
        <v/>
      </c>
      <c r="P251" s="36">
        <f>INDEX('建筑建议总览'!$Q$5:$Q$25,MATCH($A251,'建筑建议总览'!$A$5:$A$25,0))</f>
        <v/>
      </c>
      <c r="Q251" s="44">
        <f>INDEX('建筑建议总览'!$R$5:$R$25,MATCH($A251,'建筑建议总览'!$A$5:$A$25,0))</f>
        <v/>
      </c>
      <c r="R251" s="36">
        <f>INDEX('建筑建议总览'!$S$5:$S$25,MATCH($A251,'建筑建议总览'!$A$5:$A$25,0))</f>
        <v/>
      </c>
      <c r="S251" s="36">
        <f>INDEX('建筑建议总览'!$T$5:$T$25,MATCH($A251,'建筑建议总览'!$A$5:$A$25,0))</f>
        <v/>
      </c>
      <c r="T251" s="44">
        <f>POWER(Q251,D251-1)</f>
        <v/>
      </c>
      <c r="U251" s="44">
        <f>SUMIF($A$5:$A$328,$A251,$T$5:$T$328)</f>
        <v/>
      </c>
      <c r="V251" s="36">
        <f>IF(R251&gt;0,ROUNDDOWN(MAX(0,R251-O251*(F251-1))*T251/U251,0),0)</f>
        <v/>
      </c>
      <c r="W251" s="36">
        <f>IF(S251&gt;0,ROUNDDOWN(MAX(0,S251-P251*(F251-1))*T251/U251,0),0)</f>
        <v/>
      </c>
      <c r="X251" s="36">
        <f>IF(R251&gt;0,O251+V251+IF(D251=F251-1,MAX(0,R251-O251*(F251-1)-SUMIF($A$5:$A$328,$A251,$V$5:$V$328)),0),ROUNDUP(O251*POWER(INDEX('建筑总览'!$J$5:$J$25,MATCH($A251,'建筑总览'!$A$5:$A$25,0)),D251),0))</f>
        <v/>
      </c>
      <c r="Y251" s="36">
        <f>IF(P251=0,0,IF(S251&gt;0,P251+W251+IF(D251=F251-1,MAX(0,S251-P251*(F251-1)-SUMIF($A$5:$A$328,$A251,$W$5:$W$328)),0),ROUNDUP(P251*POWER(INDEX('建筑总览'!$J$5:$J$25,MATCH($A251,'建筑总览'!$A$5:$A$25,0)),D251),0)))</f>
        <v/>
      </c>
      <c r="Z251" s="36">
        <f>IF(X251=0,0,MAX(1,ROUNDUP(X251*(1-'参数与公式'!$B$17),0)))</f>
        <v/>
      </c>
      <c r="AA251" s="36">
        <f>IF(Y251=0,0,MAX(1,ROUNDUP(Y251*(1-'参数与公式'!$B$17),0)))</f>
        <v/>
      </c>
      <c r="AB251" s="33" t="inlineStr">
        <is>
          <t>预算模式末级补足余数；旧模式按指数公式</t>
        </is>
      </c>
      <c r="AC251" s="49">
        <f>IF(A251=A250,IFERROR(M251/M250,""),"")</f>
        <v/>
      </c>
      <c r="AD251" s="49">
        <f>IF(AND(A251=A250,X250&gt;0),X251/X250,"")</f>
        <v/>
      </c>
    </row>
    <row r="252" ht="30" customHeight="1">
      <c r="A252" s="33" t="inlineStr">
        <is>
          <t>jiadingfang</t>
        </is>
      </c>
      <c r="B252" s="33" t="inlineStr">
        <is>
          <t>家丁房</t>
        </is>
      </c>
      <c r="C252" s="33" t="inlineStr">
        <is>
          <t>人员管理</t>
        </is>
      </c>
      <c r="D252" s="43" t="n">
        <v>15</v>
      </c>
      <c r="E252" s="36">
        <f>D252+1</f>
        <v/>
      </c>
      <c r="F252" s="43" t="n">
        <v>30</v>
      </c>
      <c r="G252" s="36">
        <f>INDEX('建筑建议总览'!$H$5:$H$25,MATCH($A252,'建筑建议总览'!$A$5:$A$25,0))</f>
        <v/>
      </c>
      <c r="H252" s="44">
        <f>INDEX('建筑建议总览'!$I$5:$I$25,MATCH($A252,'建筑建议总览'!$A$5:$A$25,0))</f>
        <v/>
      </c>
      <c r="I252" s="36">
        <f>INDEX('建筑建议总览'!$J$5:$J$25,MATCH($A252,'建筑建议总览'!$A$5:$A$25,0))</f>
        <v/>
      </c>
      <c r="J252" s="44">
        <f>POWER(H252,D252-1)</f>
        <v/>
      </c>
      <c r="K252" s="44">
        <f>SUMIF($A$5:$A$328,$A252,$J$5:$J$328)</f>
        <v/>
      </c>
      <c r="L252" s="36">
        <f>IF(I252&gt;0,ROUNDDOWN(MAX(0,I252-G252*(F252-1))*J252/K252,0),0)</f>
        <v/>
      </c>
      <c r="M252" s="36">
        <f>IF(I252&gt;0,G252+L252+IF(D252=F252-1,MAX(0,I252-G252*(F252-1)-SUMIF($A$5:$A$328,$A252,$L$5:$L$328)),0),ROUNDUP(G252*POWER(INDEX('建筑总览'!$G$5:$G$25,MATCH($A252,'建筑总览'!$A$5:$A$25,0)),D252),0))</f>
        <v/>
      </c>
      <c r="N252" s="35">
        <f>M252/'参数与公式'!$B$21</f>
        <v/>
      </c>
      <c r="O252" s="36">
        <f>INDEX('建筑建议总览'!$P$5:$P$25,MATCH($A252,'建筑建议总览'!$A$5:$A$25,0))</f>
        <v/>
      </c>
      <c r="P252" s="36">
        <f>INDEX('建筑建议总览'!$Q$5:$Q$25,MATCH($A252,'建筑建议总览'!$A$5:$A$25,0))</f>
        <v/>
      </c>
      <c r="Q252" s="44">
        <f>INDEX('建筑建议总览'!$R$5:$R$25,MATCH($A252,'建筑建议总览'!$A$5:$A$25,0))</f>
        <v/>
      </c>
      <c r="R252" s="36">
        <f>INDEX('建筑建议总览'!$S$5:$S$25,MATCH($A252,'建筑建议总览'!$A$5:$A$25,0))</f>
        <v/>
      </c>
      <c r="S252" s="36">
        <f>INDEX('建筑建议总览'!$T$5:$T$25,MATCH($A252,'建筑建议总览'!$A$5:$A$25,0))</f>
        <v/>
      </c>
      <c r="T252" s="44">
        <f>POWER(Q252,D252-1)</f>
        <v/>
      </c>
      <c r="U252" s="44">
        <f>SUMIF($A$5:$A$328,$A252,$T$5:$T$328)</f>
        <v/>
      </c>
      <c r="V252" s="36">
        <f>IF(R252&gt;0,ROUNDDOWN(MAX(0,R252-O252*(F252-1))*T252/U252,0),0)</f>
        <v/>
      </c>
      <c r="W252" s="36">
        <f>IF(S252&gt;0,ROUNDDOWN(MAX(0,S252-P252*(F252-1))*T252/U252,0),0)</f>
        <v/>
      </c>
      <c r="X252" s="36">
        <f>IF(R252&gt;0,O252+V252+IF(D252=F252-1,MAX(0,R252-O252*(F252-1)-SUMIF($A$5:$A$328,$A252,$V$5:$V$328)),0),ROUNDUP(O252*POWER(INDEX('建筑总览'!$J$5:$J$25,MATCH($A252,'建筑总览'!$A$5:$A$25,0)),D252),0))</f>
        <v/>
      </c>
      <c r="Y252" s="36">
        <f>IF(P252=0,0,IF(S252&gt;0,P252+W252+IF(D252=F252-1,MAX(0,S252-P252*(F252-1)-SUMIF($A$5:$A$328,$A252,$W$5:$W$328)),0),ROUNDUP(P252*POWER(INDEX('建筑总览'!$J$5:$J$25,MATCH($A252,'建筑总览'!$A$5:$A$25,0)),D252),0)))</f>
        <v/>
      </c>
      <c r="Z252" s="36">
        <f>IF(X252=0,0,MAX(1,ROUNDUP(X252*(1-'参数与公式'!$B$17),0)))</f>
        <v/>
      </c>
      <c r="AA252" s="36">
        <f>IF(Y252=0,0,MAX(1,ROUNDUP(Y252*(1-'参数与公式'!$B$17),0)))</f>
        <v/>
      </c>
      <c r="AB252" s="33" t="inlineStr">
        <is>
          <t>预算模式末级补足余数；旧模式按指数公式</t>
        </is>
      </c>
      <c r="AC252" s="49">
        <f>IF(A252=A251,IFERROR(M252/M251,""),"")</f>
        <v/>
      </c>
      <c r="AD252" s="49">
        <f>IF(AND(A252=A251,X251&gt;0),X252/X251,"")</f>
        <v/>
      </c>
    </row>
    <row r="253" ht="30" customHeight="1">
      <c r="A253" s="33" t="inlineStr">
        <is>
          <t>jiadingfang</t>
        </is>
      </c>
      <c r="B253" s="33" t="inlineStr">
        <is>
          <t>家丁房</t>
        </is>
      </c>
      <c r="C253" s="33" t="inlineStr">
        <is>
          <t>人员管理</t>
        </is>
      </c>
      <c r="D253" s="43" t="n">
        <v>16</v>
      </c>
      <c r="E253" s="36">
        <f>D253+1</f>
        <v/>
      </c>
      <c r="F253" s="43" t="n">
        <v>30</v>
      </c>
      <c r="G253" s="36">
        <f>INDEX('建筑建议总览'!$H$5:$H$25,MATCH($A253,'建筑建议总览'!$A$5:$A$25,0))</f>
        <v/>
      </c>
      <c r="H253" s="44">
        <f>INDEX('建筑建议总览'!$I$5:$I$25,MATCH($A253,'建筑建议总览'!$A$5:$A$25,0))</f>
        <v/>
      </c>
      <c r="I253" s="36">
        <f>INDEX('建筑建议总览'!$J$5:$J$25,MATCH($A253,'建筑建议总览'!$A$5:$A$25,0))</f>
        <v/>
      </c>
      <c r="J253" s="44">
        <f>POWER(H253,D253-1)</f>
        <v/>
      </c>
      <c r="K253" s="44">
        <f>SUMIF($A$5:$A$328,$A253,$J$5:$J$328)</f>
        <v/>
      </c>
      <c r="L253" s="36">
        <f>IF(I253&gt;0,ROUNDDOWN(MAX(0,I253-G253*(F253-1))*J253/K253,0),0)</f>
        <v/>
      </c>
      <c r="M253" s="36">
        <f>IF(I253&gt;0,G253+L253+IF(D253=F253-1,MAX(0,I253-G253*(F253-1)-SUMIF($A$5:$A$328,$A253,$L$5:$L$328)),0),ROUNDUP(G253*POWER(INDEX('建筑总览'!$G$5:$G$25,MATCH($A253,'建筑总览'!$A$5:$A$25,0)),D253),0))</f>
        <v/>
      </c>
      <c r="N253" s="35">
        <f>M253/'参数与公式'!$B$21</f>
        <v/>
      </c>
      <c r="O253" s="36">
        <f>INDEX('建筑建议总览'!$P$5:$P$25,MATCH($A253,'建筑建议总览'!$A$5:$A$25,0))</f>
        <v/>
      </c>
      <c r="P253" s="36">
        <f>INDEX('建筑建议总览'!$Q$5:$Q$25,MATCH($A253,'建筑建议总览'!$A$5:$A$25,0))</f>
        <v/>
      </c>
      <c r="Q253" s="44">
        <f>INDEX('建筑建议总览'!$R$5:$R$25,MATCH($A253,'建筑建议总览'!$A$5:$A$25,0))</f>
        <v/>
      </c>
      <c r="R253" s="36">
        <f>INDEX('建筑建议总览'!$S$5:$S$25,MATCH($A253,'建筑建议总览'!$A$5:$A$25,0))</f>
        <v/>
      </c>
      <c r="S253" s="36">
        <f>INDEX('建筑建议总览'!$T$5:$T$25,MATCH($A253,'建筑建议总览'!$A$5:$A$25,0))</f>
        <v/>
      </c>
      <c r="T253" s="44">
        <f>POWER(Q253,D253-1)</f>
        <v/>
      </c>
      <c r="U253" s="44">
        <f>SUMIF($A$5:$A$328,$A253,$T$5:$T$328)</f>
        <v/>
      </c>
      <c r="V253" s="36">
        <f>IF(R253&gt;0,ROUNDDOWN(MAX(0,R253-O253*(F253-1))*T253/U253,0),0)</f>
        <v/>
      </c>
      <c r="W253" s="36">
        <f>IF(S253&gt;0,ROUNDDOWN(MAX(0,S253-P253*(F253-1))*T253/U253,0),0)</f>
        <v/>
      </c>
      <c r="X253" s="36">
        <f>IF(R253&gt;0,O253+V253+IF(D253=F253-1,MAX(0,R253-O253*(F253-1)-SUMIF($A$5:$A$328,$A253,$V$5:$V$328)),0),ROUNDUP(O253*POWER(INDEX('建筑总览'!$J$5:$J$25,MATCH($A253,'建筑总览'!$A$5:$A$25,0)),D253),0))</f>
        <v/>
      </c>
      <c r="Y253" s="36">
        <f>IF(P253=0,0,IF(S253&gt;0,P253+W253+IF(D253=F253-1,MAX(0,S253-P253*(F253-1)-SUMIF($A$5:$A$328,$A253,$W$5:$W$328)),0),ROUNDUP(P253*POWER(INDEX('建筑总览'!$J$5:$J$25,MATCH($A253,'建筑总览'!$A$5:$A$25,0)),D253),0)))</f>
        <v/>
      </c>
      <c r="Z253" s="36">
        <f>IF(X253=0,0,MAX(1,ROUNDUP(X253*(1-'参数与公式'!$B$17),0)))</f>
        <v/>
      </c>
      <c r="AA253" s="36">
        <f>IF(Y253=0,0,MAX(1,ROUNDUP(Y253*(1-'参数与公式'!$B$17),0)))</f>
        <v/>
      </c>
      <c r="AB253" s="33" t="inlineStr">
        <is>
          <t>预算模式末级补足余数；旧模式按指数公式</t>
        </is>
      </c>
      <c r="AC253" s="49">
        <f>IF(A253=A252,IFERROR(M253/M252,""),"")</f>
        <v/>
      </c>
      <c r="AD253" s="49">
        <f>IF(AND(A253=A252,X252&gt;0),X253/X252,"")</f>
        <v/>
      </c>
    </row>
    <row r="254" ht="30" customHeight="1">
      <c r="A254" s="33" t="inlineStr">
        <is>
          <t>jiadingfang</t>
        </is>
      </c>
      <c r="B254" s="33" t="inlineStr">
        <is>
          <t>家丁房</t>
        </is>
      </c>
      <c r="C254" s="33" t="inlineStr">
        <is>
          <t>人员管理</t>
        </is>
      </c>
      <c r="D254" s="43" t="n">
        <v>17</v>
      </c>
      <c r="E254" s="36">
        <f>D254+1</f>
        <v/>
      </c>
      <c r="F254" s="43" t="n">
        <v>30</v>
      </c>
      <c r="G254" s="36">
        <f>INDEX('建筑建议总览'!$H$5:$H$25,MATCH($A254,'建筑建议总览'!$A$5:$A$25,0))</f>
        <v/>
      </c>
      <c r="H254" s="44">
        <f>INDEX('建筑建议总览'!$I$5:$I$25,MATCH($A254,'建筑建议总览'!$A$5:$A$25,0))</f>
        <v/>
      </c>
      <c r="I254" s="36">
        <f>INDEX('建筑建议总览'!$J$5:$J$25,MATCH($A254,'建筑建议总览'!$A$5:$A$25,0))</f>
        <v/>
      </c>
      <c r="J254" s="44">
        <f>POWER(H254,D254-1)</f>
        <v/>
      </c>
      <c r="K254" s="44">
        <f>SUMIF($A$5:$A$328,$A254,$J$5:$J$328)</f>
        <v/>
      </c>
      <c r="L254" s="36">
        <f>IF(I254&gt;0,ROUNDDOWN(MAX(0,I254-G254*(F254-1))*J254/K254,0),0)</f>
        <v/>
      </c>
      <c r="M254" s="36">
        <f>IF(I254&gt;0,G254+L254+IF(D254=F254-1,MAX(0,I254-G254*(F254-1)-SUMIF($A$5:$A$328,$A254,$L$5:$L$328)),0),ROUNDUP(G254*POWER(INDEX('建筑总览'!$G$5:$G$25,MATCH($A254,'建筑总览'!$A$5:$A$25,0)),D254),0))</f>
        <v/>
      </c>
      <c r="N254" s="35">
        <f>M254/'参数与公式'!$B$21</f>
        <v/>
      </c>
      <c r="O254" s="36">
        <f>INDEX('建筑建议总览'!$P$5:$P$25,MATCH($A254,'建筑建议总览'!$A$5:$A$25,0))</f>
        <v/>
      </c>
      <c r="P254" s="36">
        <f>INDEX('建筑建议总览'!$Q$5:$Q$25,MATCH($A254,'建筑建议总览'!$A$5:$A$25,0))</f>
        <v/>
      </c>
      <c r="Q254" s="44">
        <f>INDEX('建筑建议总览'!$R$5:$R$25,MATCH($A254,'建筑建议总览'!$A$5:$A$25,0))</f>
        <v/>
      </c>
      <c r="R254" s="36">
        <f>INDEX('建筑建议总览'!$S$5:$S$25,MATCH($A254,'建筑建议总览'!$A$5:$A$25,0))</f>
        <v/>
      </c>
      <c r="S254" s="36">
        <f>INDEX('建筑建议总览'!$T$5:$T$25,MATCH($A254,'建筑建议总览'!$A$5:$A$25,0))</f>
        <v/>
      </c>
      <c r="T254" s="44">
        <f>POWER(Q254,D254-1)</f>
        <v/>
      </c>
      <c r="U254" s="44">
        <f>SUMIF($A$5:$A$328,$A254,$T$5:$T$328)</f>
        <v/>
      </c>
      <c r="V254" s="36">
        <f>IF(R254&gt;0,ROUNDDOWN(MAX(0,R254-O254*(F254-1))*T254/U254,0),0)</f>
        <v/>
      </c>
      <c r="W254" s="36">
        <f>IF(S254&gt;0,ROUNDDOWN(MAX(0,S254-P254*(F254-1))*T254/U254,0),0)</f>
        <v/>
      </c>
      <c r="X254" s="36">
        <f>IF(R254&gt;0,O254+V254+IF(D254=F254-1,MAX(0,R254-O254*(F254-1)-SUMIF($A$5:$A$328,$A254,$V$5:$V$328)),0),ROUNDUP(O254*POWER(INDEX('建筑总览'!$J$5:$J$25,MATCH($A254,'建筑总览'!$A$5:$A$25,0)),D254),0))</f>
        <v/>
      </c>
      <c r="Y254" s="36">
        <f>IF(P254=0,0,IF(S254&gt;0,P254+W254+IF(D254=F254-1,MAX(0,S254-P254*(F254-1)-SUMIF($A$5:$A$328,$A254,$W$5:$W$328)),0),ROUNDUP(P254*POWER(INDEX('建筑总览'!$J$5:$J$25,MATCH($A254,'建筑总览'!$A$5:$A$25,0)),D254),0)))</f>
        <v/>
      </c>
      <c r="Z254" s="36">
        <f>IF(X254=0,0,MAX(1,ROUNDUP(X254*(1-'参数与公式'!$B$17),0)))</f>
        <v/>
      </c>
      <c r="AA254" s="36">
        <f>IF(Y254=0,0,MAX(1,ROUNDUP(Y254*(1-'参数与公式'!$B$17),0)))</f>
        <v/>
      </c>
      <c r="AB254" s="33" t="inlineStr">
        <is>
          <t>预算模式末级补足余数；旧模式按指数公式</t>
        </is>
      </c>
      <c r="AC254" s="49">
        <f>IF(A254=A253,IFERROR(M254/M253,""),"")</f>
        <v/>
      </c>
      <c r="AD254" s="49">
        <f>IF(AND(A254=A253,X253&gt;0),X254/X253,"")</f>
        <v/>
      </c>
    </row>
    <row r="255" ht="30" customHeight="1">
      <c r="A255" s="33" t="inlineStr">
        <is>
          <t>jiadingfang</t>
        </is>
      </c>
      <c r="B255" s="33" t="inlineStr">
        <is>
          <t>家丁房</t>
        </is>
      </c>
      <c r="C255" s="33" t="inlineStr">
        <is>
          <t>人员管理</t>
        </is>
      </c>
      <c r="D255" s="43" t="n">
        <v>18</v>
      </c>
      <c r="E255" s="36">
        <f>D255+1</f>
        <v/>
      </c>
      <c r="F255" s="43" t="n">
        <v>30</v>
      </c>
      <c r="G255" s="36">
        <f>INDEX('建筑建议总览'!$H$5:$H$25,MATCH($A255,'建筑建议总览'!$A$5:$A$25,0))</f>
        <v/>
      </c>
      <c r="H255" s="44">
        <f>INDEX('建筑建议总览'!$I$5:$I$25,MATCH($A255,'建筑建议总览'!$A$5:$A$25,0))</f>
        <v/>
      </c>
      <c r="I255" s="36">
        <f>INDEX('建筑建议总览'!$J$5:$J$25,MATCH($A255,'建筑建议总览'!$A$5:$A$25,0))</f>
        <v/>
      </c>
      <c r="J255" s="44">
        <f>POWER(H255,D255-1)</f>
        <v/>
      </c>
      <c r="K255" s="44">
        <f>SUMIF($A$5:$A$328,$A255,$J$5:$J$328)</f>
        <v/>
      </c>
      <c r="L255" s="36">
        <f>IF(I255&gt;0,ROUNDDOWN(MAX(0,I255-G255*(F255-1))*J255/K255,0),0)</f>
        <v/>
      </c>
      <c r="M255" s="36">
        <f>IF(I255&gt;0,G255+L255+IF(D255=F255-1,MAX(0,I255-G255*(F255-1)-SUMIF($A$5:$A$328,$A255,$L$5:$L$328)),0),ROUNDUP(G255*POWER(INDEX('建筑总览'!$G$5:$G$25,MATCH($A255,'建筑总览'!$A$5:$A$25,0)),D255),0))</f>
        <v/>
      </c>
      <c r="N255" s="35">
        <f>M255/'参数与公式'!$B$21</f>
        <v/>
      </c>
      <c r="O255" s="36">
        <f>INDEX('建筑建议总览'!$P$5:$P$25,MATCH($A255,'建筑建议总览'!$A$5:$A$25,0))</f>
        <v/>
      </c>
      <c r="P255" s="36">
        <f>INDEX('建筑建议总览'!$Q$5:$Q$25,MATCH($A255,'建筑建议总览'!$A$5:$A$25,0))</f>
        <v/>
      </c>
      <c r="Q255" s="44">
        <f>INDEX('建筑建议总览'!$R$5:$R$25,MATCH($A255,'建筑建议总览'!$A$5:$A$25,0))</f>
        <v/>
      </c>
      <c r="R255" s="36">
        <f>INDEX('建筑建议总览'!$S$5:$S$25,MATCH($A255,'建筑建议总览'!$A$5:$A$25,0))</f>
        <v/>
      </c>
      <c r="S255" s="36">
        <f>INDEX('建筑建议总览'!$T$5:$T$25,MATCH($A255,'建筑建议总览'!$A$5:$A$25,0))</f>
        <v/>
      </c>
      <c r="T255" s="44">
        <f>POWER(Q255,D255-1)</f>
        <v/>
      </c>
      <c r="U255" s="44">
        <f>SUMIF($A$5:$A$328,$A255,$T$5:$T$328)</f>
        <v/>
      </c>
      <c r="V255" s="36">
        <f>IF(R255&gt;0,ROUNDDOWN(MAX(0,R255-O255*(F255-1))*T255/U255,0),0)</f>
        <v/>
      </c>
      <c r="W255" s="36">
        <f>IF(S255&gt;0,ROUNDDOWN(MAX(0,S255-P255*(F255-1))*T255/U255,0),0)</f>
        <v/>
      </c>
      <c r="X255" s="36">
        <f>IF(R255&gt;0,O255+V255+IF(D255=F255-1,MAX(0,R255-O255*(F255-1)-SUMIF($A$5:$A$328,$A255,$V$5:$V$328)),0),ROUNDUP(O255*POWER(INDEX('建筑总览'!$J$5:$J$25,MATCH($A255,'建筑总览'!$A$5:$A$25,0)),D255),0))</f>
        <v/>
      </c>
      <c r="Y255" s="36">
        <f>IF(P255=0,0,IF(S255&gt;0,P255+W255+IF(D255=F255-1,MAX(0,S255-P255*(F255-1)-SUMIF($A$5:$A$328,$A255,$W$5:$W$328)),0),ROUNDUP(P255*POWER(INDEX('建筑总览'!$J$5:$J$25,MATCH($A255,'建筑总览'!$A$5:$A$25,0)),D255),0)))</f>
        <v/>
      </c>
      <c r="Z255" s="36">
        <f>IF(X255=0,0,MAX(1,ROUNDUP(X255*(1-'参数与公式'!$B$17),0)))</f>
        <v/>
      </c>
      <c r="AA255" s="36">
        <f>IF(Y255=0,0,MAX(1,ROUNDUP(Y255*(1-'参数与公式'!$B$17),0)))</f>
        <v/>
      </c>
      <c r="AB255" s="33" t="inlineStr">
        <is>
          <t>预算模式末级补足余数；旧模式按指数公式</t>
        </is>
      </c>
      <c r="AC255" s="49">
        <f>IF(A255=A254,IFERROR(M255/M254,""),"")</f>
        <v/>
      </c>
      <c r="AD255" s="49">
        <f>IF(AND(A255=A254,X254&gt;0),X255/X254,"")</f>
        <v/>
      </c>
    </row>
    <row r="256" ht="30" customHeight="1">
      <c r="A256" s="33" t="inlineStr">
        <is>
          <t>jiadingfang</t>
        </is>
      </c>
      <c r="B256" s="33" t="inlineStr">
        <is>
          <t>家丁房</t>
        </is>
      </c>
      <c r="C256" s="33" t="inlineStr">
        <is>
          <t>人员管理</t>
        </is>
      </c>
      <c r="D256" s="43" t="n">
        <v>19</v>
      </c>
      <c r="E256" s="36">
        <f>D256+1</f>
        <v/>
      </c>
      <c r="F256" s="43" t="n">
        <v>30</v>
      </c>
      <c r="G256" s="36">
        <f>INDEX('建筑建议总览'!$H$5:$H$25,MATCH($A256,'建筑建议总览'!$A$5:$A$25,0))</f>
        <v/>
      </c>
      <c r="H256" s="44">
        <f>INDEX('建筑建议总览'!$I$5:$I$25,MATCH($A256,'建筑建议总览'!$A$5:$A$25,0))</f>
        <v/>
      </c>
      <c r="I256" s="36">
        <f>INDEX('建筑建议总览'!$J$5:$J$25,MATCH($A256,'建筑建议总览'!$A$5:$A$25,0))</f>
        <v/>
      </c>
      <c r="J256" s="44">
        <f>POWER(H256,D256-1)</f>
        <v/>
      </c>
      <c r="K256" s="44">
        <f>SUMIF($A$5:$A$328,$A256,$J$5:$J$328)</f>
        <v/>
      </c>
      <c r="L256" s="36">
        <f>IF(I256&gt;0,ROUNDDOWN(MAX(0,I256-G256*(F256-1))*J256/K256,0),0)</f>
        <v/>
      </c>
      <c r="M256" s="36">
        <f>IF(I256&gt;0,G256+L256+IF(D256=F256-1,MAX(0,I256-G256*(F256-1)-SUMIF($A$5:$A$328,$A256,$L$5:$L$328)),0),ROUNDUP(G256*POWER(INDEX('建筑总览'!$G$5:$G$25,MATCH($A256,'建筑总览'!$A$5:$A$25,0)),D256),0))</f>
        <v/>
      </c>
      <c r="N256" s="35">
        <f>M256/'参数与公式'!$B$21</f>
        <v/>
      </c>
      <c r="O256" s="36">
        <f>INDEX('建筑建议总览'!$P$5:$P$25,MATCH($A256,'建筑建议总览'!$A$5:$A$25,0))</f>
        <v/>
      </c>
      <c r="P256" s="36">
        <f>INDEX('建筑建议总览'!$Q$5:$Q$25,MATCH($A256,'建筑建议总览'!$A$5:$A$25,0))</f>
        <v/>
      </c>
      <c r="Q256" s="44">
        <f>INDEX('建筑建议总览'!$R$5:$R$25,MATCH($A256,'建筑建议总览'!$A$5:$A$25,0))</f>
        <v/>
      </c>
      <c r="R256" s="36">
        <f>INDEX('建筑建议总览'!$S$5:$S$25,MATCH($A256,'建筑建议总览'!$A$5:$A$25,0))</f>
        <v/>
      </c>
      <c r="S256" s="36">
        <f>INDEX('建筑建议总览'!$T$5:$T$25,MATCH($A256,'建筑建议总览'!$A$5:$A$25,0))</f>
        <v/>
      </c>
      <c r="T256" s="44">
        <f>POWER(Q256,D256-1)</f>
        <v/>
      </c>
      <c r="U256" s="44">
        <f>SUMIF($A$5:$A$328,$A256,$T$5:$T$328)</f>
        <v/>
      </c>
      <c r="V256" s="36">
        <f>IF(R256&gt;0,ROUNDDOWN(MAX(0,R256-O256*(F256-1))*T256/U256,0),0)</f>
        <v/>
      </c>
      <c r="W256" s="36">
        <f>IF(S256&gt;0,ROUNDDOWN(MAX(0,S256-P256*(F256-1))*T256/U256,0),0)</f>
        <v/>
      </c>
      <c r="X256" s="36">
        <f>IF(R256&gt;0,O256+V256+IF(D256=F256-1,MAX(0,R256-O256*(F256-1)-SUMIF($A$5:$A$328,$A256,$V$5:$V$328)),0),ROUNDUP(O256*POWER(INDEX('建筑总览'!$J$5:$J$25,MATCH($A256,'建筑总览'!$A$5:$A$25,0)),D256),0))</f>
        <v/>
      </c>
      <c r="Y256" s="36">
        <f>IF(P256=0,0,IF(S256&gt;0,P256+W256+IF(D256=F256-1,MAX(0,S256-P256*(F256-1)-SUMIF($A$5:$A$328,$A256,$W$5:$W$328)),0),ROUNDUP(P256*POWER(INDEX('建筑总览'!$J$5:$J$25,MATCH($A256,'建筑总览'!$A$5:$A$25,0)),D256),0)))</f>
        <v/>
      </c>
      <c r="Z256" s="36">
        <f>IF(X256=0,0,MAX(1,ROUNDUP(X256*(1-'参数与公式'!$B$17),0)))</f>
        <v/>
      </c>
      <c r="AA256" s="36">
        <f>IF(Y256=0,0,MAX(1,ROUNDUP(Y256*(1-'参数与公式'!$B$17),0)))</f>
        <v/>
      </c>
      <c r="AB256" s="33" t="inlineStr">
        <is>
          <t>预算模式末级补足余数；旧模式按指数公式</t>
        </is>
      </c>
      <c r="AC256" s="49">
        <f>IF(A256=A255,IFERROR(M256/M255,""),"")</f>
        <v/>
      </c>
      <c r="AD256" s="49">
        <f>IF(AND(A256=A255,X255&gt;0),X256/X255,"")</f>
        <v/>
      </c>
    </row>
    <row r="257" ht="30" customHeight="1">
      <c r="A257" s="33" t="inlineStr">
        <is>
          <t>jiadingfang</t>
        </is>
      </c>
      <c r="B257" s="33" t="inlineStr">
        <is>
          <t>家丁房</t>
        </is>
      </c>
      <c r="C257" s="33" t="inlineStr">
        <is>
          <t>人员管理</t>
        </is>
      </c>
      <c r="D257" s="43" t="n">
        <v>20</v>
      </c>
      <c r="E257" s="36">
        <f>D257+1</f>
        <v/>
      </c>
      <c r="F257" s="43" t="n">
        <v>30</v>
      </c>
      <c r="G257" s="36">
        <f>INDEX('建筑建议总览'!$H$5:$H$25,MATCH($A257,'建筑建议总览'!$A$5:$A$25,0))</f>
        <v/>
      </c>
      <c r="H257" s="44">
        <f>INDEX('建筑建议总览'!$I$5:$I$25,MATCH($A257,'建筑建议总览'!$A$5:$A$25,0))</f>
        <v/>
      </c>
      <c r="I257" s="36">
        <f>INDEX('建筑建议总览'!$J$5:$J$25,MATCH($A257,'建筑建议总览'!$A$5:$A$25,0))</f>
        <v/>
      </c>
      <c r="J257" s="44">
        <f>POWER(H257,D257-1)</f>
        <v/>
      </c>
      <c r="K257" s="44">
        <f>SUMIF($A$5:$A$328,$A257,$J$5:$J$328)</f>
        <v/>
      </c>
      <c r="L257" s="36">
        <f>IF(I257&gt;0,ROUNDDOWN(MAX(0,I257-G257*(F257-1))*J257/K257,0),0)</f>
        <v/>
      </c>
      <c r="M257" s="36">
        <f>IF(I257&gt;0,G257+L257+IF(D257=F257-1,MAX(0,I257-G257*(F257-1)-SUMIF($A$5:$A$328,$A257,$L$5:$L$328)),0),ROUNDUP(G257*POWER(INDEX('建筑总览'!$G$5:$G$25,MATCH($A257,'建筑总览'!$A$5:$A$25,0)),D257),0))</f>
        <v/>
      </c>
      <c r="N257" s="35">
        <f>M257/'参数与公式'!$B$21</f>
        <v/>
      </c>
      <c r="O257" s="36">
        <f>INDEX('建筑建议总览'!$P$5:$P$25,MATCH($A257,'建筑建议总览'!$A$5:$A$25,0))</f>
        <v/>
      </c>
      <c r="P257" s="36">
        <f>INDEX('建筑建议总览'!$Q$5:$Q$25,MATCH($A257,'建筑建议总览'!$A$5:$A$25,0))</f>
        <v/>
      </c>
      <c r="Q257" s="44">
        <f>INDEX('建筑建议总览'!$R$5:$R$25,MATCH($A257,'建筑建议总览'!$A$5:$A$25,0))</f>
        <v/>
      </c>
      <c r="R257" s="36">
        <f>INDEX('建筑建议总览'!$S$5:$S$25,MATCH($A257,'建筑建议总览'!$A$5:$A$25,0))</f>
        <v/>
      </c>
      <c r="S257" s="36">
        <f>INDEX('建筑建议总览'!$T$5:$T$25,MATCH($A257,'建筑建议总览'!$A$5:$A$25,0))</f>
        <v/>
      </c>
      <c r="T257" s="44">
        <f>POWER(Q257,D257-1)</f>
        <v/>
      </c>
      <c r="U257" s="44">
        <f>SUMIF($A$5:$A$328,$A257,$T$5:$T$328)</f>
        <v/>
      </c>
      <c r="V257" s="36">
        <f>IF(R257&gt;0,ROUNDDOWN(MAX(0,R257-O257*(F257-1))*T257/U257,0),0)</f>
        <v/>
      </c>
      <c r="W257" s="36">
        <f>IF(S257&gt;0,ROUNDDOWN(MAX(0,S257-P257*(F257-1))*T257/U257,0),0)</f>
        <v/>
      </c>
      <c r="X257" s="36">
        <f>IF(R257&gt;0,O257+V257+IF(D257=F257-1,MAX(0,R257-O257*(F257-1)-SUMIF($A$5:$A$328,$A257,$V$5:$V$328)),0),ROUNDUP(O257*POWER(INDEX('建筑总览'!$J$5:$J$25,MATCH($A257,'建筑总览'!$A$5:$A$25,0)),D257),0))</f>
        <v/>
      </c>
      <c r="Y257" s="36">
        <f>IF(P257=0,0,IF(S257&gt;0,P257+W257+IF(D257=F257-1,MAX(0,S257-P257*(F257-1)-SUMIF($A$5:$A$328,$A257,$W$5:$W$328)),0),ROUNDUP(P257*POWER(INDEX('建筑总览'!$J$5:$J$25,MATCH($A257,'建筑总览'!$A$5:$A$25,0)),D257),0)))</f>
        <v/>
      </c>
      <c r="Z257" s="36">
        <f>IF(X257=0,0,MAX(1,ROUNDUP(X257*(1-'参数与公式'!$B$17),0)))</f>
        <v/>
      </c>
      <c r="AA257" s="36">
        <f>IF(Y257=0,0,MAX(1,ROUNDUP(Y257*(1-'参数与公式'!$B$17),0)))</f>
        <v/>
      </c>
      <c r="AB257" s="33" t="inlineStr">
        <is>
          <t>预算模式末级补足余数；旧模式按指数公式</t>
        </is>
      </c>
      <c r="AC257" s="49">
        <f>IF(A257=A256,IFERROR(M257/M256,""),"")</f>
        <v/>
      </c>
      <c r="AD257" s="49">
        <f>IF(AND(A257=A256,X256&gt;0),X257/X256,"")</f>
        <v/>
      </c>
    </row>
    <row r="258" ht="30" customHeight="1">
      <c r="A258" s="33" t="inlineStr">
        <is>
          <t>jiadingfang</t>
        </is>
      </c>
      <c r="B258" s="33" t="inlineStr">
        <is>
          <t>家丁房</t>
        </is>
      </c>
      <c r="C258" s="33" t="inlineStr">
        <is>
          <t>人员管理</t>
        </is>
      </c>
      <c r="D258" s="43" t="n">
        <v>21</v>
      </c>
      <c r="E258" s="36">
        <f>D258+1</f>
        <v/>
      </c>
      <c r="F258" s="43" t="n">
        <v>30</v>
      </c>
      <c r="G258" s="36">
        <f>INDEX('建筑建议总览'!$H$5:$H$25,MATCH($A258,'建筑建议总览'!$A$5:$A$25,0))</f>
        <v/>
      </c>
      <c r="H258" s="44">
        <f>INDEX('建筑建议总览'!$I$5:$I$25,MATCH($A258,'建筑建议总览'!$A$5:$A$25,0))</f>
        <v/>
      </c>
      <c r="I258" s="36">
        <f>INDEX('建筑建议总览'!$J$5:$J$25,MATCH($A258,'建筑建议总览'!$A$5:$A$25,0))</f>
        <v/>
      </c>
      <c r="J258" s="44">
        <f>POWER(H258,D258-1)</f>
        <v/>
      </c>
      <c r="K258" s="44">
        <f>SUMIF($A$5:$A$328,$A258,$J$5:$J$328)</f>
        <v/>
      </c>
      <c r="L258" s="36">
        <f>IF(I258&gt;0,ROUNDDOWN(MAX(0,I258-G258*(F258-1))*J258/K258,0),0)</f>
        <v/>
      </c>
      <c r="M258" s="36">
        <f>IF(I258&gt;0,G258+L258+IF(D258=F258-1,MAX(0,I258-G258*(F258-1)-SUMIF($A$5:$A$328,$A258,$L$5:$L$328)),0),ROUNDUP(G258*POWER(INDEX('建筑总览'!$G$5:$G$25,MATCH($A258,'建筑总览'!$A$5:$A$25,0)),D258),0))</f>
        <v/>
      </c>
      <c r="N258" s="35">
        <f>M258/'参数与公式'!$B$21</f>
        <v/>
      </c>
      <c r="O258" s="36">
        <f>INDEX('建筑建议总览'!$P$5:$P$25,MATCH($A258,'建筑建议总览'!$A$5:$A$25,0))</f>
        <v/>
      </c>
      <c r="P258" s="36">
        <f>INDEX('建筑建议总览'!$Q$5:$Q$25,MATCH($A258,'建筑建议总览'!$A$5:$A$25,0))</f>
        <v/>
      </c>
      <c r="Q258" s="44">
        <f>INDEX('建筑建议总览'!$R$5:$R$25,MATCH($A258,'建筑建议总览'!$A$5:$A$25,0))</f>
        <v/>
      </c>
      <c r="R258" s="36">
        <f>INDEX('建筑建议总览'!$S$5:$S$25,MATCH($A258,'建筑建议总览'!$A$5:$A$25,0))</f>
        <v/>
      </c>
      <c r="S258" s="36">
        <f>INDEX('建筑建议总览'!$T$5:$T$25,MATCH($A258,'建筑建议总览'!$A$5:$A$25,0))</f>
        <v/>
      </c>
      <c r="T258" s="44">
        <f>POWER(Q258,D258-1)</f>
        <v/>
      </c>
      <c r="U258" s="44">
        <f>SUMIF($A$5:$A$328,$A258,$T$5:$T$328)</f>
        <v/>
      </c>
      <c r="V258" s="36">
        <f>IF(R258&gt;0,ROUNDDOWN(MAX(0,R258-O258*(F258-1))*T258/U258,0),0)</f>
        <v/>
      </c>
      <c r="W258" s="36">
        <f>IF(S258&gt;0,ROUNDDOWN(MAX(0,S258-P258*(F258-1))*T258/U258,0),0)</f>
        <v/>
      </c>
      <c r="X258" s="36">
        <f>IF(R258&gt;0,O258+V258+IF(D258=F258-1,MAX(0,R258-O258*(F258-1)-SUMIF($A$5:$A$328,$A258,$V$5:$V$328)),0),ROUNDUP(O258*POWER(INDEX('建筑总览'!$J$5:$J$25,MATCH($A258,'建筑总览'!$A$5:$A$25,0)),D258),0))</f>
        <v/>
      </c>
      <c r="Y258" s="36">
        <f>IF(P258=0,0,IF(S258&gt;0,P258+W258+IF(D258=F258-1,MAX(0,S258-P258*(F258-1)-SUMIF($A$5:$A$328,$A258,$W$5:$W$328)),0),ROUNDUP(P258*POWER(INDEX('建筑总览'!$J$5:$J$25,MATCH($A258,'建筑总览'!$A$5:$A$25,0)),D258),0)))</f>
        <v/>
      </c>
      <c r="Z258" s="36">
        <f>IF(X258=0,0,MAX(1,ROUNDUP(X258*(1-'参数与公式'!$B$17),0)))</f>
        <v/>
      </c>
      <c r="AA258" s="36">
        <f>IF(Y258=0,0,MAX(1,ROUNDUP(Y258*(1-'参数与公式'!$B$17),0)))</f>
        <v/>
      </c>
      <c r="AB258" s="33" t="inlineStr">
        <is>
          <t>预算模式末级补足余数；旧模式按指数公式</t>
        </is>
      </c>
      <c r="AC258" s="49">
        <f>IF(A258=A257,IFERROR(M258/M257,""),"")</f>
        <v/>
      </c>
      <c r="AD258" s="49">
        <f>IF(AND(A258=A257,X257&gt;0),X258/X257,"")</f>
        <v/>
      </c>
    </row>
    <row r="259" ht="30" customHeight="1">
      <c r="A259" s="33" t="inlineStr">
        <is>
          <t>jiadingfang</t>
        </is>
      </c>
      <c r="B259" s="33" t="inlineStr">
        <is>
          <t>家丁房</t>
        </is>
      </c>
      <c r="C259" s="33" t="inlineStr">
        <is>
          <t>人员管理</t>
        </is>
      </c>
      <c r="D259" s="43" t="n">
        <v>22</v>
      </c>
      <c r="E259" s="36">
        <f>D259+1</f>
        <v/>
      </c>
      <c r="F259" s="43" t="n">
        <v>30</v>
      </c>
      <c r="G259" s="36">
        <f>INDEX('建筑建议总览'!$H$5:$H$25,MATCH($A259,'建筑建议总览'!$A$5:$A$25,0))</f>
        <v/>
      </c>
      <c r="H259" s="44">
        <f>INDEX('建筑建议总览'!$I$5:$I$25,MATCH($A259,'建筑建议总览'!$A$5:$A$25,0))</f>
        <v/>
      </c>
      <c r="I259" s="36">
        <f>INDEX('建筑建议总览'!$J$5:$J$25,MATCH($A259,'建筑建议总览'!$A$5:$A$25,0))</f>
        <v/>
      </c>
      <c r="J259" s="44">
        <f>POWER(H259,D259-1)</f>
        <v/>
      </c>
      <c r="K259" s="44">
        <f>SUMIF($A$5:$A$328,$A259,$J$5:$J$328)</f>
        <v/>
      </c>
      <c r="L259" s="36">
        <f>IF(I259&gt;0,ROUNDDOWN(MAX(0,I259-G259*(F259-1))*J259/K259,0),0)</f>
        <v/>
      </c>
      <c r="M259" s="36">
        <f>IF(I259&gt;0,G259+L259+IF(D259=F259-1,MAX(0,I259-G259*(F259-1)-SUMIF($A$5:$A$328,$A259,$L$5:$L$328)),0),ROUNDUP(G259*POWER(INDEX('建筑总览'!$G$5:$G$25,MATCH($A259,'建筑总览'!$A$5:$A$25,0)),D259),0))</f>
        <v/>
      </c>
      <c r="N259" s="35">
        <f>M259/'参数与公式'!$B$21</f>
        <v/>
      </c>
      <c r="O259" s="36">
        <f>INDEX('建筑建议总览'!$P$5:$P$25,MATCH($A259,'建筑建议总览'!$A$5:$A$25,0))</f>
        <v/>
      </c>
      <c r="P259" s="36">
        <f>INDEX('建筑建议总览'!$Q$5:$Q$25,MATCH($A259,'建筑建议总览'!$A$5:$A$25,0))</f>
        <v/>
      </c>
      <c r="Q259" s="44">
        <f>INDEX('建筑建议总览'!$R$5:$R$25,MATCH($A259,'建筑建议总览'!$A$5:$A$25,0))</f>
        <v/>
      </c>
      <c r="R259" s="36">
        <f>INDEX('建筑建议总览'!$S$5:$S$25,MATCH($A259,'建筑建议总览'!$A$5:$A$25,0))</f>
        <v/>
      </c>
      <c r="S259" s="36">
        <f>INDEX('建筑建议总览'!$T$5:$T$25,MATCH($A259,'建筑建议总览'!$A$5:$A$25,0))</f>
        <v/>
      </c>
      <c r="T259" s="44">
        <f>POWER(Q259,D259-1)</f>
        <v/>
      </c>
      <c r="U259" s="44">
        <f>SUMIF($A$5:$A$328,$A259,$T$5:$T$328)</f>
        <v/>
      </c>
      <c r="V259" s="36">
        <f>IF(R259&gt;0,ROUNDDOWN(MAX(0,R259-O259*(F259-1))*T259/U259,0),0)</f>
        <v/>
      </c>
      <c r="W259" s="36">
        <f>IF(S259&gt;0,ROUNDDOWN(MAX(0,S259-P259*(F259-1))*T259/U259,0),0)</f>
        <v/>
      </c>
      <c r="X259" s="36">
        <f>IF(R259&gt;0,O259+V259+IF(D259=F259-1,MAX(0,R259-O259*(F259-1)-SUMIF($A$5:$A$328,$A259,$V$5:$V$328)),0),ROUNDUP(O259*POWER(INDEX('建筑总览'!$J$5:$J$25,MATCH($A259,'建筑总览'!$A$5:$A$25,0)),D259),0))</f>
        <v/>
      </c>
      <c r="Y259" s="36">
        <f>IF(P259=0,0,IF(S259&gt;0,P259+W259+IF(D259=F259-1,MAX(0,S259-P259*(F259-1)-SUMIF($A$5:$A$328,$A259,$W$5:$W$328)),0),ROUNDUP(P259*POWER(INDEX('建筑总览'!$J$5:$J$25,MATCH($A259,'建筑总览'!$A$5:$A$25,0)),D259),0)))</f>
        <v/>
      </c>
      <c r="Z259" s="36">
        <f>IF(X259=0,0,MAX(1,ROUNDUP(X259*(1-'参数与公式'!$B$17),0)))</f>
        <v/>
      </c>
      <c r="AA259" s="36">
        <f>IF(Y259=0,0,MAX(1,ROUNDUP(Y259*(1-'参数与公式'!$B$17),0)))</f>
        <v/>
      </c>
      <c r="AB259" s="33" t="inlineStr">
        <is>
          <t>预算模式末级补足余数；旧模式按指数公式</t>
        </is>
      </c>
      <c r="AC259" s="49">
        <f>IF(A259=A258,IFERROR(M259/M258,""),"")</f>
        <v/>
      </c>
      <c r="AD259" s="49">
        <f>IF(AND(A259=A258,X258&gt;0),X259/X258,"")</f>
        <v/>
      </c>
    </row>
    <row r="260" ht="30" customHeight="1">
      <c r="A260" s="33" t="inlineStr">
        <is>
          <t>jiadingfang</t>
        </is>
      </c>
      <c r="B260" s="33" t="inlineStr">
        <is>
          <t>家丁房</t>
        </is>
      </c>
      <c r="C260" s="33" t="inlineStr">
        <is>
          <t>人员管理</t>
        </is>
      </c>
      <c r="D260" s="43" t="n">
        <v>23</v>
      </c>
      <c r="E260" s="36">
        <f>D260+1</f>
        <v/>
      </c>
      <c r="F260" s="43" t="n">
        <v>30</v>
      </c>
      <c r="G260" s="36">
        <f>INDEX('建筑建议总览'!$H$5:$H$25,MATCH($A260,'建筑建议总览'!$A$5:$A$25,0))</f>
        <v/>
      </c>
      <c r="H260" s="44">
        <f>INDEX('建筑建议总览'!$I$5:$I$25,MATCH($A260,'建筑建议总览'!$A$5:$A$25,0))</f>
        <v/>
      </c>
      <c r="I260" s="36">
        <f>INDEX('建筑建议总览'!$J$5:$J$25,MATCH($A260,'建筑建议总览'!$A$5:$A$25,0))</f>
        <v/>
      </c>
      <c r="J260" s="44">
        <f>POWER(H260,D260-1)</f>
        <v/>
      </c>
      <c r="K260" s="44">
        <f>SUMIF($A$5:$A$328,$A260,$J$5:$J$328)</f>
        <v/>
      </c>
      <c r="L260" s="36">
        <f>IF(I260&gt;0,ROUNDDOWN(MAX(0,I260-G260*(F260-1))*J260/K260,0),0)</f>
        <v/>
      </c>
      <c r="M260" s="36">
        <f>IF(I260&gt;0,G260+L260+IF(D260=F260-1,MAX(0,I260-G260*(F260-1)-SUMIF($A$5:$A$328,$A260,$L$5:$L$328)),0),ROUNDUP(G260*POWER(INDEX('建筑总览'!$G$5:$G$25,MATCH($A260,'建筑总览'!$A$5:$A$25,0)),D260),0))</f>
        <v/>
      </c>
      <c r="N260" s="35">
        <f>M260/'参数与公式'!$B$21</f>
        <v/>
      </c>
      <c r="O260" s="36">
        <f>INDEX('建筑建议总览'!$P$5:$P$25,MATCH($A260,'建筑建议总览'!$A$5:$A$25,0))</f>
        <v/>
      </c>
      <c r="P260" s="36">
        <f>INDEX('建筑建议总览'!$Q$5:$Q$25,MATCH($A260,'建筑建议总览'!$A$5:$A$25,0))</f>
        <v/>
      </c>
      <c r="Q260" s="44">
        <f>INDEX('建筑建议总览'!$R$5:$R$25,MATCH($A260,'建筑建议总览'!$A$5:$A$25,0))</f>
        <v/>
      </c>
      <c r="R260" s="36">
        <f>INDEX('建筑建议总览'!$S$5:$S$25,MATCH($A260,'建筑建议总览'!$A$5:$A$25,0))</f>
        <v/>
      </c>
      <c r="S260" s="36">
        <f>INDEX('建筑建议总览'!$T$5:$T$25,MATCH($A260,'建筑建议总览'!$A$5:$A$25,0))</f>
        <v/>
      </c>
      <c r="T260" s="44">
        <f>POWER(Q260,D260-1)</f>
        <v/>
      </c>
      <c r="U260" s="44">
        <f>SUMIF($A$5:$A$328,$A260,$T$5:$T$328)</f>
        <v/>
      </c>
      <c r="V260" s="36">
        <f>IF(R260&gt;0,ROUNDDOWN(MAX(0,R260-O260*(F260-1))*T260/U260,0),0)</f>
        <v/>
      </c>
      <c r="W260" s="36">
        <f>IF(S260&gt;0,ROUNDDOWN(MAX(0,S260-P260*(F260-1))*T260/U260,0),0)</f>
        <v/>
      </c>
      <c r="X260" s="36">
        <f>IF(R260&gt;0,O260+V260+IF(D260=F260-1,MAX(0,R260-O260*(F260-1)-SUMIF($A$5:$A$328,$A260,$V$5:$V$328)),0),ROUNDUP(O260*POWER(INDEX('建筑总览'!$J$5:$J$25,MATCH($A260,'建筑总览'!$A$5:$A$25,0)),D260),0))</f>
        <v/>
      </c>
      <c r="Y260" s="36">
        <f>IF(P260=0,0,IF(S260&gt;0,P260+W260+IF(D260=F260-1,MAX(0,S260-P260*(F260-1)-SUMIF($A$5:$A$328,$A260,$W$5:$W$328)),0),ROUNDUP(P260*POWER(INDEX('建筑总览'!$J$5:$J$25,MATCH($A260,'建筑总览'!$A$5:$A$25,0)),D260),0)))</f>
        <v/>
      </c>
      <c r="Z260" s="36">
        <f>IF(X260=0,0,MAX(1,ROUNDUP(X260*(1-'参数与公式'!$B$17),0)))</f>
        <v/>
      </c>
      <c r="AA260" s="36">
        <f>IF(Y260=0,0,MAX(1,ROUNDUP(Y260*(1-'参数与公式'!$B$17),0)))</f>
        <v/>
      </c>
      <c r="AB260" s="33" t="inlineStr">
        <is>
          <t>预算模式末级补足余数；旧模式按指数公式</t>
        </is>
      </c>
      <c r="AC260" s="49">
        <f>IF(A260=A259,IFERROR(M260/M259,""),"")</f>
        <v/>
      </c>
      <c r="AD260" s="49">
        <f>IF(AND(A260=A259,X259&gt;0),X260/X259,"")</f>
        <v/>
      </c>
    </row>
    <row r="261" ht="30" customHeight="1">
      <c r="A261" s="33" t="inlineStr">
        <is>
          <t>jiadingfang</t>
        </is>
      </c>
      <c r="B261" s="33" t="inlineStr">
        <is>
          <t>家丁房</t>
        </is>
      </c>
      <c r="C261" s="33" t="inlineStr">
        <is>
          <t>人员管理</t>
        </is>
      </c>
      <c r="D261" s="43" t="n">
        <v>24</v>
      </c>
      <c r="E261" s="36">
        <f>D261+1</f>
        <v/>
      </c>
      <c r="F261" s="43" t="n">
        <v>30</v>
      </c>
      <c r="G261" s="36">
        <f>INDEX('建筑建议总览'!$H$5:$H$25,MATCH($A261,'建筑建议总览'!$A$5:$A$25,0))</f>
        <v/>
      </c>
      <c r="H261" s="44">
        <f>INDEX('建筑建议总览'!$I$5:$I$25,MATCH($A261,'建筑建议总览'!$A$5:$A$25,0))</f>
        <v/>
      </c>
      <c r="I261" s="36">
        <f>INDEX('建筑建议总览'!$J$5:$J$25,MATCH($A261,'建筑建议总览'!$A$5:$A$25,0))</f>
        <v/>
      </c>
      <c r="J261" s="44">
        <f>POWER(H261,D261-1)</f>
        <v/>
      </c>
      <c r="K261" s="44">
        <f>SUMIF($A$5:$A$328,$A261,$J$5:$J$328)</f>
        <v/>
      </c>
      <c r="L261" s="36">
        <f>IF(I261&gt;0,ROUNDDOWN(MAX(0,I261-G261*(F261-1))*J261/K261,0),0)</f>
        <v/>
      </c>
      <c r="M261" s="36">
        <f>IF(I261&gt;0,G261+L261+IF(D261=F261-1,MAX(0,I261-G261*(F261-1)-SUMIF($A$5:$A$328,$A261,$L$5:$L$328)),0),ROUNDUP(G261*POWER(INDEX('建筑总览'!$G$5:$G$25,MATCH($A261,'建筑总览'!$A$5:$A$25,0)),D261),0))</f>
        <v/>
      </c>
      <c r="N261" s="35">
        <f>M261/'参数与公式'!$B$21</f>
        <v/>
      </c>
      <c r="O261" s="36">
        <f>INDEX('建筑建议总览'!$P$5:$P$25,MATCH($A261,'建筑建议总览'!$A$5:$A$25,0))</f>
        <v/>
      </c>
      <c r="P261" s="36">
        <f>INDEX('建筑建议总览'!$Q$5:$Q$25,MATCH($A261,'建筑建议总览'!$A$5:$A$25,0))</f>
        <v/>
      </c>
      <c r="Q261" s="44">
        <f>INDEX('建筑建议总览'!$R$5:$R$25,MATCH($A261,'建筑建议总览'!$A$5:$A$25,0))</f>
        <v/>
      </c>
      <c r="R261" s="36">
        <f>INDEX('建筑建议总览'!$S$5:$S$25,MATCH($A261,'建筑建议总览'!$A$5:$A$25,0))</f>
        <v/>
      </c>
      <c r="S261" s="36">
        <f>INDEX('建筑建议总览'!$T$5:$T$25,MATCH($A261,'建筑建议总览'!$A$5:$A$25,0))</f>
        <v/>
      </c>
      <c r="T261" s="44">
        <f>POWER(Q261,D261-1)</f>
        <v/>
      </c>
      <c r="U261" s="44">
        <f>SUMIF($A$5:$A$328,$A261,$T$5:$T$328)</f>
        <v/>
      </c>
      <c r="V261" s="36">
        <f>IF(R261&gt;0,ROUNDDOWN(MAX(0,R261-O261*(F261-1))*T261/U261,0),0)</f>
        <v/>
      </c>
      <c r="W261" s="36">
        <f>IF(S261&gt;0,ROUNDDOWN(MAX(0,S261-P261*(F261-1))*T261/U261,0),0)</f>
        <v/>
      </c>
      <c r="X261" s="36">
        <f>IF(R261&gt;0,O261+V261+IF(D261=F261-1,MAX(0,R261-O261*(F261-1)-SUMIF($A$5:$A$328,$A261,$V$5:$V$328)),0),ROUNDUP(O261*POWER(INDEX('建筑总览'!$J$5:$J$25,MATCH($A261,'建筑总览'!$A$5:$A$25,0)),D261),0))</f>
        <v/>
      </c>
      <c r="Y261" s="36">
        <f>IF(P261=0,0,IF(S261&gt;0,P261+W261+IF(D261=F261-1,MAX(0,S261-P261*(F261-1)-SUMIF($A$5:$A$328,$A261,$W$5:$W$328)),0),ROUNDUP(P261*POWER(INDEX('建筑总览'!$J$5:$J$25,MATCH($A261,'建筑总览'!$A$5:$A$25,0)),D261),0)))</f>
        <v/>
      </c>
      <c r="Z261" s="36">
        <f>IF(X261=0,0,MAX(1,ROUNDUP(X261*(1-'参数与公式'!$B$17),0)))</f>
        <v/>
      </c>
      <c r="AA261" s="36">
        <f>IF(Y261=0,0,MAX(1,ROUNDUP(Y261*(1-'参数与公式'!$B$17),0)))</f>
        <v/>
      </c>
      <c r="AB261" s="33" t="inlineStr">
        <is>
          <t>预算模式末级补足余数；旧模式按指数公式</t>
        </is>
      </c>
      <c r="AC261" s="49">
        <f>IF(A261=A260,IFERROR(M261/M260,""),"")</f>
        <v/>
      </c>
      <c r="AD261" s="49">
        <f>IF(AND(A261=A260,X260&gt;0),X261/X260,"")</f>
        <v/>
      </c>
    </row>
    <row r="262" ht="30" customHeight="1">
      <c r="A262" s="33" t="inlineStr">
        <is>
          <t>jiadingfang</t>
        </is>
      </c>
      <c r="B262" s="33" t="inlineStr">
        <is>
          <t>家丁房</t>
        </is>
      </c>
      <c r="C262" s="33" t="inlineStr">
        <is>
          <t>人员管理</t>
        </is>
      </c>
      <c r="D262" s="43" t="n">
        <v>25</v>
      </c>
      <c r="E262" s="36">
        <f>D262+1</f>
        <v/>
      </c>
      <c r="F262" s="43" t="n">
        <v>30</v>
      </c>
      <c r="G262" s="36">
        <f>INDEX('建筑建议总览'!$H$5:$H$25,MATCH($A262,'建筑建议总览'!$A$5:$A$25,0))</f>
        <v/>
      </c>
      <c r="H262" s="44">
        <f>INDEX('建筑建议总览'!$I$5:$I$25,MATCH($A262,'建筑建议总览'!$A$5:$A$25,0))</f>
        <v/>
      </c>
      <c r="I262" s="36">
        <f>INDEX('建筑建议总览'!$J$5:$J$25,MATCH($A262,'建筑建议总览'!$A$5:$A$25,0))</f>
        <v/>
      </c>
      <c r="J262" s="44">
        <f>POWER(H262,D262-1)</f>
        <v/>
      </c>
      <c r="K262" s="44">
        <f>SUMIF($A$5:$A$328,$A262,$J$5:$J$328)</f>
        <v/>
      </c>
      <c r="L262" s="36">
        <f>IF(I262&gt;0,ROUNDDOWN(MAX(0,I262-G262*(F262-1))*J262/K262,0),0)</f>
        <v/>
      </c>
      <c r="M262" s="36">
        <f>IF(I262&gt;0,G262+L262+IF(D262=F262-1,MAX(0,I262-G262*(F262-1)-SUMIF($A$5:$A$328,$A262,$L$5:$L$328)),0),ROUNDUP(G262*POWER(INDEX('建筑总览'!$G$5:$G$25,MATCH($A262,'建筑总览'!$A$5:$A$25,0)),D262),0))</f>
        <v/>
      </c>
      <c r="N262" s="35">
        <f>M262/'参数与公式'!$B$21</f>
        <v/>
      </c>
      <c r="O262" s="36">
        <f>INDEX('建筑建议总览'!$P$5:$P$25,MATCH($A262,'建筑建议总览'!$A$5:$A$25,0))</f>
        <v/>
      </c>
      <c r="P262" s="36">
        <f>INDEX('建筑建议总览'!$Q$5:$Q$25,MATCH($A262,'建筑建议总览'!$A$5:$A$25,0))</f>
        <v/>
      </c>
      <c r="Q262" s="44">
        <f>INDEX('建筑建议总览'!$R$5:$R$25,MATCH($A262,'建筑建议总览'!$A$5:$A$25,0))</f>
        <v/>
      </c>
      <c r="R262" s="36">
        <f>INDEX('建筑建议总览'!$S$5:$S$25,MATCH($A262,'建筑建议总览'!$A$5:$A$25,0))</f>
        <v/>
      </c>
      <c r="S262" s="36">
        <f>INDEX('建筑建议总览'!$T$5:$T$25,MATCH($A262,'建筑建议总览'!$A$5:$A$25,0))</f>
        <v/>
      </c>
      <c r="T262" s="44">
        <f>POWER(Q262,D262-1)</f>
        <v/>
      </c>
      <c r="U262" s="44">
        <f>SUMIF($A$5:$A$328,$A262,$T$5:$T$328)</f>
        <v/>
      </c>
      <c r="V262" s="36">
        <f>IF(R262&gt;0,ROUNDDOWN(MAX(0,R262-O262*(F262-1))*T262/U262,0),0)</f>
        <v/>
      </c>
      <c r="W262" s="36">
        <f>IF(S262&gt;0,ROUNDDOWN(MAX(0,S262-P262*(F262-1))*T262/U262,0),0)</f>
        <v/>
      </c>
      <c r="X262" s="36">
        <f>IF(R262&gt;0,O262+V262+IF(D262=F262-1,MAX(0,R262-O262*(F262-1)-SUMIF($A$5:$A$328,$A262,$V$5:$V$328)),0),ROUNDUP(O262*POWER(INDEX('建筑总览'!$J$5:$J$25,MATCH($A262,'建筑总览'!$A$5:$A$25,0)),D262),0))</f>
        <v/>
      </c>
      <c r="Y262" s="36">
        <f>IF(P262=0,0,IF(S262&gt;0,P262+W262+IF(D262=F262-1,MAX(0,S262-P262*(F262-1)-SUMIF($A$5:$A$328,$A262,$W$5:$W$328)),0),ROUNDUP(P262*POWER(INDEX('建筑总览'!$J$5:$J$25,MATCH($A262,'建筑总览'!$A$5:$A$25,0)),D262),0)))</f>
        <v/>
      </c>
      <c r="Z262" s="36">
        <f>IF(X262=0,0,MAX(1,ROUNDUP(X262*(1-'参数与公式'!$B$17),0)))</f>
        <v/>
      </c>
      <c r="AA262" s="36">
        <f>IF(Y262=0,0,MAX(1,ROUNDUP(Y262*(1-'参数与公式'!$B$17),0)))</f>
        <v/>
      </c>
      <c r="AB262" s="33" t="inlineStr">
        <is>
          <t>预算模式末级补足余数；旧模式按指数公式</t>
        </is>
      </c>
      <c r="AC262" s="49">
        <f>IF(A262=A261,IFERROR(M262/M261,""),"")</f>
        <v/>
      </c>
      <c r="AD262" s="49">
        <f>IF(AND(A262=A261,X261&gt;0),X262/X261,"")</f>
        <v/>
      </c>
    </row>
    <row r="263" ht="30" customHeight="1">
      <c r="A263" s="33" t="inlineStr">
        <is>
          <t>jiadingfang</t>
        </is>
      </c>
      <c r="B263" s="33" t="inlineStr">
        <is>
          <t>家丁房</t>
        </is>
      </c>
      <c r="C263" s="33" t="inlineStr">
        <is>
          <t>人员管理</t>
        </is>
      </c>
      <c r="D263" s="43" t="n">
        <v>26</v>
      </c>
      <c r="E263" s="36">
        <f>D263+1</f>
        <v/>
      </c>
      <c r="F263" s="43" t="n">
        <v>30</v>
      </c>
      <c r="G263" s="36">
        <f>INDEX('建筑建议总览'!$H$5:$H$25,MATCH($A263,'建筑建议总览'!$A$5:$A$25,0))</f>
        <v/>
      </c>
      <c r="H263" s="44">
        <f>INDEX('建筑建议总览'!$I$5:$I$25,MATCH($A263,'建筑建议总览'!$A$5:$A$25,0))</f>
        <v/>
      </c>
      <c r="I263" s="36">
        <f>INDEX('建筑建议总览'!$J$5:$J$25,MATCH($A263,'建筑建议总览'!$A$5:$A$25,0))</f>
        <v/>
      </c>
      <c r="J263" s="44">
        <f>POWER(H263,D263-1)</f>
        <v/>
      </c>
      <c r="K263" s="44">
        <f>SUMIF($A$5:$A$328,$A263,$J$5:$J$328)</f>
        <v/>
      </c>
      <c r="L263" s="36">
        <f>IF(I263&gt;0,ROUNDDOWN(MAX(0,I263-G263*(F263-1))*J263/K263,0),0)</f>
        <v/>
      </c>
      <c r="M263" s="36">
        <f>IF(I263&gt;0,G263+L263+IF(D263=F263-1,MAX(0,I263-G263*(F263-1)-SUMIF($A$5:$A$328,$A263,$L$5:$L$328)),0),ROUNDUP(G263*POWER(INDEX('建筑总览'!$G$5:$G$25,MATCH($A263,'建筑总览'!$A$5:$A$25,0)),D263),0))</f>
        <v/>
      </c>
      <c r="N263" s="35">
        <f>M263/'参数与公式'!$B$21</f>
        <v/>
      </c>
      <c r="O263" s="36">
        <f>INDEX('建筑建议总览'!$P$5:$P$25,MATCH($A263,'建筑建议总览'!$A$5:$A$25,0))</f>
        <v/>
      </c>
      <c r="P263" s="36">
        <f>INDEX('建筑建议总览'!$Q$5:$Q$25,MATCH($A263,'建筑建议总览'!$A$5:$A$25,0))</f>
        <v/>
      </c>
      <c r="Q263" s="44">
        <f>INDEX('建筑建议总览'!$R$5:$R$25,MATCH($A263,'建筑建议总览'!$A$5:$A$25,0))</f>
        <v/>
      </c>
      <c r="R263" s="36">
        <f>INDEX('建筑建议总览'!$S$5:$S$25,MATCH($A263,'建筑建议总览'!$A$5:$A$25,0))</f>
        <v/>
      </c>
      <c r="S263" s="36">
        <f>INDEX('建筑建议总览'!$T$5:$T$25,MATCH($A263,'建筑建议总览'!$A$5:$A$25,0))</f>
        <v/>
      </c>
      <c r="T263" s="44">
        <f>POWER(Q263,D263-1)</f>
        <v/>
      </c>
      <c r="U263" s="44">
        <f>SUMIF($A$5:$A$328,$A263,$T$5:$T$328)</f>
        <v/>
      </c>
      <c r="V263" s="36">
        <f>IF(R263&gt;0,ROUNDDOWN(MAX(0,R263-O263*(F263-1))*T263/U263,0),0)</f>
        <v/>
      </c>
      <c r="W263" s="36">
        <f>IF(S263&gt;0,ROUNDDOWN(MAX(0,S263-P263*(F263-1))*T263/U263,0),0)</f>
        <v/>
      </c>
      <c r="X263" s="36">
        <f>IF(R263&gt;0,O263+V263+IF(D263=F263-1,MAX(0,R263-O263*(F263-1)-SUMIF($A$5:$A$328,$A263,$V$5:$V$328)),0),ROUNDUP(O263*POWER(INDEX('建筑总览'!$J$5:$J$25,MATCH($A263,'建筑总览'!$A$5:$A$25,0)),D263),0))</f>
        <v/>
      </c>
      <c r="Y263" s="36">
        <f>IF(P263=0,0,IF(S263&gt;0,P263+W263+IF(D263=F263-1,MAX(0,S263-P263*(F263-1)-SUMIF($A$5:$A$328,$A263,$W$5:$W$328)),0),ROUNDUP(P263*POWER(INDEX('建筑总览'!$J$5:$J$25,MATCH($A263,'建筑总览'!$A$5:$A$25,0)),D263),0)))</f>
        <v/>
      </c>
      <c r="Z263" s="36">
        <f>IF(X263=0,0,MAX(1,ROUNDUP(X263*(1-'参数与公式'!$B$17),0)))</f>
        <v/>
      </c>
      <c r="AA263" s="36">
        <f>IF(Y263=0,0,MAX(1,ROUNDUP(Y263*(1-'参数与公式'!$B$17),0)))</f>
        <v/>
      </c>
      <c r="AB263" s="33" t="inlineStr">
        <is>
          <t>预算模式末级补足余数；旧模式按指数公式</t>
        </is>
      </c>
      <c r="AC263" s="49">
        <f>IF(A263=A262,IFERROR(M263/M262,""),"")</f>
        <v/>
      </c>
      <c r="AD263" s="49">
        <f>IF(AND(A263=A262,X262&gt;0),X263/X262,"")</f>
        <v/>
      </c>
    </row>
    <row r="264" ht="30" customHeight="1">
      <c r="A264" s="33" t="inlineStr">
        <is>
          <t>jiadingfang</t>
        </is>
      </c>
      <c r="B264" s="33" t="inlineStr">
        <is>
          <t>家丁房</t>
        </is>
      </c>
      <c r="C264" s="33" t="inlineStr">
        <is>
          <t>人员管理</t>
        </is>
      </c>
      <c r="D264" s="43" t="n">
        <v>27</v>
      </c>
      <c r="E264" s="36">
        <f>D264+1</f>
        <v/>
      </c>
      <c r="F264" s="43" t="n">
        <v>30</v>
      </c>
      <c r="G264" s="36">
        <f>INDEX('建筑建议总览'!$H$5:$H$25,MATCH($A264,'建筑建议总览'!$A$5:$A$25,0))</f>
        <v/>
      </c>
      <c r="H264" s="44">
        <f>INDEX('建筑建议总览'!$I$5:$I$25,MATCH($A264,'建筑建议总览'!$A$5:$A$25,0))</f>
        <v/>
      </c>
      <c r="I264" s="36">
        <f>INDEX('建筑建议总览'!$J$5:$J$25,MATCH($A264,'建筑建议总览'!$A$5:$A$25,0))</f>
        <v/>
      </c>
      <c r="J264" s="44">
        <f>POWER(H264,D264-1)</f>
        <v/>
      </c>
      <c r="K264" s="44">
        <f>SUMIF($A$5:$A$328,$A264,$J$5:$J$328)</f>
        <v/>
      </c>
      <c r="L264" s="36">
        <f>IF(I264&gt;0,ROUNDDOWN(MAX(0,I264-G264*(F264-1))*J264/K264,0),0)</f>
        <v/>
      </c>
      <c r="M264" s="36">
        <f>IF(I264&gt;0,G264+L264+IF(D264=F264-1,MAX(0,I264-G264*(F264-1)-SUMIF($A$5:$A$328,$A264,$L$5:$L$328)),0),ROUNDUP(G264*POWER(INDEX('建筑总览'!$G$5:$G$25,MATCH($A264,'建筑总览'!$A$5:$A$25,0)),D264),0))</f>
        <v/>
      </c>
      <c r="N264" s="35">
        <f>M264/'参数与公式'!$B$21</f>
        <v/>
      </c>
      <c r="O264" s="36">
        <f>INDEX('建筑建议总览'!$P$5:$P$25,MATCH($A264,'建筑建议总览'!$A$5:$A$25,0))</f>
        <v/>
      </c>
      <c r="P264" s="36">
        <f>INDEX('建筑建议总览'!$Q$5:$Q$25,MATCH($A264,'建筑建议总览'!$A$5:$A$25,0))</f>
        <v/>
      </c>
      <c r="Q264" s="44">
        <f>INDEX('建筑建议总览'!$R$5:$R$25,MATCH($A264,'建筑建议总览'!$A$5:$A$25,0))</f>
        <v/>
      </c>
      <c r="R264" s="36">
        <f>INDEX('建筑建议总览'!$S$5:$S$25,MATCH($A264,'建筑建议总览'!$A$5:$A$25,0))</f>
        <v/>
      </c>
      <c r="S264" s="36">
        <f>INDEX('建筑建议总览'!$T$5:$T$25,MATCH($A264,'建筑建议总览'!$A$5:$A$25,0))</f>
        <v/>
      </c>
      <c r="T264" s="44">
        <f>POWER(Q264,D264-1)</f>
        <v/>
      </c>
      <c r="U264" s="44">
        <f>SUMIF($A$5:$A$328,$A264,$T$5:$T$328)</f>
        <v/>
      </c>
      <c r="V264" s="36">
        <f>IF(R264&gt;0,ROUNDDOWN(MAX(0,R264-O264*(F264-1))*T264/U264,0),0)</f>
        <v/>
      </c>
      <c r="W264" s="36">
        <f>IF(S264&gt;0,ROUNDDOWN(MAX(0,S264-P264*(F264-1))*T264/U264,0),0)</f>
        <v/>
      </c>
      <c r="X264" s="36">
        <f>IF(R264&gt;0,O264+V264+IF(D264=F264-1,MAX(0,R264-O264*(F264-1)-SUMIF($A$5:$A$328,$A264,$V$5:$V$328)),0),ROUNDUP(O264*POWER(INDEX('建筑总览'!$J$5:$J$25,MATCH($A264,'建筑总览'!$A$5:$A$25,0)),D264),0))</f>
        <v/>
      </c>
      <c r="Y264" s="36">
        <f>IF(P264=0,0,IF(S264&gt;0,P264+W264+IF(D264=F264-1,MAX(0,S264-P264*(F264-1)-SUMIF($A$5:$A$328,$A264,$W$5:$W$328)),0),ROUNDUP(P264*POWER(INDEX('建筑总览'!$J$5:$J$25,MATCH($A264,'建筑总览'!$A$5:$A$25,0)),D264),0)))</f>
        <v/>
      </c>
      <c r="Z264" s="36">
        <f>IF(X264=0,0,MAX(1,ROUNDUP(X264*(1-'参数与公式'!$B$17),0)))</f>
        <v/>
      </c>
      <c r="AA264" s="36">
        <f>IF(Y264=0,0,MAX(1,ROUNDUP(Y264*(1-'参数与公式'!$B$17),0)))</f>
        <v/>
      </c>
      <c r="AB264" s="33" t="inlineStr">
        <is>
          <t>预算模式末级补足余数；旧模式按指数公式</t>
        </is>
      </c>
      <c r="AC264" s="49">
        <f>IF(A264=A263,IFERROR(M264/M263,""),"")</f>
        <v/>
      </c>
      <c r="AD264" s="49">
        <f>IF(AND(A264=A263,X263&gt;0),X264/X263,"")</f>
        <v/>
      </c>
    </row>
    <row r="265" ht="30" customHeight="1">
      <c r="A265" s="33" t="inlineStr">
        <is>
          <t>jiadingfang</t>
        </is>
      </c>
      <c r="B265" s="33" t="inlineStr">
        <is>
          <t>家丁房</t>
        </is>
      </c>
      <c r="C265" s="33" t="inlineStr">
        <is>
          <t>人员管理</t>
        </is>
      </c>
      <c r="D265" s="43" t="n">
        <v>28</v>
      </c>
      <c r="E265" s="36">
        <f>D265+1</f>
        <v/>
      </c>
      <c r="F265" s="43" t="n">
        <v>30</v>
      </c>
      <c r="G265" s="36">
        <f>INDEX('建筑建议总览'!$H$5:$H$25,MATCH($A265,'建筑建议总览'!$A$5:$A$25,0))</f>
        <v/>
      </c>
      <c r="H265" s="44">
        <f>INDEX('建筑建议总览'!$I$5:$I$25,MATCH($A265,'建筑建议总览'!$A$5:$A$25,0))</f>
        <v/>
      </c>
      <c r="I265" s="36">
        <f>INDEX('建筑建议总览'!$J$5:$J$25,MATCH($A265,'建筑建议总览'!$A$5:$A$25,0))</f>
        <v/>
      </c>
      <c r="J265" s="44">
        <f>POWER(H265,D265-1)</f>
        <v/>
      </c>
      <c r="K265" s="44">
        <f>SUMIF($A$5:$A$328,$A265,$J$5:$J$328)</f>
        <v/>
      </c>
      <c r="L265" s="36">
        <f>IF(I265&gt;0,ROUNDDOWN(MAX(0,I265-G265*(F265-1))*J265/K265,0),0)</f>
        <v/>
      </c>
      <c r="M265" s="36">
        <f>IF(I265&gt;0,G265+L265+IF(D265=F265-1,MAX(0,I265-G265*(F265-1)-SUMIF($A$5:$A$328,$A265,$L$5:$L$328)),0),ROUNDUP(G265*POWER(INDEX('建筑总览'!$G$5:$G$25,MATCH($A265,'建筑总览'!$A$5:$A$25,0)),D265),0))</f>
        <v/>
      </c>
      <c r="N265" s="35">
        <f>M265/'参数与公式'!$B$21</f>
        <v/>
      </c>
      <c r="O265" s="36">
        <f>INDEX('建筑建议总览'!$P$5:$P$25,MATCH($A265,'建筑建议总览'!$A$5:$A$25,0))</f>
        <v/>
      </c>
      <c r="P265" s="36">
        <f>INDEX('建筑建议总览'!$Q$5:$Q$25,MATCH($A265,'建筑建议总览'!$A$5:$A$25,0))</f>
        <v/>
      </c>
      <c r="Q265" s="44">
        <f>INDEX('建筑建议总览'!$R$5:$R$25,MATCH($A265,'建筑建议总览'!$A$5:$A$25,0))</f>
        <v/>
      </c>
      <c r="R265" s="36">
        <f>INDEX('建筑建议总览'!$S$5:$S$25,MATCH($A265,'建筑建议总览'!$A$5:$A$25,0))</f>
        <v/>
      </c>
      <c r="S265" s="36">
        <f>INDEX('建筑建议总览'!$T$5:$T$25,MATCH($A265,'建筑建议总览'!$A$5:$A$25,0))</f>
        <v/>
      </c>
      <c r="T265" s="44">
        <f>POWER(Q265,D265-1)</f>
        <v/>
      </c>
      <c r="U265" s="44">
        <f>SUMIF($A$5:$A$328,$A265,$T$5:$T$328)</f>
        <v/>
      </c>
      <c r="V265" s="36">
        <f>IF(R265&gt;0,ROUNDDOWN(MAX(0,R265-O265*(F265-1))*T265/U265,0),0)</f>
        <v/>
      </c>
      <c r="W265" s="36">
        <f>IF(S265&gt;0,ROUNDDOWN(MAX(0,S265-P265*(F265-1))*T265/U265,0),0)</f>
        <v/>
      </c>
      <c r="X265" s="36">
        <f>IF(R265&gt;0,O265+V265+IF(D265=F265-1,MAX(0,R265-O265*(F265-1)-SUMIF($A$5:$A$328,$A265,$V$5:$V$328)),0),ROUNDUP(O265*POWER(INDEX('建筑总览'!$J$5:$J$25,MATCH($A265,'建筑总览'!$A$5:$A$25,0)),D265),0))</f>
        <v/>
      </c>
      <c r="Y265" s="36">
        <f>IF(P265=0,0,IF(S265&gt;0,P265+W265+IF(D265=F265-1,MAX(0,S265-P265*(F265-1)-SUMIF($A$5:$A$328,$A265,$W$5:$W$328)),0),ROUNDUP(P265*POWER(INDEX('建筑总览'!$J$5:$J$25,MATCH($A265,'建筑总览'!$A$5:$A$25,0)),D265),0)))</f>
        <v/>
      </c>
      <c r="Z265" s="36">
        <f>IF(X265=0,0,MAX(1,ROUNDUP(X265*(1-'参数与公式'!$B$17),0)))</f>
        <v/>
      </c>
      <c r="AA265" s="36">
        <f>IF(Y265=0,0,MAX(1,ROUNDUP(Y265*(1-'参数与公式'!$B$17),0)))</f>
        <v/>
      </c>
      <c r="AB265" s="33" t="inlineStr">
        <is>
          <t>预算模式末级补足余数；旧模式按指数公式</t>
        </is>
      </c>
      <c r="AC265" s="49">
        <f>IF(A265=A264,IFERROR(M265/M264,""),"")</f>
        <v/>
      </c>
      <c r="AD265" s="49">
        <f>IF(AND(A265=A264,X264&gt;0),X265/X264,"")</f>
        <v/>
      </c>
    </row>
    <row r="266" ht="30" customHeight="1">
      <c r="A266" s="33" t="inlineStr">
        <is>
          <t>jiadingfang</t>
        </is>
      </c>
      <c r="B266" s="33" t="inlineStr">
        <is>
          <t>家丁房</t>
        </is>
      </c>
      <c r="C266" s="33" t="inlineStr">
        <is>
          <t>人员管理</t>
        </is>
      </c>
      <c r="D266" s="43" t="n">
        <v>29</v>
      </c>
      <c r="E266" s="36">
        <f>D266+1</f>
        <v/>
      </c>
      <c r="F266" s="43" t="n">
        <v>30</v>
      </c>
      <c r="G266" s="36">
        <f>INDEX('建筑建议总览'!$H$5:$H$25,MATCH($A266,'建筑建议总览'!$A$5:$A$25,0))</f>
        <v/>
      </c>
      <c r="H266" s="44">
        <f>INDEX('建筑建议总览'!$I$5:$I$25,MATCH($A266,'建筑建议总览'!$A$5:$A$25,0))</f>
        <v/>
      </c>
      <c r="I266" s="36">
        <f>INDEX('建筑建议总览'!$J$5:$J$25,MATCH($A266,'建筑建议总览'!$A$5:$A$25,0))</f>
        <v/>
      </c>
      <c r="J266" s="44">
        <f>POWER(H266,D266-1)</f>
        <v/>
      </c>
      <c r="K266" s="44">
        <f>SUMIF($A$5:$A$328,$A266,$J$5:$J$328)</f>
        <v/>
      </c>
      <c r="L266" s="36">
        <f>IF(I266&gt;0,ROUNDDOWN(MAX(0,I266-G266*(F266-1))*J266/K266,0),0)</f>
        <v/>
      </c>
      <c r="M266" s="36">
        <f>IF(I266&gt;0,G266+L266+IF(D266=F266-1,MAX(0,I266-G266*(F266-1)-SUMIF($A$5:$A$328,$A266,$L$5:$L$328)),0),ROUNDUP(G266*POWER(INDEX('建筑总览'!$G$5:$G$25,MATCH($A266,'建筑总览'!$A$5:$A$25,0)),D266),0))</f>
        <v/>
      </c>
      <c r="N266" s="35">
        <f>M266/'参数与公式'!$B$21</f>
        <v/>
      </c>
      <c r="O266" s="36">
        <f>INDEX('建筑建议总览'!$P$5:$P$25,MATCH($A266,'建筑建议总览'!$A$5:$A$25,0))</f>
        <v/>
      </c>
      <c r="P266" s="36">
        <f>INDEX('建筑建议总览'!$Q$5:$Q$25,MATCH($A266,'建筑建议总览'!$A$5:$A$25,0))</f>
        <v/>
      </c>
      <c r="Q266" s="44">
        <f>INDEX('建筑建议总览'!$R$5:$R$25,MATCH($A266,'建筑建议总览'!$A$5:$A$25,0))</f>
        <v/>
      </c>
      <c r="R266" s="36">
        <f>INDEX('建筑建议总览'!$S$5:$S$25,MATCH($A266,'建筑建议总览'!$A$5:$A$25,0))</f>
        <v/>
      </c>
      <c r="S266" s="36">
        <f>INDEX('建筑建议总览'!$T$5:$T$25,MATCH($A266,'建筑建议总览'!$A$5:$A$25,0))</f>
        <v/>
      </c>
      <c r="T266" s="44">
        <f>POWER(Q266,D266-1)</f>
        <v/>
      </c>
      <c r="U266" s="44">
        <f>SUMIF($A$5:$A$328,$A266,$T$5:$T$328)</f>
        <v/>
      </c>
      <c r="V266" s="36">
        <f>IF(R266&gt;0,ROUNDDOWN(MAX(0,R266-O266*(F266-1))*T266/U266,0),0)</f>
        <v/>
      </c>
      <c r="W266" s="36">
        <f>IF(S266&gt;0,ROUNDDOWN(MAX(0,S266-P266*(F266-1))*T266/U266,0),0)</f>
        <v/>
      </c>
      <c r="X266" s="36">
        <f>IF(R266&gt;0,O266+V266+IF(D266=F266-1,MAX(0,R266-O266*(F266-1)-SUMIF($A$5:$A$328,$A266,$V$5:$V$328)),0),ROUNDUP(O266*POWER(INDEX('建筑总览'!$J$5:$J$25,MATCH($A266,'建筑总览'!$A$5:$A$25,0)),D266),0))</f>
        <v/>
      </c>
      <c r="Y266" s="36">
        <f>IF(P266=0,0,IF(S266&gt;0,P266+W266+IF(D266=F266-1,MAX(0,S266-P266*(F266-1)-SUMIF($A$5:$A$328,$A266,$W$5:$W$328)),0),ROUNDUP(P266*POWER(INDEX('建筑总览'!$J$5:$J$25,MATCH($A266,'建筑总览'!$A$5:$A$25,0)),D266),0)))</f>
        <v/>
      </c>
      <c r="Z266" s="36">
        <f>IF(X266=0,0,MAX(1,ROUNDUP(X266*(1-'参数与公式'!$B$17),0)))</f>
        <v/>
      </c>
      <c r="AA266" s="36">
        <f>IF(Y266=0,0,MAX(1,ROUNDUP(Y266*(1-'参数与公式'!$B$17),0)))</f>
        <v/>
      </c>
      <c r="AB266" s="33" t="inlineStr">
        <is>
          <t>预算模式末级补足余数；旧模式按指数公式</t>
        </is>
      </c>
      <c r="AC266" s="49">
        <f>IF(A266=A265,IFERROR(M266/M265,""),"")</f>
        <v/>
      </c>
      <c r="AD266" s="49">
        <f>IF(AND(A266=A265,X265&gt;0),X266/X265,"")</f>
        <v/>
      </c>
    </row>
    <row r="267" ht="30" customHeight="1">
      <c r="A267" s="33" t="inlineStr">
        <is>
          <t>lianggongchang</t>
        </is>
      </c>
      <c r="B267" s="33" t="inlineStr">
        <is>
          <t>练功场</t>
        </is>
      </c>
      <c r="C267" s="33" t="inlineStr">
        <is>
          <t>人员管理</t>
        </is>
      </c>
      <c r="D267" s="43" t="n">
        <v>1</v>
      </c>
      <c r="E267" s="36">
        <f>D267+1</f>
        <v/>
      </c>
      <c r="F267" s="43" t="n">
        <v>10</v>
      </c>
      <c r="G267" s="36">
        <f>INDEX('建筑建议总览'!$H$5:$H$25,MATCH($A267,'建筑建议总览'!$A$5:$A$25,0))</f>
        <v/>
      </c>
      <c r="H267" s="44">
        <f>INDEX('建筑建议总览'!$I$5:$I$25,MATCH($A267,'建筑建议总览'!$A$5:$A$25,0))</f>
        <v/>
      </c>
      <c r="I267" s="36">
        <f>INDEX('建筑建议总览'!$J$5:$J$25,MATCH($A267,'建筑建议总览'!$A$5:$A$25,0))</f>
        <v/>
      </c>
      <c r="J267" s="44">
        <f>POWER(H267,D267-1)</f>
        <v/>
      </c>
      <c r="K267" s="44">
        <f>SUMIF($A$5:$A$328,$A267,$J$5:$J$328)</f>
        <v/>
      </c>
      <c r="L267" s="36">
        <f>IF(I267&gt;0,ROUNDDOWN(MAX(0,I267-G267*(F267-1))*J267/K267,0),0)</f>
        <v/>
      </c>
      <c r="M267" s="36">
        <f>IF(I267&gt;0,G267+L267+IF(D267=F267-1,MAX(0,I267-G267*(F267-1)-SUMIF($A$5:$A$328,$A267,$L$5:$L$328)),0),ROUNDUP(G267*POWER(INDEX('建筑总览'!$G$5:$G$25,MATCH($A267,'建筑总览'!$A$5:$A$25,0)),D267),0))</f>
        <v/>
      </c>
      <c r="N267" s="35">
        <f>M267/'参数与公式'!$B$21</f>
        <v/>
      </c>
      <c r="O267" s="36">
        <f>INDEX('建筑建议总览'!$P$5:$P$25,MATCH($A267,'建筑建议总览'!$A$5:$A$25,0))</f>
        <v/>
      </c>
      <c r="P267" s="36">
        <f>INDEX('建筑建议总览'!$Q$5:$Q$25,MATCH($A267,'建筑建议总览'!$A$5:$A$25,0))</f>
        <v/>
      </c>
      <c r="Q267" s="44">
        <f>INDEX('建筑建议总览'!$R$5:$R$25,MATCH($A267,'建筑建议总览'!$A$5:$A$25,0))</f>
        <v/>
      </c>
      <c r="R267" s="36">
        <f>INDEX('建筑建议总览'!$S$5:$S$25,MATCH($A267,'建筑建议总览'!$A$5:$A$25,0))</f>
        <v/>
      </c>
      <c r="S267" s="36">
        <f>INDEX('建筑建议总览'!$T$5:$T$25,MATCH($A267,'建筑建议总览'!$A$5:$A$25,0))</f>
        <v/>
      </c>
      <c r="T267" s="44">
        <f>POWER(Q267,D267-1)</f>
        <v/>
      </c>
      <c r="U267" s="44">
        <f>SUMIF($A$5:$A$328,$A267,$T$5:$T$328)</f>
        <v/>
      </c>
      <c r="V267" s="36">
        <f>IF(R267&gt;0,ROUNDDOWN(MAX(0,R267-O267*(F267-1))*T267/U267,0),0)</f>
        <v/>
      </c>
      <c r="W267" s="36">
        <f>IF(S267&gt;0,ROUNDDOWN(MAX(0,S267-P267*(F267-1))*T267/U267,0),0)</f>
        <v/>
      </c>
      <c r="X267" s="36">
        <f>IF(R267&gt;0,O267+V267+IF(D267=F267-1,MAX(0,R267-O267*(F267-1)-SUMIF($A$5:$A$328,$A267,$V$5:$V$328)),0),ROUNDUP(O267*POWER(INDEX('建筑总览'!$J$5:$J$25,MATCH($A267,'建筑总览'!$A$5:$A$25,0)),D267),0))</f>
        <v/>
      </c>
      <c r="Y267" s="36">
        <f>IF(P267=0,0,IF(S267&gt;0,P267+W267+IF(D267=F267-1,MAX(0,S267-P267*(F267-1)-SUMIF($A$5:$A$328,$A267,$W$5:$W$328)),0),ROUNDUP(P267*POWER(INDEX('建筑总览'!$J$5:$J$25,MATCH($A267,'建筑总览'!$A$5:$A$25,0)),D267),0)))</f>
        <v/>
      </c>
      <c r="Z267" s="36">
        <f>IF(X267=0,0,MAX(1,ROUNDUP(X267*(1-'参数与公式'!$B$17),0)))</f>
        <v/>
      </c>
      <c r="AA267" s="36">
        <f>IF(Y267=0,0,MAX(1,ROUNDUP(Y267*(1-'参数与公式'!$B$17),0)))</f>
        <v/>
      </c>
      <c r="AB267" s="33" t="inlineStr">
        <is>
          <t>预算模式末级补足余数；旧模式按指数公式</t>
        </is>
      </c>
      <c r="AC267" s="49">
        <f>IF(A267=A266,IFERROR(M267/M266,""),"")</f>
        <v/>
      </c>
      <c r="AD267" s="49">
        <f>IF(AND(A267=A266,X266&gt;0),X267/X266,"")</f>
        <v/>
      </c>
    </row>
    <row r="268" ht="30" customHeight="1">
      <c r="A268" s="33" t="inlineStr">
        <is>
          <t>lianggongchang</t>
        </is>
      </c>
      <c r="B268" s="33" t="inlineStr">
        <is>
          <t>练功场</t>
        </is>
      </c>
      <c r="C268" s="33" t="inlineStr">
        <is>
          <t>人员管理</t>
        </is>
      </c>
      <c r="D268" s="43" t="n">
        <v>2</v>
      </c>
      <c r="E268" s="36">
        <f>D268+1</f>
        <v/>
      </c>
      <c r="F268" s="43" t="n">
        <v>10</v>
      </c>
      <c r="G268" s="36">
        <f>INDEX('建筑建议总览'!$H$5:$H$25,MATCH($A268,'建筑建议总览'!$A$5:$A$25,0))</f>
        <v/>
      </c>
      <c r="H268" s="44">
        <f>INDEX('建筑建议总览'!$I$5:$I$25,MATCH($A268,'建筑建议总览'!$A$5:$A$25,0))</f>
        <v/>
      </c>
      <c r="I268" s="36">
        <f>INDEX('建筑建议总览'!$J$5:$J$25,MATCH($A268,'建筑建议总览'!$A$5:$A$25,0))</f>
        <v/>
      </c>
      <c r="J268" s="44">
        <f>POWER(H268,D268-1)</f>
        <v/>
      </c>
      <c r="K268" s="44">
        <f>SUMIF($A$5:$A$328,$A268,$J$5:$J$328)</f>
        <v/>
      </c>
      <c r="L268" s="36">
        <f>IF(I268&gt;0,ROUNDDOWN(MAX(0,I268-G268*(F268-1))*J268/K268,0),0)</f>
        <v/>
      </c>
      <c r="M268" s="36">
        <f>IF(I268&gt;0,G268+L268+IF(D268=F268-1,MAX(0,I268-G268*(F268-1)-SUMIF($A$5:$A$328,$A268,$L$5:$L$328)),0),ROUNDUP(G268*POWER(INDEX('建筑总览'!$G$5:$G$25,MATCH($A268,'建筑总览'!$A$5:$A$25,0)),D268),0))</f>
        <v/>
      </c>
      <c r="N268" s="35">
        <f>M268/'参数与公式'!$B$21</f>
        <v/>
      </c>
      <c r="O268" s="36">
        <f>INDEX('建筑建议总览'!$P$5:$P$25,MATCH($A268,'建筑建议总览'!$A$5:$A$25,0))</f>
        <v/>
      </c>
      <c r="P268" s="36">
        <f>INDEX('建筑建议总览'!$Q$5:$Q$25,MATCH($A268,'建筑建议总览'!$A$5:$A$25,0))</f>
        <v/>
      </c>
      <c r="Q268" s="44">
        <f>INDEX('建筑建议总览'!$R$5:$R$25,MATCH($A268,'建筑建议总览'!$A$5:$A$25,0))</f>
        <v/>
      </c>
      <c r="R268" s="36">
        <f>INDEX('建筑建议总览'!$S$5:$S$25,MATCH($A268,'建筑建议总览'!$A$5:$A$25,0))</f>
        <v/>
      </c>
      <c r="S268" s="36">
        <f>INDEX('建筑建议总览'!$T$5:$T$25,MATCH($A268,'建筑建议总览'!$A$5:$A$25,0))</f>
        <v/>
      </c>
      <c r="T268" s="44">
        <f>POWER(Q268,D268-1)</f>
        <v/>
      </c>
      <c r="U268" s="44">
        <f>SUMIF($A$5:$A$328,$A268,$T$5:$T$328)</f>
        <v/>
      </c>
      <c r="V268" s="36">
        <f>IF(R268&gt;0,ROUNDDOWN(MAX(0,R268-O268*(F268-1))*T268/U268,0),0)</f>
        <v/>
      </c>
      <c r="W268" s="36">
        <f>IF(S268&gt;0,ROUNDDOWN(MAX(0,S268-P268*(F268-1))*T268/U268,0),0)</f>
        <v/>
      </c>
      <c r="X268" s="36">
        <f>IF(R268&gt;0,O268+V268+IF(D268=F268-1,MAX(0,R268-O268*(F268-1)-SUMIF($A$5:$A$328,$A268,$V$5:$V$328)),0),ROUNDUP(O268*POWER(INDEX('建筑总览'!$J$5:$J$25,MATCH($A268,'建筑总览'!$A$5:$A$25,0)),D268),0))</f>
        <v/>
      </c>
      <c r="Y268" s="36">
        <f>IF(P268=0,0,IF(S268&gt;0,P268+W268+IF(D268=F268-1,MAX(0,S268-P268*(F268-1)-SUMIF($A$5:$A$328,$A268,$W$5:$W$328)),0),ROUNDUP(P268*POWER(INDEX('建筑总览'!$J$5:$J$25,MATCH($A268,'建筑总览'!$A$5:$A$25,0)),D268),0)))</f>
        <v/>
      </c>
      <c r="Z268" s="36">
        <f>IF(X268=0,0,MAX(1,ROUNDUP(X268*(1-'参数与公式'!$B$17),0)))</f>
        <v/>
      </c>
      <c r="AA268" s="36">
        <f>IF(Y268=0,0,MAX(1,ROUNDUP(Y268*(1-'参数与公式'!$B$17),0)))</f>
        <v/>
      </c>
      <c r="AB268" s="33" t="inlineStr">
        <is>
          <t>预算模式末级补足余数；旧模式按指数公式</t>
        </is>
      </c>
      <c r="AC268" s="49">
        <f>IF(A268=A267,IFERROR(M268/M267,""),"")</f>
        <v/>
      </c>
      <c r="AD268" s="49">
        <f>IF(AND(A268=A267,X267&gt;0),X268/X267,"")</f>
        <v/>
      </c>
    </row>
    <row r="269" ht="30" customHeight="1">
      <c r="A269" s="33" t="inlineStr">
        <is>
          <t>lianggongchang</t>
        </is>
      </c>
      <c r="B269" s="33" t="inlineStr">
        <is>
          <t>练功场</t>
        </is>
      </c>
      <c r="C269" s="33" t="inlineStr">
        <is>
          <t>人员管理</t>
        </is>
      </c>
      <c r="D269" s="43" t="n">
        <v>3</v>
      </c>
      <c r="E269" s="36">
        <f>D269+1</f>
        <v/>
      </c>
      <c r="F269" s="43" t="n">
        <v>10</v>
      </c>
      <c r="G269" s="36">
        <f>INDEX('建筑建议总览'!$H$5:$H$25,MATCH($A269,'建筑建议总览'!$A$5:$A$25,0))</f>
        <v/>
      </c>
      <c r="H269" s="44">
        <f>INDEX('建筑建议总览'!$I$5:$I$25,MATCH($A269,'建筑建议总览'!$A$5:$A$25,0))</f>
        <v/>
      </c>
      <c r="I269" s="36">
        <f>INDEX('建筑建议总览'!$J$5:$J$25,MATCH($A269,'建筑建议总览'!$A$5:$A$25,0))</f>
        <v/>
      </c>
      <c r="J269" s="44">
        <f>POWER(H269,D269-1)</f>
        <v/>
      </c>
      <c r="K269" s="44">
        <f>SUMIF($A$5:$A$328,$A269,$J$5:$J$328)</f>
        <v/>
      </c>
      <c r="L269" s="36">
        <f>IF(I269&gt;0,ROUNDDOWN(MAX(0,I269-G269*(F269-1))*J269/K269,0),0)</f>
        <v/>
      </c>
      <c r="M269" s="36">
        <f>IF(I269&gt;0,G269+L269+IF(D269=F269-1,MAX(0,I269-G269*(F269-1)-SUMIF($A$5:$A$328,$A269,$L$5:$L$328)),0),ROUNDUP(G269*POWER(INDEX('建筑总览'!$G$5:$G$25,MATCH($A269,'建筑总览'!$A$5:$A$25,0)),D269),0))</f>
        <v/>
      </c>
      <c r="N269" s="35">
        <f>M269/'参数与公式'!$B$21</f>
        <v/>
      </c>
      <c r="O269" s="36">
        <f>INDEX('建筑建议总览'!$P$5:$P$25,MATCH($A269,'建筑建议总览'!$A$5:$A$25,0))</f>
        <v/>
      </c>
      <c r="P269" s="36">
        <f>INDEX('建筑建议总览'!$Q$5:$Q$25,MATCH($A269,'建筑建议总览'!$A$5:$A$25,0))</f>
        <v/>
      </c>
      <c r="Q269" s="44">
        <f>INDEX('建筑建议总览'!$R$5:$R$25,MATCH($A269,'建筑建议总览'!$A$5:$A$25,0))</f>
        <v/>
      </c>
      <c r="R269" s="36">
        <f>INDEX('建筑建议总览'!$S$5:$S$25,MATCH($A269,'建筑建议总览'!$A$5:$A$25,0))</f>
        <v/>
      </c>
      <c r="S269" s="36">
        <f>INDEX('建筑建议总览'!$T$5:$T$25,MATCH($A269,'建筑建议总览'!$A$5:$A$25,0))</f>
        <v/>
      </c>
      <c r="T269" s="44">
        <f>POWER(Q269,D269-1)</f>
        <v/>
      </c>
      <c r="U269" s="44">
        <f>SUMIF($A$5:$A$328,$A269,$T$5:$T$328)</f>
        <v/>
      </c>
      <c r="V269" s="36">
        <f>IF(R269&gt;0,ROUNDDOWN(MAX(0,R269-O269*(F269-1))*T269/U269,0),0)</f>
        <v/>
      </c>
      <c r="W269" s="36">
        <f>IF(S269&gt;0,ROUNDDOWN(MAX(0,S269-P269*(F269-1))*T269/U269,0),0)</f>
        <v/>
      </c>
      <c r="X269" s="36">
        <f>IF(R269&gt;0,O269+V269+IF(D269=F269-1,MAX(0,R269-O269*(F269-1)-SUMIF($A$5:$A$328,$A269,$V$5:$V$328)),0),ROUNDUP(O269*POWER(INDEX('建筑总览'!$J$5:$J$25,MATCH($A269,'建筑总览'!$A$5:$A$25,0)),D269),0))</f>
        <v/>
      </c>
      <c r="Y269" s="36">
        <f>IF(P269=0,0,IF(S269&gt;0,P269+W269+IF(D269=F269-1,MAX(0,S269-P269*(F269-1)-SUMIF($A$5:$A$328,$A269,$W$5:$W$328)),0),ROUNDUP(P269*POWER(INDEX('建筑总览'!$J$5:$J$25,MATCH($A269,'建筑总览'!$A$5:$A$25,0)),D269),0)))</f>
        <v/>
      </c>
      <c r="Z269" s="36">
        <f>IF(X269=0,0,MAX(1,ROUNDUP(X269*(1-'参数与公式'!$B$17),0)))</f>
        <v/>
      </c>
      <c r="AA269" s="36">
        <f>IF(Y269=0,0,MAX(1,ROUNDUP(Y269*(1-'参数与公式'!$B$17),0)))</f>
        <v/>
      </c>
      <c r="AB269" s="33" t="inlineStr">
        <is>
          <t>预算模式末级补足余数；旧模式按指数公式</t>
        </is>
      </c>
      <c r="AC269" s="49">
        <f>IF(A269=A268,IFERROR(M269/M268,""),"")</f>
        <v/>
      </c>
      <c r="AD269" s="49">
        <f>IF(AND(A269=A268,X268&gt;0),X269/X268,"")</f>
        <v/>
      </c>
    </row>
    <row r="270" ht="30" customHeight="1">
      <c r="A270" s="33" t="inlineStr">
        <is>
          <t>lianggongchang</t>
        </is>
      </c>
      <c r="B270" s="33" t="inlineStr">
        <is>
          <t>练功场</t>
        </is>
      </c>
      <c r="C270" s="33" t="inlineStr">
        <is>
          <t>人员管理</t>
        </is>
      </c>
      <c r="D270" s="43" t="n">
        <v>4</v>
      </c>
      <c r="E270" s="36">
        <f>D270+1</f>
        <v/>
      </c>
      <c r="F270" s="43" t="n">
        <v>10</v>
      </c>
      <c r="G270" s="36">
        <f>INDEX('建筑建议总览'!$H$5:$H$25,MATCH($A270,'建筑建议总览'!$A$5:$A$25,0))</f>
        <v/>
      </c>
      <c r="H270" s="44">
        <f>INDEX('建筑建议总览'!$I$5:$I$25,MATCH($A270,'建筑建议总览'!$A$5:$A$25,0))</f>
        <v/>
      </c>
      <c r="I270" s="36">
        <f>INDEX('建筑建议总览'!$J$5:$J$25,MATCH($A270,'建筑建议总览'!$A$5:$A$25,0))</f>
        <v/>
      </c>
      <c r="J270" s="44">
        <f>POWER(H270,D270-1)</f>
        <v/>
      </c>
      <c r="K270" s="44">
        <f>SUMIF($A$5:$A$328,$A270,$J$5:$J$328)</f>
        <v/>
      </c>
      <c r="L270" s="36">
        <f>IF(I270&gt;0,ROUNDDOWN(MAX(0,I270-G270*(F270-1))*J270/K270,0),0)</f>
        <v/>
      </c>
      <c r="M270" s="36">
        <f>IF(I270&gt;0,G270+L270+IF(D270=F270-1,MAX(0,I270-G270*(F270-1)-SUMIF($A$5:$A$328,$A270,$L$5:$L$328)),0),ROUNDUP(G270*POWER(INDEX('建筑总览'!$G$5:$G$25,MATCH($A270,'建筑总览'!$A$5:$A$25,0)),D270),0))</f>
        <v/>
      </c>
      <c r="N270" s="35">
        <f>M270/'参数与公式'!$B$21</f>
        <v/>
      </c>
      <c r="O270" s="36">
        <f>INDEX('建筑建议总览'!$P$5:$P$25,MATCH($A270,'建筑建议总览'!$A$5:$A$25,0))</f>
        <v/>
      </c>
      <c r="P270" s="36">
        <f>INDEX('建筑建议总览'!$Q$5:$Q$25,MATCH($A270,'建筑建议总览'!$A$5:$A$25,0))</f>
        <v/>
      </c>
      <c r="Q270" s="44">
        <f>INDEX('建筑建议总览'!$R$5:$R$25,MATCH($A270,'建筑建议总览'!$A$5:$A$25,0))</f>
        <v/>
      </c>
      <c r="R270" s="36">
        <f>INDEX('建筑建议总览'!$S$5:$S$25,MATCH($A270,'建筑建议总览'!$A$5:$A$25,0))</f>
        <v/>
      </c>
      <c r="S270" s="36">
        <f>INDEX('建筑建议总览'!$T$5:$T$25,MATCH($A270,'建筑建议总览'!$A$5:$A$25,0))</f>
        <v/>
      </c>
      <c r="T270" s="44">
        <f>POWER(Q270,D270-1)</f>
        <v/>
      </c>
      <c r="U270" s="44">
        <f>SUMIF($A$5:$A$328,$A270,$T$5:$T$328)</f>
        <v/>
      </c>
      <c r="V270" s="36">
        <f>IF(R270&gt;0,ROUNDDOWN(MAX(0,R270-O270*(F270-1))*T270/U270,0),0)</f>
        <v/>
      </c>
      <c r="W270" s="36">
        <f>IF(S270&gt;0,ROUNDDOWN(MAX(0,S270-P270*(F270-1))*T270/U270,0),0)</f>
        <v/>
      </c>
      <c r="X270" s="36">
        <f>IF(R270&gt;0,O270+V270+IF(D270=F270-1,MAX(0,R270-O270*(F270-1)-SUMIF($A$5:$A$328,$A270,$V$5:$V$328)),0),ROUNDUP(O270*POWER(INDEX('建筑总览'!$J$5:$J$25,MATCH($A270,'建筑总览'!$A$5:$A$25,0)),D270),0))</f>
        <v/>
      </c>
      <c r="Y270" s="36">
        <f>IF(P270=0,0,IF(S270&gt;0,P270+W270+IF(D270=F270-1,MAX(0,S270-P270*(F270-1)-SUMIF($A$5:$A$328,$A270,$W$5:$W$328)),0),ROUNDUP(P270*POWER(INDEX('建筑总览'!$J$5:$J$25,MATCH($A270,'建筑总览'!$A$5:$A$25,0)),D270),0)))</f>
        <v/>
      </c>
      <c r="Z270" s="36">
        <f>IF(X270=0,0,MAX(1,ROUNDUP(X270*(1-'参数与公式'!$B$17),0)))</f>
        <v/>
      </c>
      <c r="AA270" s="36">
        <f>IF(Y270=0,0,MAX(1,ROUNDUP(Y270*(1-'参数与公式'!$B$17),0)))</f>
        <v/>
      </c>
      <c r="AB270" s="33" t="inlineStr">
        <is>
          <t>预算模式末级补足余数；旧模式按指数公式</t>
        </is>
      </c>
      <c r="AC270" s="49">
        <f>IF(A270=A269,IFERROR(M270/M269,""),"")</f>
        <v/>
      </c>
      <c r="AD270" s="49">
        <f>IF(AND(A270=A269,X269&gt;0),X270/X269,"")</f>
        <v/>
      </c>
    </row>
    <row r="271" ht="30" customHeight="1">
      <c r="A271" s="33" t="inlineStr">
        <is>
          <t>lianggongchang</t>
        </is>
      </c>
      <c r="B271" s="33" t="inlineStr">
        <is>
          <t>练功场</t>
        </is>
      </c>
      <c r="C271" s="33" t="inlineStr">
        <is>
          <t>人员管理</t>
        </is>
      </c>
      <c r="D271" s="43" t="n">
        <v>5</v>
      </c>
      <c r="E271" s="36">
        <f>D271+1</f>
        <v/>
      </c>
      <c r="F271" s="43" t="n">
        <v>10</v>
      </c>
      <c r="G271" s="36">
        <f>INDEX('建筑建议总览'!$H$5:$H$25,MATCH($A271,'建筑建议总览'!$A$5:$A$25,0))</f>
        <v/>
      </c>
      <c r="H271" s="44">
        <f>INDEX('建筑建议总览'!$I$5:$I$25,MATCH($A271,'建筑建议总览'!$A$5:$A$25,0))</f>
        <v/>
      </c>
      <c r="I271" s="36">
        <f>INDEX('建筑建议总览'!$J$5:$J$25,MATCH($A271,'建筑建议总览'!$A$5:$A$25,0))</f>
        <v/>
      </c>
      <c r="J271" s="44">
        <f>POWER(H271,D271-1)</f>
        <v/>
      </c>
      <c r="K271" s="44">
        <f>SUMIF($A$5:$A$328,$A271,$J$5:$J$328)</f>
        <v/>
      </c>
      <c r="L271" s="36">
        <f>IF(I271&gt;0,ROUNDDOWN(MAX(0,I271-G271*(F271-1))*J271/K271,0),0)</f>
        <v/>
      </c>
      <c r="M271" s="36">
        <f>IF(I271&gt;0,G271+L271+IF(D271=F271-1,MAX(0,I271-G271*(F271-1)-SUMIF($A$5:$A$328,$A271,$L$5:$L$328)),0),ROUNDUP(G271*POWER(INDEX('建筑总览'!$G$5:$G$25,MATCH($A271,'建筑总览'!$A$5:$A$25,0)),D271),0))</f>
        <v/>
      </c>
      <c r="N271" s="35">
        <f>M271/'参数与公式'!$B$21</f>
        <v/>
      </c>
      <c r="O271" s="36">
        <f>INDEX('建筑建议总览'!$P$5:$P$25,MATCH($A271,'建筑建议总览'!$A$5:$A$25,0))</f>
        <v/>
      </c>
      <c r="P271" s="36">
        <f>INDEX('建筑建议总览'!$Q$5:$Q$25,MATCH($A271,'建筑建议总览'!$A$5:$A$25,0))</f>
        <v/>
      </c>
      <c r="Q271" s="44">
        <f>INDEX('建筑建议总览'!$R$5:$R$25,MATCH($A271,'建筑建议总览'!$A$5:$A$25,0))</f>
        <v/>
      </c>
      <c r="R271" s="36">
        <f>INDEX('建筑建议总览'!$S$5:$S$25,MATCH($A271,'建筑建议总览'!$A$5:$A$25,0))</f>
        <v/>
      </c>
      <c r="S271" s="36">
        <f>INDEX('建筑建议总览'!$T$5:$T$25,MATCH($A271,'建筑建议总览'!$A$5:$A$25,0))</f>
        <v/>
      </c>
      <c r="T271" s="44">
        <f>POWER(Q271,D271-1)</f>
        <v/>
      </c>
      <c r="U271" s="44">
        <f>SUMIF($A$5:$A$328,$A271,$T$5:$T$328)</f>
        <v/>
      </c>
      <c r="V271" s="36">
        <f>IF(R271&gt;0,ROUNDDOWN(MAX(0,R271-O271*(F271-1))*T271/U271,0),0)</f>
        <v/>
      </c>
      <c r="W271" s="36">
        <f>IF(S271&gt;0,ROUNDDOWN(MAX(0,S271-P271*(F271-1))*T271/U271,0),0)</f>
        <v/>
      </c>
      <c r="X271" s="36">
        <f>IF(R271&gt;0,O271+V271+IF(D271=F271-1,MAX(0,R271-O271*(F271-1)-SUMIF($A$5:$A$328,$A271,$V$5:$V$328)),0),ROUNDUP(O271*POWER(INDEX('建筑总览'!$J$5:$J$25,MATCH($A271,'建筑总览'!$A$5:$A$25,0)),D271),0))</f>
        <v/>
      </c>
      <c r="Y271" s="36">
        <f>IF(P271=0,0,IF(S271&gt;0,P271+W271+IF(D271=F271-1,MAX(0,S271-P271*(F271-1)-SUMIF($A$5:$A$328,$A271,$W$5:$W$328)),0),ROUNDUP(P271*POWER(INDEX('建筑总览'!$J$5:$J$25,MATCH($A271,'建筑总览'!$A$5:$A$25,0)),D271),0)))</f>
        <v/>
      </c>
      <c r="Z271" s="36">
        <f>IF(X271=0,0,MAX(1,ROUNDUP(X271*(1-'参数与公式'!$B$17),0)))</f>
        <v/>
      </c>
      <c r="AA271" s="36">
        <f>IF(Y271=0,0,MAX(1,ROUNDUP(Y271*(1-'参数与公式'!$B$17),0)))</f>
        <v/>
      </c>
      <c r="AB271" s="33" t="inlineStr">
        <is>
          <t>预算模式末级补足余数；旧模式按指数公式</t>
        </is>
      </c>
      <c r="AC271" s="49">
        <f>IF(A271=A270,IFERROR(M271/M270,""),"")</f>
        <v/>
      </c>
      <c r="AD271" s="49">
        <f>IF(AND(A271=A270,X270&gt;0),X271/X270,"")</f>
        <v/>
      </c>
    </row>
    <row r="272" ht="30" customHeight="1">
      <c r="A272" s="33" t="inlineStr">
        <is>
          <t>lianggongchang</t>
        </is>
      </c>
      <c r="B272" s="33" t="inlineStr">
        <is>
          <t>练功场</t>
        </is>
      </c>
      <c r="C272" s="33" t="inlineStr">
        <is>
          <t>人员管理</t>
        </is>
      </c>
      <c r="D272" s="43" t="n">
        <v>6</v>
      </c>
      <c r="E272" s="36">
        <f>D272+1</f>
        <v/>
      </c>
      <c r="F272" s="43" t="n">
        <v>10</v>
      </c>
      <c r="G272" s="36">
        <f>INDEX('建筑建议总览'!$H$5:$H$25,MATCH($A272,'建筑建议总览'!$A$5:$A$25,0))</f>
        <v/>
      </c>
      <c r="H272" s="44">
        <f>INDEX('建筑建议总览'!$I$5:$I$25,MATCH($A272,'建筑建议总览'!$A$5:$A$25,0))</f>
        <v/>
      </c>
      <c r="I272" s="36">
        <f>INDEX('建筑建议总览'!$J$5:$J$25,MATCH($A272,'建筑建议总览'!$A$5:$A$25,0))</f>
        <v/>
      </c>
      <c r="J272" s="44">
        <f>POWER(H272,D272-1)</f>
        <v/>
      </c>
      <c r="K272" s="44">
        <f>SUMIF($A$5:$A$328,$A272,$J$5:$J$328)</f>
        <v/>
      </c>
      <c r="L272" s="36">
        <f>IF(I272&gt;0,ROUNDDOWN(MAX(0,I272-G272*(F272-1))*J272/K272,0),0)</f>
        <v/>
      </c>
      <c r="M272" s="36">
        <f>IF(I272&gt;0,G272+L272+IF(D272=F272-1,MAX(0,I272-G272*(F272-1)-SUMIF($A$5:$A$328,$A272,$L$5:$L$328)),0),ROUNDUP(G272*POWER(INDEX('建筑总览'!$G$5:$G$25,MATCH($A272,'建筑总览'!$A$5:$A$25,0)),D272),0))</f>
        <v/>
      </c>
      <c r="N272" s="35">
        <f>M272/'参数与公式'!$B$21</f>
        <v/>
      </c>
      <c r="O272" s="36">
        <f>INDEX('建筑建议总览'!$P$5:$P$25,MATCH($A272,'建筑建议总览'!$A$5:$A$25,0))</f>
        <v/>
      </c>
      <c r="P272" s="36">
        <f>INDEX('建筑建议总览'!$Q$5:$Q$25,MATCH($A272,'建筑建议总览'!$A$5:$A$25,0))</f>
        <v/>
      </c>
      <c r="Q272" s="44">
        <f>INDEX('建筑建议总览'!$R$5:$R$25,MATCH($A272,'建筑建议总览'!$A$5:$A$25,0))</f>
        <v/>
      </c>
      <c r="R272" s="36">
        <f>INDEX('建筑建议总览'!$S$5:$S$25,MATCH($A272,'建筑建议总览'!$A$5:$A$25,0))</f>
        <v/>
      </c>
      <c r="S272" s="36">
        <f>INDEX('建筑建议总览'!$T$5:$T$25,MATCH($A272,'建筑建议总览'!$A$5:$A$25,0))</f>
        <v/>
      </c>
      <c r="T272" s="44">
        <f>POWER(Q272,D272-1)</f>
        <v/>
      </c>
      <c r="U272" s="44">
        <f>SUMIF($A$5:$A$328,$A272,$T$5:$T$328)</f>
        <v/>
      </c>
      <c r="V272" s="36">
        <f>IF(R272&gt;0,ROUNDDOWN(MAX(0,R272-O272*(F272-1))*T272/U272,0),0)</f>
        <v/>
      </c>
      <c r="W272" s="36">
        <f>IF(S272&gt;0,ROUNDDOWN(MAX(0,S272-P272*(F272-1))*T272/U272,0),0)</f>
        <v/>
      </c>
      <c r="X272" s="36">
        <f>IF(R272&gt;0,O272+V272+IF(D272=F272-1,MAX(0,R272-O272*(F272-1)-SUMIF($A$5:$A$328,$A272,$V$5:$V$328)),0),ROUNDUP(O272*POWER(INDEX('建筑总览'!$J$5:$J$25,MATCH($A272,'建筑总览'!$A$5:$A$25,0)),D272),0))</f>
        <v/>
      </c>
      <c r="Y272" s="36">
        <f>IF(P272=0,0,IF(S272&gt;0,P272+W272+IF(D272=F272-1,MAX(0,S272-P272*(F272-1)-SUMIF($A$5:$A$328,$A272,$W$5:$W$328)),0),ROUNDUP(P272*POWER(INDEX('建筑总览'!$J$5:$J$25,MATCH($A272,'建筑总览'!$A$5:$A$25,0)),D272),0)))</f>
        <v/>
      </c>
      <c r="Z272" s="36">
        <f>IF(X272=0,0,MAX(1,ROUNDUP(X272*(1-'参数与公式'!$B$17),0)))</f>
        <v/>
      </c>
      <c r="AA272" s="36">
        <f>IF(Y272=0,0,MAX(1,ROUNDUP(Y272*(1-'参数与公式'!$B$17),0)))</f>
        <v/>
      </c>
      <c r="AB272" s="33" t="inlineStr">
        <is>
          <t>预算模式末级补足余数；旧模式按指数公式</t>
        </is>
      </c>
      <c r="AC272" s="49">
        <f>IF(A272=A271,IFERROR(M272/M271,""),"")</f>
        <v/>
      </c>
      <c r="AD272" s="49">
        <f>IF(AND(A272=A271,X271&gt;0),X272/X271,"")</f>
        <v/>
      </c>
    </row>
    <row r="273" ht="30" customHeight="1">
      <c r="A273" s="33" t="inlineStr">
        <is>
          <t>lianggongchang</t>
        </is>
      </c>
      <c r="B273" s="33" t="inlineStr">
        <is>
          <t>练功场</t>
        </is>
      </c>
      <c r="C273" s="33" t="inlineStr">
        <is>
          <t>人员管理</t>
        </is>
      </c>
      <c r="D273" s="43" t="n">
        <v>7</v>
      </c>
      <c r="E273" s="36">
        <f>D273+1</f>
        <v/>
      </c>
      <c r="F273" s="43" t="n">
        <v>10</v>
      </c>
      <c r="G273" s="36">
        <f>INDEX('建筑建议总览'!$H$5:$H$25,MATCH($A273,'建筑建议总览'!$A$5:$A$25,0))</f>
        <v/>
      </c>
      <c r="H273" s="44">
        <f>INDEX('建筑建议总览'!$I$5:$I$25,MATCH($A273,'建筑建议总览'!$A$5:$A$25,0))</f>
        <v/>
      </c>
      <c r="I273" s="36">
        <f>INDEX('建筑建议总览'!$J$5:$J$25,MATCH($A273,'建筑建议总览'!$A$5:$A$25,0))</f>
        <v/>
      </c>
      <c r="J273" s="44">
        <f>POWER(H273,D273-1)</f>
        <v/>
      </c>
      <c r="K273" s="44">
        <f>SUMIF($A$5:$A$328,$A273,$J$5:$J$328)</f>
        <v/>
      </c>
      <c r="L273" s="36">
        <f>IF(I273&gt;0,ROUNDDOWN(MAX(0,I273-G273*(F273-1))*J273/K273,0),0)</f>
        <v/>
      </c>
      <c r="M273" s="36">
        <f>IF(I273&gt;0,G273+L273+IF(D273=F273-1,MAX(0,I273-G273*(F273-1)-SUMIF($A$5:$A$328,$A273,$L$5:$L$328)),0),ROUNDUP(G273*POWER(INDEX('建筑总览'!$G$5:$G$25,MATCH($A273,'建筑总览'!$A$5:$A$25,0)),D273),0))</f>
        <v/>
      </c>
      <c r="N273" s="35">
        <f>M273/'参数与公式'!$B$21</f>
        <v/>
      </c>
      <c r="O273" s="36">
        <f>INDEX('建筑建议总览'!$P$5:$P$25,MATCH($A273,'建筑建议总览'!$A$5:$A$25,0))</f>
        <v/>
      </c>
      <c r="P273" s="36">
        <f>INDEX('建筑建议总览'!$Q$5:$Q$25,MATCH($A273,'建筑建议总览'!$A$5:$A$25,0))</f>
        <v/>
      </c>
      <c r="Q273" s="44">
        <f>INDEX('建筑建议总览'!$R$5:$R$25,MATCH($A273,'建筑建议总览'!$A$5:$A$25,0))</f>
        <v/>
      </c>
      <c r="R273" s="36">
        <f>INDEX('建筑建议总览'!$S$5:$S$25,MATCH($A273,'建筑建议总览'!$A$5:$A$25,0))</f>
        <v/>
      </c>
      <c r="S273" s="36">
        <f>INDEX('建筑建议总览'!$T$5:$T$25,MATCH($A273,'建筑建议总览'!$A$5:$A$25,0))</f>
        <v/>
      </c>
      <c r="T273" s="44">
        <f>POWER(Q273,D273-1)</f>
        <v/>
      </c>
      <c r="U273" s="44">
        <f>SUMIF($A$5:$A$328,$A273,$T$5:$T$328)</f>
        <v/>
      </c>
      <c r="V273" s="36">
        <f>IF(R273&gt;0,ROUNDDOWN(MAX(0,R273-O273*(F273-1))*T273/U273,0),0)</f>
        <v/>
      </c>
      <c r="W273" s="36">
        <f>IF(S273&gt;0,ROUNDDOWN(MAX(0,S273-P273*(F273-1))*T273/U273,0),0)</f>
        <v/>
      </c>
      <c r="X273" s="36">
        <f>IF(R273&gt;0,O273+V273+IF(D273=F273-1,MAX(0,R273-O273*(F273-1)-SUMIF($A$5:$A$328,$A273,$V$5:$V$328)),0),ROUNDUP(O273*POWER(INDEX('建筑总览'!$J$5:$J$25,MATCH($A273,'建筑总览'!$A$5:$A$25,0)),D273),0))</f>
        <v/>
      </c>
      <c r="Y273" s="36">
        <f>IF(P273=0,0,IF(S273&gt;0,P273+W273+IF(D273=F273-1,MAX(0,S273-P273*(F273-1)-SUMIF($A$5:$A$328,$A273,$W$5:$W$328)),0),ROUNDUP(P273*POWER(INDEX('建筑总览'!$J$5:$J$25,MATCH($A273,'建筑总览'!$A$5:$A$25,0)),D273),0)))</f>
        <v/>
      </c>
      <c r="Z273" s="36">
        <f>IF(X273=0,0,MAX(1,ROUNDUP(X273*(1-'参数与公式'!$B$17),0)))</f>
        <v/>
      </c>
      <c r="AA273" s="36">
        <f>IF(Y273=0,0,MAX(1,ROUNDUP(Y273*(1-'参数与公式'!$B$17),0)))</f>
        <v/>
      </c>
      <c r="AB273" s="33" t="inlineStr">
        <is>
          <t>预算模式末级补足余数；旧模式按指数公式</t>
        </is>
      </c>
      <c r="AC273" s="49">
        <f>IF(A273=A272,IFERROR(M273/M272,""),"")</f>
        <v/>
      </c>
      <c r="AD273" s="49">
        <f>IF(AND(A273=A272,X272&gt;0),X273/X272,"")</f>
        <v/>
      </c>
    </row>
    <row r="274" ht="30" customHeight="1">
      <c r="A274" s="33" t="inlineStr">
        <is>
          <t>lianggongchang</t>
        </is>
      </c>
      <c r="B274" s="33" t="inlineStr">
        <is>
          <t>练功场</t>
        </is>
      </c>
      <c r="C274" s="33" t="inlineStr">
        <is>
          <t>人员管理</t>
        </is>
      </c>
      <c r="D274" s="43" t="n">
        <v>8</v>
      </c>
      <c r="E274" s="36">
        <f>D274+1</f>
        <v/>
      </c>
      <c r="F274" s="43" t="n">
        <v>10</v>
      </c>
      <c r="G274" s="36">
        <f>INDEX('建筑建议总览'!$H$5:$H$25,MATCH($A274,'建筑建议总览'!$A$5:$A$25,0))</f>
        <v/>
      </c>
      <c r="H274" s="44">
        <f>INDEX('建筑建议总览'!$I$5:$I$25,MATCH($A274,'建筑建议总览'!$A$5:$A$25,0))</f>
        <v/>
      </c>
      <c r="I274" s="36">
        <f>INDEX('建筑建议总览'!$J$5:$J$25,MATCH($A274,'建筑建议总览'!$A$5:$A$25,0))</f>
        <v/>
      </c>
      <c r="J274" s="44">
        <f>POWER(H274,D274-1)</f>
        <v/>
      </c>
      <c r="K274" s="44">
        <f>SUMIF($A$5:$A$328,$A274,$J$5:$J$328)</f>
        <v/>
      </c>
      <c r="L274" s="36">
        <f>IF(I274&gt;0,ROUNDDOWN(MAX(0,I274-G274*(F274-1))*J274/K274,0),0)</f>
        <v/>
      </c>
      <c r="M274" s="36">
        <f>IF(I274&gt;0,G274+L274+IF(D274=F274-1,MAX(0,I274-G274*(F274-1)-SUMIF($A$5:$A$328,$A274,$L$5:$L$328)),0),ROUNDUP(G274*POWER(INDEX('建筑总览'!$G$5:$G$25,MATCH($A274,'建筑总览'!$A$5:$A$25,0)),D274),0))</f>
        <v/>
      </c>
      <c r="N274" s="35">
        <f>M274/'参数与公式'!$B$21</f>
        <v/>
      </c>
      <c r="O274" s="36">
        <f>INDEX('建筑建议总览'!$P$5:$P$25,MATCH($A274,'建筑建议总览'!$A$5:$A$25,0))</f>
        <v/>
      </c>
      <c r="P274" s="36">
        <f>INDEX('建筑建议总览'!$Q$5:$Q$25,MATCH($A274,'建筑建议总览'!$A$5:$A$25,0))</f>
        <v/>
      </c>
      <c r="Q274" s="44">
        <f>INDEX('建筑建议总览'!$R$5:$R$25,MATCH($A274,'建筑建议总览'!$A$5:$A$25,0))</f>
        <v/>
      </c>
      <c r="R274" s="36">
        <f>INDEX('建筑建议总览'!$S$5:$S$25,MATCH($A274,'建筑建议总览'!$A$5:$A$25,0))</f>
        <v/>
      </c>
      <c r="S274" s="36">
        <f>INDEX('建筑建议总览'!$T$5:$T$25,MATCH($A274,'建筑建议总览'!$A$5:$A$25,0))</f>
        <v/>
      </c>
      <c r="T274" s="44">
        <f>POWER(Q274,D274-1)</f>
        <v/>
      </c>
      <c r="U274" s="44">
        <f>SUMIF($A$5:$A$328,$A274,$T$5:$T$328)</f>
        <v/>
      </c>
      <c r="V274" s="36">
        <f>IF(R274&gt;0,ROUNDDOWN(MAX(0,R274-O274*(F274-1))*T274/U274,0),0)</f>
        <v/>
      </c>
      <c r="W274" s="36">
        <f>IF(S274&gt;0,ROUNDDOWN(MAX(0,S274-P274*(F274-1))*T274/U274,0),0)</f>
        <v/>
      </c>
      <c r="X274" s="36">
        <f>IF(R274&gt;0,O274+V274+IF(D274=F274-1,MAX(0,R274-O274*(F274-1)-SUMIF($A$5:$A$328,$A274,$V$5:$V$328)),0),ROUNDUP(O274*POWER(INDEX('建筑总览'!$J$5:$J$25,MATCH($A274,'建筑总览'!$A$5:$A$25,0)),D274),0))</f>
        <v/>
      </c>
      <c r="Y274" s="36">
        <f>IF(P274=0,0,IF(S274&gt;0,P274+W274+IF(D274=F274-1,MAX(0,S274-P274*(F274-1)-SUMIF($A$5:$A$328,$A274,$W$5:$W$328)),0),ROUNDUP(P274*POWER(INDEX('建筑总览'!$J$5:$J$25,MATCH($A274,'建筑总览'!$A$5:$A$25,0)),D274),0)))</f>
        <v/>
      </c>
      <c r="Z274" s="36">
        <f>IF(X274=0,0,MAX(1,ROUNDUP(X274*(1-'参数与公式'!$B$17),0)))</f>
        <v/>
      </c>
      <c r="AA274" s="36">
        <f>IF(Y274=0,0,MAX(1,ROUNDUP(Y274*(1-'参数与公式'!$B$17),0)))</f>
        <v/>
      </c>
      <c r="AB274" s="33" t="inlineStr">
        <is>
          <t>预算模式末级补足余数；旧模式按指数公式</t>
        </is>
      </c>
      <c r="AC274" s="49">
        <f>IF(A274=A273,IFERROR(M274/M273,""),"")</f>
        <v/>
      </c>
      <c r="AD274" s="49">
        <f>IF(AND(A274=A273,X273&gt;0),X274/X273,"")</f>
        <v/>
      </c>
    </row>
    <row r="275" ht="30" customHeight="1">
      <c r="A275" s="33" t="inlineStr">
        <is>
          <t>lianggongchang</t>
        </is>
      </c>
      <c r="B275" s="33" t="inlineStr">
        <is>
          <t>练功场</t>
        </is>
      </c>
      <c r="C275" s="33" t="inlineStr">
        <is>
          <t>人员管理</t>
        </is>
      </c>
      <c r="D275" s="43" t="n">
        <v>9</v>
      </c>
      <c r="E275" s="36">
        <f>D275+1</f>
        <v/>
      </c>
      <c r="F275" s="43" t="n">
        <v>10</v>
      </c>
      <c r="G275" s="36">
        <f>INDEX('建筑建议总览'!$H$5:$H$25,MATCH($A275,'建筑建议总览'!$A$5:$A$25,0))</f>
        <v/>
      </c>
      <c r="H275" s="44">
        <f>INDEX('建筑建议总览'!$I$5:$I$25,MATCH($A275,'建筑建议总览'!$A$5:$A$25,0))</f>
        <v/>
      </c>
      <c r="I275" s="36">
        <f>INDEX('建筑建议总览'!$J$5:$J$25,MATCH($A275,'建筑建议总览'!$A$5:$A$25,0))</f>
        <v/>
      </c>
      <c r="J275" s="44">
        <f>POWER(H275,D275-1)</f>
        <v/>
      </c>
      <c r="K275" s="44">
        <f>SUMIF($A$5:$A$328,$A275,$J$5:$J$328)</f>
        <v/>
      </c>
      <c r="L275" s="36">
        <f>IF(I275&gt;0,ROUNDDOWN(MAX(0,I275-G275*(F275-1))*J275/K275,0),0)</f>
        <v/>
      </c>
      <c r="M275" s="36">
        <f>IF(I275&gt;0,G275+L275+IF(D275=F275-1,MAX(0,I275-G275*(F275-1)-SUMIF($A$5:$A$328,$A275,$L$5:$L$328)),0),ROUNDUP(G275*POWER(INDEX('建筑总览'!$G$5:$G$25,MATCH($A275,'建筑总览'!$A$5:$A$25,0)),D275),0))</f>
        <v/>
      </c>
      <c r="N275" s="35">
        <f>M275/'参数与公式'!$B$21</f>
        <v/>
      </c>
      <c r="O275" s="36">
        <f>INDEX('建筑建议总览'!$P$5:$P$25,MATCH($A275,'建筑建议总览'!$A$5:$A$25,0))</f>
        <v/>
      </c>
      <c r="P275" s="36">
        <f>INDEX('建筑建议总览'!$Q$5:$Q$25,MATCH($A275,'建筑建议总览'!$A$5:$A$25,0))</f>
        <v/>
      </c>
      <c r="Q275" s="44">
        <f>INDEX('建筑建议总览'!$R$5:$R$25,MATCH($A275,'建筑建议总览'!$A$5:$A$25,0))</f>
        <v/>
      </c>
      <c r="R275" s="36">
        <f>INDEX('建筑建议总览'!$S$5:$S$25,MATCH($A275,'建筑建议总览'!$A$5:$A$25,0))</f>
        <v/>
      </c>
      <c r="S275" s="36">
        <f>INDEX('建筑建议总览'!$T$5:$T$25,MATCH($A275,'建筑建议总览'!$A$5:$A$25,0))</f>
        <v/>
      </c>
      <c r="T275" s="44">
        <f>POWER(Q275,D275-1)</f>
        <v/>
      </c>
      <c r="U275" s="44">
        <f>SUMIF($A$5:$A$328,$A275,$T$5:$T$328)</f>
        <v/>
      </c>
      <c r="V275" s="36">
        <f>IF(R275&gt;0,ROUNDDOWN(MAX(0,R275-O275*(F275-1))*T275/U275,0),0)</f>
        <v/>
      </c>
      <c r="W275" s="36">
        <f>IF(S275&gt;0,ROUNDDOWN(MAX(0,S275-P275*(F275-1))*T275/U275,0),0)</f>
        <v/>
      </c>
      <c r="X275" s="36">
        <f>IF(R275&gt;0,O275+V275+IF(D275=F275-1,MAX(0,R275-O275*(F275-1)-SUMIF($A$5:$A$328,$A275,$V$5:$V$328)),0),ROUNDUP(O275*POWER(INDEX('建筑总览'!$J$5:$J$25,MATCH($A275,'建筑总览'!$A$5:$A$25,0)),D275),0))</f>
        <v/>
      </c>
      <c r="Y275" s="36">
        <f>IF(P275=0,0,IF(S275&gt;0,P275+W275+IF(D275=F275-1,MAX(0,S275-P275*(F275-1)-SUMIF($A$5:$A$328,$A275,$W$5:$W$328)),0),ROUNDUP(P275*POWER(INDEX('建筑总览'!$J$5:$J$25,MATCH($A275,'建筑总览'!$A$5:$A$25,0)),D275),0)))</f>
        <v/>
      </c>
      <c r="Z275" s="36">
        <f>IF(X275=0,0,MAX(1,ROUNDUP(X275*(1-'参数与公式'!$B$17),0)))</f>
        <v/>
      </c>
      <c r="AA275" s="36">
        <f>IF(Y275=0,0,MAX(1,ROUNDUP(Y275*(1-'参数与公式'!$B$17),0)))</f>
        <v/>
      </c>
      <c r="AB275" s="33" t="inlineStr">
        <is>
          <t>预算模式末级补足余数；旧模式按指数公式</t>
        </is>
      </c>
      <c r="AC275" s="49">
        <f>IF(A275=A274,IFERROR(M275/M274,""),"")</f>
        <v/>
      </c>
      <c r="AD275" s="49">
        <f>IF(AND(A275=A274,X274&gt;0),X275/X274,"")</f>
        <v/>
      </c>
    </row>
    <row r="276" ht="30" customHeight="1">
      <c r="A276" s="33" t="inlineStr">
        <is>
          <t>tavern</t>
        </is>
      </c>
      <c r="B276" s="33" t="inlineStr">
        <is>
          <t>酒馆</t>
        </is>
      </c>
      <c r="C276" s="33" t="inlineStr">
        <is>
          <t>人员管理</t>
        </is>
      </c>
      <c r="D276" s="43" t="n">
        <v>1</v>
      </c>
      <c r="E276" s="36">
        <f>D276+1</f>
        <v/>
      </c>
      <c r="F276" s="43" t="n">
        <v>10</v>
      </c>
      <c r="G276" s="36">
        <f>INDEX('建筑建议总览'!$H$5:$H$25,MATCH($A276,'建筑建议总览'!$A$5:$A$25,0))</f>
        <v/>
      </c>
      <c r="H276" s="44">
        <f>INDEX('建筑建议总览'!$I$5:$I$25,MATCH($A276,'建筑建议总览'!$A$5:$A$25,0))</f>
        <v/>
      </c>
      <c r="I276" s="36">
        <f>INDEX('建筑建议总览'!$J$5:$J$25,MATCH($A276,'建筑建议总览'!$A$5:$A$25,0))</f>
        <v/>
      </c>
      <c r="J276" s="44">
        <f>POWER(H276,D276-1)</f>
        <v/>
      </c>
      <c r="K276" s="44">
        <f>SUMIF($A$5:$A$328,$A276,$J$5:$J$328)</f>
        <v/>
      </c>
      <c r="L276" s="36">
        <f>IF(I276&gt;0,ROUNDDOWN(MAX(0,I276-G276*(F276-1))*J276/K276,0),0)</f>
        <v/>
      </c>
      <c r="M276" s="36">
        <f>IF(I276&gt;0,G276+L276+IF(D276=F276-1,MAX(0,I276-G276*(F276-1)-SUMIF($A$5:$A$328,$A276,$L$5:$L$328)),0),ROUNDUP(G276*POWER(INDEX('建筑总览'!$G$5:$G$25,MATCH($A276,'建筑总览'!$A$5:$A$25,0)),D276),0))</f>
        <v/>
      </c>
      <c r="N276" s="35">
        <f>M276/'参数与公式'!$B$21</f>
        <v/>
      </c>
      <c r="O276" s="36">
        <f>INDEX('建筑建议总览'!$P$5:$P$25,MATCH($A276,'建筑建议总览'!$A$5:$A$25,0))</f>
        <v/>
      </c>
      <c r="P276" s="36">
        <f>INDEX('建筑建议总览'!$Q$5:$Q$25,MATCH($A276,'建筑建议总览'!$A$5:$A$25,0))</f>
        <v/>
      </c>
      <c r="Q276" s="44">
        <f>INDEX('建筑建议总览'!$R$5:$R$25,MATCH($A276,'建筑建议总览'!$A$5:$A$25,0))</f>
        <v/>
      </c>
      <c r="R276" s="36">
        <f>INDEX('建筑建议总览'!$S$5:$S$25,MATCH($A276,'建筑建议总览'!$A$5:$A$25,0))</f>
        <v/>
      </c>
      <c r="S276" s="36">
        <f>INDEX('建筑建议总览'!$T$5:$T$25,MATCH($A276,'建筑建议总览'!$A$5:$A$25,0))</f>
        <v/>
      </c>
      <c r="T276" s="44">
        <f>POWER(Q276,D276-1)</f>
        <v/>
      </c>
      <c r="U276" s="44">
        <f>SUMIF($A$5:$A$328,$A276,$T$5:$T$328)</f>
        <v/>
      </c>
      <c r="V276" s="36">
        <f>IF(R276&gt;0,ROUNDDOWN(MAX(0,R276-O276*(F276-1))*T276/U276,0),0)</f>
        <v/>
      </c>
      <c r="W276" s="36">
        <f>IF(S276&gt;0,ROUNDDOWN(MAX(0,S276-P276*(F276-1))*T276/U276,0),0)</f>
        <v/>
      </c>
      <c r="X276" s="36">
        <f>IF(R276&gt;0,O276+V276+IF(D276=F276-1,MAX(0,R276-O276*(F276-1)-SUMIF($A$5:$A$328,$A276,$V$5:$V$328)),0),ROUNDUP(O276*POWER(INDEX('建筑总览'!$J$5:$J$25,MATCH($A276,'建筑总览'!$A$5:$A$25,0)),D276),0))</f>
        <v/>
      </c>
      <c r="Y276" s="36">
        <f>IF(P276=0,0,IF(S276&gt;0,P276+W276+IF(D276=F276-1,MAX(0,S276-P276*(F276-1)-SUMIF($A$5:$A$328,$A276,$W$5:$W$328)),0),ROUNDUP(P276*POWER(INDEX('建筑总览'!$J$5:$J$25,MATCH($A276,'建筑总览'!$A$5:$A$25,0)),D276),0)))</f>
        <v/>
      </c>
      <c r="Z276" s="36">
        <f>IF(X276=0,0,MAX(1,ROUNDUP(X276*(1-'参数与公式'!$B$17),0)))</f>
        <v/>
      </c>
      <c r="AA276" s="36">
        <f>IF(Y276=0,0,MAX(1,ROUNDUP(Y276*(1-'参数与公式'!$B$17),0)))</f>
        <v/>
      </c>
      <c r="AB276" s="33" t="inlineStr">
        <is>
          <t>预算模式末级补足余数；旧模式按指数公式</t>
        </is>
      </c>
      <c r="AC276" s="49">
        <f>IF(A276=A275,IFERROR(M276/M275,""),"")</f>
        <v/>
      </c>
      <c r="AD276" s="49">
        <f>IF(AND(A276=A275,X275&gt;0),X276/X275,"")</f>
        <v/>
      </c>
    </row>
    <row r="277" ht="30" customHeight="1">
      <c r="A277" s="33" t="inlineStr">
        <is>
          <t>tavern</t>
        </is>
      </c>
      <c r="B277" s="33" t="inlineStr">
        <is>
          <t>酒馆</t>
        </is>
      </c>
      <c r="C277" s="33" t="inlineStr">
        <is>
          <t>人员管理</t>
        </is>
      </c>
      <c r="D277" s="43" t="n">
        <v>2</v>
      </c>
      <c r="E277" s="36">
        <f>D277+1</f>
        <v/>
      </c>
      <c r="F277" s="43" t="n">
        <v>10</v>
      </c>
      <c r="G277" s="36">
        <f>INDEX('建筑建议总览'!$H$5:$H$25,MATCH($A277,'建筑建议总览'!$A$5:$A$25,0))</f>
        <v/>
      </c>
      <c r="H277" s="44">
        <f>INDEX('建筑建议总览'!$I$5:$I$25,MATCH($A277,'建筑建议总览'!$A$5:$A$25,0))</f>
        <v/>
      </c>
      <c r="I277" s="36">
        <f>INDEX('建筑建议总览'!$J$5:$J$25,MATCH($A277,'建筑建议总览'!$A$5:$A$25,0))</f>
        <v/>
      </c>
      <c r="J277" s="44">
        <f>POWER(H277,D277-1)</f>
        <v/>
      </c>
      <c r="K277" s="44">
        <f>SUMIF($A$5:$A$328,$A277,$J$5:$J$328)</f>
        <v/>
      </c>
      <c r="L277" s="36">
        <f>IF(I277&gt;0,ROUNDDOWN(MAX(0,I277-G277*(F277-1))*J277/K277,0),0)</f>
        <v/>
      </c>
      <c r="M277" s="36">
        <f>IF(I277&gt;0,G277+L277+IF(D277=F277-1,MAX(0,I277-G277*(F277-1)-SUMIF($A$5:$A$328,$A277,$L$5:$L$328)),0),ROUNDUP(G277*POWER(INDEX('建筑总览'!$G$5:$G$25,MATCH($A277,'建筑总览'!$A$5:$A$25,0)),D277),0))</f>
        <v/>
      </c>
      <c r="N277" s="35">
        <f>M277/'参数与公式'!$B$21</f>
        <v/>
      </c>
      <c r="O277" s="36">
        <f>INDEX('建筑建议总览'!$P$5:$P$25,MATCH($A277,'建筑建议总览'!$A$5:$A$25,0))</f>
        <v/>
      </c>
      <c r="P277" s="36">
        <f>INDEX('建筑建议总览'!$Q$5:$Q$25,MATCH($A277,'建筑建议总览'!$A$5:$A$25,0))</f>
        <v/>
      </c>
      <c r="Q277" s="44">
        <f>INDEX('建筑建议总览'!$R$5:$R$25,MATCH($A277,'建筑建议总览'!$A$5:$A$25,0))</f>
        <v/>
      </c>
      <c r="R277" s="36">
        <f>INDEX('建筑建议总览'!$S$5:$S$25,MATCH($A277,'建筑建议总览'!$A$5:$A$25,0))</f>
        <v/>
      </c>
      <c r="S277" s="36">
        <f>INDEX('建筑建议总览'!$T$5:$T$25,MATCH($A277,'建筑建议总览'!$A$5:$A$25,0))</f>
        <v/>
      </c>
      <c r="T277" s="44">
        <f>POWER(Q277,D277-1)</f>
        <v/>
      </c>
      <c r="U277" s="44">
        <f>SUMIF($A$5:$A$328,$A277,$T$5:$T$328)</f>
        <v/>
      </c>
      <c r="V277" s="36">
        <f>IF(R277&gt;0,ROUNDDOWN(MAX(0,R277-O277*(F277-1))*T277/U277,0),0)</f>
        <v/>
      </c>
      <c r="W277" s="36">
        <f>IF(S277&gt;0,ROUNDDOWN(MAX(0,S277-P277*(F277-1))*T277/U277,0),0)</f>
        <v/>
      </c>
      <c r="X277" s="36">
        <f>IF(R277&gt;0,O277+V277+IF(D277=F277-1,MAX(0,R277-O277*(F277-1)-SUMIF($A$5:$A$328,$A277,$V$5:$V$328)),0),ROUNDUP(O277*POWER(INDEX('建筑总览'!$J$5:$J$25,MATCH($A277,'建筑总览'!$A$5:$A$25,0)),D277),0))</f>
        <v/>
      </c>
      <c r="Y277" s="36">
        <f>IF(P277=0,0,IF(S277&gt;0,P277+W277+IF(D277=F277-1,MAX(0,S277-P277*(F277-1)-SUMIF($A$5:$A$328,$A277,$W$5:$W$328)),0),ROUNDUP(P277*POWER(INDEX('建筑总览'!$J$5:$J$25,MATCH($A277,'建筑总览'!$A$5:$A$25,0)),D277),0)))</f>
        <v/>
      </c>
      <c r="Z277" s="36">
        <f>IF(X277=0,0,MAX(1,ROUNDUP(X277*(1-'参数与公式'!$B$17),0)))</f>
        <v/>
      </c>
      <c r="AA277" s="36">
        <f>IF(Y277=0,0,MAX(1,ROUNDUP(Y277*(1-'参数与公式'!$B$17),0)))</f>
        <v/>
      </c>
      <c r="AB277" s="33" t="inlineStr">
        <is>
          <t>预算模式末级补足余数；旧模式按指数公式</t>
        </is>
      </c>
      <c r="AC277" s="49">
        <f>IF(A277=A276,IFERROR(M277/M276,""),"")</f>
        <v/>
      </c>
      <c r="AD277" s="49">
        <f>IF(AND(A277=A276,X276&gt;0),X277/X276,"")</f>
        <v/>
      </c>
    </row>
    <row r="278" ht="30" customHeight="1">
      <c r="A278" s="33" t="inlineStr">
        <is>
          <t>tavern</t>
        </is>
      </c>
      <c r="B278" s="33" t="inlineStr">
        <is>
          <t>酒馆</t>
        </is>
      </c>
      <c r="C278" s="33" t="inlineStr">
        <is>
          <t>人员管理</t>
        </is>
      </c>
      <c r="D278" s="43" t="n">
        <v>3</v>
      </c>
      <c r="E278" s="36">
        <f>D278+1</f>
        <v/>
      </c>
      <c r="F278" s="43" t="n">
        <v>10</v>
      </c>
      <c r="G278" s="36">
        <f>INDEX('建筑建议总览'!$H$5:$H$25,MATCH($A278,'建筑建议总览'!$A$5:$A$25,0))</f>
        <v/>
      </c>
      <c r="H278" s="44">
        <f>INDEX('建筑建议总览'!$I$5:$I$25,MATCH($A278,'建筑建议总览'!$A$5:$A$25,0))</f>
        <v/>
      </c>
      <c r="I278" s="36">
        <f>INDEX('建筑建议总览'!$J$5:$J$25,MATCH($A278,'建筑建议总览'!$A$5:$A$25,0))</f>
        <v/>
      </c>
      <c r="J278" s="44">
        <f>POWER(H278,D278-1)</f>
        <v/>
      </c>
      <c r="K278" s="44">
        <f>SUMIF($A$5:$A$328,$A278,$J$5:$J$328)</f>
        <v/>
      </c>
      <c r="L278" s="36">
        <f>IF(I278&gt;0,ROUNDDOWN(MAX(0,I278-G278*(F278-1))*J278/K278,0),0)</f>
        <v/>
      </c>
      <c r="M278" s="36">
        <f>IF(I278&gt;0,G278+L278+IF(D278=F278-1,MAX(0,I278-G278*(F278-1)-SUMIF($A$5:$A$328,$A278,$L$5:$L$328)),0),ROUNDUP(G278*POWER(INDEX('建筑总览'!$G$5:$G$25,MATCH($A278,'建筑总览'!$A$5:$A$25,0)),D278),0))</f>
        <v/>
      </c>
      <c r="N278" s="35">
        <f>M278/'参数与公式'!$B$21</f>
        <v/>
      </c>
      <c r="O278" s="36">
        <f>INDEX('建筑建议总览'!$P$5:$P$25,MATCH($A278,'建筑建议总览'!$A$5:$A$25,0))</f>
        <v/>
      </c>
      <c r="P278" s="36">
        <f>INDEX('建筑建议总览'!$Q$5:$Q$25,MATCH($A278,'建筑建议总览'!$A$5:$A$25,0))</f>
        <v/>
      </c>
      <c r="Q278" s="44">
        <f>INDEX('建筑建议总览'!$R$5:$R$25,MATCH($A278,'建筑建议总览'!$A$5:$A$25,0))</f>
        <v/>
      </c>
      <c r="R278" s="36">
        <f>INDEX('建筑建议总览'!$S$5:$S$25,MATCH($A278,'建筑建议总览'!$A$5:$A$25,0))</f>
        <v/>
      </c>
      <c r="S278" s="36">
        <f>INDEX('建筑建议总览'!$T$5:$T$25,MATCH($A278,'建筑建议总览'!$A$5:$A$25,0))</f>
        <v/>
      </c>
      <c r="T278" s="44">
        <f>POWER(Q278,D278-1)</f>
        <v/>
      </c>
      <c r="U278" s="44">
        <f>SUMIF($A$5:$A$328,$A278,$T$5:$T$328)</f>
        <v/>
      </c>
      <c r="V278" s="36">
        <f>IF(R278&gt;0,ROUNDDOWN(MAX(0,R278-O278*(F278-1))*T278/U278,0),0)</f>
        <v/>
      </c>
      <c r="W278" s="36">
        <f>IF(S278&gt;0,ROUNDDOWN(MAX(0,S278-P278*(F278-1))*T278/U278,0),0)</f>
        <v/>
      </c>
      <c r="X278" s="36">
        <f>IF(R278&gt;0,O278+V278+IF(D278=F278-1,MAX(0,R278-O278*(F278-1)-SUMIF($A$5:$A$328,$A278,$V$5:$V$328)),0),ROUNDUP(O278*POWER(INDEX('建筑总览'!$J$5:$J$25,MATCH($A278,'建筑总览'!$A$5:$A$25,0)),D278),0))</f>
        <v/>
      </c>
      <c r="Y278" s="36">
        <f>IF(P278=0,0,IF(S278&gt;0,P278+W278+IF(D278=F278-1,MAX(0,S278-P278*(F278-1)-SUMIF($A$5:$A$328,$A278,$W$5:$W$328)),0),ROUNDUP(P278*POWER(INDEX('建筑总览'!$J$5:$J$25,MATCH($A278,'建筑总览'!$A$5:$A$25,0)),D278),0)))</f>
        <v/>
      </c>
      <c r="Z278" s="36">
        <f>IF(X278=0,0,MAX(1,ROUNDUP(X278*(1-'参数与公式'!$B$17),0)))</f>
        <v/>
      </c>
      <c r="AA278" s="36">
        <f>IF(Y278=0,0,MAX(1,ROUNDUP(Y278*(1-'参数与公式'!$B$17),0)))</f>
        <v/>
      </c>
      <c r="AB278" s="33" t="inlineStr">
        <is>
          <t>预算模式末级补足余数；旧模式按指数公式</t>
        </is>
      </c>
      <c r="AC278" s="49">
        <f>IF(A278=A277,IFERROR(M278/M277,""),"")</f>
        <v/>
      </c>
      <c r="AD278" s="49">
        <f>IF(AND(A278=A277,X277&gt;0),X278/X277,"")</f>
        <v/>
      </c>
    </row>
    <row r="279" ht="30" customHeight="1">
      <c r="A279" s="33" t="inlineStr">
        <is>
          <t>tavern</t>
        </is>
      </c>
      <c r="B279" s="33" t="inlineStr">
        <is>
          <t>酒馆</t>
        </is>
      </c>
      <c r="C279" s="33" t="inlineStr">
        <is>
          <t>人员管理</t>
        </is>
      </c>
      <c r="D279" s="43" t="n">
        <v>4</v>
      </c>
      <c r="E279" s="36">
        <f>D279+1</f>
        <v/>
      </c>
      <c r="F279" s="43" t="n">
        <v>10</v>
      </c>
      <c r="G279" s="36">
        <f>INDEX('建筑建议总览'!$H$5:$H$25,MATCH($A279,'建筑建议总览'!$A$5:$A$25,0))</f>
        <v/>
      </c>
      <c r="H279" s="44">
        <f>INDEX('建筑建议总览'!$I$5:$I$25,MATCH($A279,'建筑建议总览'!$A$5:$A$25,0))</f>
        <v/>
      </c>
      <c r="I279" s="36">
        <f>INDEX('建筑建议总览'!$J$5:$J$25,MATCH($A279,'建筑建议总览'!$A$5:$A$25,0))</f>
        <v/>
      </c>
      <c r="J279" s="44">
        <f>POWER(H279,D279-1)</f>
        <v/>
      </c>
      <c r="K279" s="44">
        <f>SUMIF($A$5:$A$328,$A279,$J$5:$J$328)</f>
        <v/>
      </c>
      <c r="L279" s="36">
        <f>IF(I279&gt;0,ROUNDDOWN(MAX(0,I279-G279*(F279-1))*J279/K279,0),0)</f>
        <v/>
      </c>
      <c r="M279" s="36">
        <f>IF(I279&gt;0,G279+L279+IF(D279=F279-1,MAX(0,I279-G279*(F279-1)-SUMIF($A$5:$A$328,$A279,$L$5:$L$328)),0),ROUNDUP(G279*POWER(INDEX('建筑总览'!$G$5:$G$25,MATCH($A279,'建筑总览'!$A$5:$A$25,0)),D279),0))</f>
        <v/>
      </c>
      <c r="N279" s="35">
        <f>M279/'参数与公式'!$B$21</f>
        <v/>
      </c>
      <c r="O279" s="36">
        <f>INDEX('建筑建议总览'!$P$5:$P$25,MATCH($A279,'建筑建议总览'!$A$5:$A$25,0))</f>
        <v/>
      </c>
      <c r="P279" s="36">
        <f>INDEX('建筑建议总览'!$Q$5:$Q$25,MATCH($A279,'建筑建议总览'!$A$5:$A$25,0))</f>
        <v/>
      </c>
      <c r="Q279" s="44">
        <f>INDEX('建筑建议总览'!$R$5:$R$25,MATCH($A279,'建筑建议总览'!$A$5:$A$25,0))</f>
        <v/>
      </c>
      <c r="R279" s="36">
        <f>INDEX('建筑建议总览'!$S$5:$S$25,MATCH($A279,'建筑建议总览'!$A$5:$A$25,0))</f>
        <v/>
      </c>
      <c r="S279" s="36">
        <f>INDEX('建筑建议总览'!$T$5:$T$25,MATCH($A279,'建筑建议总览'!$A$5:$A$25,0))</f>
        <v/>
      </c>
      <c r="T279" s="44">
        <f>POWER(Q279,D279-1)</f>
        <v/>
      </c>
      <c r="U279" s="44">
        <f>SUMIF($A$5:$A$328,$A279,$T$5:$T$328)</f>
        <v/>
      </c>
      <c r="V279" s="36">
        <f>IF(R279&gt;0,ROUNDDOWN(MAX(0,R279-O279*(F279-1))*T279/U279,0),0)</f>
        <v/>
      </c>
      <c r="W279" s="36">
        <f>IF(S279&gt;0,ROUNDDOWN(MAX(0,S279-P279*(F279-1))*T279/U279,0),0)</f>
        <v/>
      </c>
      <c r="X279" s="36">
        <f>IF(R279&gt;0,O279+V279+IF(D279=F279-1,MAX(0,R279-O279*(F279-1)-SUMIF($A$5:$A$328,$A279,$V$5:$V$328)),0),ROUNDUP(O279*POWER(INDEX('建筑总览'!$J$5:$J$25,MATCH($A279,'建筑总览'!$A$5:$A$25,0)),D279),0))</f>
        <v/>
      </c>
      <c r="Y279" s="36">
        <f>IF(P279=0,0,IF(S279&gt;0,P279+W279+IF(D279=F279-1,MAX(0,S279-P279*(F279-1)-SUMIF($A$5:$A$328,$A279,$W$5:$W$328)),0),ROUNDUP(P279*POWER(INDEX('建筑总览'!$J$5:$J$25,MATCH($A279,'建筑总览'!$A$5:$A$25,0)),D279),0)))</f>
        <v/>
      </c>
      <c r="Z279" s="36">
        <f>IF(X279=0,0,MAX(1,ROUNDUP(X279*(1-'参数与公式'!$B$17),0)))</f>
        <v/>
      </c>
      <c r="AA279" s="36">
        <f>IF(Y279=0,0,MAX(1,ROUNDUP(Y279*(1-'参数与公式'!$B$17),0)))</f>
        <v/>
      </c>
      <c r="AB279" s="33" t="inlineStr">
        <is>
          <t>预算模式末级补足余数；旧模式按指数公式</t>
        </is>
      </c>
      <c r="AC279" s="49">
        <f>IF(A279=A278,IFERROR(M279/M278,""),"")</f>
        <v/>
      </c>
      <c r="AD279" s="49">
        <f>IF(AND(A279=A278,X278&gt;0),X279/X278,"")</f>
        <v/>
      </c>
    </row>
    <row r="280" ht="30" customHeight="1">
      <c r="A280" s="33" t="inlineStr">
        <is>
          <t>tavern</t>
        </is>
      </c>
      <c r="B280" s="33" t="inlineStr">
        <is>
          <t>酒馆</t>
        </is>
      </c>
      <c r="C280" s="33" t="inlineStr">
        <is>
          <t>人员管理</t>
        </is>
      </c>
      <c r="D280" s="43" t="n">
        <v>5</v>
      </c>
      <c r="E280" s="36">
        <f>D280+1</f>
        <v/>
      </c>
      <c r="F280" s="43" t="n">
        <v>10</v>
      </c>
      <c r="G280" s="36">
        <f>INDEX('建筑建议总览'!$H$5:$H$25,MATCH($A280,'建筑建议总览'!$A$5:$A$25,0))</f>
        <v/>
      </c>
      <c r="H280" s="44">
        <f>INDEX('建筑建议总览'!$I$5:$I$25,MATCH($A280,'建筑建议总览'!$A$5:$A$25,0))</f>
        <v/>
      </c>
      <c r="I280" s="36">
        <f>INDEX('建筑建议总览'!$J$5:$J$25,MATCH($A280,'建筑建议总览'!$A$5:$A$25,0))</f>
        <v/>
      </c>
      <c r="J280" s="44">
        <f>POWER(H280,D280-1)</f>
        <v/>
      </c>
      <c r="K280" s="44">
        <f>SUMIF($A$5:$A$328,$A280,$J$5:$J$328)</f>
        <v/>
      </c>
      <c r="L280" s="36">
        <f>IF(I280&gt;0,ROUNDDOWN(MAX(0,I280-G280*(F280-1))*J280/K280,0),0)</f>
        <v/>
      </c>
      <c r="M280" s="36">
        <f>IF(I280&gt;0,G280+L280+IF(D280=F280-1,MAX(0,I280-G280*(F280-1)-SUMIF($A$5:$A$328,$A280,$L$5:$L$328)),0),ROUNDUP(G280*POWER(INDEX('建筑总览'!$G$5:$G$25,MATCH($A280,'建筑总览'!$A$5:$A$25,0)),D280),0))</f>
        <v/>
      </c>
      <c r="N280" s="35">
        <f>M280/'参数与公式'!$B$21</f>
        <v/>
      </c>
      <c r="O280" s="36">
        <f>INDEX('建筑建议总览'!$P$5:$P$25,MATCH($A280,'建筑建议总览'!$A$5:$A$25,0))</f>
        <v/>
      </c>
      <c r="P280" s="36">
        <f>INDEX('建筑建议总览'!$Q$5:$Q$25,MATCH($A280,'建筑建议总览'!$A$5:$A$25,0))</f>
        <v/>
      </c>
      <c r="Q280" s="44">
        <f>INDEX('建筑建议总览'!$R$5:$R$25,MATCH($A280,'建筑建议总览'!$A$5:$A$25,0))</f>
        <v/>
      </c>
      <c r="R280" s="36">
        <f>INDEX('建筑建议总览'!$S$5:$S$25,MATCH($A280,'建筑建议总览'!$A$5:$A$25,0))</f>
        <v/>
      </c>
      <c r="S280" s="36">
        <f>INDEX('建筑建议总览'!$T$5:$T$25,MATCH($A280,'建筑建议总览'!$A$5:$A$25,0))</f>
        <v/>
      </c>
      <c r="T280" s="44">
        <f>POWER(Q280,D280-1)</f>
        <v/>
      </c>
      <c r="U280" s="44">
        <f>SUMIF($A$5:$A$328,$A280,$T$5:$T$328)</f>
        <v/>
      </c>
      <c r="V280" s="36">
        <f>IF(R280&gt;0,ROUNDDOWN(MAX(0,R280-O280*(F280-1))*T280/U280,0),0)</f>
        <v/>
      </c>
      <c r="W280" s="36">
        <f>IF(S280&gt;0,ROUNDDOWN(MAX(0,S280-P280*(F280-1))*T280/U280,0),0)</f>
        <v/>
      </c>
      <c r="X280" s="36">
        <f>IF(R280&gt;0,O280+V280+IF(D280=F280-1,MAX(0,R280-O280*(F280-1)-SUMIF($A$5:$A$328,$A280,$V$5:$V$328)),0),ROUNDUP(O280*POWER(INDEX('建筑总览'!$J$5:$J$25,MATCH($A280,'建筑总览'!$A$5:$A$25,0)),D280),0))</f>
        <v/>
      </c>
      <c r="Y280" s="36">
        <f>IF(P280=0,0,IF(S280&gt;0,P280+W280+IF(D280=F280-1,MAX(0,S280-P280*(F280-1)-SUMIF($A$5:$A$328,$A280,$W$5:$W$328)),0),ROUNDUP(P280*POWER(INDEX('建筑总览'!$J$5:$J$25,MATCH($A280,'建筑总览'!$A$5:$A$25,0)),D280),0)))</f>
        <v/>
      </c>
      <c r="Z280" s="36">
        <f>IF(X280=0,0,MAX(1,ROUNDUP(X280*(1-'参数与公式'!$B$17),0)))</f>
        <v/>
      </c>
      <c r="AA280" s="36">
        <f>IF(Y280=0,0,MAX(1,ROUNDUP(Y280*(1-'参数与公式'!$B$17),0)))</f>
        <v/>
      </c>
      <c r="AB280" s="33" t="inlineStr">
        <is>
          <t>预算模式末级补足余数；旧模式按指数公式</t>
        </is>
      </c>
      <c r="AC280" s="49">
        <f>IF(A280=A279,IFERROR(M280/M279,""),"")</f>
        <v/>
      </c>
      <c r="AD280" s="49">
        <f>IF(AND(A280=A279,X279&gt;0),X280/X279,"")</f>
        <v/>
      </c>
    </row>
    <row r="281" ht="30" customHeight="1">
      <c r="A281" s="33" t="inlineStr">
        <is>
          <t>tavern</t>
        </is>
      </c>
      <c r="B281" s="33" t="inlineStr">
        <is>
          <t>酒馆</t>
        </is>
      </c>
      <c r="C281" s="33" t="inlineStr">
        <is>
          <t>人员管理</t>
        </is>
      </c>
      <c r="D281" s="43" t="n">
        <v>6</v>
      </c>
      <c r="E281" s="36">
        <f>D281+1</f>
        <v/>
      </c>
      <c r="F281" s="43" t="n">
        <v>10</v>
      </c>
      <c r="G281" s="36">
        <f>INDEX('建筑建议总览'!$H$5:$H$25,MATCH($A281,'建筑建议总览'!$A$5:$A$25,0))</f>
        <v/>
      </c>
      <c r="H281" s="44">
        <f>INDEX('建筑建议总览'!$I$5:$I$25,MATCH($A281,'建筑建议总览'!$A$5:$A$25,0))</f>
        <v/>
      </c>
      <c r="I281" s="36">
        <f>INDEX('建筑建议总览'!$J$5:$J$25,MATCH($A281,'建筑建议总览'!$A$5:$A$25,0))</f>
        <v/>
      </c>
      <c r="J281" s="44">
        <f>POWER(H281,D281-1)</f>
        <v/>
      </c>
      <c r="K281" s="44">
        <f>SUMIF($A$5:$A$328,$A281,$J$5:$J$328)</f>
        <v/>
      </c>
      <c r="L281" s="36">
        <f>IF(I281&gt;0,ROUNDDOWN(MAX(0,I281-G281*(F281-1))*J281/K281,0),0)</f>
        <v/>
      </c>
      <c r="M281" s="36">
        <f>IF(I281&gt;0,G281+L281+IF(D281=F281-1,MAX(0,I281-G281*(F281-1)-SUMIF($A$5:$A$328,$A281,$L$5:$L$328)),0),ROUNDUP(G281*POWER(INDEX('建筑总览'!$G$5:$G$25,MATCH($A281,'建筑总览'!$A$5:$A$25,0)),D281),0))</f>
        <v/>
      </c>
      <c r="N281" s="35">
        <f>M281/'参数与公式'!$B$21</f>
        <v/>
      </c>
      <c r="O281" s="36">
        <f>INDEX('建筑建议总览'!$P$5:$P$25,MATCH($A281,'建筑建议总览'!$A$5:$A$25,0))</f>
        <v/>
      </c>
      <c r="P281" s="36">
        <f>INDEX('建筑建议总览'!$Q$5:$Q$25,MATCH($A281,'建筑建议总览'!$A$5:$A$25,0))</f>
        <v/>
      </c>
      <c r="Q281" s="44">
        <f>INDEX('建筑建议总览'!$R$5:$R$25,MATCH($A281,'建筑建议总览'!$A$5:$A$25,0))</f>
        <v/>
      </c>
      <c r="R281" s="36">
        <f>INDEX('建筑建议总览'!$S$5:$S$25,MATCH($A281,'建筑建议总览'!$A$5:$A$25,0))</f>
        <v/>
      </c>
      <c r="S281" s="36">
        <f>INDEX('建筑建议总览'!$T$5:$T$25,MATCH($A281,'建筑建议总览'!$A$5:$A$25,0))</f>
        <v/>
      </c>
      <c r="T281" s="44">
        <f>POWER(Q281,D281-1)</f>
        <v/>
      </c>
      <c r="U281" s="44">
        <f>SUMIF($A$5:$A$328,$A281,$T$5:$T$328)</f>
        <v/>
      </c>
      <c r="V281" s="36">
        <f>IF(R281&gt;0,ROUNDDOWN(MAX(0,R281-O281*(F281-1))*T281/U281,0),0)</f>
        <v/>
      </c>
      <c r="W281" s="36">
        <f>IF(S281&gt;0,ROUNDDOWN(MAX(0,S281-P281*(F281-1))*T281/U281,0),0)</f>
        <v/>
      </c>
      <c r="X281" s="36">
        <f>IF(R281&gt;0,O281+V281+IF(D281=F281-1,MAX(0,R281-O281*(F281-1)-SUMIF($A$5:$A$328,$A281,$V$5:$V$328)),0),ROUNDUP(O281*POWER(INDEX('建筑总览'!$J$5:$J$25,MATCH($A281,'建筑总览'!$A$5:$A$25,0)),D281),0))</f>
        <v/>
      </c>
      <c r="Y281" s="36">
        <f>IF(P281=0,0,IF(S281&gt;0,P281+W281+IF(D281=F281-1,MAX(0,S281-P281*(F281-1)-SUMIF($A$5:$A$328,$A281,$W$5:$W$328)),0),ROUNDUP(P281*POWER(INDEX('建筑总览'!$J$5:$J$25,MATCH($A281,'建筑总览'!$A$5:$A$25,0)),D281),0)))</f>
        <v/>
      </c>
      <c r="Z281" s="36">
        <f>IF(X281=0,0,MAX(1,ROUNDUP(X281*(1-'参数与公式'!$B$17),0)))</f>
        <v/>
      </c>
      <c r="AA281" s="36">
        <f>IF(Y281=0,0,MAX(1,ROUNDUP(Y281*(1-'参数与公式'!$B$17),0)))</f>
        <v/>
      </c>
      <c r="AB281" s="33" t="inlineStr">
        <is>
          <t>预算模式末级补足余数；旧模式按指数公式</t>
        </is>
      </c>
      <c r="AC281" s="49">
        <f>IF(A281=A280,IFERROR(M281/M280,""),"")</f>
        <v/>
      </c>
      <c r="AD281" s="49">
        <f>IF(AND(A281=A280,X280&gt;0),X281/X280,"")</f>
        <v/>
      </c>
    </row>
    <row r="282" ht="30" customHeight="1">
      <c r="A282" s="33" t="inlineStr">
        <is>
          <t>tavern</t>
        </is>
      </c>
      <c r="B282" s="33" t="inlineStr">
        <is>
          <t>酒馆</t>
        </is>
      </c>
      <c r="C282" s="33" t="inlineStr">
        <is>
          <t>人员管理</t>
        </is>
      </c>
      <c r="D282" s="43" t="n">
        <v>7</v>
      </c>
      <c r="E282" s="36">
        <f>D282+1</f>
        <v/>
      </c>
      <c r="F282" s="43" t="n">
        <v>10</v>
      </c>
      <c r="G282" s="36">
        <f>INDEX('建筑建议总览'!$H$5:$H$25,MATCH($A282,'建筑建议总览'!$A$5:$A$25,0))</f>
        <v/>
      </c>
      <c r="H282" s="44">
        <f>INDEX('建筑建议总览'!$I$5:$I$25,MATCH($A282,'建筑建议总览'!$A$5:$A$25,0))</f>
        <v/>
      </c>
      <c r="I282" s="36">
        <f>INDEX('建筑建议总览'!$J$5:$J$25,MATCH($A282,'建筑建议总览'!$A$5:$A$25,0))</f>
        <v/>
      </c>
      <c r="J282" s="44">
        <f>POWER(H282,D282-1)</f>
        <v/>
      </c>
      <c r="K282" s="44">
        <f>SUMIF($A$5:$A$328,$A282,$J$5:$J$328)</f>
        <v/>
      </c>
      <c r="L282" s="36">
        <f>IF(I282&gt;0,ROUNDDOWN(MAX(0,I282-G282*(F282-1))*J282/K282,0),0)</f>
        <v/>
      </c>
      <c r="M282" s="36">
        <f>IF(I282&gt;0,G282+L282+IF(D282=F282-1,MAX(0,I282-G282*(F282-1)-SUMIF($A$5:$A$328,$A282,$L$5:$L$328)),0),ROUNDUP(G282*POWER(INDEX('建筑总览'!$G$5:$G$25,MATCH($A282,'建筑总览'!$A$5:$A$25,0)),D282),0))</f>
        <v/>
      </c>
      <c r="N282" s="35">
        <f>M282/'参数与公式'!$B$21</f>
        <v/>
      </c>
      <c r="O282" s="36">
        <f>INDEX('建筑建议总览'!$P$5:$P$25,MATCH($A282,'建筑建议总览'!$A$5:$A$25,0))</f>
        <v/>
      </c>
      <c r="P282" s="36">
        <f>INDEX('建筑建议总览'!$Q$5:$Q$25,MATCH($A282,'建筑建议总览'!$A$5:$A$25,0))</f>
        <v/>
      </c>
      <c r="Q282" s="44">
        <f>INDEX('建筑建议总览'!$R$5:$R$25,MATCH($A282,'建筑建议总览'!$A$5:$A$25,0))</f>
        <v/>
      </c>
      <c r="R282" s="36">
        <f>INDEX('建筑建议总览'!$S$5:$S$25,MATCH($A282,'建筑建议总览'!$A$5:$A$25,0))</f>
        <v/>
      </c>
      <c r="S282" s="36">
        <f>INDEX('建筑建议总览'!$T$5:$T$25,MATCH($A282,'建筑建议总览'!$A$5:$A$25,0))</f>
        <v/>
      </c>
      <c r="T282" s="44">
        <f>POWER(Q282,D282-1)</f>
        <v/>
      </c>
      <c r="U282" s="44">
        <f>SUMIF($A$5:$A$328,$A282,$T$5:$T$328)</f>
        <v/>
      </c>
      <c r="V282" s="36">
        <f>IF(R282&gt;0,ROUNDDOWN(MAX(0,R282-O282*(F282-1))*T282/U282,0),0)</f>
        <v/>
      </c>
      <c r="W282" s="36">
        <f>IF(S282&gt;0,ROUNDDOWN(MAX(0,S282-P282*(F282-1))*T282/U282,0),0)</f>
        <v/>
      </c>
      <c r="X282" s="36">
        <f>IF(R282&gt;0,O282+V282+IF(D282=F282-1,MAX(0,R282-O282*(F282-1)-SUMIF($A$5:$A$328,$A282,$V$5:$V$328)),0),ROUNDUP(O282*POWER(INDEX('建筑总览'!$J$5:$J$25,MATCH($A282,'建筑总览'!$A$5:$A$25,0)),D282),0))</f>
        <v/>
      </c>
      <c r="Y282" s="36">
        <f>IF(P282=0,0,IF(S282&gt;0,P282+W282+IF(D282=F282-1,MAX(0,S282-P282*(F282-1)-SUMIF($A$5:$A$328,$A282,$W$5:$W$328)),0),ROUNDUP(P282*POWER(INDEX('建筑总览'!$J$5:$J$25,MATCH($A282,'建筑总览'!$A$5:$A$25,0)),D282),0)))</f>
        <v/>
      </c>
      <c r="Z282" s="36">
        <f>IF(X282=0,0,MAX(1,ROUNDUP(X282*(1-'参数与公式'!$B$17),0)))</f>
        <v/>
      </c>
      <c r="AA282" s="36">
        <f>IF(Y282=0,0,MAX(1,ROUNDUP(Y282*(1-'参数与公式'!$B$17),0)))</f>
        <v/>
      </c>
      <c r="AB282" s="33" t="inlineStr">
        <is>
          <t>预算模式末级补足余数；旧模式按指数公式</t>
        </is>
      </c>
      <c r="AC282" s="49">
        <f>IF(A282=A281,IFERROR(M282/M281,""),"")</f>
        <v/>
      </c>
      <c r="AD282" s="49">
        <f>IF(AND(A282=A281,X281&gt;0),X282/X281,"")</f>
        <v/>
      </c>
    </row>
    <row r="283" ht="30" customHeight="1">
      <c r="A283" s="33" t="inlineStr">
        <is>
          <t>tavern</t>
        </is>
      </c>
      <c r="B283" s="33" t="inlineStr">
        <is>
          <t>酒馆</t>
        </is>
      </c>
      <c r="C283" s="33" t="inlineStr">
        <is>
          <t>人员管理</t>
        </is>
      </c>
      <c r="D283" s="43" t="n">
        <v>8</v>
      </c>
      <c r="E283" s="36">
        <f>D283+1</f>
        <v/>
      </c>
      <c r="F283" s="43" t="n">
        <v>10</v>
      </c>
      <c r="G283" s="36">
        <f>INDEX('建筑建议总览'!$H$5:$H$25,MATCH($A283,'建筑建议总览'!$A$5:$A$25,0))</f>
        <v/>
      </c>
      <c r="H283" s="44">
        <f>INDEX('建筑建议总览'!$I$5:$I$25,MATCH($A283,'建筑建议总览'!$A$5:$A$25,0))</f>
        <v/>
      </c>
      <c r="I283" s="36">
        <f>INDEX('建筑建议总览'!$J$5:$J$25,MATCH($A283,'建筑建议总览'!$A$5:$A$25,0))</f>
        <v/>
      </c>
      <c r="J283" s="44">
        <f>POWER(H283,D283-1)</f>
        <v/>
      </c>
      <c r="K283" s="44">
        <f>SUMIF($A$5:$A$328,$A283,$J$5:$J$328)</f>
        <v/>
      </c>
      <c r="L283" s="36">
        <f>IF(I283&gt;0,ROUNDDOWN(MAX(0,I283-G283*(F283-1))*J283/K283,0),0)</f>
        <v/>
      </c>
      <c r="M283" s="36">
        <f>IF(I283&gt;0,G283+L283+IF(D283=F283-1,MAX(0,I283-G283*(F283-1)-SUMIF($A$5:$A$328,$A283,$L$5:$L$328)),0),ROUNDUP(G283*POWER(INDEX('建筑总览'!$G$5:$G$25,MATCH($A283,'建筑总览'!$A$5:$A$25,0)),D283),0))</f>
        <v/>
      </c>
      <c r="N283" s="35">
        <f>M283/'参数与公式'!$B$21</f>
        <v/>
      </c>
      <c r="O283" s="36">
        <f>INDEX('建筑建议总览'!$P$5:$P$25,MATCH($A283,'建筑建议总览'!$A$5:$A$25,0))</f>
        <v/>
      </c>
      <c r="P283" s="36">
        <f>INDEX('建筑建议总览'!$Q$5:$Q$25,MATCH($A283,'建筑建议总览'!$A$5:$A$25,0))</f>
        <v/>
      </c>
      <c r="Q283" s="44">
        <f>INDEX('建筑建议总览'!$R$5:$R$25,MATCH($A283,'建筑建议总览'!$A$5:$A$25,0))</f>
        <v/>
      </c>
      <c r="R283" s="36">
        <f>INDEX('建筑建议总览'!$S$5:$S$25,MATCH($A283,'建筑建议总览'!$A$5:$A$25,0))</f>
        <v/>
      </c>
      <c r="S283" s="36">
        <f>INDEX('建筑建议总览'!$T$5:$T$25,MATCH($A283,'建筑建议总览'!$A$5:$A$25,0))</f>
        <v/>
      </c>
      <c r="T283" s="44">
        <f>POWER(Q283,D283-1)</f>
        <v/>
      </c>
      <c r="U283" s="44">
        <f>SUMIF($A$5:$A$328,$A283,$T$5:$T$328)</f>
        <v/>
      </c>
      <c r="V283" s="36">
        <f>IF(R283&gt;0,ROUNDDOWN(MAX(0,R283-O283*(F283-1))*T283/U283,0),0)</f>
        <v/>
      </c>
      <c r="W283" s="36">
        <f>IF(S283&gt;0,ROUNDDOWN(MAX(0,S283-P283*(F283-1))*T283/U283,0),0)</f>
        <v/>
      </c>
      <c r="X283" s="36">
        <f>IF(R283&gt;0,O283+V283+IF(D283=F283-1,MAX(0,R283-O283*(F283-1)-SUMIF($A$5:$A$328,$A283,$V$5:$V$328)),0),ROUNDUP(O283*POWER(INDEX('建筑总览'!$J$5:$J$25,MATCH($A283,'建筑总览'!$A$5:$A$25,0)),D283),0))</f>
        <v/>
      </c>
      <c r="Y283" s="36">
        <f>IF(P283=0,0,IF(S283&gt;0,P283+W283+IF(D283=F283-1,MAX(0,S283-P283*(F283-1)-SUMIF($A$5:$A$328,$A283,$W$5:$W$328)),0),ROUNDUP(P283*POWER(INDEX('建筑总览'!$J$5:$J$25,MATCH($A283,'建筑总览'!$A$5:$A$25,0)),D283),0)))</f>
        <v/>
      </c>
      <c r="Z283" s="36">
        <f>IF(X283=0,0,MAX(1,ROUNDUP(X283*(1-'参数与公式'!$B$17),0)))</f>
        <v/>
      </c>
      <c r="AA283" s="36">
        <f>IF(Y283=0,0,MAX(1,ROUNDUP(Y283*(1-'参数与公式'!$B$17),0)))</f>
        <v/>
      </c>
      <c r="AB283" s="33" t="inlineStr">
        <is>
          <t>预算模式末级补足余数；旧模式按指数公式</t>
        </is>
      </c>
      <c r="AC283" s="49">
        <f>IF(A283=A282,IFERROR(M283/M282,""),"")</f>
        <v/>
      </c>
      <c r="AD283" s="49">
        <f>IF(AND(A283=A282,X282&gt;0),X283/X282,"")</f>
        <v/>
      </c>
    </row>
    <row r="284" ht="30" customHeight="1">
      <c r="A284" s="33" t="inlineStr">
        <is>
          <t>tavern</t>
        </is>
      </c>
      <c r="B284" s="33" t="inlineStr">
        <is>
          <t>酒馆</t>
        </is>
      </c>
      <c r="C284" s="33" t="inlineStr">
        <is>
          <t>人员管理</t>
        </is>
      </c>
      <c r="D284" s="43" t="n">
        <v>9</v>
      </c>
      <c r="E284" s="36">
        <f>D284+1</f>
        <v/>
      </c>
      <c r="F284" s="43" t="n">
        <v>10</v>
      </c>
      <c r="G284" s="36">
        <f>INDEX('建筑建议总览'!$H$5:$H$25,MATCH($A284,'建筑建议总览'!$A$5:$A$25,0))</f>
        <v/>
      </c>
      <c r="H284" s="44">
        <f>INDEX('建筑建议总览'!$I$5:$I$25,MATCH($A284,'建筑建议总览'!$A$5:$A$25,0))</f>
        <v/>
      </c>
      <c r="I284" s="36">
        <f>INDEX('建筑建议总览'!$J$5:$J$25,MATCH($A284,'建筑建议总览'!$A$5:$A$25,0))</f>
        <v/>
      </c>
      <c r="J284" s="44">
        <f>POWER(H284,D284-1)</f>
        <v/>
      </c>
      <c r="K284" s="44">
        <f>SUMIF($A$5:$A$328,$A284,$J$5:$J$328)</f>
        <v/>
      </c>
      <c r="L284" s="36">
        <f>IF(I284&gt;0,ROUNDDOWN(MAX(0,I284-G284*(F284-1))*J284/K284,0),0)</f>
        <v/>
      </c>
      <c r="M284" s="36">
        <f>IF(I284&gt;0,G284+L284+IF(D284=F284-1,MAX(0,I284-G284*(F284-1)-SUMIF($A$5:$A$328,$A284,$L$5:$L$328)),0),ROUNDUP(G284*POWER(INDEX('建筑总览'!$G$5:$G$25,MATCH($A284,'建筑总览'!$A$5:$A$25,0)),D284),0))</f>
        <v/>
      </c>
      <c r="N284" s="35">
        <f>M284/'参数与公式'!$B$21</f>
        <v/>
      </c>
      <c r="O284" s="36">
        <f>INDEX('建筑建议总览'!$P$5:$P$25,MATCH($A284,'建筑建议总览'!$A$5:$A$25,0))</f>
        <v/>
      </c>
      <c r="P284" s="36">
        <f>INDEX('建筑建议总览'!$Q$5:$Q$25,MATCH($A284,'建筑建议总览'!$A$5:$A$25,0))</f>
        <v/>
      </c>
      <c r="Q284" s="44">
        <f>INDEX('建筑建议总览'!$R$5:$R$25,MATCH($A284,'建筑建议总览'!$A$5:$A$25,0))</f>
        <v/>
      </c>
      <c r="R284" s="36">
        <f>INDEX('建筑建议总览'!$S$5:$S$25,MATCH($A284,'建筑建议总览'!$A$5:$A$25,0))</f>
        <v/>
      </c>
      <c r="S284" s="36">
        <f>INDEX('建筑建议总览'!$T$5:$T$25,MATCH($A284,'建筑建议总览'!$A$5:$A$25,0))</f>
        <v/>
      </c>
      <c r="T284" s="44">
        <f>POWER(Q284,D284-1)</f>
        <v/>
      </c>
      <c r="U284" s="44">
        <f>SUMIF($A$5:$A$328,$A284,$T$5:$T$328)</f>
        <v/>
      </c>
      <c r="V284" s="36">
        <f>IF(R284&gt;0,ROUNDDOWN(MAX(0,R284-O284*(F284-1))*T284/U284,0),0)</f>
        <v/>
      </c>
      <c r="W284" s="36">
        <f>IF(S284&gt;0,ROUNDDOWN(MAX(0,S284-P284*(F284-1))*T284/U284,0),0)</f>
        <v/>
      </c>
      <c r="X284" s="36">
        <f>IF(R284&gt;0,O284+V284+IF(D284=F284-1,MAX(0,R284-O284*(F284-1)-SUMIF($A$5:$A$328,$A284,$V$5:$V$328)),0),ROUNDUP(O284*POWER(INDEX('建筑总览'!$J$5:$J$25,MATCH($A284,'建筑总览'!$A$5:$A$25,0)),D284),0))</f>
        <v/>
      </c>
      <c r="Y284" s="36">
        <f>IF(P284=0,0,IF(S284&gt;0,P284+W284+IF(D284=F284-1,MAX(0,S284-P284*(F284-1)-SUMIF($A$5:$A$328,$A284,$W$5:$W$328)),0),ROUNDUP(P284*POWER(INDEX('建筑总览'!$J$5:$J$25,MATCH($A284,'建筑总览'!$A$5:$A$25,0)),D284),0)))</f>
        <v/>
      </c>
      <c r="Z284" s="36">
        <f>IF(X284=0,0,MAX(1,ROUNDUP(X284*(1-'参数与公式'!$B$17),0)))</f>
        <v/>
      </c>
      <c r="AA284" s="36">
        <f>IF(Y284=0,0,MAX(1,ROUNDUP(Y284*(1-'参数与公式'!$B$17),0)))</f>
        <v/>
      </c>
      <c r="AB284" s="33" t="inlineStr">
        <is>
          <t>预算模式末级补足余数；旧模式按指数公式</t>
        </is>
      </c>
      <c r="AC284" s="49">
        <f>IF(A284=A283,IFERROR(M284/M283,""),"")</f>
        <v/>
      </c>
      <c r="AD284" s="49">
        <f>IF(AND(A284=A283,X283&gt;0),X284/X283,"")</f>
        <v/>
      </c>
    </row>
    <row r="285" ht="30" customHeight="1">
      <c r="A285" s="33" t="inlineStr">
        <is>
          <t>citang</t>
        </is>
      </c>
      <c r="B285" s="33" t="inlineStr">
        <is>
          <t>祠堂</t>
        </is>
      </c>
      <c r="C285" s="33" t="inlineStr">
        <is>
          <t>特殊建筑</t>
        </is>
      </c>
      <c r="D285" s="43" t="n">
        <v>1</v>
      </c>
      <c r="E285" s="36">
        <f>D285+1</f>
        <v/>
      </c>
      <c r="F285" s="43" t="n">
        <v>5</v>
      </c>
      <c r="G285" s="36">
        <f>INDEX('建筑建议总览'!$H$5:$H$25,MATCH($A285,'建筑建议总览'!$A$5:$A$25,0))</f>
        <v/>
      </c>
      <c r="H285" s="44">
        <f>INDEX('建筑建议总览'!$I$5:$I$25,MATCH($A285,'建筑建议总览'!$A$5:$A$25,0))</f>
        <v/>
      </c>
      <c r="I285" s="36">
        <f>INDEX('建筑建议总览'!$J$5:$J$25,MATCH($A285,'建筑建议总览'!$A$5:$A$25,0))</f>
        <v/>
      </c>
      <c r="J285" s="44">
        <f>POWER(H285,D285-1)</f>
        <v/>
      </c>
      <c r="K285" s="44">
        <f>SUMIF($A$5:$A$328,$A285,$J$5:$J$328)</f>
        <v/>
      </c>
      <c r="L285" s="36">
        <f>IF(I285&gt;0,ROUNDDOWN(MAX(0,I285-G285*(F285-1))*J285/K285,0),0)</f>
        <v/>
      </c>
      <c r="M285" s="36">
        <f>IF(I285&gt;0,G285+L285+IF(D285=F285-1,MAX(0,I285-G285*(F285-1)-SUMIF($A$5:$A$328,$A285,$L$5:$L$328)),0),ROUNDUP(G285*POWER(INDEX('建筑总览'!$G$5:$G$25,MATCH($A285,'建筑总览'!$A$5:$A$25,0)),D285),0))</f>
        <v/>
      </c>
      <c r="N285" s="35">
        <f>M285/'参数与公式'!$B$21</f>
        <v/>
      </c>
      <c r="O285" s="36">
        <f>INDEX('建筑建议总览'!$P$5:$P$25,MATCH($A285,'建筑建议总览'!$A$5:$A$25,0))</f>
        <v/>
      </c>
      <c r="P285" s="36">
        <f>INDEX('建筑建议总览'!$Q$5:$Q$25,MATCH($A285,'建筑建议总览'!$A$5:$A$25,0))</f>
        <v/>
      </c>
      <c r="Q285" s="44">
        <f>INDEX('建筑建议总览'!$R$5:$R$25,MATCH($A285,'建筑建议总览'!$A$5:$A$25,0))</f>
        <v/>
      </c>
      <c r="R285" s="36">
        <f>INDEX('建筑建议总览'!$S$5:$S$25,MATCH($A285,'建筑建议总览'!$A$5:$A$25,0))</f>
        <v/>
      </c>
      <c r="S285" s="36">
        <f>INDEX('建筑建议总览'!$T$5:$T$25,MATCH($A285,'建筑建议总览'!$A$5:$A$25,0))</f>
        <v/>
      </c>
      <c r="T285" s="44">
        <f>POWER(Q285,D285-1)</f>
        <v/>
      </c>
      <c r="U285" s="44">
        <f>SUMIF($A$5:$A$328,$A285,$T$5:$T$328)</f>
        <v/>
      </c>
      <c r="V285" s="36">
        <f>IF(R285&gt;0,ROUNDDOWN(MAX(0,R285-O285*(F285-1))*T285/U285,0),0)</f>
        <v/>
      </c>
      <c r="W285" s="36">
        <f>IF(S285&gt;0,ROUNDDOWN(MAX(0,S285-P285*(F285-1))*T285/U285,0),0)</f>
        <v/>
      </c>
      <c r="X285" s="36">
        <f>IF(R285&gt;0,O285+V285+IF(D285=F285-1,MAX(0,R285-O285*(F285-1)-SUMIF($A$5:$A$328,$A285,$V$5:$V$328)),0),ROUNDUP(O285*POWER(INDEX('建筑总览'!$J$5:$J$25,MATCH($A285,'建筑总览'!$A$5:$A$25,0)),D285),0))</f>
        <v/>
      </c>
      <c r="Y285" s="36">
        <f>IF(P285=0,0,IF(S285&gt;0,P285+W285+IF(D285=F285-1,MAX(0,S285-P285*(F285-1)-SUMIF($A$5:$A$328,$A285,$W$5:$W$328)),0),ROUNDUP(P285*POWER(INDEX('建筑总览'!$J$5:$J$25,MATCH($A285,'建筑总览'!$A$5:$A$25,0)),D285),0)))</f>
        <v/>
      </c>
      <c r="Z285" s="36">
        <f>IF(X285=0,0,MAX(1,ROUNDUP(X285*(1-'参数与公式'!$B$17),0)))</f>
        <v/>
      </c>
      <c r="AA285" s="36">
        <f>IF(Y285=0,0,MAX(1,ROUNDUP(Y285*(1-'参数与公式'!$B$17),0)))</f>
        <v/>
      </c>
      <c r="AB285" s="33" t="inlineStr">
        <is>
          <t>预算模式末级补足余数；旧模式按指数公式</t>
        </is>
      </c>
      <c r="AC285" s="49">
        <f>IF(A285=A284,IFERROR(M285/M284,""),"")</f>
        <v/>
      </c>
      <c r="AD285" s="49">
        <f>IF(AND(A285=A284,X284&gt;0),X285/X284,"")</f>
        <v/>
      </c>
    </row>
    <row r="286" ht="30" customHeight="1">
      <c r="A286" s="33" t="inlineStr">
        <is>
          <t>citang</t>
        </is>
      </c>
      <c r="B286" s="33" t="inlineStr">
        <is>
          <t>祠堂</t>
        </is>
      </c>
      <c r="C286" s="33" t="inlineStr">
        <is>
          <t>特殊建筑</t>
        </is>
      </c>
      <c r="D286" s="43" t="n">
        <v>2</v>
      </c>
      <c r="E286" s="36">
        <f>D286+1</f>
        <v/>
      </c>
      <c r="F286" s="43" t="n">
        <v>5</v>
      </c>
      <c r="G286" s="36">
        <f>INDEX('建筑建议总览'!$H$5:$H$25,MATCH($A286,'建筑建议总览'!$A$5:$A$25,0))</f>
        <v/>
      </c>
      <c r="H286" s="44">
        <f>INDEX('建筑建议总览'!$I$5:$I$25,MATCH($A286,'建筑建议总览'!$A$5:$A$25,0))</f>
        <v/>
      </c>
      <c r="I286" s="36">
        <f>INDEX('建筑建议总览'!$J$5:$J$25,MATCH($A286,'建筑建议总览'!$A$5:$A$25,0))</f>
        <v/>
      </c>
      <c r="J286" s="44">
        <f>POWER(H286,D286-1)</f>
        <v/>
      </c>
      <c r="K286" s="44">
        <f>SUMIF($A$5:$A$328,$A286,$J$5:$J$328)</f>
        <v/>
      </c>
      <c r="L286" s="36">
        <f>IF(I286&gt;0,ROUNDDOWN(MAX(0,I286-G286*(F286-1))*J286/K286,0),0)</f>
        <v/>
      </c>
      <c r="M286" s="36">
        <f>IF(I286&gt;0,G286+L286+IF(D286=F286-1,MAX(0,I286-G286*(F286-1)-SUMIF($A$5:$A$328,$A286,$L$5:$L$328)),0),ROUNDUP(G286*POWER(INDEX('建筑总览'!$G$5:$G$25,MATCH($A286,'建筑总览'!$A$5:$A$25,0)),D286),0))</f>
        <v/>
      </c>
      <c r="N286" s="35">
        <f>M286/'参数与公式'!$B$21</f>
        <v/>
      </c>
      <c r="O286" s="36">
        <f>INDEX('建筑建议总览'!$P$5:$P$25,MATCH($A286,'建筑建议总览'!$A$5:$A$25,0))</f>
        <v/>
      </c>
      <c r="P286" s="36">
        <f>INDEX('建筑建议总览'!$Q$5:$Q$25,MATCH($A286,'建筑建议总览'!$A$5:$A$25,0))</f>
        <v/>
      </c>
      <c r="Q286" s="44">
        <f>INDEX('建筑建议总览'!$R$5:$R$25,MATCH($A286,'建筑建议总览'!$A$5:$A$25,0))</f>
        <v/>
      </c>
      <c r="R286" s="36">
        <f>INDEX('建筑建议总览'!$S$5:$S$25,MATCH($A286,'建筑建议总览'!$A$5:$A$25,0))</f>
        <v/>
      </c>
      <c r="S286" s="36">
        <f>INDEX('建筑建议总览'!$T$5:$T$25,MATCH($A286,'建筑建议总览'!$A$5:$A$25,0))</f>
        <v/>
      </c>
      <c r="T286" s="44">
        <f>POWER(Q286,D286-1)</f>
        <v/>
      </c>
      <c r="U286" s="44">
        <f>SUMIF($A$5:$A$328,$A286,$T$5:$T$328)</f>
        <v/>
      </c>
      <c r="V286" s="36">
        <f>IF(R286&gt;0,ROUNDDOWN(MAX(0,R286-O286*(F286-1))*T286/U286,0),0)</f>
        <v/>
      </c>
      <c r="W286" s="36">
        <f>IF(S286&gt;0,ROUNDDOWN(MAX(0,S286-P286*(F286-1))*T286/U286,0),0)</f>
        <v/>
      </c>
      <c r="X286" s="36">
        <f>IF(R286&gt;0,O286+V286+IF(D286=F286-1,MAX(0,R286-O286*(F286-1)-SUMIF($A$5:$A$328,$A286,$V$5:$V$328)),0),ROUNDUP(O286*POWER(INDEX('建筑总览'!$J$5:$J$25,MATCH($A286,'建筑总览'!$A$5:$A$25,0)),D286),0))</f>
        <v/>
      </c>
      <c r="Y286" s="36">
        <f>IF(P286=0,0,IF(S286&gt;0,P286+W286+IF(D286=F286-1,MAX(0,S286-P286*(F286-1)-SUMIF($A$5:$A$328,$A286,$W$5:$W$328)),0),ROUNDUP(P286*POWER(INDEX('建筑总览'!$J$5:$J$25,MATCH($A286,'建筑总览'!$A$5:$A$25,0)),D286),0)))</f>
        <v/>
      </c>
      <c r="Z286" s="36">
        <f>IF(X286=0,0,MAX(1,ROUNDUP(X286*(1-'参数与公式'!$B$17),0)))</f>
        <v/>
      </c>
      <c r="AA286" s="36">
        <f>IF(Y286=0,0,MAX(1,ROUNDUP(Y286*(1-'参数与公式'!$B$17),0)))</f>
        <v/>
      </c>
      <c r="AB286" s="33" t="inlineStr">
        <is>
          <t>预算模式末级补足余数；旧模式按指数公式</t>
        </is>
      </c>
      <c r="AC286" s="49">
        <f>IF(A286=A285,IFERROR(M286/M285,""),"")</f>
        <v/>
      </c>
      <c r="AD286" s="49">
        <f>IF(AND(A286=A285,X285&gt;0),X286/X285,"")</f>
        <v/>
      </c>
    </row>
    <row r="287" ht="30" customHeight="1">
      <c r="A287" s="33" t="inlineStr">
        <is>
          <t>citang</t>
        </is>
      </c>
      <c r="B287" s="33" t="inlineStr">
        <is>
          <t>祠堂</t>
        </is>
      </c>
      <c r="C287" s="33" t="inlineStr">
        <is>
          <t>特殊建筑</t>
        </is>
      </c>
      <c r="D287" s="43" t="n">
        <v>3</v>
      </c>
      <c r="E287" s="36">
        <f>D287+1</f>
        <v/>
      </c>
      <c r="F287" s="43" t="n">
        <v>5</v>
      </c>
      <c r="G287" s="36">
        <f>INDEX('建筑建议总览'!$H$5:$H$25,MATCH($A287,'建筑建议总览'!$A$5:$A$25,0))</f>
        <v/>
      </c>
      <c r="H287" s="44">
        <f>INDEX('建筑建议总览'!$I$5:$I$25,MATCH($A287,'建筑建议总览'!$A$5:$A$25,0))</f>
        <v/>
      </c>
      <c r="I287" s="36">
        <f>INDEX('建筑建议总览'!$J$5:$J$25,MATCH($A287,'建筑建议总览'!$A$5:$A$25,0))</f>
        <v/>
      </c>
      <c r="J287" s="44">
        <f>POWER(H287,D287-1)</f>
        <v/>
      </c>
      <c r="K287" s="44">
        <f>SUMIF($A$5:$A$328,$A287,$J$5:$J$328)</f>
        <v/>
      </c>
      <c r="L287" s="36">
        <f>IF(I287&gt;0,ROUNDDOWN(MAX(0,I287-G287*(F287-1))*J287/K287,0),0)</f>
        <v/>
      </c>
      <c r="M287" s="36">
        <f>IF(I287&gt;0,G287+L287+IF(D287=F287-1,MAX(0,I287-G287*(F287-1)-SUMIF($A$5:$A$328,$A287,$L$5:$L$328)),0),ROUNDUP(G287*POWER(INDEX('建筑总览'!$G$5:$G$25,MATCH($A287,'建筑总览'!$A$5:$A$25,0)),D287),0))</f>
        <v/>
      </c>
      <c r="N287" s="35">
        <f>M287/'参数与公式'!$B$21</f>
        <v/>
      </c>
      <c r="O287" s="36">
        <f>INDEX('建筑建议总览'!$P$5:$P$25,MATCH($A287,'建筑建议总览'!$A$5:$A$25,0))</f>
        <v/>
      </c>
      <c r="P287" s="36">
        <f>INDEX('建筑建议总览'!$Q$5:$Q$25,MATCH($A287,'建筑建议总览'!$A$5:$A$25,0))</f>
        <v/>
      </c>
      <c r="Q287" s="44">
        <f>INDEX('建筑建议总览'!$R$5:$R$25,MATCH($A287,'建筑建议总览'!$A$5:$A$25,0))</f>
        <v/>
      </c>
      <c r="R287" s="36">
        <f>INDEX('建筑建议总览'!$S$5:$S$25,MATCH($A287,'建筑建议总览'!$A$5:$A$25,0))</f>
        <v/>
      </c>
      <c r="S287" s="36">
        <f>INDEX('建筑建议总览'!$T$5:$T$25,MATCH($A287,'建筑建议总览'!$A$5:$A$25,0))</f>
        <v/>
      </c>
      <c r="T287" s="44">
        <f>POWER(Q287,D287-1)</f>
        <v/>
      </c>
      <c r="U287" s="44">
        <f>SUMIF($A$5:$A$328,$A287,$T$5:$T$328)</f>
        <v/>
      </c>
      <c r="V287" s="36">
        <f>IF(R287&gt;0,ROUNDDOWN(MAX(0,R287-O287*(F287-1))*T287/U287,0),0)</f>
        <v/>
      </c>
      <c r="W287" s="36">
        <f>IF(S287&gt;0,ROUNDDOWN(MAX(0,S287-P287*(F287-1))*T287/U287,0),0)</f>
        <v/>
      </c>
      <c r="X287" s="36">
        <f>IF(R287&gt;0,O287+V287+IF(D287=F287-1,MAX(0,R287-O287*(F287-1)-SUMIF($A$5:$A$328,$A287,$V$5:$V$328)),0),ROUNDUP(O287*POWER(INDEX('建筑总览'!$J$5:$J$25,MATCH($A287,'建筑总览'!$A$5:$A$25,0)),D287),0))</f>
        <v/>
      </c>
      <c r="Y287" s="36">
        <f>IF(P287=0,0,IF(S287&gt;0,P287+W287+IF(D287=F287-1,MAX(0,S287-P287*(F287-1)-SUMIF($A$5:$A$328,$A287,$W$5:$W$328)),0),ROUNDUP(P287*POWER(INDEX('建筑总览'!$J$5:$J$25,MATCH($A287,'建筑总览'!$A$5:$A$25,0)),D287),0)))</f>
        <v/>
      </c>
      <c r="Z287" s="36">
        <f>IF(X287=0,0,MAX(1,ROUNDUP(X287*(1-'参数与公式'!$B$17),0)))</f>
        <v/>
      </c>
      <c r="AA287" s="36">
        <f>IF(Y287=0,0,MAX(1,ROUNDUP(Y287*(1-'参数与公式'!$B$17),0)))</f>
        <v/>
      </c>
      <c r="AB287" s="33" t="inlineStr">
        <is>
          <t>预算模式末级补足余数；旧模式按指数公式</t>
        </is>
      </c>
      <c r="AC287" s="49">
        <f>IF(A287=A286,IFERROR(M287/M286,""),"")</f>
        <v/>
      </c>
      <c r="AD287" s="49">
        <f>IF(AND(A287=A286,X286&gt;0),X287/X286,"")</f>
        <v/>
      </c>
    </row>
    <row r="288" ht="30" customHeight="1">
      <c r="A288" s="33" t="inlineStr">
        <is>
          <t>citang</t>
        </is>
      </c>
      <c r="B288" s="33" t="inlineStr">
        <is>
          <t>祠堂</t>
        </is>
      </c>
      <c r="C288" s="33" t="inlineStr">
        <is>
          <t>特殊建筑</t>
        </is>
      </c>
      <c r="D288" s="43" t="n">
        <v>4</v>
      </c>
      <c r="E288" s="36">
        <f>D288+1</f>
        <v/>
      </c>
      <c r="F288" s="43" t="n">
        <v>5</v>
      </c>
      <c r="G288" s="36">
        <f>INDEX('建筑建议总览'!$H$5:$H$25,MATCH($A288,'建筑建议总览'!$A$5:$A$25,0))</f>
        <v/>
      </c>
      <c r="H288" s="44">
        <f>INDEX('建筑建议总览'!$I$5:$I$25,MATCH($A288,'建筑建议总览'!$A$5:$A$25,0))</f>
        <v/>
      </c>
      <c r="I288" s="36">
        <f>INDEX('建筑建议总览'!$J$5:$J$25,MATCH($A288,'建筑建议总览'!$A$5:$A$25,0))</f>
        <v/>
      </c>
      <c r="J288" s="44">
        <f>POWER(H288,D288-1)</f>
        <v/>
      </c>
      <c r="K288" s="44">
        <f>SUMIF($A$5:$A$328,$A288,$J$5:$J$328)</f>
        <v/>
      </c>
      <c r="L288" s="36">
        <f>IF(I288&gt;0,ROUNDDOWN(MAX(0,I288-G288*(F288-1))*J288/K288,0),0)</f>
        <v/>
      </c>
      <c r="M288" s="36">
        <f>IF(I288&gt;0,G288+L288+IF(D288=F288-1,MAX(0,I288-G288*(F288-1)-SUMIF($A$5:$A$328,$A288,$L$5:$L$328)),0),ROUNDUP(G288*POWER(INDEX('建筑总览'!$G$5:$G$25,MATCH($A288,'建筑总览'!$A$5:$A$25,0)),D288),0))</f>
        <v/>
      </c>
      <c r="N288" s="35">
        <f>M288/'参数与公式'!$B$21</f>
        <v/>
      </c>
      <c r="O288" s="36">
        <f>INDEX('建筑建议总览'!$P$5:$P$25,MATCH($A288,'建筑建议总览'!$A$5:$A$25,0))</f>
        <v/>
      </c>
      <c r="P288" s="36">
        <f>INDEX('建筑建议总览'!$Q$5:$Q$25,MATCH($A288,'建筑建议总览'!$A$5:$A$25,0))</f>
        <v/>
      </c>
      <c r="Q288" s="44">
        <f>INDEX('建筑建议总览'!$R$5:$R$25,MATCH($A288,'建筑建议总览'!$A$5:$A$25,0))</f>
        <v/>
      </c>
      <c r="R288" s="36">
        <f>INDEX('建筑建议总览'!$S$5:$S$25,MATCH($A288,'建筑建议总览'!$A$5:$A$25,0))</f>
        <v/>
      </c>
      <c r="S288" s="36">
        <f>INDEX('建筑建议总览'!$T$5:$T$25,MATCH($A288,'建筑建议总览'!$A$5:$A$25,0))</f>
        <v/>
      </c>
      <c r="T288" s="44">
        <f>POWER(Q288,D288-1)</f>
        <v/>
      </c>
      <c r="U288" s="44">
        <f>SUMIF($A$5:$A$328,$A288,$T$5:$T$328)</f>
        <v/>
      </c>
      <c r="V288" s="36">
        <f>IF(R288&gt;0,ROUNDDOWN(MAX(0,R288-O288*(F288-1))*T288/U288,0),0)</f>
        <v/>
      </c>
      <c r="W288" s="36">
        <f>IF(S288&gt;0,ROUNDDOWN(MAX(0,S288-P288*(F288-1))*T288/U288,0),0)</f>
        <v/>
      </c>
      <c r="X288" s="36">
        <f>IF(R288&gt;0,O288+V288+IF(D288=F288-1,MAX(0,R288-O288*(F288-1)-SUMIF($A$5:$A$328,$A288,$V$5:$V$328)),0),ROUNDUP(O288*POWER(INDEX('建筑总览'!$J$5:$J$25,MATCH($A288,'建筑总览'!$A$5:$A$25,0)),D288),0))</f>
        <v/>
      </c>
      <c r="Y288" s="36">
        <f>IF(P288=0,0,IF(S288&gt;0,P288+W288+IF(D288=F288-1,MAX(0,S288-P288*(F288-1)-SUMIF($A$5:$A$328,$A288,$W$5:$W$328)),0),ROUNDUP(P288*POWER(INDEX('建筑总览'!$J$5:$J$25,MATCH($A288,'建筑总览'!$A$5:$A$25,0)),D288),0)))</f>
        <v/>
      </c>
      <c r="Z288" s="36">
        <f>IF(X288=0,0,MAX(1,ROUNDUP(X288*(1-'参数与公式'!$B$17),0)))</f>
        <v/>
      </c>
      <c r="AA288" s="36">
        <f>IF(Y288=0,0,MAX(1,ROUNDUP(Y288*(1-'参数与公式'!$B$17),0)))</f>
        <v/>
      </c>
      <c r="AB288" s="33" t="inlineStr">
        <is>
          <t>预算模式末级补足余数；旧模式按指数公式</t>
        </is>
      </c>
      <c r="AC288" s="49">
        <f>IF(A288=A287,IFERROR(M288/M287,""),"")</f>
        <v/>
      </c>
      <c r="AD288" s="49">
        <f>IF(AND(A288=A287,X287&gt;0),X288/X287,"")</f>
        <v/>
      </c>
    </row>
    <row r="289" ht="30" customHeight="1">
      <c r="A289" s="33" t="inlineStr">
        <is>
          <t>youxibaota</t>
        </is>
      </c>
      <c r="B289" s="33" t="inlineStr">
        <is>
          <t>悠嘻宝塔</t>
        </is>
      </c>
      <c r="C289" s="33" t="inlineStr">
        <is>
          <t>特殊建筑</t>
        </is>
      </c>
      <c r="D289" s="43" t="n">
        <v>1</v>
      </c>
      <c r="E289" s="36">
        <f>D289+1</f>
        <v/>
      </c>
      <c r="F289" s="43" t="n">
        <v>15</v>
      </c>
      <c r="G289" s="36">
        <f>INDEX('建筑建议总览'!$H$5:$H$25,MATCH($A289,'建筑建议总览'!$A$5:$A$25,0))</f>
        <v/>
      </c>
      <c r="H289" s="44">
        <f>INDEX('建筑建议总览'!$I$5:$I$25,MATCH($A289,'建筑建议总览'!$A$5:$A$25,0))</f>
        <v/>
      </c>
      <c r="I289" s="36">
        <f>INDEX('建筑建议总览'!$J$5:$J$25,MATCH($A289,'建筑建议总览'!$A$5:$A$25,0))</f>
        <v/>
      </c>
      <c r="J289" s="44">
        <f>POWER(H289,D289-1)</f>
        <v/>
      </c>
      <c r="K289" s="44">
        <f>SUMIF($A$5:$A$328,$A289,$J$5:$J$328)</f>
        <v/>
      </c>
      <c r="L289" s="36">
        <f>IF(I289&gt;0,ROUNDDOWN(MAX(0,I289-G289*(F289-1))*J289/K289,0),0)</f>
        <v/>
      </c>
      <c r="M289" s="36">
        <f>IF(I289&gt;0,G289+L289+IF(D289=F289-1,MAX(0,I289-G289*(F289-1)-SUMIF($A$5:$A$328,$A289,$L$5:$L$328)),0),ROUNDUP(G289*POWER(INDEX('建筑总览'!$G$5:$G$25,MATCH($A289,'建筑总览'!$A$5:$A$25,0)),D289),0))</f>
        <v/>
      </c>
      <c r="N289" s="35">
        <f>M289/'参数与公式'!$B$21</f>
        <v/>
      </c>
      <c r="O289" s="36">
        <f>INDEX('建筑建议总览'!$P$5:$P$25,MATCH($A289,'建筑建议总览'!$A$5:$A$25,0))</f>
        <v/>
      </c>
      <c r="P289" s="36">
        <f>INDEX('建筑建议总览'!$Q$5:$Q$25,MATCH($A289,'建筑建议总览'!$A$5:$A$25,0))</f>
        <v/>
      </c>
      <c r="Q289" s="44">
        <f>INDEX('建筑建议总览'!$R$5:$R$25,MATCH($A289,'建筑建议总览'!$A$5:$A$25,0))</f>
        <v/>
      </c>
      <c r="R289" s="36">
        <f>INDEX('建筑建议总览'!$S$5:$S$25,MATCH($A289,'建筑建议总览'!$A$5:$A$25,0))</f>
        <v/>
      </c>
      <c r="S289" s="36">
        <f>INDEX('建筑建议总览'!$T$5:$T$25,MATCH($A289,'建筑建议总览'!$A$5:$A$25,0))</f>
        <v/>
      </c>
      <c r="T289" s="44">
        <f>POWER(Q289,D289-1)</f>
        <v/>
      </c>
      <c r="U289" s="44">
        <f>SUMIF($A$5:$A$328,$A289,$T$5:$T$328)</f>
        <v/>
      </c>
      <c r="V289" s="36">
        <f>IF(R289&gt;0,ROUNDDOWN(MAX(0,R289-O289*(F289-1))*T289/U289,0),0)</f>
        <v/>
      </c>
      <c r="W289" s="36">
        <f>IF(S289&gt;0,ROUNDDOWN(MAX(0,S289-P289*(F289-1))*T289/U289,0),0)</f>
        <v/>
      </c>
      <c r="X289" s="36">
        <f>IF(R289&gt;0,O289+V289+IF(D289=F289-1,MAX(0,R289-O289*(F289-1)-SUMIF($A$5:$A$328,$A289,$V$5:$V$328)),0),ROUNDUP(O289*POWER(INDEX('建筑总览'!$J$5:$J$25,MATCH($A289,'建筑总览'!$A$5:$A$25,0)),D289),0))</f>
        <v/>
      </c>
      <c r="Y289" s="36">
        <f>IF(P289=0,0,IF(S289&gt;0,P289+W289+IF(D289=F289-1,MAX(0,S289-P289*(F289-1)-SUMIF($A$5:$A$328,$A289,$W$5:$W$328)),0),ROUNDUP(P289*POWER(INDEX('建筑总览'!$J$5:$J$25,MATCH($A289,'建筑总览'!$A$5:$A$25,0)),D289),0)))</f>
        <v/>
      </c>
      <c r="Z289" s="36">
        <f>IF(X289=0,0,MAX(1,ROUNDUP(X289*(1-'参数与公式'!$B$17),0)))</f>
        <v/>
      </c>
      <c r="AA289" s="36">
        <f>IF(Y289=0,0,MAX(1,ROUNDUP(Y289*(1-'参数与公式'!$B$17),0)))</f>
        <v/>
      </c>
      <c r="AB289" s="33" t="inlineStr">
        <is>
          <t>预算模式末级补足余数；旧模式按指数公式</t>
        </is>
      </c>
      <c r="AC289" s="49">
        <f>IF(A289=A288,IFERROR(M289/M288,""),"")</f>
        <v/>
      </c>
      <c r="AD289" s="49">
        <f>IF(AND(A289=A288,X288&gt;0),X289/X288,"")</f>
        <v/>
      </c>
    </row>
    <row r="290" ht="30" customHeight="1">
      <c r="A290" s="33" t="inlineStr">
        <is>
          <t>youxibaota</t>
        </is>
      </c>
      <c r="B290" s="33" t="inlineStr">
        <is>
          <t>悠嘻宝塔</t>
        </is>
      </c>
      <c r="C290" s="33" t="inlineStr">
        <is>
          <t>特殊建筑</t>
        </is>
      </c>
      <c r="D290" s="43" t="n">
        <v>2</v>
      </c>
      <c r="E290" s="36">
        <f>D290+1</f>
        <v/>
      </c>
      <c r="F290" s="43" t="n">
        <v>15</v>
      </c>
      <c r="G290" s="36">
        <f>INDEX('建筑建议总览'!$H$5:$H$25,MATCH($A290,'建筑建议总览'!$A$5:$A$25,0))</f>
        <v/>
      </c>
      <c r="H290" s="44">
        <f>INDEX('建筑建议总览'!$I$5:$I$25,MATCH($A290,'建筑建议总览'!$A$5:$A$25,0))</f>
        <v/>
      </c>
      <c r="I290" s="36">
        <f>INDEX('建筑建议总览'!$J$5:$J$25,MATCH($A290,'建筑建议总览'!$A$5:$A$25,0))</f>
        <v/>
      </c>
      <c r="J290" s="44">
        <f>POWER(H290,D290-1)</f>
        <v/>
      </c>
      <c r="K290" s="44">
        <f>SUMIF($A$5:$A$328,$A290,$J$5:$J$328)</f>
        <v/>
      </c>
      <c r="L290" s="36">
        <f>IF(I290&gt;0,ROUNDDOWN(MAX(0,I290-G290*(F290-1))*J290/K290,0),0)</f>
        <v/>
      </c>
      <c r="M290" s="36">
        <f>IF(I290&gt;0,G290+L290+IF(D290=F290-1,MAX(0,I290-G290*(F290-1)-SUMIF($A$5:$A$328,$A290,$L$5:$L$328)),0),ROUNDUP(G290*POWER(INDEX('建筑总览'!$G$5:$G$25,MATCH($A290,'建筑总览'!$A$5:$A$25,0)),D290),0))</f>
        <v/>
      </c>
      <c r="N290" s="35">
        <f>M290/'参数与公式'!$B$21</f>
        <v/>
      </c>
      <c r="O290" s="36">
        <f>INDEX('建筑建议总览'!$P$5:$P$25,MATCH($A290,'建筑建议总览'!$A$5:$A$25,0))</f>
        <v/>
      </c>
      <c r="P290" s="36">
        <f>INDEX('建筑建议总览'!$Q$5:$Q$25,MATCH($A290,'建筑建议总览'!$A$5:$A$25,0))</f>
        <v/>
      </c>
      <c r="Q290" s="44">
        <f>INDEX('建筑建议总览'!$R$5:$R$25,MATCH($A290,'建筑建议总览'!$A$5:$A$25,0))</f>
        <v/>
      </c>
      <c r="R290" s="36">
        <f>INDEX('建筑建议总览'!$S$5:$S$25,MATCH($A290,'建筑建议总览'!$A$5:$A$25,0))</f>
        <v/>
      </c>
      <c r="S290" s="36">
        <f>INDEX('建筑建议总览'!$T$5:$T$25,MATCH($A290,'建筑建议总览'!$A$5:$A$25,0))</f>
        <v/>
      </c>
      <c r="T290" s="44">
        <f>POWER(Q290,D290-1)</f>
        <v/>
      </c>
      <c r="U290" s="44">
        <f>SUMIF($A$5:$A$328,$A290,$T$5:$T$328)</f>
        <v/>
      </c>
      <c r="V290" s="36">
        <f>IF(R290&gt;0,ROUNDDOWN(MAX(0,R290-O290*(F290-1))*T290/U290,0),0)</f>
        <v/>
      </c>
      <c r="W290" s="36">
        <f>IF(S290&gt;0,ROUNDDOWN(MAX(0,S290-P290*(F290-1))*T290/U290,0),0)</f>
        <v/>
      </c>
      <c r="X290" s="36">
        <f>IF(R290&gt;0,O290+V290+IF(D290=F290-1,MAX(0,R290-O290*(F290-1)-SUMIF($A$5:$A$328,$A290,$V$5:$V$328)),0),ROUNDUP(O290*POWER(INDEX('建筑总览'!$J$5:$J$25,MATCH($A290,'建筑总览'!$A$5:$A$25,0)),D290),0))</f>
        <v/>
      </c>
      <c r="Y290" s="36">
        <f>IF(P290=0,0,IF(S290&gt;0,P290+W290+IF(D290=F290-1,MAX(0,S290-P290*(F290-1)-SUMIF($A$5:$A$328,$A290,$W$5:$W$328)),0),ROUNDUP(P290*POWER(INDEX('建筑总览'!$J$5:$J$25,MATCH($A290,'建筑总览'!$A$5:$A$25,0)),D290),0)))</f>
        <v/>
      </c>
      <c r="Z290" s="36">
        <f>IF(X290=0,0,MAX(1,ROUNDUP(X290*(1-'参数与公式'!$B$17),0)))</f>
        <v/>
      </c>
      <c r="AA290" s="36">
        <f>IF(Y290=0,0,MAX(1,ROUNDUP(Y290*(1-'参数与公式'!$B$17),0)))</f>
        <v/>
      </c>
      <c r="AB290" s="33" t="inlineStr">
        <is>
          <t>预算模式末级补足余数；旧模式按指数公式</t>
        </is>
      </c>
      <c r="AC290" s="49">
        <f>IF(A290=A289,IFERROR(M290/M289,""),"")</f>
        <v/>
      </c>
      <c r="AD290" s="49">
        <f>IF(AND(A290=A289,X289&gt;0),X290/X289,"")</f>
        <v/>
      </c>
    </row>
    <row r="291" ht="30" customHeight="1">
      <c r="A291" s="33" t="inlineStr">
        <is>
          <t>youxibaota</t>
        </is>
      </c>
      <c r="B291" s="33" t="inlineStr">
        <is>
          <t>悠嘻宝塔</t>
        </is>
      </c>
      <c r="C291" s="33" t="inlineStr">
        <is>
          <t>特殊建筑</t>
        </is>
      </c>
      <c r="D291" s="43" t="n">
        <v>3</v>
      </c>
      <c r="E291" s="36">
        <f>D291+1</f>
        <v/>
      </c>
      <c r="F291" s="43" t="n">
        <v>15</v>
      </c>
      <c r="G291" s="36">
        <f>INDEX('建筑建议总览'!$H$5:$H$25,MATCH($A291,'建筑建议总览'!$A$5:$A$25,0))</f>
        <v/>
      </c>
      <c r="H291" s="44">
        <f>INDEX('建筑建议总览'!$I$5:$I$25,MATCH($A291,'建筑建议总览'!$A$5:$A$25,0))</f>
        <v/>
      </c>
      <c r="I291" s="36">
        <f>INDEX('建筑建议总览'!$J$5:$J$25,MATCH($A291,'建筑建议总览'!$A$5:$A$25,0))</f>
        <v/>
      </c>
      <c r="J291" s="44">
        <f>POWER(H291,D291-1)</f>
        <v/>
      </c>
      <c r="K291" s="44">
        <f>SUMIF($A$5:$A$328,$A291,$J$5:$J$328)</f>
        <v/>
      </c>
      <c r="L291" s="36">
        <f>IF(I291&gt;0,ROUNDDOWN(MAX(0,I291-G291*(F291-1))*J291/K291,0),0)</f>
        <v/>
      </c>
      <c r="M291" s="36">
        <f>IF(I291&gt;0,G291+L291+IF(D291=F291-1,MAX(0,I291-G291*(F291-1)-SUMIF($A$5:$A$328,$A291,$L$5:$L$328)),0),ROUNDUP(G291*POWER(INDEX('建筑总览'!$G$5:$G$25,MATCH($A291,'建筑总览'!$A$5:$A$25,0)),D291),0))</f>
        <v/>
      </c>
      <c r="N291" s="35">
        <f>M291/'参数与公式'!$B$21</f>
        <v/>
      </c>
      <c r="O291" s="36">
        <f>INDEX('建筑建议总览'!$P$5:$P$25,MATCH($A291,'建筑建议总览'!$A$5:$A$25,0))</f>
        <v/>
      </c>
      <c r="P291" s="36">
        <f>INDEX('建筑建议总览'!$Q$5:$Q$25,MATCH($A291,'建筑建议总览'!$A$5:$A$25,0))</f>
        <v/>
      </c>
      <c r="Q291" s="44">
        <f>INDEX('建筑建议总览'!$R$5:$R$25,MATCH($A291,'建筑建议总览'!$A$5:$A$25,0))</f>
        <v/>
      </c>
      <c r="R291" s="36">
        <f>INDEX('建筑建议总览'!$S$5:$S$25,MATCH($A291,'建筑建议总览'!$A$5:$A$25,0))</f>
        <v/>
      </c>
      <c r="S291" s="36">
        <f>INDEX('建筑建议总览'!$T$5:$T$25,MATCH($A291,'建筑建议总览'!$A$5:$A$25,0))</f>
        <v/>
      </c>
      <c r="T291" s="44">
        <f>POWER(Q291,D291-1)</f>
        <v/>
      </c>
      <c r="U291" s="44">
        <f>SUMIF($A$5:$A$328,$A291,$T$5:$T$328)</f>
        <v/>
      </c>
      <c r="V291" s="36">
        <f>IF(R291&gt;0,ROUNDDOWN(MAX(0,R291-O291*(F291-1))*T291/U291,0),0)</f>
        <v/>
      </c>
      <c r="W291" s="36">
        <f>IF(S291&gt;0,ROUNDDOWN(MAX(0,S291-P291*(F291-1))*T291/U291,0),0)</f>
        <v/>
      </c>
      <c r="X291" s="36">
        <f>IF(R291&gt;0,O291+V291+IF(D291=F291-1,MAX(0,R291-O291*(F291-1)-SUMIF($A$5:$A$328,$A291,$V$5:$V$328)),0),ROUNDUP(O291*POWER(INDEX('建筑总览'!$J$5:$J$25,MATCH($A291,'建筑总览'!$A$5:$A$25,0)),D291),0))</f>
        <v/>
      </c>
      <c r="Y291" s="36">
        <f>IF(P291=0,0,IF(S291&gt;0,P291+W291+IF(D291=F291-1,MAX(0,S291-P291*(F291-1)-SUMIF($A$5:$A$328,$A291,$W$5:$W$328)),0),ROUNDUP(P291*POWER(INDEX('建筑总览'!$J$5:$J$25,MATCH($A291,'建筑总览'!$A$5:$A$25,0)),D291),0)))</f>
        <v/>
      </c>
      <c r="Z291" s="36">
        <f>IF(X291=0,0,MAX(1,ROUNDUP(X291*(1-'参数与公式'!$B$17),0)))</f>
        <v/>
      </c>
      <c r="AA291" s="36">
        <f>IF(Y291=0,0,MAX(1,ROUNDUP(Y291*(1-'参数与公式'!$B$17),0)))</f>
        <v/>
      </c>
      <c r="AB291" s="33" t="inlineStr">
        <is>
          <t>预算模式末级补足余数；旧模式按指数公式</t>
        </is>
      </c>
      <c r="AC291" s="49">
        <f>IF(A291=A290,IFERROR(M291/M290,""),"")</f>
        <v/>
      </c>
      <c r="AD291" s="49">
        <f>IF(AND(A291=A290,X290&gt;0),X291/X290,"")</f>
        <v/>
      </c>
    </row>
    <row r="292" ht="30" customHeight="1">
      <c r="A292" s="33" t="inlineStr">
        <is>
          <t>youxibaota</t>
        </is>
      </c>
      <c r="B292" s="33" t="inlineStr">
        <is>
          <t>悠嘻宝塔</t>
        </is>
      </c>
      <c r="C292" s="33" t="inlineStr">
        <is>
          <t>特殊建筑</t>
        </is>
      </c>
      <c r="D292" s="43" t="n">
        <v>4</v>
      </c>
      <c r="E292" s="36">
        <f>D292+1</f>
        <v/>
      </c>
      <c r="F292" s="43" t="n">
        <v>15</v>
      </c>
      <c r="G292" s="36">
        <f>INDEX('建筑建议总览'!$H$5:$H$25,MATCH($A292,'建筑建议总览'!$A$5:$A$25,0))</f>
        <v/>
      </c>
      <c r="H292" s="44">
        <f>INDEX('建筑建议总览'!$I$5:$I$25,MATCH($A292,'建筑建议总览'!$A$5:$A$25,0))</f>
        <v/>
      </c>
      <c r="I292" s="36">
        <f>INDEX('建筑建议总览'!$J$5:$J$25,MATCH($A292,'建筑建议总览'!$A$5:$A$25,0))</f>
        <v/>
      </c>
      <c r="J292" s="44">
        <f>POWER(H292,D292-1)</f>
        <v/>
      </c>
      <c r="K292" s="44">
        <f>SUMIF($A$5:$A$328,$A292,$J$5:$J$328)</f>
        <v/>
      </c>
      <c r="L292" s="36">
        <f>IF(I292&gt;0,ROUNDDOWN(MAX(0,I292-G292*(F292-1))*J292/K292,0),0)</f>
        <v/>
      </c>
      <c r="M292" s="36">
        <f>IF(I292&gt;0,G292+L292+IF(D292=F292-1,MAX(0,I292-G292*(F292-1)-SUMIF($A$5:$A$328,$A292,$L$5:$L$328)),0),ROUNDUP(G292*POWER(INDEX('建筑总览'!$G$5:$G$25,MATCH($A292,'建筑总览'!$A$5:$A$25,0)),D292),0))</f>
        <v/>
      </c>
      <c r="N292" s="35">
        <f>M292/'参数与公式'!$B$21</f>
        <v/>
      </c>
      <c r="O292" s="36">
        <f>INDEX('建筑建议总览'!$P$5:$P$25,MATCH($A292,'建筑建议总览'!$A$5:$A$25,0))</f>
        <v/>
      </c>
      <c r="P292" s="36">
        <f>INDEX('建筑建议总览'!$Q$5:$Q$25,MATCH($A292,'建筑建议总览'!$A$5:$A$25,0))</f>
        <v/>
      </c>
      <c r="Q292" s="44">
        <f>INDEX('建筑建议总览'!$R$5:$R$25,MATCH($A292,'建筑建议总览'!$A$5:$A$25,0))</f>
        <v/>
      </c>
      <c r="R292" s="36">
        <f>INDEX('建筑建议总览'!$S$5:$S$25,MATCH($A292,'建筑建议总览'!$A$5:$A$25,0))</f>
        <v/>
      </c>
      <c r="S292" s="36">
        <f>INDEX('建筑建议总览'!$T$5:$T$25,MATCH($A292,'建筑建议总览'!$A$5:$A$25,0))</f>
        <v/>
      </c>
      <c r="T292" s="44">
        <f>POWER(Q292,D292-1)</f>
        <v/>
      </c>
      <c r="U292" s="44">
        <f>SUMIF($A$5:$A$328,$A292,$T$5:$T$328)</f>
        <v/>
      </c>
      <c r="V292" s="36">
        <f>IF(R292&gt;0,ROUNDDOWN(MAX(0,R292-O292*(F292-1))*T292/U292,0),0)</f>
        <v/>
      </c>
      <c r="W292" s="36">
        <f>IF(S292&gt;0,ROUNDDOWN(MAX(0,S292-P292*(F292-1))*T292/U292,0),0)</f>
        <v/>
      </c>
      <c r="X292" s="36">
        <f>IF(R292&gt;0,O292+V292+IF(D292=F292-1,MAX(0,R292-O292*(F292-1)-SUMIF($A$5:$A$328,$A292,$V$5:$V$328)),0),ROUNDUP(O292*POWER(INDEX('建筑总览'!$J$5:$J$25,MATCH($A292,'建筑总览'!$A$5:$A$25,0)),D292),0))</f>
        <v/>
      </c>
      <c r="Y292" s="36">
        <f>IF(P292=0,0,IF(S292&gt;0,P292+W292+IF(D292=F292-1,MAX(0,S292-P292*(F292-1)-SUMIF($A$5:$A$328,$A292,$W$5:$W$328)),0),ROUNDUP(P292*POWER(INDEX('建筑总览'!$J$5:$J$25,MATCH($A292,'建筑总览'!$A$5:$A$25,0)),D292),0)))</f>
        <v/>
      </c>
      <c r="Z292" s="36">
        <f>IF(X292=0,0,MAX(1,ROUNDUP(X292*(1-'参数与公式'!$B$17),0)))</f>
        <v/>
      </c>
      <c r="AA292" s="36">
        <f>IF(Y292=0,0,MAX(1,ROUNDUP(Y292*(1-'参数与公式'!$B$17),0)))</f>
        <v/>
      </c>
      <c r="AB292" s="33" t="inlineStr">
        <is>
          <t>预算模式末级补足余数；旧模式按指数公式</t>
        </is>
      </c>
      <c r="AC292" s="49">
        <f>IF(A292=A291,IFERROR(M292/M291,""),"")</f>
        <v/>
      </c>
      <c r="AD292" s="49">
        <f>IF(AND(A292=A291,X291&gt;0),X292/X291,"")</f>
        <v/>
      </c>
    </row>
    <row r="293" ht="30" customHeight="1">
      <c r="A293" s="33" t="inlineStr">
        <is>
          <t>youxibaota</t>
        </is>
      </c>
      <c r="B293" s="33" t="inlineStr">
        <is>
          <t>悠嘻宝塔</t>
        </is>
      </c>
      <c r="C293" s="33" t="inlineStr">
        <is>
          <t>特殊建筑</t>
        </is>
      </c>
      <c r="D293" s="43" t="n">
        <v>5</v>
      </c>
      <c r="E293" s="36">
        <f>D293+1</f>
        <v/>
      </c>
      <c r="F293" s="43" t="n">
        <v>15</v>
      </c>
      <c r="G293" s="36">
        <f>INDEX('建筑建议总览'!$H$5:$H$25,MATCH($A293,'建筑建议总览'!$A$5:$A$25,0))</f>
        <v/>
      </c>
      <c r="H293" s="44">
        <f>INDEX('建筑建议总览'!$I$5:$I$25,MATCH($A293,'建筑建议总览'!$A$5:$A$25,0))</f>
        <v/>
      </c>
      <c r="I293" s="36">
        <f>INDEX('建筑建议总览'!$J$5:$J$25,MATCH($A293,'建筑建议总览'!$A$5:$A$25,0))</f>
        <v/>
      </c>
      <c r="J293" s="44">
        <f>POWER(H293,D293-1)</f>
        <v/>
      </c>
      <c r="K293" s="44">
        <f>SUMIF($A$5:$A$328,$A293,$J$5:$J$328)</f>
        <v/>
      </c>
      <c r="L293" s="36">
        <f>IF(I293&gt;0,ROUNDDOWN(MAX(0,I293-G293*(F293-1))*J293/K293,0),0)</f>
        <v/>
      </c>
      <c r="M293" s="36">
        <f>IF(I293&gt;0,G293+L293+IF(D293=F293-1,MAX(0,I293-G293*(F293-1)-SUMIF($A$5:$A$328,$A293,$L$5:$L$328)),0),ROUNDUP(G293*POWER(INDEX('建筑总览'!$G$5:$G$25,MATCH($A293,'建筑总览'!$A$5:$A$25,0)),D293),0))</f>
        <v/>
      </c>
      <c r="N293" s="35">
        <f>M293/'参数与公式'!$B$21</f>
        <v/>
      </c>
      <c r="O293" s="36">
        <f>INDEX('建筑建议总览'!$P$5:$P$25,MATCH($A293,'建筑建议总览'!$A$5:$A$25,0))</f>
        <v/>
      </c>
      <c r="P293" s="36">
        <f>INDEX('建筑建议总览'!$Q$5:$Q$25,MATCH($A293,'建筑建议总览'!$A$5:$A$25,0))</f>
        <v/>
      </c>
      <c r="Q293" s="44">
        <f>INDEX('建筑建议总览'!$R$5:$R$25,MATCH($A293,'建筑建议总览'!$A$5:$A$25,0))</f>
        <v/>
      </c>
      <c r="R293" s="36">
        <f>INDEX('建筑建议总览'!$S$5:$S$25,MATCH($A293,'建筑建议总览'!$A$5:$A$25,0))</f>
        <v/>
      </c>
      <c r="S293" s="36">
        <f>INDEX('建筑建议总览'!$T$5:$T$25,MATCH($A293,'建筑建议总览'!$A$5:$A$25,0))</f>
        <v/>
      </c>
      <c r="T293" s="44">
        <f>POWER(Q293,D293-1)</f>
        <v/>
      </c>
      <c r="U293" s="44">
        <f>SUMIF($A$5:$A$328,$A293,$T$5:$T$328)</f>
        <v/>
      </c>
      <c r="V293" s="36">
        <f>IF(R293&gt;0,ROUNDDOWN(MAX(0,R293-O293*(F293-1))*T293/U293,0),0)</f>
        <v/>
      </c>
      <c r="W293" s="36">
        <f>IF(S293&gt;0,ROUNDDOWN(MAX(0,S293-P293*(F293-1))*T293/U293,0),0)</f>
        <v/>
      </c>
      <c r="X293" s="36">
        <f>IF(R293&gt;0,O293+V293+IF(D293=F293-1,MAX(0,R293-O293*(F293-1)-SUMIF($A$5:$A$328,$A293,$V$5:$V$328)),0),ROUNDUP(O293*POWER(INDEX('建筑总览'!$J$5:$J$25,MATCH($A293,'建筑总览'!$A$5:$A$25,0)),D293),0))</f>
        <v/>
      </c>
      <c r="Y293" s="36">
        <f>IF(P293=0,0,IF(S293&gt;0,P293+W293+IF(D293=F293-1,MAX(0,S293-P293*(F293-1)-SUMIF($A$5:$A$328,$A293,$W$5:$W$328)),0),ROUNDUP(P293*POWER(INDEX('建筑总览'!$J$5:$J$25,MATCH($A293,'建筑总览'!$A$5:$A$25,0)),D293),0)))</f>
        <v/>
      </c>
      <c r="Z293" s="36">
        <f>IF(X293=0,0,MAX(1,ROUNDUP(X293*(1-'参数与公式'!$B$17),0)))</f>
        <v/>
      </c>
      <c r="AA293" s="36">
        <f>IF(Y293=0,0,MAX(1,ROUNDUP(Y293*(1-'参数与公式'!$B$17),0)))</f>
        <v/>
      </c>
      <c r="AB293" s="33" t="inlineStr">
        <is>
          <t>预算模式末级补足余数；旧模式按指数公式</t>
        </is>
      </c>
      <c r="AC293" s="49">
        <f>IF(A293=A292,IFERROR(M293/M292,""),"")</f>
        <v/>
      </c>
      <c r="AD293" s="49">
        <f>IF(AND(A293=A292,X292&gt;0),X293/X292,"")</f>
        <v/>
      </c>
    </row>
    <row r="294" ht="30" customHeight="1">
      <c r="A294" s="33" t="inlineStr">
        <is>
          <t>youxibaota</t>
        </is>
      </c>
      <c r="B294" s="33" t="inlineStr">
        <is>
          <t>悠嘻宝塔</t>
        </is>
      </c>
      <c r="C294" s="33" t="inlineStr">
        <is>
          <t>特殊建筑</t>
        </is>
      </c>
      <c r="D294" s="43" t="n">
        <v>6</v>
      </c>
      <c r="E294" s="36">
        <f>D294+1</f>
        <v/>
      </c>
      <c r="F294" s="43" t="n">
        <v>15</v>
      </c>
      <c r="G294" s="36">
        <f>INDEX('建筑建议总览'!$H$5:$H$25,MATCH($A294,'建筑建议总览'!$A$5:$A$25,0))</f>
        <v/>
      </c>
      <c r="H294" s="44">
        <f>INDEX('建筑建议总览'!$I$5:$I$25,MATCH($A294,'建筑建议总览'!$A$5:$A$25,0))</f>
        <v/>
      </c>
      <c r="I294" s="36">
        <f>INDEX('建筑建议总览'!$J$5:$J$25,MATCH($A294,'建筑建议总览'!$A$5:$A$25,0))</f>
        <v/>
      </c>
      <c r="J294" s="44">
        <f>POWER(H294,D294-1)</f>
        <v/>
      </c>
      <c r="K294" s="44">
        <f>SUMIF($A$5:$A$328,$A294,$J$5:$J$328)</f>
        <v/>
      </c>
      <c r="L294" s="36">
        <f>IF(I294&gt;0,ROUNDDOWN(MAX(0,I294-G294*(F294-1))*J294/K294,0),0)</f>
        <v/>
      </c>
      <c r="M294" s="36">
        <f>IF(I294&gt;0,G294+L294+IF(D294=F294-1,MAX(0,I294-G294*(F294-1)-SUMIF($A$5:$A$328,$A294,$L$5:$L$328)),0),ROUNDUP(G294*POWER(INDEX('建筑总览'!$G$5:$G$25,MATCH($A294,'建筑总览'!$A$5:$A$25,0)),D294),0))</f>
        <v/>
      </c>
      <c r="N294" s="35">
        <f>M294/'参数与公式'!$B$21</f>
        <v/>
      </c>
      <c r="O294" s="36">
        <f>INDEX('建筑建议总览'!$P$5:$P$25,MATCH($A294,'建筑建议总览'!$A$5:$A$25,0))</f>
        <v/>
      </c>
      <c r="P294" s="36">
        <f>INDEX('建筑建议总览'!$Q$5:$Q$25,MATCH($A294,'建筑建议总览'!$A$5:$A$25,0))</f>
        <v/>
      </c>
      <c r="Q294" s="44">
        <f>INDEX('建筑建议总览'!$R$5:$R$25,MATCH($A294,'建筑建议总览'!$A$5:$A$25,0))</f>
        <v/>
      </c>
      <c r="R294" s="36">
        <f>INDEX('建筑建议总览'!$S$5:$S$25,MATCH($A294,'建筑建议总览'!$A$5:$A$25,0))</f>
        <v/>
      </c>
      <c r="S294" s="36">
        <f>INDEX('建筑建议总览'!$T$5:$T$25,MATCH($A294,'建筑建议总览'!$A$5:$A$25,0))</f>
        <v/>
      </c>
      <c r="T294" s="44">
        <f>POWER(Q294,D294-1)</f>
        <v/>
      </c>
      <c r="U294" s="44">
        <f>SUMIF($A$5:$A$328,$A294,$T$5:$T$328)</f>
        <v/>
      </c>
      <c r="V294" s="36">
        <f>IF(R294&gt;0,ROUNDDOWN(MAX(0,R294-O294*(F294-1))*T294/U294,0),0)</f>
        <v/>
      </c>
      <c r="W294" s="36">
        <f>IF(S294&gt;0,ROUNDDOWN(MAX(0,S294-P294*(F294-1))*T294/U294,0),0)</f>
        <v/>
      </c>
      <c r="X294" s="36">
        <f>IF(R294&gt;0,O294+V294+IF(D294=F294-1,MAX(0,R294-O294*(F294-1)-SUMIF($A$5:$A$328,$A294,$V$5:$V$328)),0),ROUNDUP(O294*POWER(INDEX('建筑总览'!$J$5:$J$25,MATCH($A294,'建筑总览'!$A$5:$A$25,0)),D294),0))</f>
        <v/>
      </c>
      <c r="Y294" s="36">
        <f>IF(P294=0,0,IF(S294&gt;0,P294+W294+IF(D294=F294-1,MAX(0,S294-P294*(F294-1)-SUMIF($A$5:$A$328,$A294,$W$5:$W$328)),0),ROUNDUP(P294*POWER(INDEX('建筑总览'!$J$5:$J$25,MATCH($A294,'建筑总览'!$A$5:$A$25,0)),D294),0)))</f>
        <v/>
      </c>
      <c r="Z294" s="36">
        <f>IF(X294=0,0,MAX(1,ROUNDUP(X294*(1-'参数与公式'!$B$17),0)))</f>
        <v/>
      </c>
      <c r="AA294" s="36">
        <f>IF(Y294=0,0,MAX(1,ROUNDUP(Y294*(1-'参数与公式'!$B$17),0)))</f>
        <v/>
      </c>
      <c r="AB294" s="33" t="inlineStr">
        <is>
          <t>预算模式末级补足余数；旧模式按指数公式</t>
        </is>
      </c>
      <c r="AC294" s="49">
        <f>IF(A294=A293,IFERROR(M294/M293,""),"")</f>
        <v/>
      </c>
      <c r="AD294" s="49">
        <f>IF(AND(A294=A293,X293&gt;0),X294/X293,"")</f>
        <v/>
      </c>
    </row>
    <row r="295" ht="30" customHeight="1">
      <c r="A295" s="33" t="inlineStr">
        <is>
          <t>youxibaota</t>
        </is>
      </c>
      <c r="B295" s="33" t="inlineStr">
        <is>
          <t>悠嘻宝塔</t>
        </is>
      </c>
      <c r="C295" s="33" t="inlineStr">
        <is>
          <t>特殊建筑</t>
        </is>
      </c>
      <c r="D295" s="43" t="n">
        <v>7</v>
      </c>
      <c r="E295" s="36">
        <f>D295+1</f>
        <v/>
      </c>
      <c r="F295" s="43" t="n">
        <v>15</v>
      </c>
      <c r="G295" s="36">
        <f>INDEX('建筑建议总览'!$H$5:$H$25,MATCH($A295,'建筑建议总览'!$A$5:$A$25,0))</f>
        <v/>
      </c>
      <c r="H295" s="44">
        <f>INDEX('建筑建议总览'!$I$5:$I$25,MATCH($A295,'建筑建议总览'!$A$5:$A$25,0))</f>
        <v/>
      </c>
      <c r="I295" s="36">
        <f>INDEX('建筑建议总览'!$J$5:$J$25,MATCH($A295,'建筑建议总览'!$A$5:$A$25,0))</f>
        <v/>
      </c>
      <c r="J295" s="44">
        <f>POWER(H295,D295-1)</f>
        <v/>
      </c>
      <c r="K295" s="44">
        <f>SUMIF($A$5:$A$328,$A295,$J$5:$J$328)</f>
        <v/>
      </c>
      <c r="L295" s="36">
        <f>IF(I295&gt;0,ROUNDDOWN(MAX(0,I295-G295*(F295-1))*J295/K295,0),0)</f>
        <v/>
      </c>
      <c r="M295" s="36">
        <f>IF(I295&gt;0,G295+L295+IF(D295=F295-1,MAX(0,I295-G295*(F295-1)-SUMIF($A$5:$A$328,$A295,$L$5:$L$328)),0),ROUNDUP(G295*POWER(INDEX('建筑总览'!$G$5:$G$25,MATCH($A295,'建筑总览'!$A$5:$A$25,0)),D295),0))</f>
        <v/>
      </c>
      <c r="N295" s="35">
        <f>M295/'参数与公式'!$B$21</f>
        <v/>
      </c>
      <c r="O295" s="36">
        <f>INDEX('建筑建议总览'!$P$5:$P$25,MATCH($A295,'建筑建议总览'!$A$5:$A$25,0))</f>
        <v/>
      </c>
      <c r="P295" s="36">
        <f>INDEX('建筑建议总览'!$Q$5:$Q$25,MATCH($A295,'建筑建议总览'!$A$5:$A$25,0))</f>
        <v/>
      </c>
      <c r="Q295" s="44">
        <f>INDEX('建筑建议总览'!$R$5:$R$25,MATCH($A295,'建筑建议总览'!$A$5:$A$25,0))</f>
        <v/>
      </c>
      <c r="R295" s="36">
        <f>INDEX('建筑建议总览'!$S$5:$S$25,MATCH($A295,'建筑建议总览'!$A$5:$A$25,0))</f>
        <v/>
      </c>
      <c r="S295" s="36">
        <f>INDEX('建筑建议总览'!$T$5:$T$25,MATCH($A295,'建筑建议总览'!$A$5:$A$25,0))</f>
        <v/>
      </c>
      <c r="T295" s="44">
        <f>POWER(Q295,D295-1)</f>
        <v/>
      </c>
      <c r="U295" s="44">
        <f>SUMIF($A$5:$A$328,$A295,$T$5:$T$328)</f>
        <v/>
      </c>
      <c r="V295" s="36">
        <f>IF(R295&gt;0,ROUNDDOWN(MAX(0,R295-O295*(F295-1))*T295/U295,0),0)</f>
        <v/>
      </c>
      <c r="W295" s="36">
        <f>IF(S295&gt;0,ROUNDDOWN(MAX(0,S295-P295*(F295-1))*T295/U295,0),0)</f>
        <v/>
      </c>
      <c r="X295" s="36">
        <f>IF(R295&gt;0,O295+V295+IF(D295=F295-1,MAX(0,R295-O295*(F295-1)-SUMIF($A$5:$A$328,$A295,$V$5:$V$328)),0),ROUNDUP(O295*POWER(INDEX('建筑总览'!$J$5:$J$25,MATCH($A295,'建筑总览'!$A$5:$A$25,0)),D295),0))</f>
        <v/>
      </c>
      <c r="Y295" s="36">
        <f>IF(P295=0,0,IF(S295&gt;0,P295+W295+IF(D295=F295-1,MAX(0,S295-P295*(F295-1)-SUMIF($A$5:$A$328,$A295,$W$5:$W$328)),0),ROUNDUP(P295*POWER(INDEX('建筑总览'!$J$5:$J$25,MATCH($A295,'建筑总览'!$A$5:$A$25,0)),D295),0)))</f>
        <v/>
      </c>
      <c r="Z295" s="36">
        <f>IF(X295=0,0,MAX(1,ROUNDUP(X295*(1-'参数与公式'!$B$17),0)))</f>
        <v/>
      </c>
      <c r="AA295" s="36">
        <f>IF(Y295=0,0,MAX(1,ROUNDUP(Y295*(1-'参数与公式'!$B$17),0)))</f>
        <v/>
      </c>
      <c r="AB295" s="33" t="inlineStr">
        <is>
          <t>预算模式末级补足余数；旧模式按指数公式</t>
        </is>
      </c>
      <c r="AC295" s="49">
        <f>IF(A295=A294,IFERROR(M295/M294,""),"")</f>
        <v/>
      </c>
      <c r="AD295" s="49">
        <f>IF(AND(A295=A294,X294&gt;0),X295/X294,"")</f>
        <v/>
      </c>
    </row>
    <row r="296" ht="30" customHeight="1">
      <c r="A296" s="33" t="inlineStr">
        <is>
          <t>youxibaota</t>
        </is>
      </c>
      <c r="B296" s="33" t="inlineStr">
        <is>
          <t>悠嘻宝塔</t>
        </is>
      </c>
      <c r="C296" s="33" t="inlineStr">
        <is>
          <t>特殊建筑</t>
        </is>
      </c>
      <c r="D296" s="43" t="n">
        <v>8</v>
      </c>
      <c r="E296" s="36">
        <f>D296+1</f>
        <v/>
      </c>
      <c r="F296" s="43" t="n">
        <v>15</v>
      </c>
      <c r="G296" s="36">
        <f>INDEX('建筑建议总览'!$H$5:$H$25,MATCH($A296,'建筑建议总览'!$A$5:$A$25,0))</f>
        <v/>
      </c>
      <c r="H296" s="44">
        <f>INDEX('建筑建议总览'!$I$5:$I$25,MATCH($A296,'建筑建议总览'!$A$5:$A$25,0))</f>
        <v/>
      </c>
      <c r="I296" s="36">
        <f>INDEX('建筑建议总览'!$J$5:$J$25,MATCH($A296,'建筑建议总览'!$A$5:$A$25,0))</f>
        <v/>
      </c>
      <c r="J296" s="44">
        <f>POWER(H296,D296-1)</f>
        <v/>
      </c>
      <c r="K296" s="44">
        <f>SUMIF($A$5:$A$328,$A296,$J$5:$J$328)</f>
        <v/>
      </c>
      <c r="L296" s="36">
        <f>IF(I296&gt;0,ROUNDDOWN(MAX(0,I296-G296*(F296-1))*J296/K296,0),0)</f>
        <v/>
      </c>
      <c r="M296" s="36">
        <f>IF(I296&gt;0,G296+L296+IF(D296=F296-1,MAX(0,I296-G296*(F296-1)-SUMIF($A$5:$A$328,$A296,$L$5:$L$328)),0),ROUNDUP(G296*POWER(INDEX('建筑总览'!$G$5:$G$25,MATCH($A296,'建筑总览'!$A$5:$A$25,0)),D296),0))</f>
        <v/>
      </c>
      <c r="N296" s="35">
        <f>M296/'参数与公式'!$B$21</f>
        <v/>
      </c>
      <c r="O296" s="36">
        <f>INDEX('建筑建议总览'!$P$5:$P$25,MATCH($A296,'建筑建议总览'!$A$5:$A$25,0))</f>
        <v/>
      </c>
      <c r="P296" s="36">
        <f>INDEX('建筑建议总览'!$Q$5:$Q$25,MATCH($A296,'建筑建议总览'!$A$5:$A$25,0))</f>
        <v/>
      </c>
      <c r="Q296" s="44">
        <f>INDEX('建筑建议总览'!$R$5:$R$25,MATCH($A296,'建筑建议总览'!$A$5:$A$25,0))</f>
        <v/>
      </c>
      <c r="R296" s="36">
        <f>INDEX('建筑建议总览'!$S$5:$S$25,MATCH($A296,'建筑建议总览'!$A$5:$A$25,0))</f>
        <v/>
      </c>
      <c r="S296" s="36">
        <f>INDEX('建筑建议总览'!$T$5:$T$25,MATCH($A296,'建筑建议总览'!$A$5:$A$25,0))</f>
        <v/>
      </c>
      <c r="T296" s="44">
        <f>POWER(Q296,D296-1)</f>
        <v/>
      </c>
      <c r="U296" s="44">
        <f>SUMIF($A$5:$A$328,$A296,$T$5:$T$328)</f>
        <v/>
      </c>
      <c r="V296" s="36">
        <f>IF(R296&gt;0,ROUNDDOWN(MAX(0,R296-O296*(F296-1))*T296/U296,0),0)</f>
        <v/>
      </c>
      <c r="W296" s="36">
        <f>IF(S296&gt;0,ROUNDDOWN(MAX(0,S296-P296*(F296-1))*T296/U296,0),0)</f>
        <v/>
      </c>
      <c r="X296" s="36">
        <f>IF(R296&gt;0,O296+V296+IF(D296=F296-1,MAX(0,R296-O296*(F296-1)-SUMIF($A$5:$A$328,$A296,$V$5:$V$328)),0),ROUNDUP(O296*POWER(INDEX('建筑总览'!$J$5:$J$25,MATCH($A296,'建筑总览'!$A$5:$A$25,0)),D296),0))</f>
        <v/>
      </c>
      <c r="Y296" s="36">
        <f>IF(P296=0,0,IF(S296&gt;0,P296+W296+IF(D296=F296-1,MAX(0,S296-P296*(F296-1)-SUMIF($A$5:$A$328,$A296,$W$5:$W$328)),0),ROUNDUP(P296*POWER(INDEX('建筑总览'!$J$5:$J$25,MATCH($A296,'建筑总览'!$A$5:$A$25,0)),D296),0)))</f>
        <v/>
      </c>
      <c r="Z296" s="36">
        <f>IF(X296=0,0,MAX(1,ROUNDUP(X296*(1-'参数与公式'!$B$17),0)))</f>
        <v/>
      </c>
      <c r="AA296" s="36">
        <f>IF(Y296=0,0,MAX(1,ROUNDUP(Y296*(1-'参数与公式'!$B$17),0)))</f>
        <v/>
      </c>
      <c r="AB296" s="33" t="inlineStr">
        <is>
          <t>预算模式末级补足余数；旧模式按指数公式</t>
        </is>
      </c>
      <c r="AC296" s="49">
        <f>IF(A296=A295,IFERROR(M296/M295,""),"")</f>
        <v/>
      </c>
      <c r="AD296" s="49">
        <f>IF(AND(A296=A295,X295&gt;0),X296/X295,"")</f>
        <v/>
      </c>
    </row>
    <row r="297" ht="30" customHeight="1">
      <c r="A297" s="33" t="inlineStr">
        <is>
          <t>youxibaota</t>
        </is>
      </c>
      <c r="B297" s="33" t="inlineStr">
        <is>
          <t>悠嘻宝塔</t>
        </is>
      </c>
      <c r="C297" s="33" t="inlineStr">
        <is>
          <t>特殊建筑</t>
        </is>
      </c>
      <c r="D297" s="43" t="n">
        <v>9</v>
      </c>
      <c r="E297" s="36">
        <f>D297+1</f>
        <v/>
      </c>
      <c r="F297" s="43" t="n">
        <v>15</v>
      </c>
      <c r="G297" s="36">
        <f>INDEX('建筑建议总览'!$H$5:$H$25,MATCH($A297,'建筑建议总览'!$A$5:$A$25,0))</f>
        <v/>
      </c>
      <c r="H297" s="44">
        <f>INDEX('建筑建议总览'!$I$5:$I$25,MATCH($A297,'建筑建议总览'!$A$5:$A$25,0))</f>
        <v/>
      </c>
      <c r="I297" s="36">
        <f>INDEX('建筑建议总览'!$J$5:$J$25,MATCH($A297,'建筑建议总览'!$A$5:$A$25,0))</f>
        <v/>
      </c>
      <c r="J297" s="44">
        <f>POWER(H297,D297-1)</f>
        <v/>
      </c>
      <c r="K297" s="44">
        <f>SUMIF($A$5:$A$328,$A297,$J$5:$J$328)</f>
        <v/>
      </c>
      <c r="L297" s="36">
        <f>IF(I297&gt;0,ROUNDDOWN(MAX(0,I297-G297*(F297-1))*J297/K297,0),0)</f>
        <v/>
      </c>
      <c r="M297" s="36">
        <f>IF(I297&gt;0,G297+L297+IF(D297=F297-1,MAX(0,I297-G297*(F297-1)-SUMIF($A$5:$A$328,$A297,$L$5:$L$328)),0),ROUNDUP(G297*POWER(INDEX('建筑总览'!$G$5:$G$25,MATCH($A297,'建筑总览'!$A$5:$A$25,0)),D297),0))</f>
        <v/>
      </c>
      <c r="N297" s="35">
        <f>M297/'参数与公式'!$B$21</f>
        <v/>
      </c>
      <c r="O297" s="36">
        <f>INDEX('建筑建议总览'!$P$5:$P$25,MATCH($A297,'建筑建议总览'!$A$5:$A$25,0))</f>
        <v/>
      </c>
      <c r="P297" s="36">
        <f>INDEX('建筑建议总览'!$Q$5:$Q$25,MATCH($A297,'建筑建议总览'!$A$5:$A$25,0))</f>
        <v/>
      </c>
      <c r="Q297" s="44">
        <f>INDEX('建筑建议总览'!$R$5:$R$25,MATCH($A297,'建筑建议总览'!$A$5:$A$25,0))</f>
        <v/>
      </c>
      <c r="R297" s="36">
        <f>INDEX('建筑建议总览'!$S$5:$S$25,MATCH($A297,'建筑建议总览'!$A$5:$A$25,0))</f>
        <v/>
      </c>
      <c r="S297" s="36">
        <f>INDEX('建筑建议总览'!$T$5:$T$25,MATCH($A297,'建筑建议总览'!$A$5:$A$25,0))</f>
        <v/>
      </c>
      <c r="T297" s="44">
        <f>POWER(Q297,D297-1)</f>
        <v/>
      </c>
      <c r="U297" s="44">
        <f>SUMIF($A$5:$A$328,$A297,$T$5:$T$328)</f>
        <v/>
      </c>
      <c r="V297" s="36">
        <f>IF(R297&gt;0,ROUNDDOWN(MAX(0,R297-O297*(F297-1))*T297/U297,0),0)</f>
        <v/>
      </c>
      <c r="W297" s="36">
        <f>IF(S297&gt;0,ROUNDDOWN(MAX(0,S297-P297*(F297-1))*T297/U297,0),0)</f>
        <v/>
      </c>
      <c r="X297" s="36">
        <f>IF(R297&gt;0,O297+V297+IF(D297=F297-1,MAX(0,R297-O297*(F297-1)-SUMIF($A$5:$A$328,$A297,$V$5:$V$328)),0),ROUNDUP(O297*POWER(INDEX('建筑总览'!$J$5:$J$25,MATCH($A297,'建筑总览'!$A$5:$A$25,0)),D297),0))</f>
        <v/>
      </c>
      <c r="Y297" s="36">
        <f>IF(P297=0,0,IF(S297&gt;0,P297+W297+IF(D297=F297-1,MAX(0,S297-P297*(F297-1)-SUMIF($A$5:$A$328,$A297,$W$5:$W$328)),0),ROUNDUP(P297*POWER(INDEX('建筑总览'!$J$5:$J$25,MATCH($A297,'建筑总览'!$A$5:$A$25,0)),D297),0)))</f>
        <v/>
      </c>
      <c r="Z297" s="36">
        <f>IF(X297=0,0,MAX(1,ROUNDUP(X297*(1-'参数与公式'!$B$17),0)))</f>
        <v/>
      </c>
      <c r="AA297" s="36">
        <f>IF(Y297=0,0,MAX(1,ROUNDUP(Y297*(1-'参数与公式'!$B$17),0)))</f>
        <v/>
      </c>
      <c r="AB297" s="33" t="inlineStr">
        <is>
          <t>预算模式末级补足余数；旧模式按指数公式</t>
        </is>
      </c>
      <c r="AC297" s="49">
        <f>IF(A297=A296,IFERROR(M297/M296,""),"")</f>
        <v/>
      </c>
      <c r="AD297" s="49">
        <f>IF(AND(A297=A296,X296&gt;0),X297/X296,"")</f>
        <v/>
      </c>
    </row>
    <row r="298" ht="30" customHeight="1">
      <c r="A298" s="33" t="inlineStr">
        <is>
          <t>youxibaota</t>
        </is>
      </c>
      <c r="B298" s="33" t="inlineStr">
        <is>
          <t>悠嘻宝塔</t>
        </is>
      </c>
      <c r="C298" s="33" t="inlineStr">
        <is>
          <t>特殊建筑</t>
        </is>
      </c>
      <c r="D298" s="43" t="n">
        <v>10</v>
      </c>
      <c r="E298" s="36">
        <f>D298+1</f>
        <v/>
      </c>
      <c r="F298" s="43" t="n">
        <v>15</v>
      </c>
      <c r="G298" s="36">
        <f>INDEX('建筑建议总览'!$H$5:$H$25,MATCH($A298,'建筑建议总览'!$A$5:$A$25,0))</f>
        <v/>
      </c>
      <c r="H298" s="44">
        <f>INDEX('建筑建议总览'!$I$5:$I$25,MATCH($A298,'建筑建议总览'!$A$5:$A$25,0))</f>
        <v/>
      </c>
      <c r="I298" s="36">
        <f>INDEX('建筑建议总览'!$J$5:$J$25,MATCH($A298,'建筑建议总览'!$A$5:$A$25,0))</f>
        <v/>
      </c>
      <c r="J298" s="44">
        <f>POWER(H298,D298-1)</f>
        <v/>
      </c>
      <c r="K298" s="44">
        <f>SUMIF($A$5:$A$328,$A298,$J$5:$J$328)</f>
        <v/>
      </c>
      <c r="L298" s="36">
        <f>IF(I298&gt;0,ROUNDDOWN(MAX(0,I298-G298*(F298-1))*J298/K298,0),0)</f>
        <v/>
      </c>
      <c r="M298" s="36">
        <f>IF(I298&gt;0,G298+L298+IF(D298=F298-1,MAX(0,I298-G298*(F298-1)-SUMIF($A$5:$A$328,$A298,$L$5:$L$328)),0),ROUNDUP(G298*POWER(INDEX('建筑总览'!$G$5:$G$25,MATCH($A298,'建筑总览'!$A$5:$A$25,0)),D298),0))</f>
        <v/>
      </c>
      <c r="N298" s="35">
        <f>M298/'参数与公式'!$B$21</f>
        <v/>
      </c>
      <c r="O298" s="36">
        <f>INDEX('建筑建议总览'!$P$5:$P$25,MATCH($A298,'建筑建议总览'!$A$5:$A$25,0))</f>
        <v/>
      </c>
      <c r="P298" s="36">
        <f>INDEX('建筑建议总览'!$Q$5:$Q$25,MATCH($A298,'建筑建议总览'!$A$5:$A$25,0))</f>
        <v/>
      </c>
      <c r="Q298" s="44">
        <f>INDEX('建筑建议总览'!$R$5:$R$25,MATCH($A298,'建筑建议总览'!$A$5:$A$25,0))</f>
        <v/>
      </c>
      <c r="R298" s="36">
        <f>INDEX('建筑建议总览'!$S$5:$S$25,MATCH($A298,'建筑建议总览'!$A$5:$A$25,0))</f>
        <v/>
      </c>
      <c r="S298" s="36">
        <f>INDEX('建筑建议总览'!$T$5:$T$25,MATCH($A298,'建筑建议总览'!$A$5:$A$25,0))</f>
        <v/>
      </c>
      <c r="T298" s="44">
        <f>POWER(Q298,D298-1)</f>
        <v/>
      </c>
      <c r="U298" s="44">
        <f>SUMIF($A$5:$A$328,$A298,$T$5:$T$328)</f>
        <v/>
      </c>
      <c r="V298" s="36">
        <f>IF(R298&gt;0,ROUNDDOWN(MAX(0,R298-O298*(F298-1))*T298/U298,0),0)</f>
        <v/>
      </c>
      <c r="W298" s="36">
        <f>IF(S298&gt;0,ROUNDDOWN(MAX(0,S298-P298*(F298-1))*T298/U298,0),0)</f>
        <v/>
      </c>
      <c r="X298" s="36">
        <f>IF(R298&gt;0,O298+V298+IF(D298=F298-1,MAX(0,R298-O298*(F298-1)-SUMIF($A$5:$A$328,$A298,$V$5:$V$328)),0),ROUNDUP(O298*POWER(INDEX('建筑总览'!$J$5:$J$25,MATCH($A298,'建筑总览'!$A$5:$A$25,0)),D298),0))</f>
        <v/>
      </c>
      <c r="Y298" s="36">
        <f>IF(P298=0,0,IF(S298&gt;0,P298+W298+IF(D298=F298-1,MAX(0,S298-P298*(F298-1)-SUMIF($A$5:$A$328,$A298,$W$5:$W$328)),0),ROUNDUP(P298*POWER(INDEX('建筑总览'!$J$5:$J$25,MATCH($A298,'建筑总览'!$A$5:$A$25,0)),D298),0)))</f>
        <v/>
      </c>
      <c r="Z298" s="36">
        <f>IF(X298=0,0,MAX(1,ROUNDUP(X298*(1-'参数与公式'!$B$17),0)))</f>
        <v/>
      </c>
      <c r="AA298" s="36">
        <f>IF(Y298=0,0,MAX(1,ROUNDUP(Y298*(1-'参数与公式'!$B$17),0)))</f>
        <v/>
      </c>
      <c r="AB298" s="33" t="inlineStr">
        <is>
          <t>预算模式末级补足余数；旧模式按指数公式</t>
        </is>
      </c>
      <c r="AC298" s="49">
        <f>IF(A298=A297,IFERROR(M298/M297,""),"")</f>
        <v/>
      </c>
      <c r="AD298" s="49">
        <f>IF(AND(A298=A297,X297&gt;0),X298/X297,"")</f>
        <v/>
      </c>
    </row>
    <row r="299" ht="30" customHeight="1">
      <c r="A299" s="33" t="inlineStr">
        <is>
          <t>youxibaota</t>
        </is>
      </c>
      <c r="B299" s="33" t="inlineStr">
        <is>
          <t>悠嘻宝塔</t>
        </is>
      </c>
      <c r="C299" s="33" t="inlineStr">
        <is>
          <t>特殊建筑</t>
        </is>
      </c>
      <c r="D299" s="43" t="n">
        <v>11</v>
      </c>
      <c r="E299" s="36">
        <f>D299+1</f>
        <v/>
      </c>
      <c r="F299" s="43" t="n">
        <v>15</v>
      </c>
      <c r="G299" s="36">
        <f>INDEX('建筑建议总览'!$H$5:$H$25,MATCH($A299,'建筑建议总览'!$A$5:$A$25,0))</f>
        <v/>
      </c>
      <c r="H299" s="44">
        <f>INDEX('建筑建议总览'!$I$5:$I$25,MATCH($A299,'建筑建议总览'!$A$5:$A$25,0))</f>
        <v/>
      </c>
      <c r="I299" s="36">
        <f>INDEX('建筑建议总览'!$J$5:$J$25,MATCH($A299,'建筑建议总览'!$A$5:$A$25,0))</f>
        <v/>
      </c>
      <c r="J299" s="44">
        <f>POWER(H299,D299-1)</f>
        <v/>
      </c>
      <c r="K299" s="44">
        <f>SUMIF($A$5:$A$328,$A299,$J$5:$J$328)</f>
        <v/>
      </c>
      <c r="L299" s="36">
        <f>IF(I299&gt;0,ROUNDDOWN(MAX(0,I299-G299*(F299-1))*J299/K299,0),0)</f>
        <v/>
      </c>
      <c r="M299" s="36">
        <f>IF(I299&gt;0,G299+L299+IF(D299=F299-1,MAX(0,I299-G299*(F299-1)-SUMIF($A$5:$A$328,$A299,$L$5:$L$328)),0),ROUNDUP(G299*POWER(INDEX('建筑总览'!$G$5:$G$25,MATCH($A299,'建筑总览'!$A$5:$A$25,0)),D299),0))</f>
        <v/>
      </c>
      <c r="N299" s="35">
        <f>M299/'参数与公式'!$B$21</f>
        <v/>
      </c>
      <c r="O299" s="36">
        <f>INDEX('建筑建议总览'!$P$5:$P$25,MATCH($A299,'建筑建议总览'!$A$5:$A$25,0))</f>
        <v/>
      </c>
      <c r="P299" s="36">
        <f>INDEX('建筑建议总览'!$Q$5:$Q$25,MATCH($A299,'建筑建议总览'!$A$5:$A$25,0))</f>
        <v/>
      </c>
      <c r="Q299" s="44">
        <f>INDEX('建筑建议总览'!$R$5:$R$25,MATCH($A299,'建筑建议总览'!$A$5:$A$25,0))</f>
        <v/>
      </c>
      <c r="R299" s="36">
        <f>INDEX('建筑建议总览'!$S$5:$S$25,MATCH($A299,'建筑建议总览'!$A$5:$A$25,0))</f>
        <v/>
      </c>
      <c r="S299" s="36">
        <f>INDEX('建筑建议总览'!$T$5:$T$25,MATCH($A299,'建筑建议总览'!$A$5:$A$25,0))</f>
        <v/>
      </c>
      <c r="T299" s="44">
        <f>POWER(Q299,D299-1)</f>
        <v/>
      </c>
      <c r="U299" s="44">
        <f>SUMIF($A$5:$A$328,$A299,$T$5:$T$328)</f>
        <v/>
      </c>
      <c r="V299" s="36">
        <f>IF(R299&gt;0,ROUNDDOWN(MAX(0,R299-O299*(F299-1))*T299/U299,0),0)</f>
        <v/>
      </c>
      <c r="W299" s="36">
        <f>IF(S299&gt;0,ROUNDDOWN(MAX(0,S299-P299*(F299-1))*T299/U299,0),0)</f>
        <v/>
      </c>
      <c r="X299" s="36">
        <f>IF(R299&gt;0,O299+V299+IF(D299=F299-1,MAX(0,R299-O299*(F299-1)-SUMIF($A$5:$A$328,$A299,$V$5:$V$328)),0),ROUNDUP(O299*POWER(INDEX('建筑总览'!$J$5:$J$25,MATCH($A299,'建筑总览'!$A$5:$A$25,0)),D299),0))</f>
        <v/>
      </c>
      <c r="Y299" s="36">
        <f>IF(P299=0,0,IF(S299&gt;0,P299+W299+IF(D299=F299-1,MAX(0,S299-P299*(F299-1)-SUMIF($A$5:$A$328,$A299,$W$5:$W$328)),0),ROUNDUP(P299*POWER(INDEX('建筑总览'!$J$5:$J$25,MATCH($A299,'建筑总览'!$A$5:$A$25,0)),D299),0)))</f>
        <v/>
      </c>
      <c r="Z299" s="36">
        <f>IF(X299=0,0,MAX(1,ROUNDUP(X299*(1-'参数与公式'!$B$17),0)))</f>
        <v/>
      </c>
      <c r="AA299" s="36">
        <f>IF(Y299=0,0,MAX(1,ROUNDUP(Y299*(1-'参数与公式'!$B$17),0)))</f>
        <v/>
      </c>
      <c r="AB299" s="33" t="inlineStr">
        <is>
          <t>预算模式末级补足余数；旧模式按指数公式</t>
        </is>
      </c>
      <c r="AC299" s="49">
        <f>IF(A299=A298,IFERROR(M299/M298,""),"")</f>
        <v/>
      </c>
      <c r="AD299" s="49">
        <f>IF(AND(A299=A298,X298&gt;0),X299/X298,"")</f>
        <v/>
      </c>
    </row>
    <row r="300" ht="30" customHeight="1">
      <c r="A300" s="33" t="inlineStr">
        <is>
          <t>youxibaota</t>
        </is>
      </c>
      <c r="B300" s="33" t="inlineStr">
        <is>
          <t>悠嘻宝塔</t>
        </is>
      </c>
      <c r="C300" s="33" t="inlineStr">
        <is>
          <t>特殊建筑</t>
        </is>
      </c>
      <c r="D300" s="43" t="n">
        <v>12</v>
      </c>
      <c r="E300" s="36">
        <f>D300+1</f>
        <v/>
      </c>
      <c r="F300" s="43" t="n">
        <v>15</v>
      </c>
      <c r="G300" s="36">
        <f>INDEX('建筑建议总览'!$H$5:$H$25,MATCH($A300,'建筑建议总览'!$A$5:$A$25,0))</f>
        <v/>
      </c>
      <c r="H300" s="44">
        <f>INDEX('建筑建议总览'!$I$5:$I$25,MATCH($A300,'建筑建议总览'!$A$5:$A$25,0))</f>
        <v/>
      </c>
      <c r="I300" s="36">
        <f>INDEX('建筑建议总览'!$J$5:$J$25,MATCH($A300,'建筑建议总览'!$A$5:$A$25,0))</f>
        <v/>
      </c>
      <c r="J300" s="44">
        <f>POWER(H300,D300-1)</f>
        <v/>
      </c>
      <c r="K300" s="44">
        <f>SUMIF($A$5:$A$328,$A300,$J$5:$J$328)</f>
        <v/>
      </c>
      <c r="L300" s="36">
        <f>IF(I300&gt;0,ROUNDDOWN(MAX(0,I300-G300*(F300-1))*J300/K300,0),0)</f>
        <v/>
      </c>
      <c r="M300" s="36">
        <f>IF(I300&gt;0,G300+L300+IF(D300=F300-1,MAX(0,I300-G300*(F300-1)-SUMIF($A$5:$A$328,$A300,$L$5:$L$328)),0),ROUNDUP(G300*POWER(INDEX('建筑总览'!$G$5:$G$25,MATCH($A300,'建筑总览'!$A$5:$A$25,0)),D300),0))</f>
        <v/>
      </c>
      <c r="N300" s="35">
        <f>M300/'参数与公式'!$B$21</f>
        <v/>
      </c>
      <c r="O300" s="36">
        <f>INDEX('建筑建议总览'!$P$5:$P$25,MATCH($A300,'建筑建议总览'!$A$5:$A$25,0))</f>
        <v/>
      </c>
      <c r="P300" s="36">
        <f>INDEX('建筑建议总览'!$Q$5:$Q$25,MATCH($A300,'建筑建议总览'!$A$5:$A$25,0))</f>
        <v/>
      </c>
      <c r="Q300" s="44">
        <f>INDEX('建筑建议总览'!$R$5:$R$25,MATCH($A300,'建筑建议总览'!$A$5:$A$25,0))</f>
        <v/>
      </c>
      <c r="R300" s="36">
        <f>INDEX('建筑建议总览'!$S$5:$S$25,MATCH($A300,'建筑建议总览'!$A$5:$A$25,0))</f>
        <v/>
      </c>
      <c r="S300" s="36">
        <f>INDEX('建筑建议总览'!$T$5:$T$25,MATCH($A300,'建筑建议总览'!$A$5:$A$25,0))</f>
        <v/>
      </c>
      <c r="T300" s="44">
        <f>POWER(Q300,D300-1)</f>
        <v/>
      </c>
      <c r="U300" s="44">
        <f>SUMIF($A$5:$A$328,$A300,$T$5:$T$328)</f>
        <v/>
      </c>
      <c r="V300" s="36">
        <f>IF(R300&gt;0,ROUNDDOWN(MAX(0,R300-O300*(F300-1))*T300/U300,0),0)</f>
        <v/>
      </c>
      <c r="W300" s="36">
        <f>IF(S300&gt;0,ROUNDDOWN(MAX(0,S300-P300*(F300-1))*T300/U300,0),0)</f>
        <v/>
      </c>
      <c r="X300" s="36">
        <f>IF(R300&gt;0,O300+V300+IF(D300=F300-1,MAX(0,R300-O300*(F300-1)-SUMIF($A$5:$A$328,$A300,$V$5:$V$328)),0),ROUNDUP(O300*POWER(INDEX('建筑总览'!$J$5:$J$25,MATCH($A300,'建筑总览'!$A$5:$A$25,0)),D300),0))</f>
        <v/>
      </c>
      <c r="Y300" s="36">
        <f>IF(P300=0,0,IF(S300&gt;0,P300+W300+IF(D300=F300-1,MAX(0,S300-P300*(F300-1)-SUMIF($A$5:$A$328,$A300,$W$5:$W$328)),0),ROUNDUP(P300*POWER(INDEX('建筑总览'!$J$5:$J$25,MATCH($A300,'建筑总览'!$A$5:$A$25,0)),D300),0)))</f>
        <v/>
      </c>
      <c r="Z300" s="36">
        <f>IF(X300=0,0,MAX(1,ROUNDUP(X300*(1-'参数与公式'!$B$17),0)))</f>
        <v/>
      </c>
      <c r="AA300" s="36">
        <f>IF(Y300=0,0,MAX(1,ROUNDUP(Y300*(1-'参数与公式'!$B$17),0)))</f>
        <v/>
      </c>
      <c r="AB300" s="33" t="inlineStr">
        <is>
          <t>预算模式末级补足余数；旧模式按指数公式</t>
        </is>
      </c>
      <c r="AC300" s="49">
        <f>IF(A300=A299,IFERROR(M300/M299,""),"")</f>
        <v/>
      </c>
      <c r="AD300" s="49">
        <f>IF(AND(A300=A299,X299&gt;0),X300/X299,"")</f>
        <v/>
      </c>
    </row>
    <row r="301" ht="30" customHeight="1">
      <c r="A301" s="33" t="inlineStr">
        <is>
          <t>youxibaota</t>
        </is>
      </c>
      <c r="B301" s="33" t="inlineStr">
        <is>
          <t>悠嘻宝塔</t>
        </is>
      </c>
      <c r="C301" s="33" t="inlineStr">
        <is>
          <t>特殊建筑</t>
        </is>
      </c>
      <c r="D301" s="43" t="n">
        <v>13</v>
      </c>
      <c r="E301" s="36">
        <f>D301+1</f>
        <v/>
      </c>
      <c r="F301" s="43" t="n">
        <v>15</v>
      </c>
      <c r="G301" s="36">
        <f>INDEX('建筑建议总览'!$H$5:$H$25,MATCH($A301,'建筑建议总览'!$A$5:$A$25,0))</f>
        <v/>
      </c>
      <c r="H301" s="44">
        <f>INDEX('建筑建议总览'!$I$5:$I$25,MATCH($A301,'建筑建议总览'!$A$5:$A$25,0))</f>
        <v/>
      </c>
      <c r="I301" s="36">
        <f>INDEX('建筑建议总览'!$J$5:$J$25,MATCH($A301,'建筑建议总览'!$A$5:$A$25,0))</f>
        <v/>
      </c>
      <c r="J301" s="44">
        <f>POWER(H301,D301-1)</f>
        <v/>
      </c>
      <c r="K301" s="44">
        <f>SUMIF($A$5:$A$328,$A301,$J$5:$J$328)</f>
        <v/>
      </c>
      <c r="L301" s="36">
        <f>IF(I301&gt;0,ROUNDDOWN(MAX(0,I301-G301*(F301-1))*J301/K301,0),0)</f>
        <v/>
      </c>
      <c r="M301" s="36">
        <f>IF(I301&gt;0,G301+L301+IF(D301=F301-1,MAX(0,I301-G301*(F301-1)-SUMIF($A$5:$A$328,$A301,$L$5:$L$328)),0),ROUNDUP(G301*POWER(INDEX('建筑总览'!$G$5:$G$25,MATCH($A301,'建筑总览'!$A$5:$A$25,0)),D301),0))</f>
        <v/>
      </c>
      <c r="N301" s="35">
        <f>M301/'参数与公式'!$B$21</f>
        <v/>
      </c>
      <c r="O301" s="36">
        <f>INDEX('建筑建议总览'!$P$5:$P$25,MATCH($A301,'建筑建议总览'!$A$5:$A$25,0))</f>
        <v/>
      </c>
      <c r="P301" s="36">
        <f>INDEX('建筑建议总览'!$Q$5:$Q$25,MATCH($A301,'建筑建议总览'!$A$5:$A$25,0))</f>
        <v/>
      </c>
      <c r="Q301" s="44">
        <f>INDEX('建筑建议总览'!$R$5:$R$25,MATCH($A301,'建筑建议总览'!$A$5:$A$25,0))</f>
        <v/>
      </c>
      <c r="R301" s="36">
        <f>INDEX('建筑建议总览'!$S$5:$S$25,MATCH($A301,'建筑建议总览'!$A$5:$A$25,0))</f>
        <v/>
      </c>
      <c r="S301" s="36">
        <f>INDEX('建筑建议总览'!$T$5:$T$25,MATCH($A301,'建筑建议总览'!$A$5:$A$25,0))</f>
        <v/>
      </c>
      <c r="T301" s="44">
        <f>POWER(Q301,D301-1)</f>
        <v/>
      </c>
      <c r="U301" s="44">
        <f>SUMIF($A$5:$A$328,$A301,$T$5:$T$328)</f>
        <v/>
      </c>
      <c r="V301" s="36">
        <f>IF(R301&gt;0,ROUNDDOWN(MAX(0,R301-O301*(F301-1))*T301/U301,0),0)</f>
        <v/>
      </c>
      <c r="W301" s="36">
        <f>IF(S301&gt;0,ROUNDDOWN(MAX(0,S301-P301*(F301-1))*T301/U301,0),0)</f>
        <v/>
      </c>
      <c r="X301" s="36">
        <f>IF(R301&gt;0,O301+V301+IF(D301=F301-1,MAX(0,R301-O301*(F301-1)-SUMIF($A$5:$A$328,$A301,$V$5:$V$328)),0),ROUNDUP(O301*POWER(INDEX('建筑总览'!$J$5:$J$25,MATCH($A301,'建筑总览'!$A$5:$A$25,0)),D301),0))</f>
        <v/>
      </c>
      <c r="Y301" s="36">
        <f>IF(P301=0,0,IF(S301&gt;0,P301+W301+IF(D301=F301-1,MAX(0,S301-P301*(F301-1)-SUMIF($A$5:$A$328,$A301,$W$5:$W$328)),0),ROUNDUP(P301*POWER(INDEX('建筑总览'!$J$5:$J$25,MATCH($A301,'建筑总览'!$A$5:$A$25,0)),D301),0)))</f>
        <v/>
      </c>
      <c r="Z301" s="36">
        <f>IF(X301=0,0,MAX(1,ROUNDUP(X301*(1-'参数与公式'!$B$17),0)))</f>
        <v/>
      </c>
      <c r="AA301" s="36">
        <f>IF(Y301=0,0,MAX(1,ROUNDUP(Y301*(1-'参数与公式'!$B$17),0)))</f>
        <v/>
      </c>
      <c r="AB301" s="33" t="inlineStr">
        <is>
          <t>预算模式末级补足余数；旧模式按指数公式</t>
        </is>
      </c>
      <c r="AC301" s="49">
        <f>IF(A301=A300,IFERROR(M301/M300,""),"")</f>
        <v/>
      </c>
      <c r="AD301" s="49">
        <f>IF(AND(A301=A300,X300&gt;0),X301/X300,"")</f>
        <v/>
      </c>
    </row>
    <row r="302" ht="30" customHeight="1">
      <c r="A302" s="33" t="inlineStr">
        <is>
          <t>youxibaota</t>
        </is>
      </c>
      <c r="B302" s="33" t="inlineStr">
        <is>
          <t>悠嘻宝塔</t>
        </is>
      </c>
      <c r="C302" s="33" t="inlineStr">
        <is>
          <t>特殊建筑</t>
        </is>
      </c>
      <c r="D302" s="43" t="n">
        <v>14</v>
      </c>
      <c r="E302" s="36">
        <f>D302+1</f>
        <v/>
      </c>
      <c r="F302" s="43" t="n">
        <v>15</v>
      </c>
      <c r="G302" s="36">
        <f>INDEX('建筑建议总览'!$H$5:$H$25,MATCH($A302,'建筑建议总览'!$A$5:$A$25,0))</f>
        <v/>
      </c>
      <c r="H302" s="44">
        <f>INDEX('建筑建议总览'!$I$5:$I$25,MATCH($A302,'建筑建议总览'!$A$5:$A$25,0))</f>
        <v/>
      </c>
      <c r="I302" s="36">
        <f>INDEX('建筑建议总览'!$J$5:$J$25,MATCH($A302,'建筑建议总览'!$A$5:$A$25,0))</f>
        <v/>
      </c>
      <c r="J302" s="44">
        <f>POWER(H302,D302-1)</f>
        <v/>
      </c>
      <c r="K302" s="44">
        <f>SUMIF($A$5:$A$328,$A302,$J$5:$J$328)</f>
        <v/>
      </c>
      <c r="L302" s="36">
        <f>IF(I302&gt;0,ROUNDDOWN(MAX(0,I302-G302*(F302-1))*J302/K302,0),0)</f>
        <v/>
      </c>
      <c r="M302" s="36">
        <f>IF(I302&gt;0,G302+L302+IF(D302=F302-1,MAX(0,I302-G302*(F302-1)-SUMIF($A$5:$A$328,$A302,$L$5:$L$328)),0),ROUNDUP(G302*POWER(INDEX('建筑总览'!$G$5:$G$25,MATCH($A302,'建筑总览'!$A$5:$A$25,0)),D302),0))</f>
        <v/>
      </c>
      <c r="N302" s="35">
        <f>M302/'参数与公式'!$B$21</f>
        <v/>
      </c>
      <c r="O302" s="36">
        <f>INDEX('建筑建议总览'!$P$5:$P$25,MATCH($A302,'建筑建议总览'!$A$5:$A$25,0))</f>
        <v/>
      </c>
      <c r="P302" s="36">
        <f>INDEX('建筑建议总览'!$Q$5:$Q$25,MATCH($A302,'建筑建议总览'!$A$5:$A$25,0))</f>
        <v/>
      </c>
      <c r="Q302" s="44">
        <f>INDEX('建筑建议总览'!$R$5:$R$25,MATCH($A302,'建筑建议总览'!$A$5:$A$25,0))</f>
        <v/>
      </c>
      <c r="R302" s="36">
        <f>INDEX('建筑建议总览'!$S$5:$S$25,MATCH($A302,'建筑建议总览'!$A$5:$A$25,0))</f>
        <v/>
      </c>
      <c r="S302" s="36">
        <f>INDEX('建筑建议总览'!$T$5:$T$25,MATCH($A302,'建筑建议总览'!$A$5:$A$25,0))</f>
        <v/>
      </c>
      <c r="T302" s="44">
        <f>POWER(Q302,D302-1)</f>
        <v/>
      </c>
      <c r="U302" s="44">
        <f>SUMIF($A$5:$A$328,$A302,$T$5:$T$328)</f>
        <v/>
      </c>
      <c r="V302" s="36">
        <f>IF(R302&gt;0,ROUNDDOWN(MAX(0,R302-O302*(F302-1))*T302/U302,0),0)</f>
        <v/>
      </c>
      <c r="W302" s="36">
        <f>IF(S302&gt;0,ROUNDDOWN(MAX(0,S302-P302*(F302-1))*T302/U302,0),0)</f>
        <v/>
      </c>
      <c r="X302" s="36">
        <f>IF(R302&gt;0,O302+V302+IF(D302=F302-1,MAX(0,R302-O302*(F302-1)-SUMIF($A$5:$A$328,$A302,$V$5:$V$328)),0),ROUNDUP(O302*POWER(INDEX('建筑总览'!$J$5:$J$25,MATCH($A302,'建筑总览'!$A$5:$A$25,0)),D302),0))</f>
        <v/>
      </c>
      <c r="Y302" s="36">
        <f>IF(P302=0,0,IF(S302&gt;0,P302+W302+IF(D302=F302-1,MAX(0,S302-P302*(F302-1)-SUMIF($A$5:$A$328,$A302,$W$5:$W$328)),0),ROUNDUP(P302*POWER(INDEX('建筑总览'!$J$5:$J$25,MATCH($A302,'建筑总览'!$A$5:$A$25,0)),D302),0)))</f>
        <v/>
      </c>
      <c r="Z302" s="36">
        <f>IF(X302=0,0,MAX(1,ROUNDUP(X302*(1-'参数与公式'!$B$17),0)))</f>
        <v/>
      </c>
      <c r="AA302" s="36">
        <f>IF(Y302=0,0,MAX(1,ROUNDUP(Y302*(1-'参数与公式'!$B$17),0)))</f>
        <v/>
      </c>
      <c r="AB302" s="33" t="inlineStr">
        <is>
          <t>预算模式末级补足余数；旧模式按指数公式</t>
        </is>
      </c>
      <c r="AC302" s="49">
        <f>IF(A302=A301,IFERROR(M302/M301,""),"")</f>
        <v/>
      </c>
      <c r="AD302" s="49">
        <f>IF(AND(A302=A301,X301&gt;0),X302/X301,"")</f>
        <v/>
      </c>
    </row>
    <row r="303" ht="30" customHeight="1">
      <c r="A303" s="33" t="inlineStr">
        <is>
          <t>jail</t>
        </is>
      </c>
      <c r="B303" s="33" t="inlineStr">
        <is>
          <t>监牢</t>
        </is>
      </c>
      <c r="C303" s="33" t="inlineStr">
        <is>
          <t>特殊建筑</t>
        </is>
      </c>
      <c r="D303" s="43" t="n">
        <v>1</v>
      </c>
      <c r="E303" s="36">
        <f>D303+1</f>
        <v/>
      </c>
      <c r="F303" s="43" t="n">
        <v>5</v>
      </c>
      <c r="G303" s="36">
        <f>INDEX('建筑建议总览'!$H$5:$H$25,MATCH($A303,'建筑建议总览'!$A$5:$A$25,0))</f>
        <v/>
      </c>
      <c r="H303" s="44">
        <f>INDEX('建筑建议总览'!$I$5:$I$25,MATCH($A303,'建筑建议总览'!$A$5:$A$25,0))</f>
        <v/>
      </c>
      <c r="I303" s="36">
        <f>INDEX('建筑建议总览'!$J$5:$J$25,MATCH($A303,'建筑建议总览'!$A$5:$A$25,0))</f>
        <v/>
      </c>
      <c r="J303" s="44">
        <f>POWER(H303,D303-1)</f>
        <v/>
      </c>
      <c r="K303" s="44">
        <f>SUMIF($A$5:$A$328,$A303,$J$5:$J$328)</f>
        <v/>
      </c>
      <c r="L303" s="36">
        <f>IF(I303&gt;0,ROUNDDOWN(MAX(0,I303-G303*(F303-1))*J303/K303,0),0)</f>
        <v/>
      </c>
      <c r="M303" s="36">
        <f>IF(I303&gt;0,G303+L303+IF(D303=F303-1,MAX(0,I303-G303*(F303-1)-SUMIF($A$5:$A$328,$A303,$L$5:$L$328)),0),ROUNDUP(G303*POWER(INDEX('建筑总览'!$G$5:$G$25,MATCH($A303,'建筑总览'!$A$5:$A$25,0)),D303),0))</f>
        <v/>
      </c>
      <c r="N303" s="35">
        <f>M303/'参数与公式'!$B$21</f>
        <v/>
      </c>
      <c r="O303" s="36">
        <f>INDEX('建筑建议总览'!$P$5:$P$25,MATCH($A303,'建筑建议总览'!$A$5:$A$25,0))</f>
        <v/>
      </c>
      <c r="P303" s="36">
        <f>INDEX('建筑建议总览'!$Q$5:$Q$25,MATCH($A303,'建筑建议总览'!$A$5:$A$25,0))</f>
        <v/>
      </c>
      <c r="Q303" s="44">
        <f>INDEX('建筑建议总览'!$R$5:$R$25,MATCH($A303,'建筑建议总览'!$A$5:$A$25,0))</f>
        <v/>
      </c>
      <c r="R303" s="36">
        <f>INDEX('建筑建议总览'!$S$5:$S$25,MATCH($A303,'建筑建议总览'!$A$5:$A$25,0))</f>
        <v/>
      </c>
      <c r="S303" s="36">
        <f>INDEX('建筑建议总览'!$T$5:$T$25,MATCH($A303,'建筑建议总览'!$A$5:$A$25,0))</f>
        <v/>
      </c>
      <c r="T303" s="44">
        <f>POWER(Q303,D303-1)</f>
        <v/>
      </c>
      <c r="U303" s="44">
        <f>SUMIF($A$5:$A$328,$A303,$T$5:$T$328)</f>
        <v/>
      </c>
      <c r="V303" s="36">
        <f>IF(R303&gt;0,ROUNDDOWN(MAX(0,R303-O303*(F303-1))*T303/U303,0),0)</f>
        <v/>
      </c>
      <c r="W303" s="36">
        <f>IF(S303&gt;0,ROUNDDOWN(MAX(0,S303-P303*(F303-1))*T303/U303,0),0)</f>
        <v/>
      </c>
      <c r="X303" s="36">
        <f>IF(R303&gt;0,O303+V303+IF(D303=F303-1,MAX(0,R303-O303*(F303-1)-SUMIF($A$5:$A$328,$A303,$V$5:$V$328)),0),ROUNDUP(O303*POWER(INDEX('建筑总览'!$J$5:$J$25,MATCH($A303,'建筑总览'!$A$5:$A$25,0)),D303),0))</f>
        <v/>
      </c>
      <c r="Y303" s="36">
        <f>IF(P303=0,0,IF(S303&gt;0,P303+W303+IF(D303=F303-1,MAX(0,S303-P303*(F303-1)-SUMIF($A$5:$A$328,$A303,$W$5:$W$328)),0),ROUNDUP(P303*POWER(INDEX('建筑总览'!$J$5:$J$25,MATCH($A303,'建筑总览'!$A$5:$A$25,0)),D303),0)))</f>
        <v/>
      </c>
      <c r="Z303" s="36">
        <f>IF(X303=0,0,MAX(1,ROUNDUP(X303*(1-'参数与公式'!$B$17),0)))</f>
        <v/>
      </c>
      <c r="AA303" s="36">
        <f>IF(Y303=0,0,MAX(1,ROUNDUP(Y303*(1-'参数与公式'!$B$17),0)))</f>
        <v/>
      </c>
      <c r="AB303" s="33" t="inlineStr">
        <is>
          <t>预算模式末级补足余数；旧模式按指数公式</t>
        </is>
      </c>
      <c r="AC303" s="49">
        <f>IF(A303=A302,IFERROR(M303/M302,""),"")</f>
        <v/>
      </c>
      <c r="AD303" s="49">
        <f>IF(AND(A303=A302,X302&gt;0),X303/X302,"")</f>
        <v/>
      </c>
    </row>
    <row r="304" ht="30" customHeight="1">
      <c r="A304" s="33" t="inlineStr">
        <is>
          <t>jail</t>
        </is>
      </c>
      <c r="B304" s="33" t="inlineStr">
        <is>
          <t>监牢</t>
        </is>
      </c>
      <c r="C304" s="33" t="inlineStr">
        <is>
          <t>特殊建筑</t>
        </is>
      </c>
      <c r="D304" s="43" t="n">
        <v>2</v>
      </c>
      <c r="E304" s="36">
        <f>D304+1</f>
        <v/>
      </c>
      <c r="F304" s="43" t="n">
        <v>5</v>
      </c>
      <c r="G304" s="36">
        <f>INDEX('建筑建议总览'!$H$5:$H$25,MATCH($A304,'建筑建议总览'!$A$5:$A$25,0))</f>
        <v/>
      </c>
      <c r="H304" s="44">
        <f>INDEX('建筑建议总览'!$I$5:$I$25,MATCH($A304,'建筑建议总览'!$A$5:$A$25,0))</f>
        <v/>
      </c>
      <c r="I304" s="36">
        <f>INDEX('建筑建议总览'!$J$5:$J$25,MATCH($A304,'建筑建议总览'!$A$5:$A$25,0))</f>
        <v/>
      </c>
      <c r="J304" s="44">
        <f>POWER(H304,D304-1)</f>
        <v/>
      </c>
      <c r="K304" s="44">
        <f>SUMIF($A$5:$A$328,$A304,$J$5:$J$328)</f>
        <v/>
      </c>
      <c r="L304" s="36">
        <f>IF(I304&gt;0,ROUNDDOWN(MAX(0,I304-G304*(F304-1))*J304/K304,0),0)</f>
        <v/>
      </c>
      <c r="M304" s="36">
        <f>IF(I304&gt;0,G304+L304+IF(D304=F304-1,MAX(0,I304-G304*(F304-1)-SUMIF($A$5:$A$328,$A304,$L$5:$L$328)),0),ROUNDUP(G304*POWER(INDEX('建筑总览'!$G$5:$G$25,MATCH($A304,'建筑总览'!$A$5:$A$25,0)),D304),0))</f>
        <v/>
      </c>
      <c r="N304" s="35">
        <f>M304/'参数与公式'!$B$21</f>
        <v/>
      </c>
      <c r="O304" s="36">
        <f>INDEX('建筑建议总览'!$P$5:$P$25,MATCH($A304,'建筑建议总览'!$A$5:$A$25,0))</f>
        <v/>
      </c>
      <c r="P304" s="36">
        <f>INDEX('建筑建议总览'!$Q$5:$Q$25,MATCH($A304,'建筑建议总览'!$A$5:$A$25,0))</f>
        <v/>
      </c>
      <c r="Q304" s="44">
        <f>INDEX('建筑建议总览'!$R$5:$R$25,MATCH($A304,'建筑建议总览'!$A$5:$A$25,0))</f>
        <v/>
      </c>
      <c r="R304" s="36">
        <f>INDEX('建筑建议总览'!$S$5:$S$25,MATCH($A304,'建筑建议总览'!$A$5:$A$25,0))</f>
        <v/>
      </c>
      <c r="S304" s="36">
        <f>INDEX('建筑建议总览'!$T$5:$T$25,MATCH($A304,'建筑建议总览'!$A$5:$A$25,0))</f>
        <v/>
      </c>
      <c r="T304" s="44">
        <f>POWER(Q304,D304-1)</f>
        <v/>
      </c>
      <c r="U304" s="44">
        <f>SUMIF($A$5:$A$328,$A304,$T$5:$T$328)</f>
        <v/>
      </c>
      <c r="V304" s="36">
        <f>IF(R304&gt;0,ROUNDDOWN(MAX(0,R304-O304*(F304-1))*T304/U304,0),0)</f>
        <v/>
      </c>
      <c r="W304" s="36">
        <f>IF(S304&gt;0,ROUNDDOWN(MAX(0,S304-P304*(F304-1))*T304/U304,0),0)</f>
        <v/>
      </c>
      <c r="X304" s="36">
        <f>IF(R304&gt;0,O304+V304+IF(D304=F304-1,MAX(0,R304-O304*(F304-1)-SUMIF($A$5:$A$328,$A304,$V$5:$V$328)),0),ROUNDUP(O304*POWER(INDEX('建筑总览'!$J$5:$J$25,MATCH($A304,'建筑总览'!$A$5:$A$25,0)),D304),0))</f>
        <v/>
      </c>
      <c r="Y304" s="36">
        <f>IF(P304=0,0,IF(S304&gt;0,P304+W304+IF(D304=F304-1,MAX(0,S304-P304*(F304-1)-SUMIF($A$5:$A$328,$A304,$W$5:$W$328)),0),ROUNDUP(P304*POWER(INDEX('建筑总览'!$J$5:$J$25,MATCH($A304,'建筑总览'!$A$5:$A$25,0)),D304),0)))</f>
        <v/>
      </c>
      <c r="Z304" s="36">
        <f>IF(X304=0,0,MAX(1,ROUNDUP(X304*(1-'参数与公式'!$B$17),0)))</f>
        <v/>
      </c>
      <c r="AA304" s="36">
        <f>IF(Y304=0,0,MAX(1,ROUNDUP(Y304*(1-'参数与公式'!$B$17),0)))</f>
        <v/>
      </c>
      <c r="AB304" s="33" t="inlineStr">
        <is>
          <t>预算模式末级补足余数；旧模式按指数公式</t>
        </is>
      </c>
      <c r="AC304" s="49">
        <f>IF(A304=A303,IFERROR(M304/M303,""),"")</f>
        <v/>
      </c>
      <c r="AD304" s="49">
        <f>IF(AND(A304=A303,X303&gt;0),X304/X303,"")</f>
        <v/>
      </c>
    </row>
    <row r="305" ht="30" customHeight="1">
      <c r="A305" s="33" t="inlineStr">
        <is>
          <t>jail</t>
        </is>
      </c>
      <c r="B305" s="33" t="inlineStr">
        <is>
          <t>监牢</t>
        </is>
      </c>
      <c r="C305" s="33" t="inlineStr">
        <is>
          <t>特殊建筑</t>
        </is>
      </c>
      <c r="D305" s="43" t="n">
        <v>3</v>
      </c>
      <c r="E305" s="36">
        <f>D305+1</f>
        <v/>
      </c>
      <c r="F305" s="43" t="n">
        <v>5</v>
      </c>
      <c r="G305" s="36">
        <f>INDEX('建筑建议总览'!$H$5:$H$25,MATCH($A305,'建筑建议总览'!$A$5:$A$25,0))</f>
        <v/>
      </c>
      <c r="H305" s="44">
        <f>INDEX('建筑建议总览'!$I$5:$I$25,MATCH($A305,'建筑建议总览'!$A$5:$A$25,0))</f>
        <v/>
      </c>
      <c r="I305" s="36">
        <f>INDEX('建筑建议总览'!$J$5:$J$25,MATCH($A305,'建筑建议总览'!$A$5:$A$25,0))</f>
        <v/>
      </c>
      <c r="J305" s="44">
        <f>POWER(H305,D305-1)</f>
        <v/>
      </c>
      <c r="K305" s="44">
        <f>SUMIF($A$5:$A$328,$A305,$J$5:$J$328)</f>
        <v/>
      </c>
      <c r="L305" s="36">
        <f>IF(I305&gt;0,ROUNDDOWN(MAX(0,I305-G305*(F305-1))*J305/K305,0),0)</f>
        <v/>
      </c>
      <c r="M305" s="36">
        <f>IF(I305&gt;0,G305+L305+IF(D305=F305-1,MAX(0,I305-G305*(F305-1)-SUMIF($A$5:$A$328,$A305,$L$5:$L$328)),0),ROUNDUP(G305*POWER(INDEX('建筑总览'!$G$5:$G$25,MATCH($A305,'建筑总览'!$A$5:$A$25,0)),D305),0))</f>
        <v/>
      </c>
      <c r="N305" s="35">
        <f>M305/'参数与公式'!$B$21</f>
        <v/>
      </c>
      <c r="O305" s="36">
        <f>INDEX('建筑建议总览'!$P$5:$P$25,MATCH($A305,'建筑建议总览'!$A$5:$A$25,0))</f>
        <v/>
      </c>
      <c r="P305" s="36">
        <f>INDEX('建筑建议总览'!$Q$5:$Q$25,MATCH($A305,'建筑建议总览'!$A$5:$A$25,0))</f>
        <v/>
      </c>
      <c r="Q305" s="44">
        <f>INDEX('建筑建议总览'!$R$5:$R$25,MATCH($A305,'建筑建议总览'!$A$5:$A$25,0))</f>
        <v/>
      </c>
      <c r="R305" s="36">
        <f>INDEX('建筑建议总览'!$S$5:$S$25,MATCH($A305,'建筑建议总览'!$A$5:$A$25,0))</f>
        <v/>
      </c>
      <c r="S305" s="36">
        <f>INDEX('建筑建议总览'!$T$5:$T$25,MATCH($A305,'建筑建议总览'!$A$5:$A$25,0))</f>
        <v/>
      </c>
      <c r="T305" s="44">
        <f>POWER(Q305,D305-1)</f>
        <v/>
      </c>
      <c r="U305" s="44">
        <f>SUMIF($A$5:$A$328,$A305,$T$5:$T$328)</f>
        <v/>
      </c>
      <c r="V305" s="36">
        <f>IF(R305&gt;0,ROUNDDOWN(MAX(0,R305-O305*(F305-1))*T305/U305,0),0)</f>
        <v/>
      </c>
      <c r="W305" s="36">
        <f>IF(S305&gt;0,ROUNDDOWN(MAX(0,S305-P305*(F305-1))*T305/U305,0),0)</f>
        <v/>
      </c>
      <c r="X305" s="36">
        <f>IF(R305&gt;0,O305+V305+IF(D305=F305-1,MAX(0,R305-O305*(F305-1)-SUMIF($A$5:$A$328,$A305,$V$5:$V$328)),0),ROUNDUP(O305*POWER(INDEX('建筑总览'!$J$5:$J$25,MATCH($A305,'建筑总览'!$A$5:$A$25,0)),D305),0))</f>
        <v/>
      </c>
      <c r="Y305" s="36">
        <f>IF(P305=0,0,IF(S305&gt;0,P305+W305+IF(D305=F305-1,MAX(0,S305-P305*(F305-1)-SUMIF($A$5:$A$328,$A305,$W$5:$W$328)),0),ROUNDUP(P305*POWER(INDEX('建筑总览'!$J$5:$J$25,MATCH($A305,'建筑总览'!$A$5:$A$25,0)),D305),0)))</f>
        <v/>
      </c>
      <c r="Z305" s="36">
        <f>IF(X305=0,0,MAX(1,ROUNDUP(X305*(1-'参数与公式'!$B$17),0)))</f>
        <v/>
      </c>
      <c r="AA305" s="36">
        <f>IF(Y305=0,0,MAX(1,ROUNDUP(Y305*(1-'参数与公式'!$B$17),0)))</f>
        <v/>
      </c>
      <c r="AB305" s="33" t="inlineStr">
        <is>
          <t>预算模式末级补足余数；旧模式按指数公式</t>
        </is>
      </c>
      <c r="AC305" s="49">
        <f>IF(A305=A304,IFERROR(M305/M304,""),"")</f>
        <v/>
      </c>
      <c r="AD305" s="49">
        <f>IF(AND(A305=A304,X304&gt;0),X305/X304,"")</f>
        <v/>
      </c>
    </row>
    <row r="306" ht="30" customHeight="1">
      <c r="A306" s="33" t="inlineStr">
        <is>
          <t>jail</t>
        </is>
      </c>
      <c r="B306" s="33" t="inlineStr">
        <is>
          <t>监牢</t>
        </is>
      </c>
      <c r="C306" s="33" t="inlineStr">
        <is>
          <t>特殊建筑</t>
        </is>
      </c>
      <c r="D306" s="43" t="n">
        <v>4</v>
      </c>
      <c r="E306" s="36">
        <f>D306+1</f>
        <v/>
      </c>
      <c r="F306" s="43" t="n">
        <v>5</v>
      </c>
      <c r="G306" s="36">
        <f>INDEX('建筑建议总览'!$H$5:$H$25,MATCH($A306,'建筑建议总览'!$A$5:$A$25,0))</f>
        <v/>
      </c>
      <c r="H306" s="44">
        <f>INDEX('建筑建议总览'!$I$5:$I$25,MATCH($A306,'建筑建议总览'!$A$5:$A$25,0))</f>
        <v/>
      </c>
      <c r="I306" s="36">
        <f>INDEX('建筑建议总览'!$J$5:$J$25,MATCH($A306,'建筑建议总览'!$A$5:$A$25,0))</f>
        <v/>
      </c>
      <c r="J306" s="44">
        <f>POWER(H306,D306-1)</f>
        <v/>
      </c>
      <c r="K306" s="44">
        <f>SUMIF($A$5:$A$328,$A306,$J$5:$J$328)</f>
        <v/>
      </c>
      <c r="L306" s="36">
        <f>IF(I306&gt;0,ROUNDDOWN(MAX(0,I306-G306*(F306-1))*J306/K306,0),0)</f>
        <v/>
      </c>
      <c r="M306" s="36">
        <f>IF(I306&gt;0,G306+L306+IF(D306=F306-1,MAX(0,I306-G306*(F306-1)-SUMIF($A$5:$A$328,$A306,$L$5:$L$328)),0),ROUNDUP(G306*POWER(INDEX('建筑总览'!$G$5:$G$25,MATCH($A306,'建筑总览'!$A$5:$A$25,0)),D306),0))</f>
        <v/>
      </c>
      <c r="N306" s="35">
        <f>M306/'参数与公式'!$B$21</f>
        <v/>
      </c>
      <c r="O306" s="36">
        <f>INDEX('建筑建议总览'!$P$5:$P$25,MATCH($A306,'建筑建议总览'!$A$5:$A$25,0))</f>
        <v/>
      </c>
      <c r="P306" s="36">
        <f>INDEX('建筑建议总览'!$Q$5:$Q$25,MATCH($A306,'建筑建议总览'!$A$5:$A$25,0))</f>
        <v/>
      </c>
      <c r="Q306" s="44">
        <f>INDEX('建筑建议总览'!$R$5:$R$25,MATCH($A306,'建筑建议总览'!$A$5:$A$25,0))</f>
        <v/>
      </c>
      <c r="R306" s="36">
        <f>INDEX('建筑建议总览'!$S$5:$S$25,MATCH($A306,'建筑建议总览'!$A$5:$A$25,0))</f>
        <v/>
      </c>
      <c r="S306" s="36">
        <f>INDEX('建筑建议总览'!$T$5:$T$25,MATCH($A306,'建筑建议总览'!$A$5:$A$25,0))</f>
        <v/>
      </c>
      <c r="T306" s="44">
        <f>POWER(Q306,D306-1)</f>
        <v/>
      </c>
      <c r="U306" s="44">
        <f>SUMIF($A$5:$A$328,$A306,$T$5:$T$328)</f>
        <v/>
      </c>
      <c r="V306" s="36">
        <f>IF(R306&gt;0,ROUNDDOWN(MAX(0,R306-O306*(F306-1))*T306/U306,0),0)</f>
        <v/>
      </c>
      <c r="W306" s="36">
        <f>IF(S306&gt;0,ROUNDDOWN(MAX(0,S306-P306*(F306-1))*T306/U306,0),0)</f>
        <v/>
      </c>
      <c r="X306" s="36">
        <f>IF(R306&gt;0,O306+V306+IF(D306=F306-1,MAX(0,R306-O306*(F306-1)-SUMIF($A$5:$A$328,$A306,$V$5:$V$328)),0),ROUNDUP(O306*POWER(INDEX('建筑总览'!$J$5:$J$25,MATCH($A306,'建筑总览'!$A$5:$A$25,0)),D306),0))</f>
        <v/>
      </c>
      <c r="Y306" s="36">
        <f>IF(P306=0,0,IF(S306&gt;0,P306+W306+IF(D306=F306-1,MAX(0,S306-P306*(F306-1)-SUMIF($A$5:$A$328,$A306,$W$5:$W$328)),0),ROUNDUP(P306*POWER(INDEX('建筑总览'!$J$5:$J$25,MATCH($A306,'建筑总览'!$A$5:$A$25,0)),D306),0)))</f>
        <v/>
      </c>
      <c r="Z306" s="36">
        <f>IF(X306=0,0,MAX(1,ROUNDUP(X306*(1-'参数与公式'!$B$17),0)))</f>
        <v/>
      </c>
      <c r="AA306" s="36">
        <f>IF(Y306=0,0,MAX(1,ROUNDUP(Y306*(1-'参数与公式'!$B$17),0)))</f>
        <v/>
      </c>
      <c r="AB306" s="33" t="inlineStr">
        <is>
          <t>预算模式末级补足余数；旧模式按指数公式</t>
        </is>
      </c>
      <c r="AC306" s="49">
        <f>IF(A306=A305,IFERROR(M306/M305,""),"")</f>
        <v/>
      </c>
      <c r="AD306" s="49">
        <f>IF(AND(A306=A305,X305&gt;0),X306/X305,"")</f>
        <v/>
      </c>
    </row>
    <row r="307" ht="30" customHeight="1">
      <c r="A307" s="33" t="inlineStr">
        <is>
          <t>oath_grove</t>
        </is>
      </c>
      <c r="B307" s="33" t="inlineStr">
        <is>
          <t>结义林</t>
        </is>
      </c>
      <c r="C307" s="33" t="inlineStr">
        <is>
          <t>特殊建筑</t>
        </is>
      </c>
      <c r="D307" s="43" t="n">
        <v>1</v>
      </c>
      <c r="E307" s="36">
        <f>D307+1</f>
        <v/>
      </c>
      <c r="F307" s="43" t="n">
        <v>5</v>
      </c>
      <c r="G307" s="36">
        <f>INDEX('建筑建议总览'!$H$5:$H$25,MATCH($A307,'建筑建议总览'!$A$5:$A$25,0))</f>
        <v/>
      </c>
      <c r="H307" s="44">
        <f>INDEX('建筑建议总览'!$I$5:$I$25,MATCH($A307,'建筑建议总览'!$A$5:$A$25,0))</f>
        <v/>
      </c>
      <c r="I307" s="36">
        <f>INDEX('建筑建议总览'!$J$5:$J$25,MATCH($A307,'建筑建议总览'!$A$5:$A$25,0))</f>
        <v/>
      </c>
      <c r="J307" s="44">
        <f>POWER(H307,D307-1)</f>
        <v/>
      </c>
      <c r="K307" s="44">
        <f>SUMIF($A$5:$A$328,$A307,$J$5:$J$328)</f>
        <v/>
      </c>
      <c r="L307" s="36">
        <f>IF(I307&gt;0,ROUNDDOWN(MAX(0,I307-G307*(F307-1))*J307/K307,0),0)</f>
        <v/>
      </c>
      <c r="M307" s="36">
        <f>IF(I307&gt;0,G307+L307+IF(D307=F307-1,MAX(0,I307-G307*(F307-1)-SUMIF($A$5:$A$328,$A307,$L$5:$L$328)),0),ROUNDUP(G307*POWER(INDEX('建筑总览'!$G$5:$G$25,MATCH($A307,'建筑总览'!$A$5:$A$25,0)),D307),0))</f>
        <v/>
      </c>
      <c r="N307" s="35">
        <f>M307/'参数与公式'!$B$21</f>
        <v/>
      </c>
      <c r="O307" s="36">
        <f>INDEX('建筑建议总览'!$P$5:$P$25,MATCH($A307,'建筑建议总览'!$A$5:$A$25,0))</f>
        <v/>
      </c>
      <c r="P307" s="36">
        <f>INDEX('建筑建议总览'!$Q$5:$Q$25,MATCH($A307,'建筑建议总览'!$A$5:$A$25,0))</f>
        <v/>
      </c>
      <c r="Q307" s="44">
        <f>INDEX('建筑建议总览'!$R$5:$R$25,MATCH($A307,'建筑建议总览'!$A$5:$A$25,0))</f>
        <v/>
      </c>
      <c r="R307" s="36">
        <f>INDEX('建筑建议总览'!$S$5:$S$25,MATCH($A307,'建筑建议总览'!$A$5:$A$25,0))</f>
        <v/>
      </c>
      <c r="S307" s="36">
        <f>INDEX('建筑建议总览'!$T$5:$T$25,MATCH($A307,'建筑建议总览'!$A$5:$A$25,0))</f>
        <v/>
      </c>
      <c r="T307" s="44">
        <f>POWER(Q307,D307-1)</f>
        <v/>
      </c>
      <c r="U307" s="44">
        <f>SUMIF($A$5:$A$328,$A307,$T$5:$T$328)</f>
        <v/>
      </c>
      <c r="V307" s="36">
        <f>IF(R307&gt;0,ROUNDDOWN(MAX(0,R307-O307*(F307-1))*T307/U307,0),0)</f>
        <v/>
      </c>
      <c r="W307" s="36">
        <f>IF(S307&gt;0,ROUNDDOWN(MAX(0,S307-P307*(F307-1))*T307/U307,0),0)</f>
        <v/>
      </c>
      <c r="X307" s="36">
        <f>IF(R307&gt;0,O307+V307+IF(D307=F307-1,MAX(0,R307-O307*(F307-1)-SUMIF($A$5:$A$328,$A307,$V$5:$V$328)),0),ROUNDUP(O307*POWER(INDEX('建筑总览'!$J$5:$J$25,MATCH($A307,'建筑总览'!$A$5:$A$25,0)),D307),0))</f>
        <v/>
      </c>
      <c r="Y307" s="36">
        <f>IF(P307=0,0,IF(S307&gt;0,P307+W307+IF(D307=F307-1,MAX(0,S307-P307*(F307-1)-SUMIF($A$5:$A$328,$A307,$W$5:$W$328)),0),ROUNDUP(P307*POWER(INDEX('建筑总览'!$J$5:$J$25,MATCH($A307,'建筑总览'!$A$5:$A$25,0)),D307),0)))</f>
        <v/>
      </c>
      <c r="Z307" s="36">
        <f>IF(X307=0,0,MAX(1,ROUNDUP(X307*(1-'参数与公式'!$B$17),0)))</f>
        <v/>
      </c>
      <c r="AA307" s="36">
        <f>IF(Y307=0,0,MAX(1,ROUNDUP(Y307*(1-'参数与公式'!$B$17),0)))</f>
        <v/>
      </c>
      <c r="AB307" s="33" t="inlineStr">
        <is>
          <t>预算模式末级补足余数；旧模式按指数公式</t>
        </is>
      </c>
      <c r="AC307" s="49">
        <f>IF(A307=A306,IFERROR(M307/M306,""),"")</f>
        <v/>
      </c>
      <c r="AD307" s="49">
        <f>IF(AND(A307=A306,X306&gt;0),X307/X306,"")</f>
        <v/>
      </c>
    </row>
    <row r="308" ht="30" customHeight="1">
      <c r="A308" s="33" t="inlineStr">
        <is>
          <t>oath_grove</t>
        </is>
      </c>
      <c r="B308" s="33" t="inlineStr">
        <is>
          <t>结义林</t>
        </is>
      </c>
      <c r="C308" s="33" t="inlineStr">
        <is>
          <t>特殊建筑</t>
        </is>
      </c>
      <c r="D308" s="43" t="n">
        <v>2</v>
      </c>
      <c r="E308" s="36">
        <f>D308+1</f>
        <v/>
      </c>
      <c r="F308" s="43" t="n">
        <v>5</v>
      </c>
      <c r="G308" s="36">
        <f>INDEX('建筑建议总览'!$H$5:$H$25,MATCH($A308,'建筑建议总览'!$A$5:$A$25,0))</f>
        <v/>
      </c>
      <c r="H308" s="44">
        <f>INDEX('建筑建议总览'!$I$5:$I$25,MATCH($A308,'建筑建议总览'!$A$5:$A$25,0))</f>
        <v/>
      </c>
      <c r="I308" s="36">
        <f>INDEX('建筑建议总览'!$J$5:$J$25,MATCH($A308,'建筑建议总览'!$A$5:$A$25,0))</f>
        <v/>
      </c>
      <c r="J308" s="44">
        <f>POWER(H308,D308-1)</f>
        <v/>
      </c>
      <c r="K308" s="44">
        <f>SUMIF($A$5:$A$328,$A308,$J$5:$J$328)</f>
        <v/>
      </c>
      <c r="L308" s="36">
        <f>IF(I308&gt;0,ROUNDDOWN(MAX(0,I308-G308*(F308-1))*J308/K308,0),0)</f>
        <v/>
      </c>
      <c r="M308" s="36">
        <f>IF(I308&gt;0,G308+L308+IF(D308=F308-1,MAX(0,I308-G308*(F308-1)-SUMIF($A$5:$A$328,$A308,$L$5:$L$328)),0),ROUNDUP(G308*POWER(INDEX('建筑总览'!$G$5:$G$25,MATCH($A308,'建筑总览'!$A$5:$A$25,0)),D308),0))</f>
        <v/>
      </c>
      <c r="N308" s="35">
        <f>M308/'参数与公式'!$B$21</f>
        <v/>
      </c>
      <c r="O308" s="36">
        <f>INDEX('建筑建议总览'!$P$5:$P$25,MATCH($A308,'建筑建议总览'!$A$5:$A$25,0))</f>
        <v/>
      </c>
      <c r="P308" s="36">
        <f>INDEX('建筑建议总览'!$Q$5:$Q$25,MATCH($A308,'建筑建议总览'!$A$5:$A$25,0))</f>
        <v/>
      </c>
      <c r="Q308" s="44">
        <f>INDEX('建筑建议总览'!$R$5:$R$25,MATCH($A308,'建筑建议总览'!$A$5:$A$25,0))</f>
        <v/>
      </c>
      <c r="R308" s="36">
        <f>INDEX('建筑建议总览'!$S$5:$S$25,MATCH($A308,'建筑建议总览'!$A$5:$A$25,0))</f>
        <v/>
      </c>
      <c r="S308" s="36">
        <f>INDEX('建筑建议总览'!$T$5:$T$25,MATCH($A308,'建筑建议总览'!$A$5:$A$25,0))</f>
        <v/>
      </c>
      <c r="T308" s="44">
        <f>POWER(Q308,D308-1)</f>
        <v/>
      </c>
      <c r="U308" s="44">
        <f>SUMIF($A$5:$A$328,$A308,$T$5:$T$328)</f>
        <v/>
      </c>
      <c r="V308" s="36">
        <f>IF(R308&gt;0,ROUNDDOWN(MAX(0,R308-O308*(F308-1))*T308/U308,0),0)</f>
        <v/>
      </c>
      <c r="W308" s="36">
        <f>IF(S308&gt;0,ROUNDDOWN(MAX(0,S308-P308*(F308-1))*T308/U308,0),0)</f>
        <v/>
      </c>
      <c r="X308" s="36">
        <f>IF(R308&gt;0,O308+V308+IF(D308=F308-1,MAX(0,R308-O308*(F308-1)-SUMIF($A$5:$A$328,$A308,$V$5:$V$328)),0),ROUNDUP(O308*POWER(INDEX('建筑总览'!$J$5:$J$25,MATCH($A308,'建筑总览'!$A$5:$A$25,0)),D308),0))</f>
        <v/>
      </c>
      <c r="Y308" s="36">
        <f>IF(P308=0,0,IF(S308&gt;0,P308+W308+IF(D308=F308-1,MAX(0,S308-P308*(F308-1)-SUMIF($A$5:$A$328,$A308,$W$5:$W$328)),0),ROUNDUP(P308*POWER(INDEX('建筑总览'!$J$5:$J$25,MATCH($A308,'建筑总览'!$A$5:$A$25,0)),D308),0)))</f>
        <v/>
      </c>
      <c r="Z308" s="36">
        <f>IF(X308=0,0,MAX(1,ROUNDUP(X308*(1-'参数与公式'!$B$17),0)))</f>
        <v/>
      </c>
      <c r="AA308" s="36">
        <f>IF(Y308=0,0,MAX(1,ROUNDUP(Y308*(1-'参数与公式'!$B$17),0)))</f>
        <v/>
      </c>
      <c r="AB308" s="33" t="inlineStr">
        <is>
          <t>预算模式末级补足余数；旧模式按指数公式</t>
        </is>
      </c>
      <c r="AC308" s="49">
        <f>IF(A308=A307,IFERROR(M308/M307,""),"")</f>
        <v/>
      </c>
      <c r="AD308" s="49">
        <f>IF(AND(A308=A307,X307&gt;0),X308/X307,"")</f>
        <v/>
      </c>
    </row>
    <row r="309" ht="30" customHeight="1">
      <c r="A309" s="33" t="inlineStr">
        <is>
          <t>oath_grove</t>
        </is>
      </c>
      <c r="B309" s="33" t="inlineStr">
        <is>
          <t>结义林</t>
        </is>
      </c>
      <c r="C309" s="33" t="inlineStr">
        <is>
          <t>特殊建筑</t>
        </is>
      </c>
      <c r="D309" s="43" t="n">
        <v>3</v>
      </c>
      <c r="E309" s="36">
        <f>D309+1</f>
        <v/>
      </c>
      <c r="F309" s="43" t="n">
        <v>5</v>
      </c>
      <c r="G309" s="36">
        <f>INDEX('建筑建议总览'!$H$5:$H$25,MATCH($A309,'建筑建议总览'!$A$5:$A$25,0))</f>
        <v/>
      </c>
      <c r="H309" s="44">
        <f>INDEX('建筑建议总览'!$I$5:$I$25,MATCH($A309,'建筑建议总览'!$A$5:$A$25,0))</f>
        <v/>
      </c>
      <c r="I309" s="36">
        <f>INDEX('建筑建议总览'!$J$5:$J$25,MATCH($A309,'建筑建议总览'!$A$5:$A$25,0))</f>
        <v/>
      </c>
      <c r="J309" s="44">
        <f>POWER(H309,D309-1)</f>
        <v/>
      </c>
      <c r="K309" s="44">
        <f>SUMIF($A$5:$A$328,$A309,$J$5:$J$328)</f>
        <v/>
      </c>
      <c r="L309" s="36">
        <f>IF(I309&gt;0,ROUNDDOWN(MAX(0,I309-G309*(F309-1))*J309/K309,0),0)</f>
        <v/>
      </c>
      <c r="M309" s="36">
        <f>IF(I309&gt;0,G309+L309+IF(D309=F309-1,MAX(0,I309-G309*(F309-1)-SUMIF($A$5:$A$328,$A309,$L$5:$L$328)),0),ROUNDUP(G309*POWER(INDEX('建筑总览'!$G$5:$G$25,MATCH($A309,'建筑总览'!$A$5:$A$25,0)),D309),0))</f>
        <v/>
      </c>
      <c r="N309" s="35">
        <f>M309/'参数与公式'!$B$21</f>
        <v/>
      </c>
      <c r="O309" s="36">
        <f>INDEX('建筑建议总览'!$P$5:$P$25,MATCH($A309,'建筑建议总览'!$A$5:$A$25,0))</f>
        <v/>
      </c>
      <c r="P309" s="36">
        <f>INDEX('建筑建议总览'!$Q$5:$Q$25,MATCH($A309,'建筑建议总览'!$A$5:$A$25,0))</f>
        <v/>
      </c>
      <c r="Q309" s="44">
        <f>INDEX('建筑建议总览'!$R$5:$R$25,MATCH($A309,'建筑建议总览'!$A$5:$A$25,0))</f>
        <v/>
      </c>
      <c r="R309" s="36">
        <f>INDEX('建筑建议总览'!$S$5:$S$25,MATCH($A309,'建筑建议总览'!$A$5:$A$25,0))</f>
        <v/>
      </c>
      <c r="S309" s="36">
        <f>INDEX('建筑建议总览'!$T$5:$T$25,MATCH($A309,'建筑建议总览'!$A$5:$A$25,0))</f>
        <v/>
      </c>
      <c r="T309" s="44">
        <f>POWER(Q309,D309-1)</f>
        <v/>
      </c>
      <c r="U309" s="44">
        <f>SUMIF($A$5:$A$328,$A309,$T$5:$T$328)</f>
        <v/>
      </c>
      <c r="V309" s="36">
        <f>IF(R309&gt;0,ROUNDDOWN(MAX(0,R309-O309*(F309-1))*T309/U309,0),0)</f>
        <v/>
      </c>
      <c r="W309" s="36">
        <f>IF(S309&gt;0,ROUNDDOWN(MAX(0,S309-P309*(F309-1))*T309/U309,0),0)</f>
        <v/>
      </c>
      <c r="X309" s="36">
        <f>IF(R309&gt;0,O309+V309+IF(D309=F309-1,MAX(0,R309-O309*(F309-1)-SUMIF($A$5:$A$328,$A309,$V$5:$V$328)),0),ROUNDUP(O309*POWER(INDEX('建筑总览'!$J$5:$J$25,MATCH($A309,'建筑总览'!$A$5:$A$25,0)),D309),0))</f>
        <v/>
      </c>
      <c r="Y309" s="36">
        <f>IF(P309=0,0,IF(S309&gt;0,P309+W309+IF(D309=F309-1,MAX(0,S309-P309*(F309-1)-SUMIF($A$5:$A$328,$A309,$W$5:$W$328)),0),ROUNDUP(P309*POWER(INDEX('建筑总览'!$J$5:$J$25,MATCH($A309,'建筑总览'!$A$5:$A$25,0)),D309),0)))</f>
        <v/>
      </c>
      <c r="Z309" s="36">
        <f>IF(X309=0,0,MAX(1,ROUNDUP(X309*(1-'参数与公式'!$B$17),0)))</f>
        <v/>
      </c>
      <c r="AA309" s="36">
        <f>IF(Y309=0,0,MAX(1,ROUNDUP(Y309*(1-'参数与公式'!$B$17),0)))</f>
        <v/>
      </c>
      <c r="AB309" s="33" t="inlineStr">
        <is>
          <t>预算模式末级补足余数；旧模式按指数公式</t>
        </is>
      </c>
      <c r="AC309" s="49">
        <f>IF(A309=A308,IFERROR(M309/M308,""),"")</f>
        <v/>
      </c>
      <c r="AD309" s="49">
        <f>IF(AND(A309=A308,X308&gt;0),X309/X308,"")</f>
        <v/>
      </c>
    </row>
    <row r="310" ht="30" customHeight="1">
      <c r="A310" s="33" t="inlineStr">
        <is>
          <t>oath_grove</t>
        </is>
      </c>
      <c r="B310" s="33" t="inlineStr">
        <is>
          <t>结义林</t>
        </is>
      </c>
      <c r="C310" s="33" t="inlineStr">
        <is>
          <t>特殊建筑</t>
        </is>
      </c>
      <c r="D310" s="43" t="n">
        <v>4</v>
      </c>
      <c r="E310" s="36">
        <f>D310+1</f>
        <v/>
      </c>
      <c r="F310" s="43" t="n">
        <v>5</v>
      </c>
      <c r="G310" s="36">
        <f>INDEX('建筑建议总览'!$H$5:$H$25,MATCH($A310,'建筑建议总览'!$A$5:$A$25,0))</f>
        <v/>
      </c>
      <c r="H310" s="44">
        <f>INDEX('建筑建议总览'!$I$5:$I$25,MATCH($A310,'建筑建议总览'!$A$5:$A$25,0))</f>
        <v/>
      </c>
      <c r="I310" s="36">
        <f>INDEX('建筑建议总览'!$J$5:$J$25,MATCH($A310,'建筑建议总览'!$A$5:$A$25,0))</f>
        <v/>
      </c>
      <c r="J310" s="44">
        <f>POWER(H310,D310-1)</f>
        <v/>
      </c>
      <c r="K310" s="44">
        <f>SUMIF($A$5:$A$328,$A310,$J$5:$J$328)</f>
        <v/>
      </c>
      <c r="L310" s="36">
        <f>IF(I310&gt;0,ROUNDDOWN(MAX(0,I310-G310*(F310-1))*J310/K310,0),0)</f>
        <v/>
      </c>
      <c r="M310" s="36">
        <f>IF(I310&gt;0,G310+L310+IF(D310=F310-1,MAX(0,I310-G310*(F310-1)-SUMIF($A$5:$A$328,$A310,$L$5:$L$328)),0),ROUNDUP(G310*POWER(INDEX('建筑总览'!$G$5:$G$25,MATCH($A310,'建筑总览'!$A$5:$A$25,0)),D310),0))</f>
        <v/>
      </c>
      <c r="N310" s="35">
        <f>M310/'参数与公式'!$B$21</f>
        <v/>
      </c>
      <c r="O310" s="36">
        <f>INDEX('建筑建议总览'!$P$5:$P$25,MATCH($A310,'建筑建议总览'!$A$5:$A$25,0))</f>
        <v/>
      </c>
      <c r="P310" s="36">
        <f>INDEX('建筑建议总览'!$Q$5:$Q$25,MATCH($A310,'建筑建议总览'!$A$5:$A$25,0))</f>
        <v/>
      </c>
      <c r="Q310" s="44">
        <f>INDEX('建筑建议总览'!$R$5:$R$25,MATCH($A310,'建筑建议总览'!$A$5:$A$25,0))</f>
        <v/>
      </c>
      <c r="R310" s="36">
        <f>INDEX('建筑建议总览'!$S$5:$S$25,MATCH($A310,'建筑建议总览'!$A$5:$A$25,0))</f>
        <v/>
      </c>
      <c r="S310" s="36">
        <f>INDEX('建筑建议总览'!$T$5:$T$25,MATCH($A310,'建筑建议总览'!$A$5:$A$25,0))</f>
        <v/>
      </c>
      <c r="T310" s="44">
        <f>POWER(Q310,D310-1)</f>
        <v/>
      </c>
      <c r="U310" s="44">
        <f>SUMIF($A$5:$A$328,$A310,$T$5:$T$328)</f>
        <v/>
      </c>
      <c r="V310" s="36">
        <f>IF(R310&gt;0,ROUNDDOWN(MAX(0,R310-O310*(F310-1))*T310/U310,0),0)</f>
        <v/>
      </c>
      <c r="W310" s="36">
        <f>IF(S310&gt;0,ROUNDDOWN(MAX(0,S310-P310*(F310-1))*T310/U310,0),0)</f>
        <v/>
      </c>
      <c r="X310" s="36">
        <f>IF(R310&gt;0,O310+V310+IF(D310=F310-1,MAX(0,R310-O310*(F310-1)-SUMIF($A$5:$A$328,$A310,$V$5:$V$328)),0),ROUNDUP(O310*POWER(INDEX('建筑总览'!$J$5:$J$25,MATCH($A310,'建筑总览'!$A$5:$A$25,0)),D310),0))</f>
        <v/>
      </c>
      <c r="Y310" s="36">
        <f>IF(P310=0,0,IF(S310&gt;0,P310+W310+IF(D310=F310-1,MAX(0,S310-P310*(F310-1)-SUMIF($A$5:$A$328,$A310,$W$5:$W$328)),0),ROUNDUP(P310*POWER(INDEX('建筑总览'!$J$5:$J$25,MATCH($A310,'建筑总览'!$A$5:$A$25,0)),D310),0)))</f>
        <v/>
      </c>
      <c r="Z310" s="36">
        <f>IF(X310=0,0,MAX(1,ROUNDUP(X310*(1-'参数与公式'!$B$17),0)))</f>
        <v/>
      </c>
      <c r="AA310" s="36">
        <f>IF(Y310=0,0,MAX(1,ROUNDUP(Y310*(1-'参数与公式'!$B$17),0)))</f>
        <v/>
      </c>
      <c r="AB310" s="33" t="inlineStr">
        <is>
          <t>预算模式末级补足余数；旧模式按指数公式</t>
        </is>
      </c>
      <c r="AC310" s="49">
        <f>IF(A310=A309,IFERROR(M310/M309,""),"")</f>
        <v/>
      </c>
      <c r="AD310" s="49">
        <f>IF(AND(A310=A309,X309&gt;0),X310/X309,"")</f>
        <v/>
      </c>
    </row>
    <row r="311" ht="30" customHeight="1">
      <c r="A311" s="33" t="inlineStr">
        <is>
          <t>wall</t>
        </is>
      </c>
      <c r="B311" s="33" t="inlineStr">
        <is>
          <t>城墙</t>
        </is>
      </c>
      <c r="C311" s="33" t="inlineStr">
        <is>
          <t>城防建筑</t>
        </is>
      </c>
      <c r="D311" s="43" t="n">
        <v>1</v>
      </c>
      <c r="E311" s="36">
        <f>D311+1</f>
        <v/>
      </c>
      <c r="F311" s="43" t="n">
        <v>10</v>
      </c>
      <c r="G311" s="36">
        <f>INDEX('建筑建议总览'!$H$5:$H$25,MATCH($A311,'建筑建议总览'!$A$5:$A$25,0))</f>
        <v/>
      </c>
      <c r="H311" s="44">
        <f>INDEX('建筑建议总览'!$I$5:$I$25,MATCH($A311,'建筑建议总览'!$A$5:$A$25,0))</f>
        <v/>
      </c>
      <c r="I311" s="36">
        <f>INDEX('建筑建议总览'!$J$5:$J$25,MATCH($A311,'建筑建议总览'!$A$5:$A$25,0))</f>
        <v/>
      </c>
      <c r="J311" s="44">
        <f>POWER(H311,D311-1)</f>
        <v/>
      </c>
      <c r="K311" s="44">
        <f>SUMIF($A$5:$A$328,$A311,$J$5:$J$328)</f>
        <v/>
      </c>
      <c r="L311" s="36">
        <f>IF(I311&gt;0,ROUNDDOWN(MAX(0,I311-G311*(F311-1))*J311/K311,0),0)</f>
        <v/>
      </c>
      <c r="M311" s="36">
        <f>IF(I311&gt;0,G311+L311+IF(D311=F311-1,MAX(0,I311-G311*(F311-1)-SUMIF($A$5:$A$328,$A311,$L$5:$L$328)),0),ROUNDUP(G311*POWER(INDEX('建筑总览'!$G$5:$G$25,MATCH($A311,'建筑总览'!$A$5:$A$25,0)),D311),0))</f>
        <v/>
      </c>
      <c r="N311" s="35">
        <f>M311/'参数与公式'!$B$21</f>
        <v/>
      </c>
      <c r="O311" s="36">
        <f>INDEX('建筑建议总览'!$P$5:$P$25,MATCH($A311,'建筑建议总览'!$A$5:$A$25,0))</f>
        <v/>
      </c>
      <c r="P311" s="36">
        <f>INDEX('建筑建议总览'!$Q$5:$Q$25,MATCH($A311,'建筑建议总览'!$A$5:$A$25,0))</f>
        <v/>
      </c>
      <c r="Q311" s="44">
        <f>INDEX('建筑建议总览'!$R$5:$R$25,MATCH($A311,'建筑建议总览'!$A$5:$A$25,0))</f>
        <v/>
      </c>
      <c r="R311" s="36">
        <f>INDEX('建筑建议总览'!$S$5:$S$25,MATCH($A311,'建筑建议总览'!$A$5:$A$25,0))</f>
        <v/>
      </c>
      <c r="S311" s="36">
        <f>INDEX('建筑建议总览'!$T$5:$T$25,MATCH($A311,'建筑建议总览'!$A$5:$A$25,0))</f>
        <v/>
      </c>
      <c r="T311" s="44">
        <f>POWER(Q311,D311-1)</f>
        <v/>
      </c>
      <c r="U311" s="44">
        <f>SUMIF($A$5:$A$328,$A311,$T$5:$T$328)</f>
        <v/>
      </c>
      <c r="V311" s="36">
        <f>IF(R311&gt;0,ROUNDDOWN(MAX(0,R311-O311*(F311-1))*T311/U311,0),0)</f>
        <v/>
      </c>
      <c r="W311" s="36">
        <f>IF(S311&gt;0,ROUNDDOWN(MAX(0,S311-P311*(F311-1))*T311/U311,0),0)</f>
        <v/>
      </c>
      <c r="X311" s="36">
        <f>IF(R311&gt;0,O311+V311+IF(D311=F311-1,MAX(0,R311-O311*(F311-1)-SUMIF($A$5:$A$328,$A311,$V$5:$V$328)),0),ROUNDUP(O311*POWER(INDEX('建筑总览'!$J$5:$J$25,MATCH($A311,'建筑总览'!$A$5:$A$25,0)),D311),0))</f>
        <v/>
      </c>
      <c r="Y311" s="36">
        <f>IF(P311=0,0,IF(S311&gt;0,P311+W311+IF(D311=F311-1,MAX(0,S311-P311*(F311-1)-SUMIF($A$5:$A$328,$A311,$W$5:$W$328)),0),ROUNDUP(P311*POWER(INDEX('建筑总览'!$J$5:$J$25,MATCH($A311,'建筑总览'!$A$5:$A$25,0)),D311),0)))</f>
        <v/>
      </c>
      <c r="Z311" s="36">
        <f>IF(X311=0,0,MAX(1,ROUNDUP(X311*(1-'参数与公式'!$B$17),0)))</f>
        <v/>
      </c>
      <c r="AA311" s="36">
        <f>IF(Y311=0,0,MAX(1,ROUNDUP(Y311*(1-'参数与公式'!$B$17),0)))</f>
        <v/>
      </c>
      <c r="AB311" s="33" t="inlineStr">
        <is>
          <t>预算模式末级补足余数；旧模式按指数公式</t>
        </is>
      </c>
      <c r="AC311" s="49">
        <f>IF(A311=A310,IFERROR(M311/M310,""),"")</f>
        <v/>
      </c>
      <c r="AD311" s="49">
        <f>IF(AND(A311=A310,X310&gt;0),X311/X310,"")</f>
        <v/>
      </c>
    </row>
    <row r="312" ht="30" customHeight="1">
      <c r="A312" s="33" t="inlineStr">
        <is>
          <t>wall</t>
        </is>
      </c>
      <c r="B312" s="33" t="inlineStr">
        <is>
          <t>城墙</t>
        </is>
      </c>
      <c r="C312" s="33" t="inlineStr">
        <is>
          <t>城防建筑</t>
        </is>
      </c>
      <c r="D312" s="43" t="n">
        <v>2</v>
      </c>
      <c r="E312" s="36">
        <f>D312+1</f>
        <v/>
      </c>
      <c r="F312" s="43" t="n">
        <v>10</v>
      </c>
      <c r="G312" s="36">
        <f>INDEX('建筑建议总览'!$H$5:$H$25,MATCH($A312,'建筑建议总览'!$A$5:$A$25,0))</f>
        <v/>
      </c>
      <c r="H312" s="44">
        <f>INDEX('建筑建议总览'!$I$5:$I$25,MATCH($A312,'建筑建议总览'!$A$5:$A$25,0))</f>
        <v/>
      </c>
      <c r="I312" s="36">
        <f>INDEX('建筑建议总览'!$J$5:$J$25,MATCH($A312,'建筑建议总览'!$A$5:$A$25,0))</f>
        <v/>
      </c>
      <c r="J312" s="44">
        <f>POWER(H312,D312-1)</f>
        <v/>
      </c>
      <c r="K312" s="44">
        <f>SUMIF($A$5:$A$328,$A312,$J$5:$J$328)</f>
        <v/>
      </c>
      <c r="L312" s="36">
        <f>IF(I312&gt;0,ROUNDDOWN(MAX(0,I312-G312*(F312-1))*J312/K312,0),0)</f>
        <v/>
      </c>
      <c r="M312" s="36">
        <f>IF(I312&gt;0,G312+L312+IF(D312=F312-1,MAX(0,I312-G312*(F312-1)-SUMIF($A$5:$A$328,$A312,$L$5:$L$328)),0),ROUNDUP(G312*POWER(INDEX('建筑总览'!$G$5:$G$25,MATCH($A312,'建筑总览'!$A$5:$A$25,0)),D312),0))</f>
        <v/>
      </c>
      <c r="N312" s="35">
        <f>M312/'参数与公式'!$B$21</f>
        <v/>
      </c>
      <c r="O312" s="36">
        <f>INDEX('建筑建议总览'!$P$5:$P$25,MATCH($A312,'建筑建议总览'!$A$5:$A$25,0))</f>
        <v/>
      </c>
      <c r="P312" s="36">
        <f>INDEX('建筑建议总览'!$Q$5:$Q$25,MATCH($A312,'建筑建议总览'!$A$5:$A$25,0))</f>
        <v/>
      </c>
      <c r="Q312" s="44">
        <f>INDEX('建筑建议总览'!$R$5:$R$25,MATCH($A312,'建筑建议总览'!$A$5:$A$25,0))</f>
        <v/>
      </c>
      <c r="R312" s="36">
        <f>INDEX('建筑建议总览'!$S$5:$S$25,MATCH($A312,'建筑建议总览'!$A$5:$A$25,0))</f>
        <v/>
      </c>
      <c r="S312" s="36">
        <f>INDEX('建筑建议总览'!$T$5:$T$25,MATCH($A312,'建筑建议总览'!$A$5:$A$25,0))</f>
        <v/>
      </c>
      <c r="T312" s="44">
        <f>POWER(Q312,D312-1)</f>
        <v/>
      </c>
      <c r="U312" s="44">
        <f>SUMIF($A$5:$A$328,$A312,$T$5:$T$328)</f>
        <v/>
      </c>
      <c r="V312" s="36">
        <f>IF(R312&gt;0,ROUNDDOWN(MAX(0,R312-O312*(F312-1))*T312/U312,0),0)</f>
        <v/>
      </c>
      <c r="W312" s="36">
        <f>IF(S312&gt;0,ROUNDDOWN(MAX(0,S312-P312*(F312-1))*T312/U312,0),0)</f>
        <v/>
      </c>
      <c r="X312" s="36">
        <f>IF(R312&gt;0,O312+V312+IF(D312=F312-1,MAX(0,R312-O312*(F312-1)-SUMIF($A$5:$A$328,$A312,$V$5:$V$328)),0),ROUNDUP(O312*POWER(INDEX('建筑总览'!$J$5:$J$25,MATCH($A312,'建筑总览'!$A$5:$A$25,0)),D312),0))</f>
        <v/>
      </c>
      <c r="Y312" s="36">
        <f>IF(P312=0,0,IF(S312&gt;0,P312+W312+IF(D312=F312-1,MAX(0,S312-P312*(F312-1)-SUMIF($A$5:$A$328,$A312,$W$5:$W$328)),0),ROUNDUP(P312*POWER(INDEX('建筑总览'!$J$5:$J$25,MATCH($A312,'建筑总览'!$A$5:$A$25,0)),D312),0)))</f>
        <v/>
      </c>
      <c r="Z312" s="36">
        <f>IF(X312=0,0,MAX(1,ROUNDUP(X312*(1-'参数与公式'!$B$17),0)))</f>
        <v/>
      </c>
      <c r="AA312" s="36">
        <f>IF(Y312=0,0,MAX(1,ROUNDUP(Y312*(1-'参数与公式'!$B$17),0)))</f>
        <v/>
      </c>
      <c r="AB312" s="33" t="inlineStr">
        <is>
          <t>预算模式末级补足余数；旧模式按指数公式</t>
        </is>
      </c>
      <c r="AC312" s="49">
        <f>IF(A312=A311,IFERROR(M312/M311,""),"")</f>
        <v/>
      </c>
      <c r="AD312" s="49">
        <f>IF(AND(A312=A311,X311&gt;0),X312/X311,"")</f>
        <v/>
      </c>
    </row>
    <row r="313" ht="30" customHeight="1">
      <c r="A313" s="33" t="inlineStr">
        <is>
          <t>wall</t>
        </is>
      </c>
      <c r="B313" s="33" t="inlineStr">
        <is>
          <t>城墙</t>
        </is>
      </c>
      <c r="C313" s="33" t="inlineStr">
        <is>
          <t>城防建筑</t>
        </is>
      </c>
      <c r="D313" s="43" t="n">
        <v>3</v>
      </c>
      <c r="E313" s="36">
        <f>D313+1</f>
        <v/>
      </c>
      <c r="F313" s="43" t="n">
        <v>10</v>
      </c>
      <c r="G313" s="36">
        <f>INDEX('建筑建议总览'!$H$5:$H$25,MATCH($A313,'建筑建议总览'!$A$5:$A$25,0))</f>
        <v/>
      </c>
      <c r="H313" s="44">
        <f>INDEX('建筑建议总览'!$I$5:$I$25,MATCH($A313,'建筑建议总览'!$A$5:$A$25,0))</f>
        <v/>
      </c>
      <c r="I313" s="36">
        <f>INDEX('建筑建议总览'!$J$5:$J$25,MATCH($A313,'建筑建议总览'!$A$5:$A$25,0))</f>
        <v/>
      </c>
      <c r="J313" s="44">
        <f>POWER(H313,D313-1)</f>
        <v/>
      </c>
      <c r="K313" s="44">
        <f>SUMIF($A$5:$A$328,$A313,$J$5:$J$328)</f>
        <v/>
      </c>
      <c r="L313" s="36">
        <f>IF(I313&gt;0,ROUNDDOWN(MAX(0,I313-G313*(F313-1))*J313/K313,0),0)</f>
        <v/>
      </c>
      <c r="M313" s="36">
        <f>IF(I313&gt;0,G313+L313+IF(D313=F313-1,MAX(0,I313-G313*(F313-1)-SUMIF($A$5:$A$328,$A313,$L$5:$L$328)),0),ROUNDUP(G313*POWER(INDEX('建筑总览'!$G$5:$G$25,MATCH($A313,'建筑总览'!$A$5:$A$25,0)),D313),0))</f>
        <v/>
      </c>
      <c r="N313" s="35">
        <f>M313/'参数与公式'!$B$21</f>
        <v/>
      </c>
      <c r="O313" s="36">
        <f>INDEX('建筑建议总览'!$P$5:$P$25,MATCH($A313,'建筑建议总览'!$A$5:$A$25,0))</f>
        <v/>
      </c>
      <c r="P313" s="36">
        <f>INDEX('建筑建议总览'!$Q$5:$Q$25,MATCH($A313,'建筑建议总览'!$A$5:$A$25,0))</f>
        <v/>
      </c>
      <c r="Q313" s="44">
        <f>INDEX('建筑建议总览'!$R$5:$R$25,MATCH($A313,'建筑建议总览'!$A$5:$A$25,0))</f>
        <v/>
      </c>
      <c r="R313" s="36">
        <f>INDEX('建筑建议总览'!$S$5:$S$25,MATCH($A313,'建筑建议总览'!$A$5:$A$25,0))</f>
        <v/>
      </c>
      <c r="S313" s="36">
        <f>INDEX('建筑建议总览'!$T$5:$T$25,MATCH($A313,'建筑建议总览'!$A$5:$A$25,0))</f>
        <v/>
      </c>
      <c r="T313" s="44">
        <f>POWER(Q313,D313-1)</f>
        <v/>
      </c>
      <c r="U313" s="44">
        <f>SUMIF($A$5:$A$328,$A313,$T$5:$T$328)</f>
        <v/>
      </c>
      <c r="V313" s="36">
        <f>IF(R313&gt;0,ROUNDDOWN(MAX(0,R313-O313*(F313-1))*T313/U313,0),0)</f>
        <v/>
      </c>
      <c r="W313" s="36">
        <f>IF(S313&gt;0,ROUNDDOWN(MAX(0,S313-P313*(F313-1))*T313/U313,0),0)</f>
        <v/>
      </c>
      <c r="X313" s="36">
        <f>IF(R313&gt;0,O313+V313+IF(D313=F313-1,MAX(0,R313-O313*(F313-1)-SUMIF($A$5:$A$328,$A313,$V$5:$V$328)),0),ROUNDUP(O313*POWER(INDEX('建筑总览'!$J$5:$J$25,MATCH($A313,'建筑总览'!$A$5:$A$25,0)),D313),0))</f>
        <v/>
      </c>
      <c r="Y313" s="36">
        <f>IF(P313=0,0,IF(S313&gt;0,P313+W313+IF(D313=F313-1,MAX(0,S313-P313*(F313-1)-SUMIF($A$5:$A$328,$A313,$W$5:$W$328)),0),ROUNDUP(P313*POWER(INDEX('建筑总览'!$J$5:$J$25,MATCH($A313,'建筑总览'!$A$5:$A$25,0)),D313),0)))</f>
        <v/>
      </c>
      <c r="Z313" s="36">
        <f>IF(X313=0,0,MAX(1,ROUNDUP(X313*(1-'参数与公式'!$B$17),0)))</f>
        <v/>
      </c>
      <c r="AA313" s="36">
        <f>IF(Y313=0,0,MAX(1,ROUNDUP(Y313*(1-'参数与公式'!$B$17),0)))</f>
        <v/>
      </c>
      <c r="AB313" s="33" t="inlineStr">
        <is>
          <t>预算模式末级补足余数；旧模式按指数公式</t>
        </is>
      </c>
      <c r="AC313" s="49">
        <f>IF(A313=A312,IFERROR(M313/M312,""),"")</f>
        <v/>
      </c>
      <c r="AD313" s="49">
        <f>IF(AND(A313=A312,X312&gt;0),X313/X312,"")</f>
        <v/>
      </c>
    </row>
    <row r="314" ht="30" customHeight="1">
      <c r="A314" s="33" t="inlineStr">
        <is>
          <t>wall</t>
        </is>
      </c>
      <c r="B314" s="33" t="inlineStr">
        <is>
          <t>城墙</t>
        </is>
      </c>
      <c r="C314" s="33" t="inlineStr">
        <is>
          <t>城防建筑</t>
        </is>
      </c>
      <c r="D314" s="43" t="n">
        <v>4</v>
      </c>
      <c r="E314" s="36">
        <f>D314+1</f>
        <v/>
      </c>
      <c r="F314" s="43" t="n">
        <v>10</v>
      </c>
      <c r="G314" s="36">
        <f>INDEX('建筑建议总览'!$H$5:$H$25,MATCH($A314,'建筑建议总览'!$A$5:$A$25,0))</f>
        <v/>
      </c>
      <c r="H314" s="44">
        <f>INDEX('建筑建议总览'!$I$5:$I$25,MATCH($A314,'建筑建议总览'!$A$5:$A$25,0))</f>
        <v/>
      </c>
      <c r="I314" s="36">
        <f>INDEX('建筑建议总览'!$J$5:$J$25,MATCH($A314,'建筑建议总览'!$A$5:$A$25,0))</f>
        <v/>
      </c>
      <c r="J314" s="44">
        <f>POWER(H314,D314-1)</f>
        <v/>
      </c>
      <c r="K314" s="44">
        <f>SUMIF($A$5:$A$328,$A314,$J$5:$J$328)</f>
        <v/>
      </c>
      <c r="L314" s="36">
        <f>IF(I314&gt;0,ROUNDDOWN(MAX(0,I314-G314*(F314-1))*J314/K314,0),0)</f>
        <v/>
      </c>
      <c r="M314" s="36">
        <f>IF(I314&gt;0,G314+L314+IF(D314=F314-1,MAX(0,I314-G314*(F314-1)-SUMIF($A$5:$A$328,$A314,$L$5:$L$328)),0),ROUNDUP(G314*POWER(INDEX('建筑总览'!$G$5:$G$25,MATCH($A314,'建筑总览'!$A$5:$A$25,0)),D314),0))</f>
        <v/>
      </c>
      <c r="N314" s="35">
        <f>M314/'参数与公式'!$B$21</f>
        <v/>
      </c>
      <c r="O314" s="36">
        <f>INDEX('建筑建议总览'!$P$5:$P$25,MATCH($A314,'建筑建议总览'!$A$5:$A$25,0))</f>
        <v/>
      </c>
      <c r="P314" s="36">
        <f>INDEX('建筑建议总览'!$Q$5:$Q$25,MATCH($A314,'建筑建议总览'!$A$5:$A$25,0))</f>
        <v/>
      </c>
      <c r="Q314" s="44">
        <f>INDEX('建筑建议总览'!$R$5:$R$25,MATCH($A314,'建筑建议总览'!$A$5:$A$25,0))</f>
        <v/>
      </c>
      <c r="R314" s="36">
        <f>INDEX('建筑建议总览'!$S$5:$S$25,MATCH($A314,'建筑建议总览'!$A$5:$A$25,0))</f>
        <v/>
      </c>
      <c r="S314" s="36">
        <f>INDEX('建筑建议总览'!$T$5:$T$25,MATCH($A314,'建筑建议总览'!$A$5:$A$25,0))</f>
        <v/>
      </c>
      <c r="T314" s="44">
        <f>POWER(Q314,D314-1)</f>
        <v/>
      </c>
      <c r="U314" s="44">
        <f>SUMIF($A$5:$A$328,$A314,$T$5:$T$328)</f>
        <v/>
      </c>
      <c r="V314" s="36">
        <f>IF(R314&gt;0,ROUNDDOWN(MAX(0,R314-O314*(F314-1))*T314/U314,0),0)</f>
        <v/>
      </c>
      <c r="W314" s="36">
        <f>IF(S314&gt;0,ROUNDDOWN(MAX(0,S314-P314*(F314-1))*T314/U314,0),0)</f>
        <v/>
      </c>
      <c r="X314" s="36">
        <f>IF(R314&gt;0,O314+V314+IF(D314=F314-1,MAX(0,R314-O314*(F314-1)-SUMIF($A$5:$A$328,$A314,$V$5:$V$328)),0),ROUNDUP(O314*POWER(INDEX('建筑总览'!$J$5:$J$25,MATCH($A314,'建筑总览'!$A$5:$A$25,0)),D314),0))</f>
        <v/>
      </c>
      <c r="Y314" s="36">
        <f>IF(P314=0,0,IF(S314&gt;0,P314+W314+IF(D314=F314-1,MAX(0,S314-P314*(F314-1)-SUMIF($A$5:$A$328,$A314,$W$5:$W$328)),0),ROUNDUP(P314*POWER(INDEX('建筑总览'!$J$5:$J$25,MATCH($A314,'建筑总览'!$A$5:$A$25,0)),D314),0)))</f>
        <v/>
      </c>
      <c r="Z314" s="36">
        <f>IF(X314=0,0,MAX(1,ROUNDUP(X314*(1-'参数与公式'!$B$17),0)))</f>
        <v/>
      </c>
      <c r="AA314" s="36">
        <f>IF(Y314=0,0,MAX(1,ROUNDUP(Y314*(1-'参数与公式'!$B$17),0)))</f>
        <v/>
      </c>
      <c r="AB314" s="33" t="inlineStr">
        <is>
          <t>预算模式末级补足余数；旧模式按指数公式</t>
        </is>
      </c>
      <c r="AC314" s="49">
        <f>IF(A314=A313,IFERROR(M314/M313,""),"")</f>
        <v/>
      </c>
      <c r="AD314" s="49">
        <f>IF(AND(A314=A313,X313&gt;0),X314/X313,"")</f>
        <v/>
      </c>
    </row>
    <row r="315" ht="30" customHeight="1">
      <c r="A315" s="33" t="inlineStr">
        <is>
          <t>wall</t>
        </is>
      </c>
      <c r="B315" s="33" t="inlineStr">
        <is>
          <t>城墙</t>
        </is>
      </c>
      <c r="C315" s="33" t="inlineStr">
        <is>
          <t>城防建筑</t>
        </is>
      </c>
      <c r="D315" s="43" t="n">
        <v>5</v>
      </c>
      <c r="E315" s="36">
        <f>D315+1</f>
        <v/>
      </c>
      <c r="F315" s="43" t="n">
        <v>10</v>
      </c>
      <c r="G315" s="36">
        <f>INDEX('建筑建议总览'!$H$5:$H$25,MATCH($A315,'建筑建议总览'!$A$5:$A$25,0))</f>
        <v/>
      </c>
      <c r="H315" s="44">
        <f>INDEX('建筑建议总览'!$I$5:$I$25,MATCH($A315,'建筑建议总览'!$A$5:$A$25,0))</f>
        <v/>
      </c>
      <c r="I315" s="36">
        <f>INDEX('建筑建议总览'!$J$5:$J$25,MATCH($A315,'建筑建议总览'!$A$5:$A$25,0))</f>
        <v/>
      </c>
      <c r="J315" s="44">
        <f>POWER(H315,D315-1)</f>
        <v/>
      </c>
      <c r="K315" s="44">
        <f>SUMIF($A$5:$A$328,$A315,$J$5:$J$328)</f>
        <v/>
      </c>
      <c r="L315" s="36">
        <f>IF(I315&gt;0,ROUNDDOWN(MAX(0,I315-G315*(F315-1))*J315/K315,0),0)</f>
        <v/>
      </c>
      <c r="M315" s="36">
        <f>IF(I315&gt;0,G315+L315+IF(D315=F315-1,MAX(0,I315-G315*(F315-1)-SUMIF($A$5:$A$328,$A315,$L$5:$L$328)),0),ROUNDUP(G315*POWER(INDEX('建筑总览'!$G$5:$G$25,MATCH($A315,'建筑总览'!$A$5:$A$25,0)),D315),0))</f>
        <v/>
      </c>
      <c r="N315" s="35">
        <f>M315/'参数与公式'!$B$21</f>
        <v/>
      </c>
      <c r="O315" s="36">
        <f>INDEX('建筑建议总览'!$P$5:$P$25,MATCH($A315,'建筑建议总览'!$A$5:$A$25,0))</f>
        <v/>
      </c>
      <c r="P315" s="36">
        <f>INDEX('建筑建议总览'!$Q$5:$Q$25,MATCH($A315,'建筑建议总览'!$A$5:$A$25,0))</f>
        <v/>
      </c>
      <c r="Q315" s="44">
        <f>INDEX('建筑建议总览'!$R$5:$R$25,MATCH($A315,'建筑建议总览'!$A$5:$A$25,0))</f>
        <v/>
      </c>
      <c r="R315" s="36">
        <f>INDEX('建筑建议总览'!$S$5:$S$25,MATCH($A315,'建筑建议总览'!$A$5:$A$25,0))</f>
        <v/>
      </c>
      <c r="S315" s="36">
        <f>INDEX('建筑建议总览'!$T$5:$T$25,MATCH($A315,'建筑建议总览'!$A$5:$A$25,0))</f>
        <v/>
      </c>
      <c r="T315" s="44">
        <f>POWER(Q315,D315-1)</f>
        <v/>
      </c>
      <c r="U315" s="44">
        <f>SUMIF($A$5:$A$328,$A315,$T$5:$T$328)</f>
        <v/>
      </c>
      <c r="V315" s="36">
        <f>IF(R315&gt;0,ROUNDDOWN(MAX(0,R315-O315*(F315-1))*T315/U315,0),0)</f>
        <v/>
      </c>
      <c r="W315" s="36">
        <f>IF(S315&gt;0,ROUNDDOWN(MAX(0,S315-P315*(F315-1))*T315/U315,0),0)</f>
        <v/>
      </c>
      <c r="X315" s="36">
        <f>IF(R315&gt;0,O315+V315+IF(D315=F315-1,MAX(0,R315-O315*(F315-1)-SUMIF($A$5:$A$328,$A315,$V$5:$V$328)),0),ROUNDUP(O315*POWER(INDEX('建筑总览'!$J$5:$J$25,MATCH($A315,'建筑总览'!$A$5:$A$25,0)),D315),0))</f>
        <v/>
      </c>
      <c r="Y315" s="36">
        <f>IF(P315=0,0,IF(S315&gt;0,P315+W315+IF(D315=F315-1,MAX(0,S315-P315*(F315-1)-SUMIF($A$5:$A$328,$A315,$W$5:$W$328)),0),ROUNDUP(P315*POWER(INDEX('建筑总览'!$J$5:$J$25,MATCH($A315,'建筑总览'!$A$5:$A$25,0)),D315),0)))</f>
        <v/>
      </c>
      <c r="Z315" s="36">
        <f>IF(X315=0,0,MAX(1,ROUNDUP(X315*(1-'参数与公式'!$B$17),0)))</f>
        <v/>
      </c>
      <c r="AA315" s="36">
        <f>IF(Y315=0,0,MAX(1,ROUNDUP(Y315*(1-'参数与公式'!$B$17),0)))</f>
        <v/>
      </c>
      <c r="AB315" s="33" t="inlineStr">
        <is>
          <t>预算模式末级补足余数；旧模式按指数公式</t>
        </is>
      </c>
      <c r="AC315" s="49">
        <f>IF(A315=A314,IFERROR(M315/M314,""),"")</f>
        <v/>
      </c>
      <c r="AD315" s="49">
        <f>IF(AND(A315=A314,X314&gt;0),X315/X314,"")</f>
        <v/>
      </c>
    </row>
    <row r="316" ht="30" customHeight="1">
      <c r="A316" s="33" t="inlineStr">
        <is>
          <t>wall</t>
        </is>
      </c>
      <c r="B316" s="33" t="inlineStr">
        <is>
          <t>城墙</t>
        </is>
      </c>
      <c r="C316" s="33" t="inlineStr">
        <is>
          <t>城防建筑</t>
        </is>
      </c>
      <c r="D316" s="43" t="n">
        <v>6</v>
      </c>
      <c r="E316" s="36">
        <f>D316+1</f>
        <v/>
      </c>
      <c r="F316" s="43" t="n">
        <v>10</v>
      </c>
      <c r="G316" s="36">
        <f>INDEX('建筑建议总览'!$H$5:$H$25,MATCH($A316,'建筑建议总览'!$A$5:$A$25,0))</f>
        <v/>
      </c>
      <c r="H316" s="44">
        <f>INDEX('建筑建议总览'!$I$5:$I$25,MATCH($A316,'建筑建议总览'!$A$5:$A$25,0))</f>
        <v/>
      </c>
      <c r="I316" s="36">
        <f>INDEX('建筑建议总览'!$J$5:$J$25,MATCH($A316,'建筑建议总览'!$A$5:$A$25,0))</f>
        <v/>
      </c>
      <c r="J316" s="44">
        <f>POWER(H316,D316-1)</f>
        <v/>
      </c>
      <c r="K316" s="44">
        <f>SUMIF($A$5:$A$328,$A316,$J$5:$J$328)</f>
        <v/>
      </c>
      <c r="L316" s="36">
        <f>IF(I316&gt;0,ROUNDDOWN(MAX(0,I316-G316*(F316-1))*J316/K316,0),0)</f>
        <v/>
      </c>
      <c r="M316" s="36">
        <f>IF(I316&gt;0,G316+L316+IF(D316=F316-1,MAX(0,I316-G316*(F316-1)-SUMIF($A$5:$A$328,$A316,$L$5:$L$328)),0),ROUNDUP(G316*POWER(INDEX('建筑总览'!$G$5:$G$25,MATCH($A316,'建筑总览'!$A$5:$A$25,0)),D316),0))</f>
        <v/>
      </c>
      <c r="N316" s="35">
        <f>M316/'参数与公式'!$B$21</f>
        <v/>
      </c>
      <c r="O316" s="36">
        <f>INDEX('建筑建议总览'!$P$5:$P$25,MATCH($A316,'建筑建议总览'!$A$5:$A$25,0))</f>
        <v/>
      </c>
      <c r="P316" s="36">
        <f>INDEX('建筑建议总览'!$Q$5:$Q$25,MATCH($A316,'建筑建议总览'!$A$5:$A$25,0))</f>
        <v/>
      </c>
      <c r="Q316" s="44">
        <f>INDEX('建筑建议总览'!$R$5:$R$25,MATCH($A316,'建筑建议总览'!$A$5:$A$25,0))</f>
        <v/>
      </c>
      <c r="R316" s="36">
        <f>INDEX('建筑建议总览'!$S$5:$S$25,MATCH($A316,'建筑建议总览'!$A$5:$A$25,0))</f>
        <v/>
      </c>
      <c r="S316" s="36">
        <f>INDEX('建筑建议总览'!$T$5:$T$25,MATCH($A316,'建筑建议总览'!$A$5:$A$25,0))</f>
        <v/>
      </c>
      <c r="T316" s="44">
        <f>POWER(Q316,D316-1)</f>
        <v/>
      </c>
      <c r="U316" s="44">
        <f>SUMIF($A$5:$A$328,$A316,$T$5:$T$328)</f>
        <v/>
      </c>
      <c r="V316" s="36">
        <f>IF(R316&gt;0,ROUNDDOWN(MAX(0,R316-O316*(F316-1))*T316/U316,0),0)</f>
        <v/>
      </c>
      <c r="W316" s="36">
        <f>IF(S316&gt;0,ROUNDDOWN(MAX(0,S316-P316*(F316-1))*T316/U316,0),0)</f>
        <v/>
      </c>
      <c r="X316" s="36">
        <f>IF(R316&gt;0,O316+V316+IF(D316=F316-1,MAX(0,R316-O316*(F316-1)-SUMIF($A$5:$A$328,$A316,$V$5:$V$328)),0),ROUNDUP(O316*POWER(INDEX('建筑总览'!$J$5:$J$25,MATCH($A316,'建筑总览'!$A$5:$A$25,0)),D316),0))</f>
        <v/>
      </c>
      <c r="Y316" s="36">
        <f>IF(P316=0,0,IF(S316&gt;0,P316+W316+IF(D316=F316-1,MAX(0,S316-P316*(F316-1)-SUMIF($A$5:$A$328,$A316,$W$5:$W$328)),0),ROUNDUP(P316*POWER(INDEX('建筑总览'!$J$5:$J$25,MATCH($A316,'建筑总览'!$A$5:$A$25,0)),D316),0)))</f>
        <v/>
      </c>
      <c r="Z316" s="36">
        <f>IF(X316=0,0,MAX(1,ROUNDUP(X316*(1-'参数与公式'!$B$17),0)))</f>
        <v/>
      </c>
      <c r="AA316" s="36">
        <f>IF(Y316=0,0,MAX(1,ROUNDUP(Y316*(1-'参数与公式'!$B$17),0)))</f>
        <v/>
      </c>
      <c r="AB316" s="33" t="inlineStr">
        <is>
          <t>预算模式末级补足余数；旧模式按指数公式</t>
        </is>
      </c>
      <c r="AC316" s="49">
        <f>IF(A316=A315,IFERROR(M316/M315,""),"")</f>
        <v/>
      </c>
      <c r="AD316" s="49">
        <f>IF(AND(A316=A315,X315&gt;0),X316/X315,"")</f>
        <v/>
      </c>
    </row>
    <row r="317" ht="30" customHeight="1">
      <c r="A317" s="33" t="inlineStr">
        <is>
          <t>wall</t>
        </is>
      </c>
      <c r="B317" s="33" t="inlineStr">
        <is>
          <t>城墙</t>
        </is>
      </c>
      <c r="C317" s="33" t="inlineStr">
        <is>
          <t>城防建筑</t>
        </is>
      </c>
      <c r="D317" s="43" t="n">
        <v>7</v>
      </c>
      <c r="E317" s="36">
        <f>D317+1</f>
        <v/>
      </c>
      <c r="F317" s="43" t="n">
        <v>10</v>
      </c>
      <c r="G317" s="36">
        <f>INDEX('建筑建议总览'!$H$5:$H$25,MATCH($A317,'建筑建议总览'!$A$5:$A$25,0))</f>
        <v/>
      </c>
      <c r="H317" s="44">
        <f>INDEX('建筑建议总览'!$I$5:$I$25,MATCH($A317,'建筑建议总览'!$A$5:$A$25,0))</f>
        <v/>
      </c>
      <c r="I317" s="36">
        <f>INDEX('建筑建议总览'!$J$5:$J$25,MATCH($A317,'建筑建议总览'!$A$5:$A$25,0))</f>
        <v/>
      </c>
      <c r="J317" s="44">
        <f>POWER(H317,D317-1)</f>
        <v/>
      </c>
      <c r="K317" s="44">
        <f>SUMIF($A$5:$A$328,$A317,$J$5:$J$328)</f>
        <v/>
      </c>
      <c r="L317" s="36">
        <f>IF(I317&gt;0,ROUNDDOWN(MAX(0,I317-G317*(F317-1))*J317/K317,0),0)</f>
        <v/>
      </c>
      <c r="M317" s="36">
        <f>IF(I317&gt;0,G317+L317+IF(D317=F317-1,MAX(0,I317-G317*(F317-1)-SUMIF($A$5:$A$328,$A317,$L$5:$L$328)),0),ROUNDUP(G317*POWER(INDEX('建筑总览'!$G$5:$G$25,MATCH($A317,'建筑总览'!$A$5:$A$25,0)),D317),0))</f>
        <v/>
      </c>
      <c r="N317" s="35">
        <f>M317/'参数与公式'!$B$21</f>
        <v/>
      </c>
      <c r="O317" s="36">
        <f>INDEX('建筑建议总览'!$P$5:$P$25,MATCH($A317,'建筑建议总览'!$A$5:$A$25,0))</f>
        <v/>
      </c>
      <c r="P317" s="36">
        <f>INDEX('建筑建议总览'!$Q$5:$Q$25,MATCH($A317,'建筑建议总览'!$A$5:$A$25,0))</f>
        <v/>
      </c>
      <c r="Q317" s="44">
        <f>INDEX('建筑建议总览'!$R$5:$R$25,MATCH($A317,'建筑建议总览'!$A$5:$A$25,0))</f>
        <v/>
      </c>
      <c r="R317" s="36">
        <f>INDEX('建筑建议总览'!$S$5:$S$25,MATCH($A317,'建筑建议总览'!$A$5:$A$25,0))</f>
        <v/>
      </c>
      <c r="S317" s="36">
        <f>INDEX('建筑建议总览'!$T$5:$T$25,MATCH($A317,'建筑建议总览'!$A$5:$A$25,0))</f>
        <v/>
      </c>
      <c r="T317" s="44">
        <f>POWER(Q317,D317-1)</f>
        <v/>
      </c>
      <c r="U317" s="44">
        <f>SUMIF($A$5:$A$328,$A317,$T$5:$T$328)</f>
        <v/>
      </c>
      <c r="V317" s="36">
        <f>IF(R317&gt;0,ROUNDDOWN(MAX(0,R317-O317*(F317-1))*T317/U317,0),0)</f>
        <v/>
      </c>
      <c r="W317" s="36">
        <f>IF(S317&gt;0,ROUNDDOWN(MAX(0,S317-P317*(F317-1))*T317/U317,0),0)</f>
        <v/>
      </c>
      <c r="X317" s="36">
        <f>IF(R317&gt;0,O317+V317+IF(D317=F317-1,MAX(0,R317-O317*(F317-1)-SUMIF($A$5:$A$328,$A317,$V$5:$V$328)),0),ROUNDUP(O317*POWER(INDEX('建筑总览'!$J$5:$J$25,MATCH($A317,'建筑总览'!$A$5:$A$25,0)),D317),0))</f>
        <v/>
      </c>
      <c r="Y317" s="36">
        <f>IF(P317=0,0,IF(S317&gt;0,P317+W317+IF(D317=F317-1,MAX(0,S317-P317*(F317-1)-SUMIF($A$5:$A$328,$A317,$W$5:$W$328)),0),ROUNDUP(P317*POWER(INDEX('建筑总览'!$J$5:$J$25,MATCH($A317,'建筑总览'!$A$5:$A$25,0)),D317),0)))</f>
        <v/>
      </c>
      <c r="Z317" s="36">
        <f>IF(X317=0,0,MAX(1,ROUNDUP(X317*(1-'参数与公式'!$B$17),0)))</f>
        <v/>
      </c>
      <c r="AA317" s="36">
        <f>IF(Y317=0,0,MAX(1,ROUNDUP(Y317*(1-'参数与公式'!$B$17),0)))</f>
        <v/>
      </c>
      <c r="AB317" s="33" t="inlineStr">
        <is>
          <t>预算模式末级补足余数；旧模式按指数公式</t>
        </is>
      </c>
      <c r="AC317" s="49">
        <f>IF(A317=A316,IFERROR(M317/M316,""),"")</f>
        <v/>
      </c>
      <c r="AD317" s="49">
        <f>IF(AND(A317=A316,X316&gt;0),X317/X316,"")</f>
        <v/>
      </c>
    </row>
    <row r="318" ht="30" customHeight="1">
      <c r="A318" s="33" t="inlineStr">
        <is>
          <t>wall</t>
        </is>
      </c>
      <c r="B318" s="33" t="inlineStr">
        <is>
          <t>城墙</t>
        </is>
      </c>
      <c r="C318" s="33" t="inlineStr">
        <is>
          <t>城防建筑</t>
        </is>
      </c>
      <c r="D318" s="43" t="n">
        <v>8</v>
      </c>
      <c r="E318" s="36">
        <f>D318+1</f>
        <v/>
      </c>
      <c r="F318" s="43" t="n">
        <v>10</v>
      </c>
      <c r="G318" s="36">
        <f>INDEX('建筑建议总览'!$H$5:$H$25,MATCH($A318,'建筑建议总览'!$A$5:$A$25,0))</f>
        <v/>
      </c>
      <c r="H318" s="44">
        <f>INDEX('建筑建议总览'!$I$5:$I$25,MATCH($A318,'建筑建议总览'!$A$5:$A$25,0))</f>
        <v/>
      </c>
      <c r="I318" s="36">
        <f>INDEX('建筑建议总览'!$J$5:$J$25,MATCH($A318,'建筑建议总览'!$A$5:$A$25,0))</f>
        <v/>
      </c>
      <c r="J318" s="44">
        <f>POWER(H318,D318-1)</f>
        <v/>
      </c>
      <c r="K318" s="44">
        <f>SUMIF($A$5:$A$328,$A318,$J$5:$J$328)</f>
        <v/>
      </c>
      <c r="L318" s="36">
        <f>IF(I318&gt;0,ROUNDDOWN(MAX(0,I318-G318*(F318-1))*J318/K318,0),0)</f>
        <v/>
      </c>
      <c r="M318" s="36">
        <f>IF(I318&gt;0,G318+L318+IF(D318=F318-1,MAX(0,I318-G318*(F318-1)-SUMIF($A$5:$A$328,$A318,$L$5:$L$328)),0),ROUNDUP(G318*POWER(INDEX('建筑总览'!$G$5:$G$25,MATCH($A318,'建筑总览'!$A$5:$A$25,0)),D318),0))</f>
        <v/>
      </c>
      <c r="N318" s="35">
        <f>M318/'参数与公式'!$B$21</f>
        <v/>
      </c>
      <c r="O318" s="36">
        <f>INDEX('建筑建议总览'!$P$5:$P$25,MATCH($A318,'建筑建议总览'!$A$5:$A$25,0))</f>
        <v/>
      </c>
      <c r="P318" s="36">
        <f>INDEX('建筑建议总览'!$Q$5:$Q$25,MATCH($A318,'建筑建议总览'!$A$5:$A$25,0))</f>
        <v/>
      </c>
      <c r="Q318" s="44">
        <f>INDEX('建筑建议总览'!$R$5:$R$25,MATCH($A318,'建筑建议总览'!$A$5:$A$25,0))</f>
        <v/>
      </c>
      <c r="R318" s="36">
        <f>INDEX('建筑建议总览'!$S$5:$S$25,MATCH($A318,'建筑建议总览'!$A$5:$A$25,0))</f>
        <v/>
      </c>
      <c r="S318" s="36">
        <f>INDEX('建筑建议总览'!$T$5:$T$25,MATCH($A318,'建筑建议总览'!$A$5:$A$25,0))</f>
        <v/>
      </c>
      <c r="T318" s="44">
        <f>POWER(Q318,D318-1)</f>
        <v/>
      </c>
      <c r="U318" s="44">
        <f>SUMIF($A$5:$A$328,$A318,$T$5:$T$328)</f>
        <v/>
      </c>
      <c r="V318" s="36">
        <f>IF(R318&gt;0,ROUNDDOWN(MAX(0,R318-O318*(F318-1))*T318/U318,0),0)</f>
        <v/>
      </c>
      <c r="W318" s="36">
        <f>IF(S318&gt;0,ROUNDDOWN(MAX(0,S318-P318*(F318-1))*T318/U318,0),0)</f>
        <v/>
      </c>
      <c r="X318" s="36">
        <f>IF(R318&gt;0,O318+V318+IF(D318=F318-1,MAX(0,R318-O318*(F318-1)-SUMIF($A$5:$A$328,$A318,$V$5:$V$328)),0),ROUNDUP(O318*POWER(INDEX('建筑总览'!$J$5:$J$25,MATCH($A318,'建筑总览'!$A$5:$A$25,0)),D318),0))</f>
        <v/>
      </c>
      <c r="Y318" s="36">
        <f>IF(P318=0,0,IF(S318&gt;0,P318+W318+IF(D318=F318-1,MAX(0,S318-P318*(F318-1)-SUMIF($A$5:$A$328,$A318,$W$5:$W$328)),0),ROUNDUP(P318*POWER(INDEX('建筑总览'!$J$5:$J$25,MATCH($A318,'建筑总览'!$A$5:$A$25,0)),D318),0)))</f>
        <v/>
      </c>
      <c r="Z318" s="36">
        <f>IF(X318=0,0,MAX(1,ROUNDUP(X318*(1-'参数与公式'!$B$17),0)))</f>
        <v/>
      </c>
      <c r="AA318" s="36">
        <f>IF(Y318=0,0,MAX(1,ROUNDUP(Y318*(1-'参数与公式'!$B$17),0)))</f>
        <v/>
      </c>
      <c r="AB318" s="33" t="inlineStr">
        <is>
          <t>预算模式末级补足余数；旧模式按指数公式</t>
        </is>
      </c>
      <c r="AC318" s="49">
        <f>IF(A318=A317,IFERROR(M318/M317,""),"")</f>
        <v/>
      </c>
      <c r="AD318" s="49">
        <f>IF(AND(A318=A317,X317&gt;0),X318/X317,"")</f>
        <v/>
      </c>
    </row>
    <row r="319" ht="30" customHeight="1">
      <c r="A319" s="33" t="inlineStr">
        <is>
          <t>wall</t>
        </is>
      </c>
      <c r="B319" s="33" t="inlineStr">
        <is>
          <t>城墙</t>
        </is>
      </c>
      <c r="C319" s="33" t="inlineStr">
        <is>
          <t>城防建筑</t>
        </is>
      </c>
      <c r="D319" s="43" t="n">
        <v>9</v>
      </c>
      <c r="E319" s="36">
        <f>D319+1</f>
        <v/>
      </c>
      <c r="F319" s="43" t="n">
        <v>10</v>
      </c>
      <c r="G319" s="36">
        <f>INDEX('建筑建议总览'!$H$5:$H$25,MATCH($A319,'建筑建议总览'!$A$5:$A$25,0))</f>
        <v/>
      </c>
      <c r="H319" s="44">
        <f>INDEX('建筑建议总览'!$I$5:$I$25,MATCH($A319,'建筑建议总览'!$A$5:$A$25,0))</f>
        <v/>
      </c>
      <c r="I319" s="36">
        <f>INDEX('建筑建议总览'!$J$5:$J$25,MATCH($A319,'建筑建议总览'!$A$5:$A$25,0))</f>
        <v/>
      </c>
      <c r="J319" s="44">
        <f>POWER(H319,D319-1)</f>
        <v/>
      </c>
      <c r="K319" s="44">
        <f>SUMIF($A$5:$A$328,$A319,$J$5:$J$328)</f>
        <v/>
      </c>
      <c r="L319" s="36">
        <f>IF(I319&gt;0,ROUNDDOWN(MAX(0,I319-G319*(F319-1))*J319/K319,0),0)</f>
        <v/>
      </c>
      <c r="M319" s="36">
        <f>IF(I319&gt;0,G319+L319+IF(D319=F319-1,MAX(0,I319-G319*(F319-1)-SUMIF($A$5:$A$328,$A319,$L$5:$L$328)),0),ROUNDUP(G319*POWER(INDEX('建筑总览'!$G$5:$G$25,MATCH($A319,'建筑总览'!$A$5:$A$25,0)),D319),0))</f>
        <v/>
      </c>
      <c r="N319" s="35">
        <f>M319/'参数与公式'!$B$21</f>
        <v/>
      </c>
      <c r="O319" s="36">
        <f>INDEX('建筑建议总览'!$P$5:$P$25,MATCH($A319,'建筑建议总览'!$A$5:$A$25,0))</f>
        <v/>
      </c>
      <c r="P319" s="36">
        <f>INDEX('建筑建议总览'!$Q$5:$Q$25,MATCH($A319,'建筑建议总览'!$A$5:$A$25,0))</f>
        <v/>
      </c>
      <c r="Q319" s="44">
        <f>INDEX('建筑建议总览'!$R$5:$R$25,MATCH($A319,'建筑建议总览'!$A$5:$A$25,0))</f>
        <v/>
      </c>
      <c r="R319" s="36">
        <f>INDEX('建筑建议总览'!$S$5:$S$25,MATCH($A319,'建筑建议总览'!$A$5:$A$25,0))</f>
        <v/>
      </c>
      <c r="S319" s="36">
        <f>INDEX('建筑建议总览'!$T$5:$T$25,MATCH($A319,'建筑建议总览'!$A$5:$A$25,0))</f>
        <v/>
      </c>
      <c r="T319" s="44">
        <f>POWER(Q319,D319-1)</f>
        <v/>
      </c>
      <c r="U319" s="44">
        <f>SUMIF($A$5:$A$328,$A319,$T$5:$T$328)</f>
        <v/>
      </c>
      <c r="V319" s="36">
        <f>IF(R319&gt;0,ROUNDDOWN(MAX(0,R319-O319*(F319-1))*T319/U319,0),0)</f>
        <v/>
      </c>
      <c r="W319" s="36">
        <f>IF(S319&gt;0,ROUNDDOWN(MAX(0,S319-P319*(F319-1))*T319/U319,0),0)</f>
        <v/>
      </c>
      <c r="X319" s="36">
        <f>IF(R319&gt;0,O319+V319+IF(D319=F319-1,MAX(0,R319-O319*(F319-1)-SUMIF($A$5:$A$328,$A319,$V$5:$V$328)),0),ROUNDUP(O319*POWER(INDEX('建筑总览'!$J$5:$J$25,MATCH($A319,'建筑总览'!$A$5:$A$25,0)),D319),0))</f>
        <v/>
      </c>
      <c r="Y319" s="36">
        <f>IF(P319=0,0,IF(S319&gt;0,P319+W319+IF(D319=F319-1,MAX(0,S319-P319*(F319-1)-SUMIF($A$5:$A$328,$A319,$W$5:$W$328)),0),ROUNDUP(P319*POWER(INDEX('建筑总览'!$J$5:$J$25,MATCH($A319,'建筑总览'!$A$5:$A$25,0)),D319),0)))</f>
        <v/>
      </c>
      <c r="Z319" s="36">
        <f>IF(X319=0,0,MAX(1,ROUNDUP(X319*(1-'参数与公式'!$B$17),0)))</f>
        <v/>
      </c>
      <c r="AA319" s="36">
        <f>IF(Y319=0,0,MAX(1,ROUNDUP(Y319*(1-'参数与公式'!$B$17),0)))</f>
        <v/>
      </c>
      <c r="AB319" s="33" t="inlineStr">
        <is>
          <t>预算模式末级补足余数；旧模式按指数公式</t>
        </is>
      </c>
      <c r="AC319" s="49">
        <f>IF(A319=A318,IFERROR(M319/M318,""),"")</f>
        <v/>
      </c>
      <c r="AD319" s="49">
        <f>IF(AND(A319=A318,X318&gt;0),X319/X318,"")</f>
        <v/>
      </c>
    </row>
    <row r="320" ht="30" customHeight="1">
      <c r="A320" s="33" t="inlineStr">
        <is>
          <t>arrow_tower</t>
        </is>
      </c>
      <c r="B320" s="33" t="inlineStr">
        <is>
          <t>箭塔</t>
        </is>
      </c>
      <c r="C320" s="33" t="inlineStr">
        <is>
          <t>城防建筑</t>
        </is>
      </c>
      <c r="D320" s="43" t="n">
        <v>1</v>
      </c>
      <c r="E320" s="36">
        <f>D320+1</f>
        <v/>
      </c>
      <c r="F320" s="43" t="n">
        <v>10</v>
      </c>
      <c r="G320" s="36">
        <f>INDEX('建筑建议总览'!$H$5:$H$25,MATCH($A320,'建筑建议总览'!$A$5:$A$25,0))</f>
        <v/>
      </c>
      <c r="H320" s="44">
        <f>INDEX('建筑建议总览'!$I$5:$I$25,MATCH($A320,'建筑建议总览'!$A$5:$A$25,0))</f>
        <v/>
      </c>
      <c r="I320" s="36">
        <f>INDEX('建筑建议总览'!$J$5:$J$25,MATCH($A320,'建筑建议总览'!$A$5:$A$25,0))</f>
        <v/>
      </c>
      <c r="J320" s="44">
        <f>POWER(H320,D320-1)</f>
        <v/>
      </c>
      <c r="K320" s="44">
        <f>SUMIF($A$5:$A$328,$A320,$J$5:$J$328)</f>
        <v/>
      </c>
      <c r="L320" s="36">
        <f>IF(I320&gt;0,ROUNDDOWN(MAX(0,I320-G320*(F320-1))*J320/K320,0),0)</f>
        <v/>
      </c>
      <c r="M320" s="36">
        <f>IF(I320&gt;0,G320+L320+IF(D320=F320-1,MAX(0,I320-G320*(F320-1)-SUMIF($A$5:$A$328,$A320,$L$5:$L$328)),0),ROUNDUP(G320*POWER(INDEX('建筑总览'!$G$5:$G$25,MATCH($A320,'建筑总览'!$A$5:$A$25,0)),D320),0))</f>
        <v/>
      </c>
      <c r="N320" s="35">
        <f>M320/'参数与公式'!$B$21</f>
        <v/>
      </c>
      <c r="O320" s="36">
        <f>INDEX('建筑建议总览'!$P$5:$P$25,MATCH($A320,'建筑建议总览'!$A$5:$A$25,0))</f>
        <v/>
      </c>
      <c r="P320" s="36">
        <f>INDEX('建筑建议总览'!$Q$5:$Q$25,MATCH($A320,'建筑建议总览'!$A$5:$A$25,0))</f>
        <v/>
      </c>
      <c r="Q320" s="44">
        <f>INDEX('建筑建议总览'!$R$5:$R$25,MATCH($A320,'建筑建议总览'!$A$5:$A$25,0))</f>
        <v/>
      </c>
      <c r="R320" s="36">
        <f>INDEX('建筑建议总览'!$S$5:$S$25,MATCH($A320,'建筑建议总览'!$A$5:$A$25,0))</f>
        <v/>
      </c>
      <c r="S320" s="36">
        <f>INDEX('建筑建议总览'!$T$5:$T$25,MATCH($A320,'建筑建议总览'!$A$5:$A$25,0))</f>
        <v/>
      </c>
      <c r="T320" s="44">
        <f>POWER(Q320,D320-1)</f>
        <v/>
      </c>
      <c r="U320" s="44">
        <f>SUMIF($A$5:$A$328,$A320,$T$5:$T$328)</f>
        <v/>
      </c>
      <c r="V320" s="36">
        <f>IF(R320&gt;0,ROUNDDOWN(MAX(0,R320-O320*(F320-1))*T320/U320,0),0)</f>
        <v/>
      </c>
      <c r="W320" s="36">
        <f>IF(S320&gt;0,ROUNDDOWN(MAX(0,S320-P320*(F320-1))*T320/U320,0),0)</f>
        <v/>
      </c>
      <c r="X320" s="36">
        <f>IF(R320&gt;0,O320+V320+IF(D320=F320-1,MAX(0,R320-O320*(F320-1)-SUMIF($A$5:$A$328,$A320,$V$5:$V$328)),0),ROUNDUP(O320*POWER(INDEX('建筑总览'!$J$5:$J$25,MATCH($A320,'建筑总览'!$A$5:$A$25,0)),D320),0))</f>
        <v/>
      </c>
      <c r="Y320" s="36">
        <f>IF(P320=0,0,IF(S320&gt;0,P320+W320+IF(D320=F320-1,MAX(0,S320-P320*(F320-1)-SUMIF($A$5:$A$328,$A320,$W$5:$W$328)),0),ROUNDUP(P320*POWER(INDEX('建筑总览'!$J$5:$J$25,MATCH($A320,'建筑总览'!$A$5:$A$25,0)),D320),0)))</f>
        <v/>
      </c>
      <c r="Z320" s="36">
        <f>IF(X320=0,0,MAX(1,ROUNDUP(X320*(1-'参数与公式'!$B$17),0)))</f>
        <v/>
      </c>
      <c r="AA320" s="36">
        <f>IF(Y320=0,0,MAX(1,ROUNDUP(Y320*(1-'参数与公式'!$B$17),0)))</f>
        <v/>
      </c>
      <c r="AB320" s="33" t="inlineStr">
        <is>
          <t>预算模式末级补足余数；旧模式按指数公式</t>
        </is>
      </c>
      <c r="AC320" s="49">
        <f>IF(A320=A319,IFERROR(M320/M319,""),"")</f>
        <v/>
      </c>
      <c r="AD320" s="49">
        <f>IF(AND(A320=A319,X319&gt;0),X320/X319,"")</f>
        <v/>
      </c>
    </row>
    <row r="321" ht="30" customHeight="1">
      <c r="A321" s="33" t="inlineStr">
        <is>
          <t>arrow_tower</t>
        </is>
      </c>
      <c r="B321" s="33" t="inlineStr">
        <is>
          <t>箭塔</t>
        </is>
      </c>
      <c r="C321" s="33" t="inlineStr">
        <is>
          <t>城防建筑</t>
        </is>
      </c>
      <c r="D321" s="43" t="n">
        <v>2</v>
      </c>
      <c r="E321" s="36">
        <f>D321+1</f>
        <v/>
      </c>
      <c r="F321" s="43" t="n">
        <v>10</v>
      </c>
      <c r="G321" s="36">
        <f>INDEX('建筑建议总览'!$H$5:$H$25,MATCH($A321,'建筑建议总览'!$A$5:$A$25,0))</f>
        <v/>
      </c>
      <c r="H321" s="44">
        <f>INDEX('建筑建议总览'!$I$5:$I$25,MATCH($A321,'建筑建议总览'!$A$5:$A$25,0))</f>
        <v/>
      </c>
      <c r="I321" s="36">
        <f>INDEX('建筑建议总览'!$J$5:$J$25,MATCH($A321,'建筑建议总览'!$A$5:$A$25,0))</f>
        <v/>
      </c>
      <c r="J321" s="44">
        <f>POWER(H321,D321-1)</f>
        <v/>
      </c>
      <c r="K321" s="44">
        <f>SUMIF($A$5:$A$328,$A321,$J$5:$J$328)</f>
        <v/>
      </c>
      <c r="L321" s="36">
        <f>IF(I321&gt;0,ROUNDDOWN(MAX(0,I321-G321*(F321-1))*J321/K321,0),0)</f>
        <v/>
      </c>
      <c r="M321" s="36">
        <f>IF(I321&gt;0,G321+L321+IF(D321=F321-1,MAX(0,I321-G321*(F321-1)-SUMIF($A$5:$A$328,$A321,$L$5:$L$328)),0),ROUNDUP(G321*POWER(INDEX('建筑总览'!$G$5:$G$25,MATCH($A321,'建筑总览'!$A$5:$A$25,0)),D321),0))</f>
        <v/>
      </c>
      <c r="N321" s="35">
        <f>M321/'参数与公式'!$B$21</f>
        <v/>
      </c>
      <c r="O321" s="36">
        <f>INDEX('建筑建议总览'!$P$5:$P$25,MATCH($A321,'建筑建议总览'!$A$5:$A$25,0))</f>
        <v/>
      </c>
      <c r="P321" s="36">
        <f>INDEX('建筑建议总览'!$Q$5:$Q$25,MATCH($A321,'建筑建议总览'!$A$5:$A$25,0))</f>
        <v/>
      </c>
      <c r="Q321" s="44">
        <f>INDEX('建筑建议总览'!$R$5:$R$25,MATCH($A321,'建筑建议总览'!$A$5:$A$25,0))</f>
        <v/>
      </c>
      <c r="R321" s="36">
        <f>INDEX('建筑建议总览'!$S$5:$S$25,MATCH($A321,'建筑建议总览'!$A$5:$A$25,0))</f>
        <v/>
      </c>
      <c r="S321" s="36">
        <f>INDEX('建筑建议总览'!$T$5:$T$25,MATCH($A321,'建筑建议总览'!$A$5:$A$25,0))</f>
        <v/>
      </c>
      <c r="T321" s="44">
        <f>POWER(Q321,D321-1)</f>
        <v/>
      </c>
      <c r="U321" s="44">
        <f>SUMIF($A$5:$A$328,$A321,$T$5:$T$328)</f>
        <v/>
      </c>
      <c r="V321" s="36">
        <f>IF(R321&gt;0,ROUNDDOWN(MAX(0,R321-O321*(F321-1))*T321/U321,0),0)</f>
        <v/>
      </c>
      <c r="W321" s="36">
        <f>IF(S321&gt;0,ROUNDDOWN(MAX(0,S321-P321*(F321-1))*T321/U321,0),0)</f>
        <v/>
      </c>
      <c r="X321" s="36">
        <f>IF(R321&gt;0,O321+V321+IF(D321=F321-1,MAX(0,R321-O321*(F321-1)-SUMIF($A$5:$A$328,$A321,$V$5:$V$328)),0),ROUNDUP(O321*POWER(INDEX('建筑总览'!$J$5:$J$25,MATCH($A321,'建筑总览'!$A$5:$A$25,0)),D321),0))</f>
        <v/>
      </c>
      <c r="Y321" s="36">
        <f>IF(P321=0,0,IF(S321&gt;0,P321+W321+IF(D321=F321-1,MAX(0,S321-P321*(F321-1)-SUMIF($A$5:$A$328,$A321,$W$5:$W$328)),0),ROUNDUP(P321*POWER(INDEX('建筑总览'!$J$5:$J$25,MATCH($A321,'建筑总览'!$A$5:$A$25,0)),D321),0)))</f>
        <v/>
      </c>
      <c r="Z321" s="36">
        <f>IF(X321=0,0,MAX(1,ROUNDUP(X321*(1-'参数与公式'!$B$17),0)))</f>
        <v/>
      </c>
      <c r="AA321" s="36">
        <f>IF(Y321=0,0,MAX(1,ROUNDUP(Y321*(1-'参数与公式'!$B$17),0)))</f>
        <v/>
      </c>
      <c r="AB321" s="33" t="inlineStr">
        <is>
          <t>预算模式末级补足余数；旧模式按指数公式</t>
        </is>
      </c>
      <c r="AC321" s="49">
        <f>IF(A321=A320,IFERROR(M321/M320,""),"")</f>
        <v/>
      </c>
      <c r="AD321" s="49">
        <f>IF(AND(A321=A320,X320&gt;0),X321/X320,"")</f>
        <v/>
      </c>
    </row>
    <row r="322" ht="30" customHeight="1">
      <c r="A322" s="33" t="inlineStr">
        <is>
          <t>arrow_tower</t>
        </is>
      </c>
      <c r="B322" s="33" t="inlineStr">
        <is>
          <t>箭塔</t>
        </is>
      </c>
      <c r="C322" s="33" t="inlineStr">
        <is>
          <t>城防建筑</t>
        </is>
      </c>
      <c r="D322" s="43" t="n">
        <v>3</v>
      </c>
      <c r="E322" s="36">
        <f>D322+1</f>
        <v/>
      </c>
      <c r="F322" s="43" t="n">
        <v>10</v>
      </c>
      <c r="G322" s="36">
        <f>INDEX('建筑建议总览'!$H$5:$H$25,MATCH($A322,'建筑建议总览'!$A$5:$A$25,0))</f>
        <v/>
      </c>
      <c r="H322" s="44">
        <f>INDEX('建筑建议总览'!$I$5:$I$25,MATCH($A322,'建筑建议总览'!$A$5:$A$25,0))</f>
        <v/>
      </c>
      <c r="I322" s="36">
        <f>INDEX('建筑建议总览'!$J$5:$J$25,MATCH($A322,'建筑建议总览'!$A$5:$A$25,0))</f>
        <v/>
      </c>
      <c r="J322" s="44">
        <f>POWER(H322,D322-1)</f>
        <v/>
      </c>
      <c r="K322" s="44">
        <f>SUMIF($A$5:$A$328,$A322,$J$5:$J$328)</f>
        <v/>
      </c>
      <c r="L322" s="36">
        <f>IF(I322&gt;0,ROUNDDOWN(MAX(0,I322-G322*(F322-1))*J322/K322,0),0)</f>
        <v/>
      </c>
      <c r="M322" s="36">
        <f>IF(I322&gt;0,G322+L322+IF(D322=F322-1,MAX(0,I322-G322*(F322-1)-SUMIF($A$5:$A$328,$A322,$L$5:$L$328)),0),ROUNDUP(G322*POWER(INDEX('建筑总览'!$G$5:$G$25,MATCH($A322,'建筑总览'!$A$5:$A$25,0)),D322),0))</f>
        <v/>
      </c>
      <c r="N322" s="35">
        <f>M322/'参数与公式'!$B$21</f>
        <v/>
      </c>
      <c r="O322" s="36">
        <f>INDEX('建筑建议总览'!$P$5:$P$25,MATCH($A322,'建筑建议总览'!$A$5:$A$25,0))</f>
        <v/>
      </c>
      <c r="P322" s="36">
        <f>INDEX('建筑建议总览'!$Q$5:$Q$25,MATCH($A322,'建筑建议总览'!$A$5:$A$25,0))</f>
        <v/>
      </c>
      <c r="Q322" s="44">
        <f>INDEX('建筑建议总览'!$R$5:$R$25,MATCH($A322,'建筑建议总览'!$A$5:$A$25,0))</f>
        <v/>
      </c>
      <c r="R322" s="36">
        <f>INDEX('建筑建议总览'!$S$5:$S$25,MATCH($A322,'建筑建议总览'!$A$5:$A$25,0))</f>
        <v/>
      </c>
      <c r="S322" s="36">
        <f>INDEX('建筑建议总览'!$T$5:$T$25,MATCH($A322,'建筑建议总览'!$A$5:$A$25,0))</f>
        <v/>
      </c>
      <c r="T322" s="44">
        <f>POWER(Q322,D322-1)</f>
        <v/>
      </c>
      <c r="U322" s="44">
        <f>SUMIF($A$5:$A$328,$A322,$T$5:$T$328)</f>
        <v/>
      </c>
      <c r="V322" s="36">
        <f>IF(R322&gt;0,ROUNDDOWN(MAX(0,R322-O322*(F322-1))*T322/U322,0),0)</f>
        <v/>
      </c>
      <c r="W322" s="36">
        <f>IF(S322&gt;0,ROUNDDOWN(MAX(0,S322-P322*(F322-1))*T322/U322,0),0)</f>
        <v/>
      </c>
      <c r="X322" s="36">
        <f>IF(R322&gt;0,O322+V322+IF(D322=F322-1,MAX(0,R322-O322*(F322-1)-SUMIF($A$5:$A$328,$A322,$V$5:$V$328)),0),ROUNDUP(O322*POWER(INDEX('建筑总览'!$J$5:$J$25,MATCH($A322,'建筑总览'!$A$5:$A$25,0)),D322),0))</f>
        <v/>
      </c>
      <c r="Y322" s="36">
        <f>IF(P322=0,0,IF(S322&gt;0,P322+W322+IF(D322=F322-1,MAX(0,S322-P322*(F322-1)-SUMIF($A$5:$A$328,$A322,$W$5:$W$328)),0),ROUNDUP(P322*POWER(INDEX('建筑总览'!$J$5:$J$25,MATCH($A322,'建筑总览'!$A$5:$A$25,0)),D322),0)))</f>
        <v/>
      </c>
      <c r="Z322" s="36">
        <f>IF(X322=0,0,MAX(1,ROUNDUP(X322*(1-'参数与公式'!$B$17),0)))</f>
        <v/>
      </c>
      <c r="AA322" s="36">
        <f>IF(Y322=0,0,MAX(1,ROUNDUP(Y322*(1-'参数与公式'!$B$17),0)))</f>
        <v/>
      </c>
      <c r="AB322" s="33" t="inlineStr">
        <is>
          <t>预算模式末级补足余数；旧模式按指数公式</t>
        </is>
      </c>
      <c r="AC322" s="49">
        <f>IF(A322=A321,IFERROR(M322/M321,""),"")</f>
        <v/>
      </c>
      <c r="AD322" s="49">
        <f>IF(AND(A322=A321,X321&gt;0),X322/X321,"")</f>
        <v/>
      </c>
    </row>
    <row r="323" ht="30" customHeight="1">
      <c r="A323" s="33" t="inlineStr">
        <is>
          <t>arrow_tower</t>
        </is>
      </c>
      <c r="B323" s="33" t="inlineStr">
        <is>
          <t>箭塔</t>
        </is>
      </c>
      <c r="C323" s="33" t="inlineStr">
        <is>
          <t>城防建筑</t>
        </is>
      </c>
      <c r="D323" s="43" t="n">
        <v>4</v>
      </c>
      <c r="E323" s="36">
        <f>D323+1</f>
        <v/>
      </c>
      <c r="F323" s="43" t="n">
        <v>10</v>
      </c>
      <c r="G323" s="36">
        <f>INDEX('建筑建议总览'!$H$5:$H$25,MATCH($A323,'建筑建议总览'!$A$5:$A$25,0))</f>
        <v/>
      </c>
      <c r="H323" s="44">
        <f>INDEX('建筑建议总览'!$I$5:$I$25,MATCH($A323,'建筑建议总览'!$A$5:$A$25,0))</f>
        <v/>
      </c>
      <c r="I323" s="36">
        <f>INDEX('建筑建议总览'!$J$5:$J$25,MATCH($A323,'建筑建议总览'!$A$5:$A$25,0))</f>
        <v/>
      </c>
      <c r="J323" s="44">
        <f>POWER(H323,D323-1)</f>
        <v/>
      </c>
      <c r="K323" s="44">
        <f>SUMIF($A$5:$A$328,$A323,$J$5:$J$328)</f>
        <v/>
      </c>
      <c r="L323" s="36">
        <f>IF(I323&gt;0,ROUNDDOWN(MAX(0,I323-G323*(F323-1))*J323/K323,0),0)</f>
        <v/>
      </c>
      <c r="M323" s="36">
        <f>IF(I323&gt;0,G323+L323+IF(D323=F323-1,MAX(0,I323-G323*(F323-1)-SUMIF($A$5:$A$328,$A323,$L$5:$L$328)),0),ROUNDUP(G323*POWER(INDEX('建筑总览'!$G$5:$G$25,MATCH($A323,'建筑总览'!$A$5:$A$25,0)),D323),0))</f>
        <v/>
      </c>
      <c r="N323" s="35">
        <f>M323/'参数与公式'!$B$21</f>
        <v/>
      </c>
      <c r="O323" s="36">
        <f>INDEX('建筑建议总览'!$P$5:$P$25,MATCH($A323,'建筑建议总览'!$A$5:$A$25,0))</f>
        <v/>
      </c>
      <c r="P323" s="36">
        <f>INDEX('建筑建议总览'!$Q$5:$Q$25,MATCH($A323,'建筑建议总览'!$A$5:$A$25,0))</f>
        <v/>
      </c>
      <c r="Q323" s="44">
        <f>INDEX('建筑建议总览'!$R$5:$R$25,MATCH($A323,'建筑建议总览'!$A$5:$A$25,0))</f>
        <v/>
      </c>
      <c r="R323" s="36">
        <f>INDEX('建筑建议总览'!$S$5:$S$25,MATCH($A323,'建筑建议总览'!$A$5:$A$25,0))</f>
        <v/>
      </c>
      <c r="S323" s="36">
        <f>INDEX('建筑建议总览'!$T$5:$T$25,MATCH($A323,'建筑建议总览'!$A$5:$A$25,0))</f>
        <v/>
      </c>
      <c r="T323" s="44">
        <f>POWER(Q323,D323-1)</f>
        <v/>
      </c>
      <c r="U323" s="44">
        <f>SUMIF($A$5:$A$328,$A323,$T$5:$T$328)</f>
        <v/>
      </c>
      <c r="V323" s="36">
        <f>IF(R323&gt;0,ROUNDDOWN(MAX(0,R323-O323*(F323-1))*T323/U323,0),0)</f>
        <v/>
      </c>
      <c r="W323" s="36">
        <f>IF(S323&gt;0,ROUNDDOWN(MAX(0,S323-P323*(F323-1))*T323/U323,0),0)</f>
        <v/>
      </c>
      <c r="X323" s="36">
        <f>IF(R323&gt;0,O323+V323+IF(D323=F323-1,MAX(0,R323-O323*(F323-1)-SUMIF($A$5:$A$328,$A323,$V$5:$V$328)),0),ROUNDUP(O323*POWER(INDEX('建筑总览'!$J$5:$J$25,MATCH($A323,'建筑总览'!$A$5:$A$25,0)),D323),0))</f>
        <v/>
      </c>
      <c r="Y323" s="36">
        <f>IF(P323=0,0,IF(S323&gt;0,P323+W323+IF(D323=F323-1,MAX(0,S323-P323*(F323-1)-SUMIF($A$5:$A$328,$A323,$W$5:$W$328)),0),ROUNDUP(P323*POWER(INDEX('建筑总览'!$J$5:$J$25,MATCH($A323,'建筑总览'!$A$5:$A$25,0)),D323),0)))</f>
        <v/>
      </c>
      <c r="Z323" s="36">
        <f>IF(X323=0,0,MAX(1,ROUNDUP(X323*(1-'参数与公式'!$B$17),0)))</f>
        <v/>
      </c>
      <c r="AA323" s="36">
        <f>IF(Y323=0,0,MAX(1,ROUNDUP(Y323*(1-'参数与公式'!$B$17),0)))</f>
        <v/>
      </c>
      <c r="AB323" s="33" t="inlineStr">
        <is>
          <t>预算模式末级补足余数；旧模式按指数公式</t>
        </is>
      </c>
      <c r="AC323" s="49">
        <f>IF(A323=A322,IFERROR(M323/M322,""),"")</f>
        <v/>
      </c>
      <c r="AD323" s="49">
        <f>IF(AND(A323=A322,X322&gt;0),X323/X322,"")</f>
        <v/>
      </c>
    </row>
    <row r="324" ht="30" customHeight="1">
      <c r="A324" s="33" t="inlineStr">
        <is>
          <t>arrow_tower</t>
        </is>
      </c>
      <c r="B324" s="33" t="inlineStr">
        <is>
          <t>箭塔</t>
        </is>
      </c>
      <c r="C324" s="33" t="inlineStr">
        <is>
          <t>城防建筑</t>
        </is>
      </c>
      <c r="D324" s="43" t="n">
        <v>5</v>
      </c>
      <c r="E324" s="36">
        <f>D324+1</f>
        <v/>
      </c>
      <c r="F324" s="43" t="n">
        <v>10</v>
      </c>
      <c r="G324" s="36">
        <f>INDEX('建筑建议总览'!$H$5:$H$25,MATCH($A324,'建筑建议总览'!$A$5:$A$25,0))</f>
        <v/>
      </c>
      <c r="H324" s="44">
        <f>INDEX('建筑建议总览'!$I$5:$I$25,MATCH($A324,'建筑建议总览'!$A$5:$A$25,0))</f>
        <v/>
      </c>
      <c r="I324" s="36">
        <f>INDEX('建筑建议总览'!$J$5:$J$25,MATCH($A324,'建筑建议总览'!$A$5:$A$25,0))</f>
        <v/>
      </c>
      <c r="J324" s="44">
        <f>POWER(H324,D324-1)</f>
        <v/>
      </c>
      <c r="K324" s="44">
        <f>SUMIF($A$5:$A$328,$A324,$J$5:$J$328)</f>
        <v/>
      </c>
      <c r="L324" s="36">
        <f>IF(I324&gt;0,ROUNDDOWN(MAX(0,I324-G324*(F324-1))*J324/K324,0),0)</f>
        <v/>
      </c>
      <c r="M324" s="36">
        <f>IF(I324&gt;0,G324+L324+IF(D324=F324-1,MAX(0,I324-G324*(F324-1)-SUMIF($A$5:$A$328,$A324,$L$5:$L$328)),0),ROUNDUP(G324*POWER(INDEX('建筑总览'!$G$5:$G$25,MATCH($A324,'建筑总览'!$A$5:$A$25,0)),D324),0))</f>
        <v/>
      </c>
      <c r="N324" s="35">
        <f>M324/'参数与公式'!$B$21</f>
        <v/>
      </c>
      <c r="O324" s="36">
        <f>INDEX('建筑建议总览'!$P$5:$P$25,MATCH($A324,'建筑建议总览'!$A$5:$A$25,0))</f>
        <v/>
      </c>
      <c r="P324" s="36">
        <f>INDEX('建筑建议总览'!$Q$5:$Q$25,MATCH($A324,'建筑建议总览'!$A$5:$A$25,0))</f>
        <v/>
      </c>
      <c r="Q324" s="44">
        <f>INDEX('建筑建议总览'!$R$5:$R$25,MATCH($A324,'建筑建议总览'!$A$5:$A$25,0))</f>
        <v/>
      </c>
      <c r="R324" s="36">
        <f>INDEX('建筑建议总览'!$S$5:$S$25,MATCH($A324,'建筑建议总览'!$A$5:$A$25,0))</f>
        <v/>
      </c>
      <c r="S324" s="36">
        <f>INDEX('建筑建议总览'!$T$5:$T$25,MATCH($A324,'建筑建议总览'!$A$5:$A$25,0))</f>
        <v/>
      </c>
      <c r="T324" s="44">
        <f>POWER(Q324,D324-1)</f>
        <v/>
      </c>
      <c r="U324" s="44">
        <f>SUMIF($A$5:$A$328,$A324,$T$5:$T$328)</f>
        <v/>
      </c>
      <c r="V324" s="36">
        <f>IF(R324&gt;0,ROUNDDOWN(MAX(0,R324-O324*(F324-1))*T324/U324,0),0)</f>
        <v/>
      </c>
      <c r="W324" s="36">
        <f>IF(S324&gt;0,ROUNDDOWN(MAX(0,S324-P324*(F324-1))*T324/U324,0),0)</f>
        <v/>
      </c>
      <c r="X324" s="36">
        <f>IF(R324&gt;0,O324+V324+IF(D324=F324-1,MAX(0,R324-O324*(F324-1)-SUMIF($A$5:$A$328,$A324,$V$5:$V$328)),0),ROUNDUP(O324*POWER(INDEX('建筑总览'!$J$5:$J$25,MATCH($A324,'建筑总览'!$A$5:$A$25,0)),D324),0))</f>
        <v/>
      </c>
      <c r="Y324" s="36">
        <f>IF(P324=0,0,IF(S324&gt;0,P324+W324+IF(D324=F324-1,MAX(0,S324-P324*(F324-1)-SUMIF($A$5:$A$328,$A324,$W$5:$W$328)),0),ROUNDUP(P324*POWER(INDEX('建筑总览'!$J$5:$J$25,MATCH($A324,'建筑总览'!$A$5:$A$25,0)),D324),0)))</f>
        <v/>
      </c>
      <c r="Z324" s="36">
        <f>IF(X324=0,0,MAX(1,ROUNDUP(X324*(1-'参数与公式'!$B$17),0)))</f>
        <v/>
      </c>
      <c r="AA324" s="36">
        <f>IF(Y324=0,0,MAX(1,ROUNDUP(Y324*(1-'参数与公式'!$B$17),0)))</f>
        <v/>
      </c>
      <c r="AB324" s="33" t="inlineStr">
        <is>
          <t>预算模式末级补足余数；旧模式按指数公式</t>
        </is>
      </c>
      <c r="AC324" s="49">
        <f>IF(A324=A323,IFERROR(M324/M323,""),"")</f>
        <v/>
      </c>
      <c r="AD324" s="49">
        <f>IF(AND(A324=A323,X323&gt;0),X324/X323,"")</f>
        <v/>
      </c>
    </row>
    <row r="325" ht="30" customHeight="1">
      <c r="A325" s="33" t="inlineStr">
        <is>
          <t>arrow_tower</t>
        </is>
      </c>
      <c r="B325" s="33" t="inlineStr">
        <is>
          <t>箭塔</t>
        </is>
      </c>
      <c r="C325" s="33" t="inlineStr">
        <is>
          <t>城防建筑</t>
        </is>
      </c>
      <c r="D325" s="43" t="n">
        <v>6</v>
      </c>
      <c r="E325" s="36">
        <f>D325+1</f>
        <v/>
      </c>
      <c r="F325" s="43" t="n">
        <v>10</v>
      </c>
      <c r="G325" s="36">
        <f>INDEX('建筑建议总览'!$H$5:$H$25,MATCH($A325,'建筑建议总览'!$A$5:$A$25,0))</f>
        <v/>
      </c>
      <c r="H325" s="44">
        <f>INDEX('建筑建议总览'!$I$5:$I$25,MATCH($A325,'建筑建议总览'!$A$5:$A$25,0))</f>
        <v/>
      </c>
      <c r="I325" s="36">
        <f>INDEX('建筑建议总览'!$J$5:$J$25,MATCH($A325,'建筑建议总览'!$A$5:$A$25,0))</f>
        <v/>
      </c>
      <c r="J325" s="44">
        <f>POWER(H325,D325-1)</f>
        <v/>
      </c>
      <c r="K325" s="44">
        <f>SUMIF($A$5:$A$328,$A325,$J$5:$J$328)</f>
        <v/>
      </c>
      <c r="L325" s="36">
        <f>IF(I325&gt;0,ROUNDDOWN(MAX(0,I325-G325*(F325-1))*J325/K325,0),0)</f>
        <v/>
      </c>
      <c r="M325" s="36">
        <f>IF(I325&gt;0,G325+L325+IF(D325=F325-1,MAX(0,I325-G325*(F325-1)-SUMIF($A$5:$A$328,$A325,$L$5:$L$328)),0),ROUNDUP(G325*POWER(INDEX('建筑总览'!$G$5:$G$25,MATCH($A325,'建筑总览'!$A$5:$A$25,0)),D325),0))</f>
        <v/>
      </c>
      <c r="N325" s="35">
        <f>M325/'参数与公式'!$B$21</f>
        <v/>
      </c>
      <c r="O325" s="36">
        <f>INDEX('建筑建议总览'!$P$5:$P$25,MATCH($A325,'建筑建议总览'!$A$5:$A$25,0))</f>
        <v/>
      </c>
      <c r="P325" s="36">
        <f>INDEX('建筑建议总览'!$Q$5:$Q$25,MATCH($A325,'建筑建议总览'!$A$5:$A$25,0))</f>
        <v/>
      </c>
      <c r="Q325" s="44">
        <f>INDEX('建筑建议总览'!$R$5:$R$25,MATCH($A325,'建筑建议总览'!$A$5:$A$25,0))</f>
        <v/>
      </c>
      <c r="R325" s="36">
        <f>INDEX('建筑建议总览'!$S$5:$S$25,MATCH($A325,'建筑建议总览'!$A$5:$A$25,0))</f>
        <v/>
      </c>
      <c r="S325" s="36">
        <f>INDEX('建筑建议总览'!$T$5:$T$25,MATCH($A325,'建筑建议总览'!$A$5:$A$25,0))</f>
        <v/>
      </c>
      <c r="T325" s="44">
        <f>POWER(Q325,D325-1)</f>
        <v/>
      </c>
      <c r="U325" s="44">
        <f>SUMIF($A$5:$A$328,$A325,$T$5:$T$328)</f>
        <v/>
      </c>
      <c r="V325" s="36">
        <f>IF(R325&gt;0,ROUNDDOWN(MAX(0,R325-O325*(F325-1))*T325/U325,0),0)</f>
        <v/>
      </c>
      <c r="W325" s="36">
        <f>IF(S325&gt;0,ROUNDDOWN(MAX(0,S325-P325*(F325-1))*T325/U325,0),0)</f>
        <v/>
      </c>
      <c r="X325" s="36">
        <f>IF(R325&gt;0,O325+V325+IF(D325=F325-1,MAX(0,R325-O325*(F325-1)-SUMIF($A$5:$A$328,$A325,$V$5:$V$328)),0),ROUNDUP(O325*POWER(INDEX('建筑总览'!$J$5:$J$25,MATCH($A325,'建筑总览'!$A$5:$A$25,0)),D325),0))</f>
        <v/>
      </c>
      <c r="Y325" s="36">
        <f>IF(P325=0,0,IF(S325&gt;0,P325+W325+IF(D325=F325-1,MAX(0,S325-P325*(F325-1)-SUMIF($A$5:$A$328,$A325,$W$5:$W$328)),0),ROUNDUP(P325*POWER(INDEX('建筑总览'!$J$5:$J$25,MATCH($A325,'建筑总览'!$A$5:$A$25,0)),D325),0)))</f>
        <v/>
      </c>
      <c r="Z325" s="36">
        <f>IF(X325=0,0,MAX(1,ROUNDUP(X325*(1-'参数与公式'!$B$17),0)))</f>
        <v/>
      </c>
      <c r="AA325" s="36">
        <f>IF(Y325=0,0,MAX(1,ROUNDUP(Y325*(1-'参数与公式'!$B$17),0)))</f>
        <v/>
      </c>
      <c r="AB325" s="33" t="inlineStr">
        <is>
          <t>预算模式末级补足余数；旧模式按指数公式</t>
        </is>
      </c>
      <c r="AC325" s="49">
        <f>IF(A325=A324,IFERROR(M325/M324,""),"")</f>
        <v/>
      </c>
      <c r="AD325" s="49">
        <f>IF(AND(A325=A324,X324&gt;0),X325/X324,"")</f>
        <v/>
      </c>
    </row>
    <row r="326" ht="30" customHeight="1">
      <c r="A326" s="33" t="inlineStr">
        <is>
          <t>arrow_tower</t>
        </is>
      </c>
      <c r="B326" s="33" t="inlineStr">
        <is>
          <t>箭塔</t>
        </is>
      </c>
      <c r="C326" s="33" t="inlineStr">
        <is>
          <t>城防建筑</t>
        </is>
      </c>
      <c r="D326" s="43" t="n">
        <v>7</v>
      </c>
      <c r="E326" s="36">
        <f>D326+1</f>
        <v/>
      </c>
      <c r="F326" s="43" t="n">
        <v>10</v>
      </c>
      <c r="G326" s="36">
        <f>INDEX('建筑建议总览'!$H$5:$H$25,MATCH($A326,'建筑建议总览'!$A$5:$A$25,0))</f>
        <v/>
      </c>
      <c r="H326" s="44">
        <f>INDEX('建筑建议总览'!$I$5:$I$25,MATCH($A326,'建筑建议总览'!$A$5:$A$25,0))</f>
        <v/>
      </c>
      <c r="I326" s="36">
        <f>INDEX('建筑建议总览'!$J$5:$J$25,MATCH($A326,'建筑建议总览'!$A$5:$A$25,0))</f>
        <v/>
      </c>
      <c r="J326" s="44">
        <f>POWER(H326,D326-1)</f>
        <v/>
      </c>
      <c r="K326" s="44">
        <f>SUMIF($A$5:$A$328,$A326,$J$5:$J$328)</f>
        <v/>
      </c>
      <c r="L326" s="36">
        <f>IF(I326&gt;0,ROUNDDOWN(MAX(0,I326-G326*(F326-1))*J326/K326,0),0)</f>
        <v/>
      </c>
      <c r="M326" s="36">
        <f>IF(I326&gt;0,G326+L326+IF(D326=F326-1,MAX(0,I326-G326*(F326-1)-SUMIF($A$5:$A$328,$A326,$L$5:$L$328)),0),ROUNDUP(G326*POWER(INDEX('建筑总览'!$G$5:$G$25,MATCH($A326,'建筑总览'!$A$5:$A$25,0)),D326),0))</f>
        <v/>
      </c>
      <c r="N326" s="35">
        <f>M326/'参数与公式'!$B$21</f>
        <v/>
      </c>
      <c r="O326" s="36">
        <f>INDEX('建筑建议总览'!$P$5:$P$25,MATCH($A326,'建筑建议总览'!$A$5:$A$25,0))</f>
        <v/>
      </c>
      <c r="P326" s="36">
        <f>INDEX('建筑建议总览'!$Q$5:$Q$25,MATCH($A326,'建筑建议总览'!$A$5:$A$25,0))</f>
        <v/>
      </c>
      <c r="Q326" s="44">
        <f>INDEX('建筑建议总览'!$R$5:$R$25,MATCH($A326,'建筑建议总览'!$A$5:$A$25,0))</f>
        <v/>
      </c>
      <c r="R326" s="36">
        <f>INDEX('建筑建议总览'!$S$5:$S$25,MATCH($A326,'建筑建议总览'!$A$5:$A$25,0))</f>
        <v/>
      </c>
      <c r="S326" s="36">
        <f>INDEX('建筑建议总览'!$T$5:$T$25,MATCH($A326,'建筑建议总览'!$A$5:$A$25,0))</f>
        <v/>
      </c>
      <c r="T326" s="44">
        <f>POWER(Q326,D326-1)</f>
        <v/>
      </c>
      <c r="U326" s="44">
        <f>SUMIF($A$5:$A$328,$A326,$T$5:$T$328)</f>
        <v/>
      </c>
      <c r="V326" s="36">
        <f>IF(R326&gt;0,ROUNDDOWN(MAX(0,R326-O326*(F326-1))*T326/U326,0),0)</f>
        <v/>
      </c>
      <c r="W326" s="36">
        <f>IF(S326&gt;0,ROUNDDOWN(MAX(0,S326-P326*(F326-1))*T326/U326,0),0)</f>
        <v/>
      </c>
      <c r="X326" s="36">
        <f>IF(R326&gt;0,O326+V326+IF(D326=F326-1,MAX(0,R326-O326*(F326-1)-SUMIF($A$5:$A$328,$A326,$V$5:$V$328)),0),ROUNDUP(O326*POWER(INDEX('建筑总览'!$J$5:$J$25,MATCH($A326,'建筑总览'!$A$5:$A$25,0)),D326),0))</f>
        <v/>
      </c>
      <c r="Y326" s="36">
        <f>IF(P326=0,0,IF(S326&gt;0,P326+W326+IF(D326=F326-1,MAX(0,S326-P326*(F326-1)-SUMIF($A$5:$A$328,$A326,$W$5:$W$328)),0),ROUNDUP(P326*POWER(INDEX('建筑总览'!$J$5:$J$25,MATCH($A326,'建筑总览'!$A$5:$A$25,0)),D326),0)))</f>
        <v/>
      </c>
      <c r="Z326" s="36">
        <f>IF(X326=0,0,MAX(1,ROUNDUP(X326*(1-'参数与公式'!$B$17),0)))</f>
        <v/>
      </c>
      <c r="AA326" s="36">
        <f>IF(Y326=0,0,MAX(1,ROUNDUP(Y326*(1-'参数与公式'!$B$17),0)))</f>
        <v/>
      </c>
      <c r="AB326" s="33" t="inlineStr">
        <is>
          <t>预算模式末级补足余数；旧模式按指数公式</t>
        </is>
      </c>
      <c r="AC326" s="49">
        <f>IF(A326=A325,IFERROR(M326/M325,""),"")</f>
        <v/>
      </c>
      <c r="AD326" s="49">
        <f>IF(AND(A326=A325,X325&gt;0),X326/X325,"")</f>
        <v/>
      </c>
    </row>
    <row r="327" ht="30" customHeight="1">
      <c r="A327" s="33" t="inlineStr">
        <is>
          <t>arrow_tower</t>
        </is>
      </c>
      <c r="B327" s="33" t="inlineStr">
        <is>
          <t>箭塔</t>
        </is>
      </c>
      <c r="C327" s="33" t="inlineStr">
        <is>
          <t>城防建筑</t>
        </is>
      </c>
      <c r="D327" s="43" t="n">
        <v>8</v>
      </c>
      <c r="E327" s="36">
        <f>D327+1</f>
        <v/>
      </c>
      <c r="F327" s="43" t="n">
        <v>10</v>
      </c>
      <c r="G327" s="36">
        <f>INDEX('建筑建议总览'!$H$5:$H$25,MATCH($A327,'建筑建议总览'!$A$5:$A$25,0))</f>
        <v/>
      </c>
      <c r="H327" s="44">
        <f>INDEX('建筑建议总览'!$I$5:$I$25,MATCH($A327,'建筑建议总览'!$A$5:$A$25,0))</f>
        <v/>
      </c>
      <c r="I327" s="36">
        <f>INDEX('建筑建议总览'!$J$5:$J$25,MATCH($A327,'建筑建议总览'!$A$5:$A$25,0))</f>
        <v/>
      </c>
      <c r="J327" s="44">
        <f>POWER(H327,D327-1)</f>
        <v/>
      </c>
      <c r="K327" s="44">
        <f>SUMIF($A$5:$A$328,$A327,$J$5:$J$328)</f>
        <v/>
      </c>
      <c r="L327" s="36">
        <f>IF(I327&gt;0,ROUNDDOWN(MAX(0,I327-G327*(F327-1))*J327/K327,0),0)</f>
        <v/>
      </c>
      <c r="M327" s="36">
        <f>IF(I327&gt;0,G327+L327+IF(D327=F327-1,MAX(0,I327-G327*(F327-1)-SUMIF($A$5:$A$328,$A327,$L$5:$L$328)),0),ROUNDUP(G327*POWER(INDEX('建筑总览'!$G$5:$G$25,MATCH($A327,'建筑总览'!$A$5:$A$25,0)),D327),0))</f>
        <v/>
      </c>
      <c r="N327" s="35">
        <f>M327/'参数与公式'!$B$21</f>
        <v/>
      </c>
      <c r="O327" s="36">
        <f>INDEX('建筑建议总览'!$P$5:$P$25,MATCH($A327,'建筑建议总览'!$A$5:$A$25,0))</f>
        <v/>
      </c>
      <c r="P327" s="36">
        <f>INDEX('建筑建议总览'!$Q$5:$Q$25,MATCH($A327,'建筑建议总览'!$A$5:$A$25,0))</f>
        <v/>
      </c>
      <c r="Q327" s="44">
        <f>INDEX('建筑建议总览'!$R$5:$R$25,MATCH($A327,'建筑建议总览'!$A$5:$A$25,0))</f>
        <v/>
      </c>
      <c r="R327" s="36">
        <f>INDEX('建筑建议总览'!$S$5:$S$25,MATCH($A327,'建筑建议总览'!$A$5:$A$25,0))</f>
        <v/>
      </c>
      <c r="S327" s="36">
        <f>INDEX('建筑建议总览'!$T$5:$T$25,MATCH($A327,'建筑建议总览'!$A$5:$A$25,0))</f>
        <v/>
      </c>
      <c r="T327" s="44">
        <f>POWER(Q327,D327-1)</f>
        <v/>
      </c>
      <c r="U327" s="44">
        <f>SUMIF($A$5:$A$328,$A327,$T$5:$T$328)</f>
        <v/>
      </c>
      <c r="V327" s="36">
        <f>IF(R327&gt;0,ROUNDDOWN(MAX(0,R327-O327*(F327-1))*T327/U327,0),0)</f>
        <v/>
      </c>
      <c r="W327" s="36">
        <f>IF(S327&gt;0,ROUNDDOWN(MAX(0,S327-P327*(F327-1))*T327/U327,0),0)</f>
        <v/>
      </c>
      <c r="X327" s="36">
        <f>IF(R327&gt;0,O327+V327+IF(D327=F327-1,MAX(0,R327-O327*(F327-1)-SUMIF($A$5:$A$328,$A327,$V$5:$V$328)),0),ROUNDUP(O327*POWER(INDEX('建筑总览'!$J$5:$J$25,MATCH($A327,'建筑总览'!$A$5:$A$25,0)),D327),0))</f>
        <v/>
      </c>
      <c r="Y327" s="36">
        <f>IF(P327=0,0,IF(S327&gt;0,P327+W327+IF(D327=F327-1,MAX(0,S327-P327*(F327-1)-SUMIF($A$5:$A$328,$A327,$W$5:$W$328)),0),ROUNDUP(P327*POWER(INDEX('建筑总览'!$J$5:$J$25,MATCH($A327,'建筑总览'!$A$5:$A$25,0)),D327),0)))</f>
        <v/>
      </c>
      <c r="Z327" s="36">
        <f>IF(X327=0,0,MAX(1,ROUNDUP(X327*(1-'参数与公式'!$B$17),0)))</f>
        <v/>
      </c>
      <c r="AA327" s="36">
        <f>IF(Y327=0,0,MAX(1,ROUNDUP(Y327*(1-'参数与公式'!$B$17),0)))</f>
        <v/>
      </c>
      <c r="AB327" s="33" t="inlineStr">
        <is>
          <t>预算模式末级补足余数；旧模式按指数公式</t>
        </is>
      </c>
      <c r="AC327" s="49">
        <f>IF(A327=A326,IFERROR(M327/M326,""),"")</f>
        <v/>
      </c>
      <c r="AD327" s="49">
        <f>IF(AND(A327=A326,X326&gt;0),X327/X326,"")</f>
        <v/>
      </c>
    </row>
    <row r="328" ht="30" customHeight="1">
      <c r="A328" s="33" t="inlineStr">
        <is>
          <t>arrow_tower</t>
        </is>
      </c>
      <c r="B328" s="33" t="inlineStr">
        <is>
          <t>箭塔</t>
        </is>
      </c>
      <c r="C328" s="33" t="inlineStr">
        <is>
          <t>城防建筑</t>
        </is>
      </c>
      <c r="D328" s="43" t="n">
        <v>9</v>
      </c>
      <c r="E328" s="36">
        <f>D328+1</f>
        <v/>
      </c>
      <c r="F328" s="43" t="n">
        <v>10</v>
      </c>
      <c r="G328" s="36">
        <f>INDEX('建筑建议总览'!$H$5:$H$25,MATCH($A328,'建筑建议总览'!$A$5:$A$25,0))</f>
        <v/>
      </c>
      <c r="H328" s="44">
        <f>INDEX('建筑建议总览'!$I$5:$I$25,MATCH($A328,'建筑建议总览'!$A$5:$A$25,0))</f>
        <v/>
      </c>
      <c r="I328" s="36">
        <f>INDEX('建筑建议总览'!$J$5:$J$25,MATCH($A328,'建筑建议总览'!$A$5:$A$25,0))</f>
        <v/>
      </c>
      <c r="J328" s="44">
        <f>POWER(H328,D328-1)</f>
        <v/>
      </c>
      <c r="K328" s="44">
        <f>SUMIF($A$5:$A$328,$A328,$J$5:$J$328)</f>
        <v/>
      </c>
      <c r="L328" s="36">
        <f>IF(I328&gt;0,ROUNDDOWN(MAX(0,I328-G328*(F328-1))*J328/K328,0),0)</f>
        <v/>
      </c>
      <c r="M328" s="36">
        <f>IF(I328&gt;0,G328+L328+IF(D328=F328-1,MAX(0,I328-G328*(F328-1)-SUMIF($A$5:$A$328,$A328,$L$5:$L$328)),0),ROUNDUP(G328*POWER(INDEX('建筑总览'!$G$5:$G$25,MATCH($A328,'建筑总览'!$A$5:$A$25,0)),D328),0))</f>
        <v/>
      </c>
      <c r="N328" s="35">
        <f>M328/'参数与公式'!$B$21</f>
        <v/>
      </c>
      <c r="O328" s="36">
        <f>INDEX('建筑建议总览'!$P$5:$P$25,MATCH($A328,'建筑建议总览'!$A$5:$A$25,0))</f>
        <v/>
      </c>
      <c r="P328" s="36">
        <f>INDEX('建筑建议总览'!$Q$5:$Q$25,MATCH($A328,'建筑建议总览'!$A$5:$A$25,0))</f>
        <v/>
      </c>
      <c r="Q328" s="44">
        <f>INDEX('建筑建议总览'!$R$5:$R$25,MATCH($A328,'建筑建议总览'!$A$5:$A$25,0))</f>
        <v/>
      </c>
      <c r="R328" s="36">
        <f>INDEX('建筑建议总览'!$S$5:$S$25,MATCH($A328,'建筑建议总览'!$A$5:$A$25,0))</f>
        <v/>
      </c>
      <c r="S328" s="36">
        <f>INDEX('建筑建议总览'!$T$5:$T$25,MATCH($A328,'建筑建议总览'!$A$5:$A$25,0))</f>
        <v/>
      </c>
      <c r="T328" s="44">
        <f>POWER(Q328,D328-1)</f>
        <v/>
      </c>
      <c r="U328" s="44">
        <f>SUMIF($A$5:$A$328,$A328,$T$5:$T$328)</f>
        <v/>
      </c>
      <c r="V328" s="36">
        <f>IF(R328&gt;0,ROUNDDOWN(MAX(0,R328-O328*(F328-1))*T328/U328,0),0)</f>
        <v/>
      </c>
      <c r="W328" s="36">
        <f>IF(S328&gt;0,ROUNDDOWN(MAX(0,S328-P328*(F328-1))*T328/U328,0),0)</f>
        <v/>
      </c>
      <c r="X328" s="36">
        <f>IF(R328&gt;0,O328+V328+IF(D328=F328-1,MAX(0,R328-O328*(F328-1)-SUMIF($A$5:$A$328,$A328,$V$5:$V$328)),0),ROUNDUP(O328*POWER(INDEX('建筑总览'!$J$5:$J$25,MATCH($A328,'建筑总览'!$A$5:$A$25,0)),D328),0))</f>
        <v/>
      </c>
      <c r="Y328" s="36">
        <f>IF(P328=0,0,IF(S328&gt;0,P328+W328+IF(D328=F328-1,MAX(0,S328-P328*(F328-1)-SUMIF($A$5:$A$328,$A328,$W$5:$W$328)),0),ROUNDUP(P328*POWER(INDEX('建筑总览'!$J$5:$J$25,MATCH($A328,'建筑总览'!$A$5:$A$25,0)),D328),0)))</f>
        <v/>
      </c>
      <c r="Z328" s="36">
        <f>IF(X328=0,0,MAX(1,ROUNDUP(X328*(1-'参数与公式'!$B$17),0)))</f>
        <v/>
      </c>
      <c r="AA328" s="36">
        <f>IF(Y328=0,0,MAX(1,ROUNDUP(Y328*(1-'参数与公式'!$B$17),0)))</f>
        <v/>
      </c>
      <c r="AB328" s="33" t="inlineStr">
        <is>
          <t>预算模式末级补足余数；旧模式按指数公式</t>
        </is>
      </c>
      <c r="AC328" s="49">
        <f>IF(A328=A327,IFERROR(M328/M327,""),"")</f>
        <v/>
      </c>
      <c r="AD328" s="49">
        <f>IF(AND(A328=A327,X327&gt;0),X328/X327,"")</f>
        <v/>
      </c>
    </row>
  </sheetData>
  <autoFilter ref="A4:AD328"/>
  <mergeCells count="2">
    <mergeCell ref="A2:AD2"/>
    <mergeCell ref="A1:A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R3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3" customWidth="1" min="9" max="9"/>
    <col width="14" customWidth="1" min="10" max="10"/>
    <col width="15" customWidth="1" min="11" max="11"/>
    <col width="14" customWidth="1" min="12" max="12"/>
    <col width="14" customWidth="1" min="13" max="13"/>
    <col width="15" customWidth="1" min="14" max="14"/>
    <col width="14" customWidth="1" min="15" max="15"/>
    <col width="15" customWidth="1" min="16" max="16"/>
    <col width="16" customWidth="1" min="17" max="17"/>
    <col width="20" customWidth="1" min="18" max="18"/>
  </cols>
  <sheetData>
    <row r="1" ht="24" customHeight="1">
      <c r="A1" s="1" t="inlineStr">
        <is>
          <t>建筑当前逐级统计｜每次升级银两与时间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30" t="n"/>
    </row>
    <row r="2" ht="36" customHeight="1">
      <c r="A2" s="31" t="inlineStr">
        <is>
          <t>当前推荐配置逐级统计；每行代表一次升级。时间为配置游戏秒数，未叠加建筑学、祠堂缩时和全局倍率；银两/粮食与运行时代码的单级扣除口径一致。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30" t="n"/>
    </row>
    <row r="4" ht="36" customHeight="1">
      <c r="A4" s="5" t="inlineStr">
        <is>
          <t>建筑Key</t>
        </is>
      </c>
      <c r="B4" s="5" t="inlineStr">
        <is>
          <t>建筑</t>
        </is>
      </c>
      <c r="C4" s="5" t="inlineStr">
        <is>
          <t>功能分类</t>
        </is>
      </c>
      <c r="D4" s="5" t="inlineStr">
        <is>
          <t>当前等级</t>
        </is>
      </c>
      <c r="E4" s="5" t="inlineStr">
        <is>
          <t>升级至等级</t>
        </is>
      </c>
      <c r="F4" s="5" t="inlineStr">
        <is>
          <t>公式模式</t>
        </is>
      </c>
      <c r="G4" s="5" t="inlineStr">
        <is>
          <t>时长增长系数</t>
        </is>
      </c>
      <c r="H4" s="5" t="inlineStr">
        <is>
          <t>本级时间(s)</t>
        </is>
      </c>
      <c r="I4" s="5" t="inlineStr">
        <is>
          <t>本级时间(h)</t>
        </is>
      </c>
      <c r="J4" s="5" t="inlineStr">
        <is>
          <t>本级时间(天)</t>
        </is>
      </c>
      <c r="K4" s="5" t="inlineStr">
        <is>
          <t>累计时间(天)</t>
        </is>
      </c>
      <c r="L4" s="5" t="inlineStr">
        <is>
          <t>成本增长系数</t>
        </is>
      </c>
      <c r="M4" s="5" t="inlineStr">
        <is>
          <t>本级银两</t>
        </is>
      </c>
      <c r="N4" s="5" t="inlineStr">
        <is>
          <t>累计银两</t>
        </is>
      </c>
      <c r="O4" s="5" t="inlineStr">
        <is>
          <t>本级粮食</t>
        </is>
      </c>
      <c r="P4" s="5" t="inlineStr">
        <is>
          <t>累计粮食</t>
        </is>
      </c>
      <c r="Q4" s="5" t="inlineStr">
        <is>
          <t>审计口径</t>
        </is>
      </c>
      <c r="R4" s="5" t="inlineStr">
        <is>
          <t>备注</t>
        </is>
      </c>
    </row>
    <row r="5" ht="22" customHeight="1">
      <c r="A5" s="33">
        <f>'建筑建议逐级'!A5</f>
        <v/>
      </c>
      <c r="B5" s="33">
        <f>'建筑建议逐级'!B5</f>
        <v/>
      </c>
      <c r="C5" s="33">
        <f>'建筑建议逐级'!C5</f>
        <v/>
      </c>
      <c r="D5" s="43">
        <f>'建筑建议逐级'!D5</f>
        <v/>
      </c>
      <c r="E5" s="36">
        <f>'建筑建议逐级'!E5</f>
        <v/>
      </c>
      <c r="F5" s="51">
        <f>IF(OR('建筑建议逐级'!I5&gt;0,'建筑建议逐级'!R5&gt;0,'建筑建议逐级'!S5&gt;0),"预算型曲线","旧指数公式")</f>
        <v/>
      </c>
      <c r="G5" s="50">
        <f>'建筑建议逐级'!H5</f>
        <v/>
      </c>
      <c r="H5" s="36">
        <f>'建筑建议逐级'!M5</f>
        <v/>
      </c>
      <c r="I5" s="35">
        <f>H5/3600</f>
        <v/>
      </c>
      <c r="J5" s="35">
        <f>H5/'参数与公式'!$B$21</f>
        <v/>
      </c>
      <c r="K5" s="35">
        <f>SUMIFS($J$5:$J$328,$A$5:$A$328,A5,$D$5:$D$328,"&lt;="&amp;D5)</f>
        <v/>
      </c>
      <c r="L5" s="50">
        <f>'建筑建议逐级'!Q5</f>
        <v/>
      </c>
      <c r="M5" s="36">
        <f>'建筑建议逐级'!X5</f>
        <v/>
      </c>
      <c r="N5" s="36">
        <f>SUMIFS($M$5:$M$328,$A$5:$A$328,A5,$D$5:$D$328,"&lt;="&amp;D5)</f>
        <v/>
      </c>
      <c r="O5" s="36">
        <f>'建筑建议逐级'!Y5</f>
        <v/>
      </c>
      <c r="P5" s="36">
        <f>SUMIFS($O$5:$O$328,$A$5:$A$328,A5,$D$5:$D$328,"&lt;="&amp;D5)</f>
        <v/>
      </c>
      <c r="Q5" s="51">
        <f>IF(F5="预算型曲线","总预算归一化","沿用旧指数公式")</f>
        <v/>
      </c>
      <c r="R5" s="51">
        <f>IF(F5="预算型曲线","与当前建议公式一致","需单独复核")</f>
        <v/>
      </c>
    </row>
    <row r="6" ht="22" customHeight="1">
      <c r="A6" s="33">
        <f>'建筑建议逐级'!A6</f>
        <v/>
      </c>
      <c r="B6" s="33">
        <f>'建筑建议逐级'!B6</f>
        <v/>
      </c>
      <c r="C6" s="33">
        <f>'建筑建议逐级'!C6</f>
        <v/>
      </c>
      <c r="D6" s="43">
        <f>'建筑建议逐级'!D6</f>
        <v/>
      </c>
      <c r="E6" s="36">
        <f>'建筑建议逐级'!E6</f>
        <v/>
      </c>
      <c r="F6" s="51">
        <f>IF(OR('建筑建议逐级'!I6&gt;0,'建筑建议逐级'!R6&gt;0,'建筑建议逐级'!S6&gt;0),"预算型曲线","旧指数公式")</f>
        <v/>
      </c>
      <c r="G6" s="50">
        <f>'建筑建议逐级'!H6</f>
        <v/>
      </c>
      <c r="H6" s="36">
        <f>'建筑建议逐级'!M6</f>
        <v/>
      </c>
      <c r="I6" s="35">
        <f>H6/3600</f>
        <v/>
      </c>
      <c r="J6" s="35">
        <f>H6/'参数与公式'!$B$21</f>
        <v/>
      </c>
      <c r="K6" s="35">
        <f>SUMIFS($J$5:$J$328,$A$5:$A$328,A6,$D$5:$D$328,"&lt;="&amp;D6)</f>
        <v/>
      </c>
      <c r="L6" s="50">
        <f>'建筑建议逐级'!Q6</f>
        <v/>
      </c>
      <c r="M6" s="36">
        <f>'建筑建议逐级'!X6</f>
        <v/>
      </c>
      <c r="N6" s="36">
        <f>SUMIFS($M$5:$M$328,$A$5:$A$328,A6,$D$5:$D$328,"&lt;="&amp;D6)</f>
        <v/>
      </c>
      <c r="O6" s="36">
        <f>'建筑建议逐级'!Y6</f>
        <v/>
      </c>
      <c r="P6" s="36">
        <f>SUMIFS($O$5:$O$328,$A$5:$A$328,A6,$D$5:$D$328,"&lt;="&amp;D6)</f>
        <v/>
      </c>
      <c r="Q6" s="51">
        <f>IF(F6="预算型曲线","总预算归一化","沿用旧指数公式")</f>
        <v/>
      </c>
      <c r="R6" s="51">
        <f>IF(F6="预算型曲线","与当前建议公式一致","需单独复核")</f>
        <v/>
      </c>
    </row>
    <row r="7" ht="22" customHeight="1">
      <c r="A7" s="33">
        <f>'建筑建议逐级'!A7</f>
        <v/>
      </c>
      <c r="B7" s="33">
        <f>'建筑建议逐级'!B7</f>
        <v/>
      </c>
      <c r="C7" s="33">
        <f>'建筑建议逐级'!C7</f>
        <v/>
      </c>
      <c r="D7" s="43">
        <f>'建筑建议逐级'!D7</f>
        <v/>
      </c>
      <c r="E7" s="36">
        <f>'建筑建议逐级'!E7</f>
        <v/>
      </c>
      <c r="F7" s="51">
        <f>IF(OR('建筑建议逐级'!I7&gt;0,'建筑建议逐级'!R7&gt;0,'建筑建议逐级'!S7&gt;0),"预算型曲线","旧指数公式")</f>
        <v/>
      </c>
      <c r="G7" s="50">
        <f>'建筑建议逐级'!H7</f>
        <v/>
      </c>
      <c r="H7" s="36">
        <f>'建筑建议逐级'!M7</f>
        <v/>
      </c>
      <c r="I7" s="35">
        <f>H7/3600</f>
        <v/>
      </c>
      <c r="J7" s="35">
        <f>H7/'参数与公式'!$B$21</f>
        <v/>
      </c>
      <c r="K7" s="35">
        <f>SUMIFS($J$5:$J$328,$A$5:$A$328,A7,$D$5:$D$328,"&lt;="&amp;D7)</f>
        <v/>
      </c>
      <c r="L7" s="50">
        <f>'建筑建议逐级'!Q7</f>
        <v/>
      </c>
      <c r="M7" s="36">
        <f>'建筑建议逐级'!X7</f>
        <v/>
      </c>
      <c r="N7" s="36">
        <f>SUMIFS($M$5:$M$328,$A$5:$A$328,A7,$D$5:$D$328,"&lt;="&amp;D7)</f>
        <v/>
      </c>
      <c r="O7" s="36">
        <f>'建筑建议逐级'!Y7</f>
        <v/>
      </c>
      <c r="P7" s="36">
        <f>SUMIFS($O$5:$O$328,$A$5:$A$328,A7,$D$5:$D$328,"&lt;="&amp;D7)</f>
        <v/>
      </c>
      <c r="Q7" s="51">
        <f>IF(F7="预算型曲线","总预算归一化","沿用旧指数公式")</f>
        <v/>
      </c>
      <c r="R7" s="51">
        <f>IF(F7="预算型曲线","与当前建议公式一致","需单独复核")</f>
        <v/>
      </c>
    </row>
    <row r="8" ht="22" customHeight="1">
      <c r="A8" s="33">
        <f>'建筑建议逐级'!A8</f>
        <v/>
      </c>
      <c r="B8" s="33">
        <f>'建筑建议逐级'!B8</f>
        <v/>
      </c>
      <c r="C8" s="33">
        <f>'建筑建议逐级'!C8</f>
        <v/>
      </c>
      <c r="D8" s="43">
        <f>'建筑建议逐级'!D8</f>
        <v/>
      </c>
      <c r="E8" s="36">
        <f>'建筑建议逐级'!E8</f>
        <v/>
      </c>
      <c r="F8" s="51">
        <f>IF(OR('建筑建议逐级'!I8&gt;0,'建筑建议逐级'!R8&gt;0,'建筑建议逐级'!S8&gt;0),"预算型曲线","旧指数公式")</f>
        <v/>
      </c>
      <c r="G8" s="50">
        <f>'建筑建议逐级'!H8</f>
        <v/>
      </c>
      <c r="H8" s="36">
        <f>'建筑建议逐级'!M8</f>
        <v/>
      </c>
      <c r="I8" s="35">
        <f>H8/3600</f>
        <v/>
      </c>
      <c r="J8" s="35">
        <f>H8/'参数与公式'!$B$21</f>
        <v/>
      </c>
      <c r="K8" s="35">
        <f>SUMIFS($J$5:$J$328,$A$5:$A$328,A8,$D$5:$D$328,"&lt;="&amp;D8)</f>
        <v/>
      </c>
      <c r="L8" s="50">
        <f>'建筑建议逐级'!Q8</f>
        <v/>
      </c>
      <c r="M8" s="36">
        <f>'建筑建议逐级'!X8</f>
        <v/>
      </c>
      <c r="N8" s="36">
        <f>SUMIFS($M$5:$M$328,$A$5:$A$328,A8,$D$5:$D$328,"&lt;="&amp;D8)</f>
        <v/>
      </c>
      <c r="O8" s="36">
        <f>'建筑建议逐级'!Y8</f>
        <v/>
      </c>
      <c r="P8" s="36">
        <f>SUMIFS($O$5:$O$328,$A$5:$A$328,A8,$D$5:$D$328,"&lt;="&amp;D8)</f>
        <v/>
      </c>
      <c r="Q8" s="51">
        <f>IF(F8="预算型曲线","总预算归一化","沿用旧指数公式")</f>
        <v/>
      </c>
      <c r="R8" s="51">
        <f>IF(F8="预算型曲线","与当前建议公式一致","需单独复核")</f>
        <v/>
      </c>
    </row>
    <row r="9" ht="22" customHeight="1">
      <c r="A9" s="33">
        <f>'建筑建议逐级'!A9</f>
        <v/>
      </c>
      <c r="B9" s="33">
        <f>'建筑建议逐级'!B9</f>
        <v/>
      </c>
      <c r="C9" s="33">
        <f>'建筑建议逐级'!C9</f>
        <v/>
      </c>
      <c r="D9" s="43">
        <f>'建筑建议逐级'!D9</f>
        <v/>
      </c>
      <c r="E9" s="36">
        <f>'建筑建议逐级'!E9</f>
        <v/>
      </c>
      <c r="F9" s="51">
        <f>IF(OR('建筑建议逐级'!I9&gt;0,'建筑建议逐级'!R9&gt;0,'建筑建议逐级'!S9&gt;0),"预算型曲线","旧指数公式")</f>
        <v/>
      </c>
      <c r="G9" s="50">
        <f>'建筑建议逐级'!H9</f>
        <v/>
      </c>
      <c r="H9" s="36">
        <f>'建筑建议逐级'!M9</f>
        <v/>
      </c>
      <c r="I9" s="35">
        <f>H9/3600</f>
        <v/>
      </c>
      <c r="J9" s="35">
        <f>H9/'参数与公式'!$B$21</f>
        <v/>
      </c>
      <c r="K9" s="35">
        <f>SUMIFS($J$5:$J$328,$A$5:$A$328,A9,$D$5:$D$328,"&lt;="&amp;D9)</f>
        <v/>
      </c>
      <c r="L9" s="50">
        <f>'建筑建议逐级'!Q9</f>
        <v/>
      </c>
      <c r="M9" s="36">
        <f>'建筑建议逐级'!X9</f>
        <v/>
      </c>
      <c r="N9" s="36">
        <f>SUMIFS($M$5:$M$328,$A$5:$A$328,A9,$D$5:$D$328,"&lt;="&amp;D9)</f>
        <v/>
      </c>
      <c r="O9" s="36">
        <f>'建筑建议逐级'!Y9</f>
        <v/>
      </c>
      <c r="P9" s="36">
        <f>SUMIFS($O$5:$O$328,$A$5:$A$328,A9,$D$5:$D$328,"&lt;="&amp;D9)</f>
        <v/>
      </c>
      <c r="Q9" s="51">
        <f>IF(F9="预算型曲线","总预算归一化","沿用旧指数公式")</f>
        <v/>
      </c>
      <c r="R9" s="51">
        <f>IF(F9="预算型曲线","与当前建议公式一致","需单独复核")</f>
        <v/>
      </c>
    </row>
    <row r="10" ht="22" customHeight="1">
      <c r="A10" s="33">
        <f>'建筑建议逐级'!A10</f>
        <v/>
      </c>
      <c r="B10" s="33">
        <f>'建筑建议逐级'!B10</f>
        <v/>
      </c>
      <c r="C10" s="33">
        <f>'建筑建议逐级'!C10</f>
        <v/>
      </c>
      <c r="D10" s="43">
        <f>'建筑建议逐级'!D10</f>
        <v/>
      </c>
      <c r="E10" s="36">
        <f>'建筑建议逐级'!E10</f>
        <v/>
      </c>
      <c r="F10" s="51">
        <f>IF(OR('建筑建议逐级'!I10&gt;0,'建筑建议逐级'!R10&gt;0,'建筑建议逐级'!S10&gt;0),"预算型曲线","旧指数公式")</f>
        <v/>
      </c>
      <c r="G10" s="50">
        <f>'建筑建议逐级'!H10</f>
        <v/>
      </c>
      <c r="H10" s="36">
        <f>'建筑建议逐级'!M10</f>
        <v/>
      </c>
      <c r="I10" s="35">
        <f>H10/3600</f>
        <v/>
      </c>
      <c r="J10" s="35">
        <f>H10/'参数与公式'!$B$21</f>
        <v/>
      </c>
      <c r="K10" s="35">
        <f>SUMIFS($J$5:$J$328,$A$5:$A$328,A10,$D$5:$D$328,"&lt;="&amp;D10)</f>
        <v/>
      </c>
      <c r="L10" s="50">
        <f>'建筑建议逐级'!Q10</f>
        <v/>
      </c>
      <c r="M10" s="36">
        <f>'建筑建议逐级'!X10</f>
        <v/>
      </c>
      <c r="N10" s="36">
        <f>SUMIFS($M$5:$M$328,$A$5:$A$328,A10,$D$5:$D$328,"&lt;="&amp;D10)</f>
        <v/>
      </c>
      <c r="O10" s="36">
        <f>'建筑建议逐级'!Y10</f>
        <v/>
      </c>
      <c r="P10" s="36">
        <f>SUMIFS($O$5:$O$328,$A$5:$A$328,A10,$D$5:$D$328,"&lt;="&amp;D10)</f>
        <v/>
      </c>
      <c r="Q10" s="51">
        <f>IF(F10="预算型曲线","总预算归一化","沿用旧指数公式")</f>
        <v/>
      </c>
      <c r="R10" s="51">
        <f>IF(F10="预算型曲线","与当前建议公式一致","需单独复核")</f>
        <v/>
      </c>
    </row>
    <row r="11" ht="22" customHeight="1">
      <c r="A11" s="33">
        <f>'建筑建议逐级'!A11</f>
        <v/>
      </c>
      <c r="B11" s="33">
        <f>'建筑建议逐级'!B11</f>
        <v/>
      </c>
      <c r="C11" s="33">
        <f>'建筑建议逐级'!C11</f>
        <v/>
      </c>
      <c r="D11" s="43">
        <f>'建筑建议逐级'!D11</f>
        <v/>
      </c>
      <c r="E11" s="36">
        <f>'建筑建议逐级'!E11</f>
        <v/>
      </c>
      <c r="F11" s="51">
        <f>IF(OR('建筑建议逐级'!I11&gt;0,'建筑建议逐级'!R11&gt;0,'建筑建议逐级'!S11&gt;0),"预算型曲线","旧指数公式")</f>
        <v/>
      </c>
      <c r="G11" s="50">
        <f>'建筑建议逐级'!H11</f>
        <v/>
      </c>
      <c r="H11" s="36">
        <f>'建筑建议逐级'!M11</f>
        <v/>
      </c>
      <c r="I11" s="35">
        <f>H11/3600</f>
        <v/>
      </c>
      <c r="J11" s="35">
        <f>H11/'参数与公式'!$B$21</f>
        <v/>
      </c>
      <c r="K11" s="35">
        <f>SUMIFS($J$5:$J$328,$A$5:$A$328,A11,$D$5:$D$328,"&lt;="&amp;D11)</f>
        <v/>
      </c>
      <c r="L11" s="50">
        <f>'建筑建议逐级'!Q11</f>
        <v/>
      </c>
      <c r="M11" s="36">
        <f>'建筑建议逐级'!X11</f>
        <v/>
      </c>
      <c r="N11" s="36">
        <f>SUMIFS($M$5:$M$328,$A$5:$A$328,A11,$D$5:$D$328,"&lt;="&amp;D11)</f>
        <v/>
      </c>
      <c r="O11" s="36">
        <f>'建筑建议逐级'!Y11</f>
        <v/>
      </c>
      <c r="P11" s="36">
        <f>SUMIFS($O$5:$O$328,$A$5:$A$328,A11,$D$5:$D$328,"&lt;="&amp;D11)</f>
        <v/>
      </c>
      <c r="Q11" s="51">
        <f>IF(F11="预算型曲线","总预算归一化","沿用旧指数公式")</f>
        <v/>
      </c>
      <c r="R11" s="51">
        <f>IF(F11="预算型曲线","与当前建议公式一致","需单独复核")</f>
        <v/>
      </c>
    </row>
    <row r="12" ht="22" customHeight="1">
      <c r="A12" s="33">
        <f>'建筑建议逐级'!A12</f>
        <v/>
      </c>
      <c r="B12" s="33">
        <f>'建筑建议逐级'!B12</f>
        <v/>
      </c>
      <c r="C12" s="33">
        <f>'建筑建议逐级'!C12</f>
        <v/>
      </c>
      <c r="D12" s="43">
        <f>'建筑建议逐级'!D12</f>
        <v/>
      </c>
      <c r="E12" s="36">
        <f>'建筑建议逐级'!E12</f>
        <v/>
      </c>
      <c r="F12" s="51">
        <f>IF(OR('建筑建议逐级'!I12&gt;0,'建筑建议逐级'!R12&gt;0,'建筑建议逐级'!S12&gt;0),"预算型曲线","旧指数公式")</f>
        <v/>
      </c>
      <c r="G12" s="50">
        <f>'建筑建议逐级'!H12</f>
        <v/>
      </c>
      <c r="H12" s="36">
        <f>'建筑建议逐级'!M12</f>
        <v/>
      </c>
      <c r="I12" s="35">
        <f>H12/3600</f>
        <v/>
      </c>
      <c r="J12" s="35">
        <f>H12/'参数与公式'!$B$21</f>
        <v/>
      </c>
      <c r="K12" s="35">
        <f>SUMIFS($J$5:$J$328,$A$5:$A$328,A12,$D$5:$D$328,"&lt;="&amp;D12)</f>
        <v/>
      </c>
      <c r="L12" s="50">
        <f>'建筑建议逐级'!Q12</f>
        <v/>
      </c>
      <c r="M12" s="36">
        <f>'建筑建议逐级'!X12</f>
        <v/>
      </c>
      <c r="N12" s="36">
        <f>SUMIFS($M$5:$M$328,$A$5:$A$328,A12,$D$5:$D$328,"&lt;="&amp;D12)</f>
        <v/>
      </c>
      <c r="O12" s="36">
        <f>'建筑建议逐级'!Y12</f>
        <v/>
      </c>
      <c r="P12" s="36">
        <f>SUMIFS($O$5:$O$328,$A$5:$A$328,A12,$D$5:$D$328,"&lt;="&amp;D12)</f>
        <v/>
      </c>
      <c r="Q12" s="51">
        <f>IF(F12="预算型曲线","总预算归一化","沿用旧指数公式")</f>
        <v/>
      </c>
      <c r="R12" s="51">
        <f>IF(F12="预算型曲线","与当前建议公式一致","需单独复核")</f>
        <v/>
      </c>
    </row>
    <row r="13" ht="22" customHeight="1">
      <c r="A13" s="33">
        <f>'建筑建议逐级'!A13</f>
        <v/>
      </c>
      <c r="B13" s="33">
        <f>'建筑建议逐级'!B13</f>
        <v/>
      </c>
      <c r="C13" s="33">
        <f>'建筑建议逐级'!C13</f>
        <v/>
      </c>
      <c r="D13" s="43">
        <f>'建筑建议逐级'!D13</f>
        <v/>
      </c>
      <c r="E13" s="36">
        <f>'建筑建议逐级'!E13</f>
        <v/>
      </c>
      <c r="F13" s="51">
        <f>IF(OR('建筑建议逐级'!I13&gt;0,'建筑建议逐级'!R13&gt;0,'建筑建议逐级'!S13&gt;0),"预算型曲线","旧指数公式")</f>
        <v/>
      </c>
      <c r="G13" s="50">
        <f>'建筑建议逐级'!H13</f>
        <v/>
      </c>
      <c r="H13" s="36">
        <f>'建筑建议逐级'!M13</f>
        <v/>
      </c>
      <c r="I13" s="35">
        <f>H13/3600</f>
        <v/>
      </c>
      <c r="J13" s="35">
        <f>H13/'参数与公式'!$B$21</f>
        <v/>
      </c>
      <c r="K13" s="35">
        <f>SUMIFS($J$5:$J$328,$A$5:$A$328,A13,$D$5:$D$328,"&lt;="&amp;D13)</f>
        <v/>
      </c>
      <c r="L13" s="50">
        <f>'建筑建议逐级'!Q13</f>
        <v/>
      </c>
      <c r="M13" s="36">
        <f>'建筑建议逐级'!X13</f>
        <v/>
      </c>
      <c r="N13" s="36">
        <f>SUMIFS($M$5:$M$328,$A$5:$A$328,A13,$D$5:$D$328,"&lt;="&amp;D13)</f>
        <v/>
      </c>
      <c r="O13" s="36">
        <f>'建筑建议逐级'!Y13</f>
        <v/>
      </c>
      <c r="P13" s="36">
        <f>SUMIFS($O$5:$O$328,$A$5:$A$328,A13,$D$5:$D$328,"&lt;="&amp;D13)</f>
        <v/>
      </c>
      <c r="Q13" s="51">
        <f>IF(F13="预算型曲线","总预算归一化","沿用旧指数公式")</f>
        <v/>
      </c>
      <c r="R13" s="51">
        <f>IF(F13="预算型曲线","与当前建议公式一致","需单独复核")</f>
        <v/>
      </c>
    </row>
    <row r="14" ht="22" customHeight="1">
      <c r="A14" s="33">
        <f>'建筑建议逐级'!A14</f>
        <v/>
      </c>
      <c r="B14" s="33">
        <f>'建筑建议逐级'!B14</f>
        <v/>
      </c>
      <c r="C14" s="33">
        <f>'建筑建议逐级'!C14</f>
        <v/>
      </c>
      <c r="D14" s="43">
        <f>'建筑建议逐级'!D14</f>
        <v/>
      </c>
      <c r="E14" s="36">
        <f>'建筑建议逐级'!E14</f>
        <v/>
      </c>
      <c r="F14" s="51">
        <f>IF(OR('建筑建议逐级'!I14&gt;0,'建筑建议逐级'!R14&gt;0,'建筑建议逐级'!S14&gt;0),"预算型曲线","旧指数公式")</f>
        <v/>
      </c>
      <c r="G14" s="50">
        <f>'建筑建议逐级'!H14</f>
        <v/>
      </c>
      <c r="H14" s="36">
        <f>'建筑建议逐级'!M14</f>
        <v/>
      </c>
      <c r="I14" s="35">
        <f>H14/3600</f>
        <v/>
      </c>
      <c r="J14" s="35">
        <f>H14/'参数与公式'!$B$21</f>
        <v/>
      </c>
      <c r="K14" s="35">
        <f>SUMIFS($J$5:$J$328,$A$5:$A$328,A14,$D$5:$D$328,"&lt;="&amp;D14)</f>
        <v/>
      </c>
      <c r="L14" s="50">
        <f>'建筑建议逐级'!Q14</f>
        <v/>
      </c>
      <c r="M14" s="36">
        <f>'建筑建议逐级'!X14</f>
        <v/>
      </c>
      <c r="N14" s="36">
        <f>SUMIFS($M$5:$M$328,$A$5:$A$328,A14,$D$5:$D$328,"&lt;="&amp;D14)</f>
        <v/>
      </c>
      <c r="O14" s="36">
        <f>'建筑建议逐级'!Y14</f>
        <v/>
      </c>
      <c r="P14" s="36">
        <f>SUMIFS($O$5:$O$328,$A$5:$A$328,A14,$D$5:$D$328,"&lt;="&amp;D14)</f>
        <v/>
      </c>
      <c r="Q14" s="51">
        <f>IF(F14="预算型曲线","总预算归一化","沿用旧指数公式")</f>
        <v/>
      </c>
      <c r="R14" s="51">
        <f>IF(F14="预算型曲线","与当前建议公式一致","需单独复核")</f>
        <v/>
      </c>
    </row>
    <row r="15" ht="22" customHeight="1">
      <c r="A15" s="33">
        <f>'建筑建议逐级'!A15</f>
        <v/>
      </c>
      <c r="B15" s="33">
        <f>'建筑建议逐级'!B15</f>
        <v/>
      </c>
      <c r="C15" s="33">
        <f>'建筑建议逐级'!C15</f>
        <v/>
      </c>
      <c r="D15" s="43">
        <f>'建筑建议逐级'!D15</f>
        <v/>
      </c>
      <c r="E15" s="36">
        <f>'建筑建议逐级'!E15</f>
        <v/>
      </c>
      <c r="F15" s="51">
        <f>IF(OR('建筑建议逐级'!I15&gt;0,'建筑建议逐级'!R15&gt;0,'建筑建议逐级'!S15&gt;0),"预算型曲线","旧指数公式")</f>
        <v/>
      </c>
      <c r="G15" s="50">
        <f>'建筑建议逐级'!H15</f>
        <v/>
      </c>
      <c r="H15" s="36">
        <f>'建筑建议逐级'!M15</f>
        <v/>
      </c>
      <c r="I15" s="35">
        <f>H15/3600</f>
        <v/>
      </c>
      <c r="J15" s="35">
        <f>H15/'参数与公式'!$B$21</f>
        <v/>
      </c>
      <c r="K15" s="35">
        <f>SUMIFS($J$5:$J$328,$A$5:$A$328,A15,$D$5:$D$328,"&lt;="&amp;D15)</f>
        <v/>
      </c>
      <c r="L15" s="50">
        <f>'建筑建议逐级'!Q15</f>
        <v/>
      </c>
      <c r="M15" s="36">
        <f>'建筑建议逐级'!X15</f>
        <v/>
      </c>
      <c r="N15" s="36">
        <f>SUMIFS($M$5:$M$328,$A$5:$A$328,A15,$D$5:$D$328,"&lt;="&amp;D15)</f>
        <v/>
      </c>
      <c r="O15" s="36">
        <f>'建筑建议逐级'!Y15</f>
        <v/>
      </c>
      <c r="P15" s="36">
        <f>SUMIFS($O$5:$O$328,$A$5:$A$328,A15,$D$5:$D$328,"&lt;="&amp;D15)</f>
        <v/>
      </c>
      <c r="Q15" s="51">
        <f>IF(F15="预算型曲线","总预算归一化","沿用旧指数公式")</f>
        <v/>
      </c>
      <c r="R15" s="51">
        <f>IF(F15="预算型曲线","与当前建议公式一致","需单独复核")</f>
        <v/>
      </c>
    </row>
    <row r="16" ht="22" customHeight="1">
      <c r="A16" s="33">
        <f>'建筑建议逐级'!A16</f>
        <v/>
      </c>
      <c r="B16" s="33">
        <f>'建筑建议逐级'!B16</f>
        <v/>
      </c>
      <c r="C16" s="33">
        <f>'建筑建议逐级'!C16</f>
        <v/>
      </c>
      <c r="D16" s="43">
        <f>'建筑建议逐级'!D16</f>
        <v/>
      </c>
      <c r="E16" s="36">
        <f>'建筑建议逐级'!E16</f>
        <v/>
      </c>
      <c r="F16" s="51">
        <f>IF(OR('建筑建议逐级'!I16&gt;0,'建筑建议逐级'!R16&gt;0,'建筑建议逐级'!S16&gt;0),"预算型曲线","旧指数公式")</f>
        <v/>
      </c>
      <c r="G16" s="50">
        <f>'建筑建议逐级'!H16</f>
        <v/>
      </c>
      <c r="H16" s="36">
        <f>'建筑建议逐级'!M16</f>
        <v/>
      </c>
      <c r="I16" s="35">
        <f>H16/3600</f>
        <v/>
      </c>
      <c r="J16" s="35">
        <f>H16/'参数与公式'!$B$21</f>
        <v/>
      </c>
      <c r="K16" s="35">
        <f>SUMIFS($J$5:$J$328,$A$5:$A$328,A16,$D$5:$D$328,"&lt;="&amp;D16)</f>
        <v/>
      </c>
      <c r="L16" s="50">
        <f>'建筑建议逐级'!Q16</f>
        <v/>
      </c>
      <c r="M16" s="36">
        <f>'建筑建议逐级'!X16</f>
        <v/>
      </c>
      <c r="N16" s="36">
        <f>SUMIFS($M$5:$M$328,$A$5:$A$328,A16,$D$5:$D$328,"&lt;="&amp;D16)</f>
        <v/>
      </c>
      <c r="O16" s="36">
        <f>'建筑建议逐级'!Y16</f>
        <v/>
      </c>
      <c r="P16" s="36">
        <f>SUMIFS($O$5:$O$328,$A$5:$A$328,A16,$D$5:$D$328,"&lt;="&amp;D16)</f>
        <v/>
      </c>
      <c r="Q16" s="51">
        <f>IF(F16="预算型曲线","总预算归一化","沿用旧指数公式")</f>
        <v/>
      </c>
      <c r="R16" s="51">
        <f>IF(F16="预算型曲线","与当前建议公式一致","需单独复核")</f>
        <v/>
      </c>
    </row>
    <row r="17" ht="22" customHeight="1">
      <c r="A17" s="33">
        <f>'建筑建议逐级'!A17</f>
        <v/>
      </c>
      <c r="B17" s="33">
        <f>'建筑建议逐级'!B17</f>
        <v/>
      </c>
      <c r="C17" s="33">
        <f>'建筑建议逐级'!C17</f>
        <v/>
      </c>
      <c r="D17" s="43">
        <f>'建筑建议逐级'!D17</f>
        <v/>
      </c>
      <c r="E17" s="36">
        <f>'建筑建议逐级'!E17</f>
        <v/>
      </c>
      <c r="F17" s="51">
        <f>IF(OR('建筑建议逐级'!I17&gt;0,'建筑建议逐级'!R17&gt;0,'建筑建议逐级'!S17&gt;0),"预算型曲线","旧指数公式")</f>
        <v/>
      </c>
      <c r="G17" s="50">
        <f>'建筑建议逐级'!H17</f>
        <v/>
      </c>
      <c r="H17" s="36">
        <f>'建筑建议逐级'!M17</f>
        <v/>
      </c>
      <c r="I17" s="35">
        <f>H17/3600</f>
        <v/>
      </c>
      <c r="J17" s="35">
        <f>H17/'参数与公式'!$B$21</f>
        <v/>
      </c>
      <c r="K17" s="35">
        <f>SUMIFS($J$5:$J$328,$A$5:$A$328,A17,$D$5:$D$328,"&lt;="&amp;D17)</f>
        <v/>
      </c>
      <c r="L17" s="50">
        <f>'建筑建议逐级'!Q17</f>
        <v/>
      </c>
      <c r="M17" s="36">
        <f>'建筑建议逐级'!X17</f>
        <v/>
      </c>
      <c r="N17" s="36">
        <f>SUMIFS($M$5:$M$328,$A$5:$A$328,A17,$D$5:$D$328,"&lt;="&amp;D17)</f>
        <v/>
      </c>
      <c r="O17" s="36">
        <f>'建筑建议逐级'!Y17</f>
        <v/>
      </c>
      <c r="P17" s="36">
        <f>SUMIFS($O$5:$O$328,$A$5:$A$328,A17,$D$5:$D$328,"&lt;="&amp;D17)</f>
        <v/>
      </c>
      <c r="Q17" s="51">
        <f>IF(F17="预算型曲线","总预算归一化","沿用旧指数公式")</f>
        <v/>
      </c>
      <c r="R17" s="51">
        <f>IF(F17="预算型曲线","与当前建议公式一致","需单独复核")</f>
        <v/>
      </c>
    </row>
    <row r="18" ht="22" customHeight="1">
      <c r="A18" s="33">
        <f>'建筑建议逐级'!A18</f>
        <v/>
      </c>
      <c r="B18" s="33">
        <f>'建筑建议逐级'!B18</f>
        <v/>
      </c>
      <c r="C18" s="33">
        <f>'建筑建议逐级'!C18</f>
        <v/>
      </c>
      <c r="D18" s="43">
        <f>'建筑建议逐级'!D18</f>
        <v/>
      </c>
      <c r="E18" s="36">
        <f>'建筑建议逐级'!E18</f>
        <v/>
      </c>
      <c r="F18" s="51">
        <f>IF(OR('建筑建议逐级'!I18&gt;0,'建筑建议逐级'!R18&gt;0,'建筑建议逐级'!S18&gt;0),"预算型曲线","旧指数公式")</f>
        <v/>
      </c>
      <c r="G18" s="50">
        <f>'建筑建议逐级'!H18</f>
        <v/>
      </c>
      <c r="H18" s="36">
        <f>'建筑建议逐级'!M18</f>
        <v/>
      </c>
      <c r="I18" s="35">
        <f>H18/3600</f>
        <v/>
      </c>
      <c r="J18" s="35">
        <f>H18/'参数与公式'!$B$21</f>
        <v/>
      </c>
      <c r="K18" s="35">
        <f>SUMIFS($J$5:$J$328,$A$5:$A$328,A18,$D$5:$D$328,"&lt;="&amp;D18)</f>
        <v/>
      </c>
      <c r="L18" s="50">
        <f>'建筑建议逐级'!Q18</f>
        <v/>
      </c>
      <c r="M18" s="36">
        <f>'建筑建议逐级'!X18</f>
        <v/>
      </c>
      <c r="N18" s="36">
        <f>SUMIFS($M$5:$M$328,$A$5:$A$328,A18,$D$5:$D$328,"&lt;="&amp;D18)</f>
        <v/>
      </c>
      <c r="O18" s="36">
        <f>'建筑建议逐级'!Y18</f>
        <v/>
      </c>
      <c r="P18" s="36">
        <f>SUMIFS($O$5:$O$328,$A$5:$A$328,A18,$D$5:$D$328,"&lt;="&amp;D18)</f>
        <v/>
      </c>
      <c r="Q18" s="51">
        <f>IF(F18="预算型曲线","总预算归一化","沿用旧指数公式")</f>
        <v/>
      </c>
      <c r="R18" s="51">
        <f>IF(F18="预算型曲线","与当前建议公式一致","需单独复核")</f>
        <v/>
      </c>
    </row>
    <row r="19" ht="22" customHeight="1">
      <c r="A19" s="33">
        <f>'建筑建议逐级'!A19</f>
        <v/>
      </c>
      <c r="B19" s="33">
        <f>'建筑建议逐级'!B19</f>
        <v/>
      </c>
      <c r="C19" s="33">
        <f>'建筑建议逐级'!C19</f>
        <v/>
      </c>
      <c r="D19" s="43">
        <f>'建筑建议逐级'!D19</f>
        <v/>
      </c>
      <c r="E19" s="36">
        <f>'建筑建议逐级'!E19</f>
        <v/>
      </c>
      <c r="F19" s="51">
        <f>IF(OR('建筑建议逐级'!I19&gt;0,'建筑建议逐级'!R19&gt;0,'建筑建议逐级'!S19&gt;0),"预算型曲线","旧指数公式")</f>
        <v/>
      </c>
      <c r="G19" s="50">
        <f>'建筑建议逐级'!H19</f>
        <v/>
      </c>
      <c r="H19" s="36">
        <f>'建筑建议逐级'!M19</f>
        <v/>
      </c>
      <c r="I19" s="35">
        <f>H19/3600</f>
        <v/>
      </c>
      <c r="J19" s="35">
        <f>H19/'参数与公式'!$B$21</f>
        <v/>
      </c>
      <c r="K19" s="35">
        <f>SUMIFS($J$5:$J$328,$A$5:$A$328,A19,$D$5:$D$328,"&lt;="&amp;D19)</f>
        <v/>
      </c>
      <c r="L19" s="50">
        <f>'建筑建议逐级'!Q19</f>
        <v/>
      </c>
      <c r="M19" s="36">
        <f>'建筑建议逐级'!X19</f>
        <v/>
      </c>
      <c r="N19" s="36">
        <f>SUMIFS($M$5:$M$328,$A$5:$A$328,A19,$D$5:$D$328,"&lt;="&amp;D19)</f>
        <v/>
      </c>
      <c r="O19" s="36">
        <f>'建筑建议逐级'!Y19</f>
        <v/>
      </c>
      <c r="P19" s="36">
        <f>SUMIFS($O$5:$O$328,$A$5:$A$328,A19,$D$5:$D$328,"&lt;="&amp;D19)</f>
        <v/>
      </c>
      <c r="Q19" s="51">
        <f>IF(F19="预算型曲线","总预算归一化","沿用旧指数公式")</f>
        <v/>
      </c>
      <c r="R19" s="51">
        <f>IF(F19="预算型曲线","与当前建议公式一致","需单独复核")</f>
        <v/>
      </c>
    </row>
    <row r="20" ht="22" customHeight="1">
      <c r="A20" s="33">
        <f>'建筑建议逐级'!A20</f>
        <v/>
      </c>
      <c r="B20" s="33">
        <f>'建筑建议逐级'!B20</f>
        <v/>
      </c>
      <c r="C20" s="33">
        <f>'建筑建议逐级'!C20</f>
        <v/>
      </c>
      <c r="D20" s="43">
        <f>'建筑建议逐级'!D20</f>
        <v/>
      </c>
      <c r="E20" s="36">
        <f>'建筑建议逐级'!E20</f>
        <v/>
      </c>
      <c r="F20" s="51">
        <f>IF(OR('建筑建议逐级'!I20&gt;0,'建筑建议逐级'!R20&gt;0,'建筑建议逐级'!S20&gt;0),"预算型曲线","旧指数公式")</f>
        <v/>
      </c>
      <c r="G20" s="50">
        <f>'建筑建议逐级'!H20</f>
        <v/>
      </c>
      <c r="H20" s="36">
        <f>'建筑建议逐级'!M20</f>
        <v/>
      </c>
      <c r="I20" s="35">
        <f>H20/3600</f>
        <v/>
      </c>
      <c r="J20" s="35">
        <f>H20/'参数与公式'!$B$21</f>
        <v/>
      </c>
      <c r="K20" s="35">
        <f>SUMIFS($J$5:$J$328,$A$5:$A$328,A20,$D$5:$D$328,"&lt;="&amp;D20)</f>
        <v/>
      </c>
      <c r="L20" s="50">
        <f>'建筑建议逐级'!Q20</f>
        <v/>
      </c>
      <c r="M20" s="36">
        <f>'建筑建议逐级'!X20</f>
        <v/>
      </c>
      <c r="N20" s="36">
        <f>SUMIFS($M$5:$M$328,$A$5:$A$328,A20,$D$5:$D$328,"&lt;="&amp;D20)</f>
        <v/>
      </c>
      <c r="O20" s="36">
        <f>'建筑建议逐级'!Y20</f>
        <v/>
      </c>
      <c r="P20" s="36">
        <f>SUMIFS($O$5:$O$328,$A$5:$A$328,A20,$D$5:$D$328,"&lt;="&amp;D20)</f>
        <v/>
      </c>
      <c r="Q20" s="51">
        <f>IF(F20="预算型曲线","总预算归一化","沿用旧指数公式")</f>
        <v/>
      </c>
      <c r="R20" s="51">
        <f>IF(F20="预算型曲线","与当前建议公式一致","需单独复核")</f>
        <v/>
      </c>
    </row>
    <row r="21" ht="22" customHeight="1">
      <c r="A21" s="33">
        <f>'建筑建议逐级'!A21</f>
        <v/>
      </c>
      <c r="B21" s="33">
        <f>'建筑建议逐级'!B21</f>
        <v/>
      </c>
      <c r="C21" s="33">
        <f>'建筑建议逐级'!C21</f>
        <v/>
      </c>
      <c r="D21" s="43">
        <f>'建筑建议逐级'!D21</f>
        <v/>
      </c>
      <c r="E21" s="36">
        <f>'建筑建议逐级'!E21</f>
        <v/>
      </c>
      <c r="F21" s="51">
        <f>IF(OR('建筑建议逐级'!I21&gt;0,'建筑建议逐级'!R21&gt;0,'建筑建议逐级'!S21&gt;0),"预算型曲线","旧指数公式")</f>
        <v/>
      </c>
      <c r="G21" s="50">
        <f>'建筑建议逐级'!H21</f>
        <v/>
      </c>
      <c r="H21" s="36">
        <f>'建筑建议逐级'!M21</f>
        <v/>
      </c>
      <c r="I21" s="35">
        <f>H21/3600</f>
        <v/>
      </c>
      <c r="J21" s="35">
        <f>H21/'参数与公式'!$B$21</f>
        <v/>
      </c>
      <c r="K21" s="35">
        <f>SUMIFS($J$5:$J$328,$A$5:$A$328,A21,$D$5:$D$328,"&lt;="&amp;D21)</f>
        <v/>
      </c>
      <c r="L21" s="50">
        <f>'建筑建议逐级'!Q21</f>
        <v/>
      </c>
      <c r="M21" s="36">
        <f>'建筑建议逐级'!X21</f>
        <v/>
      </c>
      <c r="N21" s="36">
        <f>SUMIFS($M$5:$M$328,$A$5:$A$328,A21,$D$5:$D$328,"&lt;="&amp;D21)</f>
        <v/>
      </c>
      <c r="O21" s="36">
        <f>'建筑建议逐级'!Y21</f>
        <v/>
      </c>
      <c r="P21" s="36">
        <f>SUMIFS($O$5:$O$328,$A$5:$A$328,A21,$D$5:$D$328,"&lt;="&amp;D21)</f>
        <v/>
      </c>
      <c r="Q21" s="51">
        <f>IF(F21="预算型曲线","总预算归一化","沿用旧指数公式")</f>
        <v/>
      </c>
      <c r="R21" s="51">
        <f>IF(F21="预算型曲线","与当前建议公式一致","需单独复核")</f>
        <v/>
      </c>
    </row>
    <row r="22" ht="22" customHeight="1">
      <c r="A22" s="33">
        <f>'建筑建议逐级'!A22</f>
        <v/>
      </c>
      <c r="B22" s="33">
        <f>'建筑建议逐级'!B22</f>
        <v/>
      </c>
      <c r="C22" s="33">
        <f>'建筑建议逐级'!C22</f>
        <v/>
      </c>
      <c r="D22" s="43">
        <f>'建筑建议逐级'!D22</f>
        <v/>
      </c>
      <c r="E22" s="36">
        <f>'建筑建议逐级'!E22</f>
        <v/>
      </c>
      <c r="F22" s="51">
        <f>IF(OR('建筑建议逐级'!I22&gt;0,'建筑建议逐级'!R22&gt;0,'建筑建议逐级'!S22&gt;0),"预算型曲线","旧指数公式")</f>
        <v/>
      </c>
      <c r="G22" s="50">
        <f>'建筑建议逐级'!H22</f>
        <v/>
      </c>
      <c r="H22" s="36">
        <f>'建筑建议逐级'!M22</f>
        <v/>
      </c>
      <c r="I22" s="35">
        <f>H22/3600</f>
        <v/>
      </c>
      <c r="J22" s="35">
        <f>H22/'参数与公式'!$B$21</f>
        <v/>
      </c>
      <c r="K22" s="35">
        <f>SUMIFS($J$5:$J$328,$A$5:$A$328,A22,$D$5:$D$328,"&lt;="&amp;D22)</f>
        <v/>
      </c>
      <c r="L22" s="50">
        <f>'建筑建议逐级'!Q22</f>
        <v/>
      </c>
      <c r="M22" s="36">
        <f>'建筑建议逐级'!X22</f>
        <v/>
      </c>
      <c r="N22" s="36">
        <f>SUMIFS($M$5:$M$328,$A$5:$A$328,A22,$D$5:$D$328,"&lt;="&amp;D22)</f>
        <v/>
      </c>
      <c r="O22" s="36">
        <f>'建筑建议逐级'!Y22</f>
        <v/>
      </c>
      <c r="P22" s="36">
        <f>SUMIFS($O$5:$O$328,$A$5:$A$328,A22,$D$5:$D$328,"&lt;="&amp;D22)</f>
        <v/>
      </c>
      <c r="Q22" s="51">
        <f>IF(F22="预算型曲线","总预算归一化","沿用旧指数公式")</f>
        <v/>
      </c>
      <c r="R22" s="51">
        <f>IF(F22="预算型曲线","与当前建议公式一致","需单独复核")</f>
        <v/>
      </c>
    </row>
    <row r="23" ht="22" customHeight="1">
      <c r="A23" s="33">
        <f>'建筑建议逐级'!A23</f>
        <v/>
      </c>
      <c r="B23" s="33">
        <f>'建筑建议逐级'!B23</f>
        <v/>
      </c>
      <c r="C23" s="33">
        <f>'建筑建议逐级'!C23</f>
        <v/>
      </c>
      <c r="D23" s="43">
        <f>'建筑建议逐级'!D23</f>
        <v/>
      </c>
      <c r="E23" s="36">
        <f>'建筑建议逐级'!E23</f>
        <v/>
      </c>
      <c r="F23" s="51">
        <f>IF(OR('建筑建议逐级'!I23&gt;0,'建筑建议逐级'!R23&gt;0,'建筑建议逐级'!S23&gt;0),"预算型曲线","旧指数公式")</f>
        <v/>
      </c>
      <c r="G23" s="50">
        <f>'建筑建议逐级'!H23</f>
        <v/>
      </c>
      <c r="H23" s="36">
        <f>'建筑建议逐级'!M23</f>
        <v/>
      </c>
      <c r="I23" s="35">
        <f>H23/3600</f>
        <v/>
      </c>
      <c r="J23" s="35">
        <f>H23/'参数与公式'!$B$21</f>
        <v/>
      </c>
      <c r="K23" s="35">
        <f>SUMIFS($J$5:$J$328,$A$5:$A$328,A23,$D$5:$D$328,"&lt;="&amp;D23)</f>
        <v/>
      </c>
      <c r="L23" s="50">
        <f>'建筑建议逐级'!Q23</f>
        <v/>
      </c>
      <c r="M23" s="36">
        <f>'建筑建议逐级'!X23</f>
        <v/>
      </c>
      <c r="N23" s="36">
        <f>SUMIFS($M$5:$M$328,$A$5:$A$328,A23,$D$5:$D$328,"&lt;="&amp;D23)</f>
        <v/>
      </c>
      <c r="O23" s="36">
        <f>'建筑建议逐级'!Y23</f>
        <v/>
      </c>
      <c r="P23" s="36">
        <f>SUMIFS($O$5:$O$328,$A$5:$A$328,A23,$D$5:$D$328,"&lt;="&amp;D23)</f>
        <v/>
      </c>
      <c r="Q23" s="51">
        <f>IF(F23="预算型曲线","总预算归一化","沿用旧指数公式")</f>
        <v/>
      </c>
      <c r="R23" s="51">
        <f>IF(F23="预算型曲线","与当前建议公式一致","需单独复核")</f>
        <v/>
      </c>
    </row>
    <row r="24" ht="22" customHeight="1">
      <c r="A24" s="33">
        <f>'建筑建议逐级'!A24</f>
        <v/>
      </c>
      <c r="B24" s="33">
        <f>'建筑建议逐级'!B24</f>
        <v/>
      </c>
      <c r="C24" s="33">
        <f>'建筑建议逐级'!C24</f>
        <v/>
      </c>
      <c r="D24" s="43">
        <f>'建筑建议逐级'!D24</f>
        <v/>
      </c>
      <c r="E24" s="36">
        <f>'建筑建议逐级'!E24</f>
        <v/>
      </c>
      <c r="F24" s="51">
        <f>IF(OR('建筑建议逐级'!I24&gt;0,'建筑建议逐级'!R24&gt;0,'建筑建议逐级'!S24&gt;0),"预算型曲线","旧指数公式")</f>
        <v/>
      </c>
      <c r="G24" s="50">
        <f>'建筑建议逐级'!H24</f>
        <v/>
      </c>
      <c r="H24" s="36">
        <f>'建筑建议逐级'!M24</f>
        <v/>
      </c>
      <c r="I24" s="35">
        <f>H24/3600</f>
        <v/>
      </c>
      <c r="J24" s="35">
        <f>H24/'参数与公式'!$B$21</f>
        <v/>
      </c>
      <c r="K24" s="35">
        <f>SUMIFS($J$5:$J$328,$A$5:$A$328,A24,$D$5:$D$328,"&lt;="&amp;D24)</f>
        <v/>
      </c>
      <c r="L24" s="50">
        <f>'建筑建议逐级'!Q24</f>
        <v/>
      </c>
      <c r="M24" s="36">
        <f>'建筑建议逐级'!X24</f>
        <v/>
      </c>
      <c r="N24" s="36">
        <f>SUMIFS($M$5:$M$328,$A$5:$A$328,A24,$D$5:$D$328,"&lt;="&amp;D24)</f>
        <v/>
      </c>
      <c r="O24" s="36">
        <f>'建筑建议逐级'!Y24</f>
        <v/>
      </c>
      <c r="P24" s="36">
        <f>SUMIFS($O$5:$O$328,$A$5:$A$328,A24,$D$5:$D$328,"&lt;="&amp;D24)</f>
        <v/>
      </c>
      <c r="Q24" s="51">
        <f>IF(F24="预算型曲线","总预算归一化","沿用旧指数公式")</f>
        <v/>
      </c>
      <c r="R24" s="51">
        <f>IF(F24="预算型曲线","与当前建议公式一致","需单独复核")</f>
        <v/>
      </c>
    </row>
    <row r="25" ht="22" customHeight="1">
      <c r="A25" s="33">
        <f>'建筑建议逐级'!A25</f>
        <v/>
      </c>
      <c r="B25" s="33">
        <f>'建筑建议逐级'!B25</f>
        <v/>
      </c>
      <c r="C25" s="33">
        <f>'建筑建议逐级'!C25</f>
        <v/>
      </c>
      <c r="D25" s="43">
        <f>'建筑建议逐级'!D25</f>
        <v/>
      </c>
      <c r="E25" s="36">
        <f>'建筑建议逐级'!E25</f>
        <v/>
      </c>
      <c r="F25" s="51">
        <f>IF(OR('建筑建议逐级'!I25&gt;0,'建筑建议逐级'!R25&gt;0,'建筑建议逐级'!S25&gt;0),"预算型曲线","旧指数公式")</f>
        <v/>
      </c>
      <c r="G25" s="50">
        <f>'建筑建议逐级'!H25</f>
        <v/>
      </c>
      <c r="H25" s="36">
        <f>'建筑建议逐级'!M25</f>
        <v/>
      </c>
      <c r="I25" s="35">
        <f>H25/3600</f>
        <v/>
      </c>
      <c r="J25" s="35">
        <f>H25/'参数与公式'!$B$21</f>
        <v/>
      </c>
      <c r="K25" s="35">
        <f>SUMIFS($J$5:$J$328,$A$5:$A$328,A25,$D$5:$D$328,"&lt;="&amp;D25)</f>
        <v/>
      </c>
      <c r="L25" s="50">
        <f>'建筑建议逐级'!Q25</f>
        <v/>
      </c>
      <c r="M25" s="36">
        <f>'建筑建议逐级'!X25</f>
        <v/>
      </c>
      <c r="N25" s="36">
        <f>SUMIFS($M$5:$M$328,$A$5:$A$328,A25,$D$5:$D$328,"&lt;="&amp;D25)</f>
        <v/>
      </c>
      <c r="O25" s="36">
        <f>'建筑建议逐级'!Y25</f>
        <v/>
      </c>
      <c r="P25" s="36">
        <f>SUMIFS($O$5:$O$328,$A$5:$A$328,A25,$D$5:$D$328,"&lt;="&amp;D25)</f>
        <v/>
      </c>
      <c r="Q25" s="51">
        <f>IF(F25="预算型曲线","总预算归一化","沿用旧指数公式")</f>
        <v/>
      </c>
      <c r="R25" s="51">
        <f>IF(F25="预算型曲线","与当前建议公式一致","需单独复核")</f>
        <v/>
      </c>
    </row>
    <row r="26" ht="22" customHeight="1">
      <c r="A26" s="33">
        <f>'建筑建议逐级'!A26</f>
        <v/>
      </c>
      <c r="B26" s="33">
        <f>'建筑建议逐级'!B26</f>
        <v/>
      </c>
      <c r="C26" s="33">
        <f>'建筑建议逐级'!C26</f>
        <v/>
      </c>
      <c r="D26" s="43">
        <f>'建筑建议逐级'!D26</f>
        <v/>
      </c>
      <c r="E26" s="36">
        <f>'建筑建议逐级'!E26</f>
        <v/>
      </c>
      <c r="F26" s="51">
        <f>IF(OR('建筑建议逐级'!I26&gt;0,'建筑建议逐级'!R26&gt;0,'建筑建议逐级'!S26&gt;0),"预算型曲线","旧指数公式")</f>
        <v/>
      </c>
      <c r="G26" s="50">
        <f>'建筑建议逐级'!H26</f>
        <v/>
      </c>
      <c r="H26" s="36">
        <f>'建筑建议逐级'!M26</f>
        <v/>
      </c>
      <c r="I26" s="35">
        <f>H26/3600</f>
        <v/>
      </c>
      <c r="J26" s="35">
        <f>H26/'参数与公式'!$B$21</f>
        <v/>
      </c>
      <c r="K26" s="35">
        <f>SUMIFS($J$5:$J$328,$A$5:$A$328,A26,$D$5:$D$328,"&lt;="&amp;D26)</f>
        <v/>
      </c>
      <c r="L26" s="50">
        <f>'建筑建议逐级'!Q26</f>
        <v/>
      </c>
      <c r="M26" s="36">
        <f>'建筑建议逐级'!X26</f>
        <v/>
      </c>
      <c r="N26" s="36">
        <f>SUMIFS($M$5:$M$328,$A$5:$A$328,A26,$D$5:$D$328,"&lt;="&amp;D26)</f>
        <v/>
      </c>
      <c r="O26" s="36">
        <f>'建筑建议逐级'!Y26</f>
        <v/>
      </c>
      <c r="P26" s="36">
        <f>SUMIFS($O$5:$O$328,$A$5:$A$328,A26,$D$5:$D$328,"&lt;="&amp;D26)</f>
        <v/>
      </c>
      <c r="Q26" s="51">
        <f>IF(F26="预算型曲线","总预算归一化","沿用旧指数公式")</f>
        <v/>
      </c>
      <c r="R26" s="51">
        <f>IF(F26="预算型曲线","与当前建议公式一致","需单独复核")</f>
        <v/>
      </c>
    </row>
    <row r="27" ht="22" customHeight="1">
      <c r="A27" s="33">
        <f>'建筑建议逐级'!A27</f>
        <v/>
      </c>
      <c r="B27" s="33">
        <f>'建筑建议逐级'!B27</f>
        <v/>
      </c>
      <c r="C27" s="33">
        <f>'建筑建议逐级'!C27</f>
        <v/>
      </c>
      <c r="D27" s="43">
        <f>'建筑建议逐级'!D27</f>
        <v/>
      </c>
      <c r="E27" s="36">
        <f>'建筑建议逐级'!E27</f>
        <v/>
      </c>
      <c r="F27" s="51">
        <f>IF(OR('建筑建议逐级'!I27&gt;0,'建筑建议逐级'!R27&gt;0,'建筑建议逐级'!S27&gt;0),"预算型曲线","旧指数公式")</f>
        <v/>
      </c>
      <c r="G27" s="50">
        <f>'建筑建议逐级'!H27</f>
        <v/>
      </c>
      <c r="H27" s="36">
        <f>'建筑建议逐级'!M27</f>
        <v/>
      </c>
      <c r="I27" s="35">
        <f>H27/3600</f>
        <v/>
      </c>
      <c r="J27" s="35">
        <f>H27/'参数与公式'!$B$21</f>
        <v/>
      </c>
      <c r="K27" s="35">
        <f>SUMIFS($J$5:$J$328,$A$5:$A$328,A27,$D$5:$D$328,"&lt;="&amp;D27)</f>
        <v/>
      </c>
      <c r="L27" s="50">
        <f>'建筑建议逐级'!Q27</f>
        <v/>
      </c>
      <c r="M27" s="36">
        <f>'建筑建议逐级'!X27</f>
        <v/>
      </c>
      <c r="N27" s="36">
        <f>SUMIFS($M$5:$M$328,$A$5:$A$328,A27,$D$5:$D$328,"&lt;="&amp;D27)</f>
        <v/>
      </c>
      <c r="O27" s="36">
        <f>'建筑建议逐级'!Y27</f>
        <v/>
      </c>
      <c r="P27" s="36">
        <f>SUMIFS($O$5:$O$328,$A$5:$A$328,A27,$D$5:$D$328,"&lt;="&amp;D27)</f>
        <v/>
      </c>
      <c r="Q27" s="51">
        <f>IF(F27="预算型曲线","总预算归一化","沿用旧指数公式")</f>
        <v/>
      </c>
      <c r="R27" s="51">
        <f>IF(F27="预算型曲线","与当前建议公式一致","需单独复核")</f>
        <v/>
      </c>
    </row>
    <row r="28" ht="22" customHeight="1">
      <c r="A28" s="33">
        <f>'建筑建议逐级'!A28</f>
        <v/>
      </c>
      <c r="B28" s="33">
        <f>'建筑建议逐级'!B28</f>
        <v/>
      </c>
      <c r="C28" s="33">
        <f>'建筑建议逐级'!C28</f>
        <v/>
      </c>
      <c r="D28" s="43">
        <f>'建筑建议逐级'!D28</f>
        <v/>
      </c>
      <c r="E28" s="36">
        <f>'建筑建议逐级'!E28</f>
        <v/>
      </c>
      <c r="F28" s="51">
        <f>IF(OR('建筑建议逐级'!I28&gt;0,'建筑建议逐级'!R28&gt;0,'建筑建议逐级'!S28&gt;0),"预算型曲线","旧指数公式")</f>
        <v/>
      </c>
      <c r="G28" s="50">
        <f>'建筑建议逐级'!H28</f>
        <v/>
      </c>
      <c r="H28" s="36">
        <f>'建筑建议逐级'!M28</f>
        <v/>
      </c>
      <c r="I28" s="35">
        <f>H28/3600</f>
        <v/>
      </c>
      <c r="J28" s="35">
        <f>H28/'参数与公式'!$B$21</f>
        <v/>
      </c>
      <c r="K28" s="35">
        <f>SUMIFS($J$5:$J$328,$A$5:$A$328,A28,$D$5:$D$328,"&lt;="&amp;D28)</f>
        <v/>
      </c>
      <c r="L28" s="50">
        <f>'建筑建议逐级'!Q28</f>
        <v/>
      </c>
      <c r="M28" s="36">
        <f>'建筑建议逐级'!X28</f>
        <v/>
      </c>
      <c r="N28" s="36">
        <f>SUMIFS($M$5:$M$328,$A$5:$A$328,A28,$D$5:$D$328,"&lt;="&amp;D28)</f>
        <v/>
      </c>
      <c r="O28" s="36">
        <f>'建筑建议逐级'!Y28</f>
        <v/>
      </c>
      <c r="P28" s="36">
        <f>SUMIFS($O$5:$O$328,$A$5:$A$328,A28,$D$5:$D$328,"&lt;="&amp;D28)</f>
        <v/>
      </c>
      <c r="Q28" s="51">
        <f>IF(F28="预算型曲线","总预算归一化","沿用旧指数公式")</f>
        <v/>
      </c>
      <c r="R28" s="51">
        <f>IF(F28="预算型曲线","与当前建议公式一致","需单独复核")</f>
        <v/>
      </c>
    </row>
    <row r="29" ht="22" customHeight="1">
      <c r="A29" s="33">
        <f>'建筑建议逐级'!A29</f>
        <v/>
      </c>
      <c r="B29" s="33">
        <f>'建筑建议逐级'!B29</f>
        <v/>
      </c>
      <c r="C29" s="33">
        <f>'建筑建议逐级'!C29</f>
        <v/>
      </c>
      <c r="D29" s="43">
        <f>'建筑建议逐级'!D29</f>
        <v/>
      </c>
      <c r="E29" s="36">
        <f>'建筑建议逐级'!E29</f>
        <v/>
      </c>
      <c r="F29" s="51">
        <f>IF(OR('建筑建议逐级'!I29&gt;0,'建筑建议逐级'!R29&gt;0,'建筑建议逐级'!S29&gt;0),"预算型曲线","旧指数公式")</f>
        <v/>
      </c>
      <c r="G29" s="50">
        <f>'建筑建议逐级'!H29</f>
        <v/>
      </c>
      <c r="H29" s="36">
        <f>'建筑建议逐级'!M29</f>
        <v/>
      </c>
      <c r="I29" s="35">
        <f>H29/3600</f>
        <v/>
      </c>
      <c r="J29" s="35">
        <f>H29/'参数与公式'!$B$21</f>
        <v/>
      </c>
      <c r="K29" s="35">
        <f>SUMIFS($J$5:$J$328,$A$5:$A$328,A29,$D$5:$D$328,"&lt;="&amp;D29)</f>
        <v/>
      </c>
      <c r="L29" s="50">
        <f>'建筑建议逐级'!Q29</f>
        <v/>
      </c>
      <c r="M29" s="36">
        <f>'建筑建议逐级'!X29</f>
        <v/>
      </c>
      <c r="N29" s="36">
        <f>SUMIFS($M$5:$M$328,$A$5:$A$328,A29,$D$5:$D$328,"&lt;="&amp;D29)</f>
        <v/>
      </c>
      <c r="O29" s="36">
        <f>'建筑建议逐级'!Y29</f>
        <v/>
      </c>
      <c r="P29" s="36">
        <f>SUMIFS($O$5:$O$328,$A$5:$A$328,A29,$D$5:$D$328,"&lt;="&amp;D29)</f>
        <v/>
      </c>
      <c r="Q29" s="51">
        <f>IF(F29="预算型曲线","总预算归一化","沿用旧指数公式")</f>
        <v/>
      </c>
      <c r="R29" s="51">
        <f>IF(F29="预算型曲线","与当前建议公式一致","需单独复核")</f>
        <v/>
      </c>
    </row>
    <row r="30" ht="22" customHeight="1">
      <c r="A30" s="33">
        <f>'建筑建议逐级'!A30</f>
        <v/>
      </c>
      <c r="B30" s="33">
        <f>'建筑建议逐级'!B30</f>
        <v/>
      </c>
      <c r="C30" s="33">
        <f>'建筑建议逐级'!C30</f>
        <v/>
      </c>
      <c r="D30" s="43">
        <f>'建筑建议逐级'!D30</f>
        <v/>
      </c>
      <c r="E30" s="36">
        <f>'建筑建议逐级'!E30</f>
        <v/>
      </c>
      <c r="F30" s="51">
        <f>IF(OR('建筑建议逐级'!I30&gt;0,'建筑建议逐级'!R30&gt;0,'建筑建议逐级'!S30&gt;0),"预算型曲线","旧指数公式")</f>
        <v/>
      </c>
      <c r="G30" s="50">
        <f>'建筑建议逐级'!H30</f>
        <v/>
      </c>
      <c r="H30" s="36">
        <f>'建筑建议逐级'!M30</f>
        <v/>
      </c>
      <c r="I30" s="35">
        <f>H30/3600</f>
        <v/>
      </c>
      <c r="J30" s="35">
        <f>H30/'参数与公式'!$B$21</f>
        <v/>
      </c>
      <c r="K30" s="35">
        <f>SUMIFS($J$5:$J$328,$A$5:$A$328,A30,$D$5:$D$328,"&lt;="&amp;D30)</f>
        <v/>
      </c>
      <c r="L30" s="50">
        <f>'建筑建议逐级'!Q30</f>
        <v/>
      </c>
      <c r="M30" s="36">
        <f>'建筑建议逐级'!X30</f>
        <v/>
      </c>
      <c r="N30" s="36">
        <f>SUMIFS($M$5:$M$328,$A$5:$A$328,A30,$D$5:$D$328,"&lt;="&amp;D30)</f>
        <v/>
      </c>
      <c r="O30" s="36">
        <f>'建筑建议逐级'!Y30</f>
        <v/>
      </c>
      <c r="P30" s="36">
        <f>SUMIFS($O$5:$O$328,$A$5:$A$328,A30,$D$5:$D$328,"&lt;="&amp;D30)</f>
        <v/>
      </c>
      <c r="Q30" s="51">
        <f>IF(F30="预算型曲线","总预算归一化","沿用旧指数公式")</f>
        <v/>
      </c>
      <c r="R30" s="51">
        <f>IF(F30="预算型曲线","与当前建议公式一致","需单独复核")</f>
        <v/>
      </c>
    </row>
    <row r="31" ht="22" customHeight="1">
      <c r="A31" s="33">
        <f>'建筑建议逐级'!A31</f>
        <v/>
      </c>
      <c r="B31" s="33">
        <f>'建筑建议逐级'!B31</f>
        <v/>
      </c>
      <c r="C31" s="33">
        <f>'建筑建议逐级'!C31</f>
        <v/>
      </c>
      <c r="D31" s="43">
        <f>'建筑建议逐级'!D31</f>
        <v/>
      </c>
      <c r="E31" s="36">
        <f>'建筑建议逐级'!E31</f>
        <v/>
      </c>
      <c r="F31" s="51">
        <f>IF(OR('建筑建议逐级'!I31&gt;0,'建筑建议逐级'!R31&gt;0,'建筑建议逐级'!S31&gt;0),"预算型曲线","旧指数公式")</f>
        <v/>
      </c>
      <c r="G31" s="50">
        <f>'建筑建议逐级'!H31</f>
        <v/>
      </c>
      <c r="H31" s="36">
        <f>'建筑建议逐级'!M31</f>
        <v/>
      </c>
      <c r="I31" s="35">
        <f>H31/3600</f>
        <v/>
      </c>
      <c r="J31" s="35">
        <f>H31/'参数与公式'!$B$21</f>
        <v/>
      </c>
      <c r="K31" s="35">
        <f>SUMIFS($J$5:$J$328,$A$5:$A$328,A31,$D$5:$D$328,"&lt;="&amp;D31)</f>
        <v/>
      </c>
      <c r="L31" s="50">
        <f>'建筑建议逐级'!Q31</f>
        <v/>
      </c>
      <c r="M31" s="36">
        <f>'建筑建议逐级'!X31</f>
        <v/>
      </c>
      <c r="N31" s="36">
        <f>SUMIFS($M$5:$M$328,$A$5:$A$328,A31,$D$5:$D$328,"&lt;="&amp;D31)</f>
        <v/>
      </c>
      <c r="O31" s="36">
        <f>'建筑建议逐级'!Y31</f>
        <v/>
      </c>
      <c r="P31" s="36">
        <f>SUMIFS($O$5:$O$328,$A$5:$A$328,A31,$D$5:$D$328,"&lt;="&amp;D31)</f>
        <v/>
      </c>
      <c r="Q31" s="51">
        <f>IF(F31="预算型曲线","总预算归一化","沿用旧指数公式")</f>
        <v/>
      </c>
      <c r="R31" s="51">
        <f>IF(F31="预算型曲线","与当前建议公式一致","需单独复核")</f>
        <v/>
      </c>
    </row>
    <row r="32" ht="22" customHeight="1">
      <c r="A32" s="33">
        <f>'建筑建议逐级'!A32</f>
        <v/>
      </c>
      <c r="B32" s="33">
        <f>'建筑建议逐级'!B32</f>
        <v/>
      </c>
      <c r="C32" s="33">
        <f>'建筑建议逐级'!C32</f>
        <v/>
      </c>
      <c r="D32" s="43">
        <f>'建筑建议逐级'!D32</f>
        <v/>
      </c>
      <c r="E32" s="36">
        <f>'建筑建议逐级'!E32</f>
        <v/>
      </c>
      <c r="F32" s="51">
        <f>IF(OR('建筑建议逐级'!I32&gt;0,'建筑建议逐级'!R32&gt;0,'建筑建议逐级'!S32&gt;0),"预算型曲线","旧指数公式")</f>
        <v/>
      </c>
      <c r="G32" s="50">
        <f>'建筑建议逐级'!H32</f>
        <v/>
      </c>
      <c r="H32" s="36">
        <f>'建筑建议逐级'!M32</f>
        <v/>
      </c>
      <c r="I32" s="35">
        <f>H32/3600</f>
        <v/>
      </c>
      <c r="J32" s="35">
        <f>H32/'参数与公式'!$B$21</f>
        <v/>
      </c>
      <c r="K32" s="35">
        <f>SUMIFS($J$5:$J$328,$A$5:$A$328,A32,$D$5:$D$328,"&lt;="&amp;D32)</f>
        <v/>
      </c>
      <c r="L32" s="50">
        <f>'建筑建议逐级'!Q32</f>
        <v/>
      </c>
      <c r="M32" s="36">
        <f>'建筑建议逐级'!X32</f>
        <v/>
      </c>
      <c r="N32" s="36">
        <f>SUMIFS($M$5:$M$328,$A$5:$A$328,A32,$D$5:$D$328,"&lt;="&amp;D32)</f>
        <v/>
      </c>
      <c r="O32" s="36">
        <f>'建筑建议逐级'!Y32</f>
        <v/>
      </c>
      <c r="P32" s="36">
        <f>SUMIFS($O$5:$O$328,$A$5:$A$328,A32,$D$5:$D$328,"&lt;="&amp;D32)</f>
        <v/>
      </c>
      <c r="Q32" s="51">
        <f>IF(F32="预算型曲线","总预算归一化","沿用旧指数公式")</f>
        <v/>
      </c>
      <c r="R32" s="51">
        <f>IF(F32="预算型曲线","与当前建议公式一致","需单独复核")</f>
        <v/>
      </c>
    </row>
    <row r="33" ht="22" customHeight="1">
      <c r="A33" s="33">
        <f>'建筑建议逐级'!A33</f>
        <v/>
      </c>
      <c r="B33" s="33">
        <f>'建筑建议逐级'!B33</f>
        <v/>
      </c>
      <c r="C33" s="33">
        <f>'建筑建议逐级'!C33</f>
        <v/>
      </c>
      <c r="D33" s="43">
        <f>'建筑建议逐级'!D33</f>
        <v/>
      </c>
      <c r="E33" s="36">
        <f>'建筑建议逐级'!E33</f>
        <v/>
      </c>
      <c r="F33" s="51">
        <f>IF(OR('建筑建议逐级'!I33&gt;0,'建筑建议逐级'!R33&gt;0,'建筑建议逐级'!S33&gt;0),"预算型曲线","旧指数公式")</f>
        <v/>
      </c>
      <c r="G33" s="50">
        <f>'建筑建议逐级'!H33</f>
        <v/>
      </c>
      <c r="H33" s="36">
        <f>'建筑建议逐级'!M33</f>
        <v/>
      </c>
      <c r="I33" s="35">
        <f>H33/3600</f>
        <v/>
      </c>
      <c r="J33" s="35">
        <f>H33/'参数与公式'!$B$21</f>
        <v/>
      </c>
      <c r="K33" s="35">
        <f>SUMIFS($J$5:$J$328,$A$5:$A$328,A33,$D$5:$D$328,"&lt;="&amp;D33)</f>
        <v/>
      </c>
      <c r="L33" s="50">
        <f>'建筑建议逐级'!Q33</f>
        <v/>
      </c>
      <c r="M33" s="36">
        <f>'建筑建议逐级'!X33</f>
        <v/>
      </c>
      <c r="N33" s="36">
        <f>SUMIFS($M$5:$M$328,$A$5:$A$328,A33,$D$5:$D$328,"&lt;="&amp;D33)</f>
        <v/>
      </c>
      <c r="O33" s="36">
        <f>'建筑建议逐级'!Y33</f>
        <v/>
      </c>
      <c r="P33" s="36">
        <f>SUMIFS($O$5:$O$328,$A$5:$A$328,A33,$D$5:$D$328,"&lt;="&amp;D33)</f>
        <v/>
      </c>
      <c r="Q33" s="51">
        <f>IF(F33="预算型曲线","总预算归一化","沿用旧指数公式")</f>
        <v/>
      </c>
      <c r="R33" s="51">
        <f>IF(F33="预算型曲线","与当前建议公式一致","需单独复核")</f>
        <v/>
      </c>
    </row>
    <row r="34" ht="22" customHeight="1">
      <c r="A34" s="33">
        <f>'建筑建议逐级'!A34</f>
        <v/>
      </c>
      <c r="B34" s="33">
        <f>'建筑建议逐级'!B34</f>
        <v/>
      </c>
      <c r="C34" s="33">
        <f>'建筑建议逐级'!C34</f>
        <v/>
      </c>
      <c r="D34" s="43">
        <f>'建筑建议逐级'!D34</f>
        <v/>
      </c>
      <c r="E34" s="36">
        <f>'建筑建议逐级'!E34</f>
        <v/>
      </c>
      <c r="F34" s="51">
        <f>IF(OR('建筑建议逐级'!I34&gt;0,'建筑建议逐级'!R34&gt;0,'建筑建议逐级'!S34&gt;0),"预算型曲线","旧指数公式")</f>
        <v/>
      </c>
      <c r="G34" s="50">
        <f>'建筑建议逐级'!H34</f>
        <v/>
      </c>
      <c r="H34" s="36">
        <f>'建筑建议逐级'!M34</f>
        <v/>
      </c>
      <c r="I34" s="35">
        <f>H34/3600</f>
        <v/>
      </c>
      <c r="J34" s="35">
        <f>H34/'参数与公式'!$B$21</f>
        <v/>
      </c>
      <c r="K34" s="35">
        <f>SUMIFS($J$5:$J$328,$A$5:$A$328,A34,$D$5:$D$328,"&lt;="&amp;D34)</f>
        <v/>
      </c>
      <c r="L34" s="50">
        <f>'建筑建议逐级'!Q34</f>
        <v/>
      </c>
      <c r="M34" s="36">
        <f>'建筑建议逐级'!X34</f>
        <v/>
      </c>
      <c r="N34" s="36">
        <f>SUMIFS($M$5:$M$328,$A$5:$A$328,A34,$D$5:$D$328,"&lt;="&amp;D34)</f>
        <v/>
      </c>
      <c r="O34" s="36">
        <f>'建筑建议逐级'!Y34</f>
        <v/>
      </c>
      <c r="P34" s="36">
        <f>SUMIFS($O$5:$O$328,$A$5:$A$328,A34,$D$5:$D$328,"&lt;="&amp;D34)</f>
        <v/>
      </c>
      <c r="Q34" s="51">
        <f>IF(F34="预算型曲线","总预算归一化","沿用旧指数公式")</f>
        <v/>
      </c>
      <c r="R34" s="51">
        <f>IF(F34="预算型曲线","与当前建议公式一致","需单独复核")</f>
        <v/>
      </c>
    </row>
    <row r="35" ht="22" customHeight="1">
      <c r="A35" s="33">
        <f>'建筑建议逐级'!A35</f>
        <v/>
      </c>
      <c r="B35" s="33">
        <f>'建筑建议逐级'!B35</f>
        <v/>
      </c>
      <c r="C35" s="33">
        <f>'建筑建议逐级'!C35</f>
        <v/>
      </c>
      <c r="D35" s="43">
        <f>'建筑建议逐级'!D35</f>
        <v/>
      </c>
      <c r="E35" s="36">
        <f>'建筑建议逐级'!E35</f>
        <v/>
      </c>
      <c r="F35" s="51">
        <f>IF(OR('建筑建议逐级'!I35&gt;0,'建筑建议逐级'!R35&gt;0,'建筑建议逐级'!S35&gt;0),"预算型曲线","旧指数公式")</f>
        <v/>
      </c>
      <c r="G35" s="50">
        <f>'建筑建议逐级'!H35</f>
        <v/>
      </c>
      <c r="H35" s="36">
        <f>'建筑建议逐级'!M35</f>
        <v/>
      </c>
      <c r="I35" s="35">
        <f>H35/3600</f>
        <v/>
      </c>
      <c r="J35" s="35">
        <f>H35/'参数与公式'!$B$21</f>
        <v/>
      </c>
      <c r="K35" s="35">
        <f>SUMIFS($J$5:$J$328,$A$5:$A$328,A35,$D$5:$D$328,"&lt;="&amp;D35)</f>
        <v/>
      </c>
      <c r="L35" s="50">
        <f>'建筑建议逐级'!Q35</f>
        <v/>
      </c>
      <c r="M35" s="36">
        <f>'建筑建议逐级'!X35</f>
        <v/>
      </c>
      <c r="N35" s="36">
        <f>SUMIFS($M$5:$M$328,$A$5:$A$328,A35,$D$5:$D$328,"&lt;="&amp;D35)</f>
        <v/>
      </c>
      <c r="O35" s="36">
        <f>'建筑建议逐级'!Y35</f>
        <v/>
      </c>
      <c r="P35" s="36">
        <f>SUMIFS($O$5:$O$328,$A$5:$A$328,A35,$D$5:$D$328,"&lt;="&amp;D35)</f>
        <v/>
      </c>
      <c r="Q35" s="51">
        <f>IF(F35="预算型曲线","总预算归一化","沿用旧指数公式")</f>
        <v/>
      </c>
      <c r="R35" s="51">
        <f>IF(F35="预算型曲线","与当前建议公式一致","需单独复核")</f>
        <v/>
      </c>
    </row>
    <row r="36" ht="22" customHeight="1">
      <c r="A36" s="33">
        <f>'建筑建议逐级'!A36</f>
        <v/>
      </c>
      <c r="B36" s="33">
        <f>'建筑建议逐级'!B36</f>
        <v/>
      </c>
      <c r="C36" s="33">
        <f>'建筑建议逐级'!C36</f>
        <v/>
      </c>
      <c r="D36" s="43">
        <f>'建筑建议逐级'!D36</f>
        <v/>
      </c>
      <c r="E36" s="36">
        <f>'建筑建议逐级'!E36</f>
        <v/>
      </c>
      <c r="F36" s="51">
        <f>IF(OR('建筑建议逐级'!I36&gt;0,'建筑建议逐级'!R36&gt;0,'建筑建议逐级'!S36&gt;0),"预算型曲线","旧指数公式")</f>
        <v/>
      </c>
      <c r="G36" s="50">
        <f>'建筑建议逐级'!H36</f>
        <v/>
      </c>
      <c r="H36" s="36">
        <f>'建筑建议逐级'!M36</f>
        <v/>
      </c>
      <c r="I36" s="35">
        <f>H36/3600</f>
        <v/>
      </c>
      <c r="J36" s="35">
        <f>H36/'参数与公式'!$B$21</f>
        <v/>
      </c>
      <c r="K36" s="35">
        <f>SUMIFS($J$5:$J$328,$A$5:$A$328,A36,$D$5:$D$328,"&lt;="&amp;D36)</f>
        <v/>
      </c>
      <c r="L36" s="50">
        <f>'建筑建议逐级'!Q36</f>
        <v/>
      </c>
      <c r="M36" s="36">
        <f>'建筑建议逐级'!X36</f>
        <v/>
      </c>
      <c r="N36" s="36">
        <f>SUMIFS($M$5:$M$328,$A$5:$A$328,A36,$D$5:$D$328,"&lt;="&amp;D36)</f>
        <v/>
      </c>
      <c r="O36" s="36">
        <f>'建筑建议逐级'!Y36</f>
        <v/>
      </c>
      <c r="P36" s="36">
        <f>SUMIFS($O$5:$O$328,$A$5:$A$328,A36,$D$5:$D$328,"&lt;="&amp;D36)</f>
        <v/>
      </c>
      <c r="Q36" s="51">
        <f>IF(F36="预算型曲线","总预算归一化","沿用旧指数公式")</f>
        <v/>
      </c>
      <c r="R36" s="51">
        <f>IF(F36="预算型曲线","与当前建议公式一致","需单独复核")</f>
        <v/>
      </c>
    </row>
    <row r="37" ht="22" customHeight="1">
      <c r="A37" s="33">
        <f>'建筑建议逐级'!A37</f>
        <v/>
      </c>
      <c r="B37" s="33">
        <f>'建筑建议逐级'!B37</f>
        <v/>
      </c>
      <c r="C37" s="33">
        <f>'建筑建议逐级'!C37</f>
        <v/>
      </c>
      <c r="D37" s="43">
        <f>'建筑建议逐级'!D37</f>
        <v/>
      </c>
      <c r="E37" s="36">
        <f>'建筑建议逐级'!E37</f>
        <v/>
      </c>
      <c r="F37" s="51">
        <f>IF(OR('建筑建议逐级'!I37&gt;0,'建筑建议逐级'!R37&gt;0,'建筑建议逐级'!S37&gt;0),"预算型曲线","旧指数公式")</f>
        <v/>
      </c>
      <c r="G37" s="50">
        <f>'建筑建议逐级'!H37</f>
        <v/>
      </c>
      <c r="H37" s="36">
        <f>'建筑建议逐级'!M37</f>
        <v/>
      </c>
      <c r="I37" s="35">
        <f>H37/3600</f>
        <v/>
      </c>
      <c r="J37" s="35">
        <f>H37/'参数与公式'!$B$21</f>
        <v/>
      </c>
      <c r="K37" s="35">
        <f>SUMIFS($J$5:$J$328,$A$5:$A$328,A37,$D$5:$D$328,"&lt;="&amp;D37)</f>
        <v/>
      </c>
      <c r="L37" s="50">
        <f>'建筑建议逐级'!Q37</f>
        <v/>
      </c>
      <c r="M37" s="36">
        <f>'建筑建议逐级'!X37</f>
        <v/>
      </c>
      <c r="N37" s="36">
        <f>SUMIFS($M$5:$M$328,$A$5:$A$328,A37,$D$5:$D$328,"&lt;="&amp;D37)</f>
        <v/>
      </c>
      <c r="O37" s="36">
        <f>'建筑建议逐级'!Y37</f>
        <v/>
      </c>
      <c r="P37" s="36">
        <f>SUMIFS($O$5:$O$328,$A$5:$A$328,A37,$D$5:$D$328,"&lt;="&amp;D37)</f>
        <v/>
      </c>
      <c r="Q37" s="51">
        <f>IF(F37="预算型曲线","总预算归一化","沿用旧指数公式")</f>
        <v/>
      </c>
      <c r="R37" s="51">
        <f>IF(F37="预算型曲线","与当前建议公式一致","需单独复核")</f>
        <v/>
      </c>
    </row>
    <row r="38" ht="22" customHeight="1">
      <c r="A38" s="33">
        <f>'建筑建议逐级'!A38</f>
        <v/>
      </c>
      <c r="B38" s="33">
        <f>'建筑建议逐级'!B38</f>
        <v/>
      </c>
      <c r="C38" s="33">
        <f>'建筑建议逐级'!C38</f>
        <v/>
      </c>
      <c r="D38" s="43">
        <f>'建筑建议逐级'!D38</f>
        <v/>
      </c>
      <c r="E38" s="36">
        <f>'建筑建议逐级'!E38</f>
        <v/>
      </c>
      <c r="F38" s="51">
        <f>IF(OR('建筑建议逐级'!I38&gt;0,'建筑建议逐级'!R38&gt;0,'建筑建议逐级'!S38&gt;0),"预算型曲线","旧指数公式")</f>
        <v/>
      </c>
      <c r="G38" s="50">
        <f>'建筑建议逐级'!H38</f>
        <v/>
      </c>
      <c r="H38" s="36">
        <f>'建筑建议逐级'!M38</f>
        <v/>
      </c>
      <c r="I38" s="35">
        <f>H38/3600</f>
        <v/>
      </c>
      <c r="J38" s="35">
        <f>H38/'参数与公式'!$B$21</f>
        <v/>
      </c>
      <c r="K38" s="35">
        <f>SUMIFS($J$5:$J$328,$A$5:$A$328,A38,$D$5:$D$328,"&lt;="&amp;D38)</f>
        <v/>
      </c>
      <c r="L38" s="50">
        <f>'建筑建议逐级'!Q38</f>
        <v/>
      </c>
      <c r="M38" s="36">
        <f>'建筑建议逐级'!X38</f>
        <v/>
      </c>
      <c r="N38" s="36">
        <f>SUMIFS($M$5:$M$328,$A$5:$A$328,A38,$D$5:$D$328,"&lt;="&amp;D38)</f>
        <v/>
      </c>
      <c r="O38" s="36">
        <f>'建筑建议逐级'!Y38</f>
        <v/>
      </c>
      <c r="P38" s="36">
        <f>SUMIFS($O$5:$O$328,$A$5:$A$328,A38,$D$5:$D$328,"&lt;="&amp;D38)</f>
        <v/>
      </c>
      <c r="Q38" s="51">
        <f>IF(F38="预算型曲线","总预算归一化","沿用旧指数公式")</f>
        <v/>
      </c>
      <c r="R38" s="51">
        <f>IF(F38="预算型曲线","与当前建议公式一致","需单独复核")</f>
        <v/>
      </c>
    </row>
    <row r="39" ht="22" customHeight="1">
      <c r="A39" s="33">
        <f>'建筑建议逐级'!A39</f>
        <v/>
      </c>
      <c r="B39" s="33">
        <f>'建筑建议逐级'!B39</f>
        <v/>
      </c>
      <c r="C39" s="33">
        <f>'建筑建议逐级'!C39</f>
        <v/>
      </c>
      <c r="D39" s="43">
        <f>'建筑建议逐级'!D39</f>
        <v/>
      </c>
      <c r="E39" s="36">
        <f>'建筑建议逐级'!E39</f>
        <v/>
      </c>
      <c r="F39" s="51">
        <f>IF(OR('建筑建议逐级'!I39&gt;0,'建筑建议逐级'!R39&gt;0,'建筑建议逐级'!S39&gt;0),"预算型曲线","旧指数公式")</f>
        <v/>
      </c>
      <c r="G39" s="50">
        <f>'建筑建议逐级'!H39</f>
        <v/>
      </c>
      <c r="H39" s="36">
        <f>'建筑建议逐级'!M39</f>
        <v/>
      </c>
      <c r="I39" s="35">
        <f>H39/3600</f>
        <v/>
      </c>
      <c r="J39" s="35">
        <f>H39/'参数与公式'!$B$21</f>
        <v/>
      </c>
      <c r="K39" s="35">
        <f>SUMIFS($J$5:$J$328,$A$5:$A$328,A39,$D$5:$D$328,"&lt;="&amp;D39)</f>
        <v/>
      </c>
      <c r="L39" s="50">
        <f>'建筑建议逐级'!Q39</f>
        <v/>
      </c>
      <c r="M39" s="36">
        <f>'建筑建议逐级'!X39</f>
        <v/>
      </c>
      <c r="N39" s="36">
        <f>SUMIFS($M$5:$M$328,$A$5:$A$328,A39,$D$5:$D$328,"&lt;="&amp;D39)</f>
        <v/>
      </c>
      <c r="O39" s="36">
        <f>'建筑建议逐级'!Y39</f>
        <v/>
      </c>
      <c r="P39" s="36">
        <f>SUMIFS($O$5:$O$328,$A$5:$A$328,A39,$D$5:$D$328,"&lt;="&amp;D39)</f>
        <v/>
      </c>
      <c r="Q39" s="51">
        <f>IF(F39="预算型曲线","总预算归一化","沿用旧指数公式")</f>
        <v/>
      </c>
      <c r="R39" s="51">
        <f>IF(F39="预算型曲线","与当前建议公式一致","需单独复核")</f>
        <v/>
      </c>
    </row>
    <row r="40" ht="22" customHeight="1">
      <c r="A40" s="33">
        <f>'建筑建议逐级'!A40</f>
        <v/>
      </c>
      <c r="B40" s="33">
        <f>'建筑建议逐级'!B40</f>
        <v/>
      </c>
      <c r="C40" s="33">
        <f>'建筑建议逐级'!C40</f>
        <v/>
      </c>
      <c r="D40" s="43">
        <f>'建筑建议逐级'!D40</f>
        <v/>
      </c>
      <c r="E40" s="36">
        <f>'建筑建议逐级'!E40</f>
        <v/>
      </c>
      <c r="F40" s="51">
        <f>IF(OR('建筑建议逐级'!I40&gt;0,'建筑建议逐级'!R40&gt;0,'建筑建议逐级'!S40&gt;0),"预算型曲线","旧指数公式")</f>
        <v/>
      </c>
      <c r="G40" s="50">
        <f>'建筑建议逐级'!H40</f>
        <v/>
      </c>
      <c r="H40" s="36">
        <f>'建筑建议逐级'!M40</f>
        <v/>
      </c>
      <c r="I40" s="35">
        <f>H40/3600</f>
        <v/>
      </c>
      <c r="J40" s="35">
        <f>H40/'参数与公式'!$B$21</f>
        <v/>
      </c>
      <c r="K40" s="35">
        <f>SUMIFS($J$5:$J$328,$A$5:$A$328,A40,$D$5:$D$328,"&lt;="&amp;D40)</f>
        <v/>
      </c>
      <c r="L40" s="50">
        <f>'建筑建议逐级'!Q40</f>
        <v/>
      </c>
      <c r="M40" s="36">
        <f>'建筑建议逐级'!X40</f>
        <v/>
      </c>
      <c r="N40" s="36">
        <f>SUMIFS($M$5:$M$328,$A$5:$A$328,A40,$D$5:$D$328,"&lt;="&amp;D40)</f>
        <v/>
      </c>
      <c r="O40" s="36">
        <f>'建筑建议逐级'!Y40</f>
        <v/>
      </c>
      <c r="P40" s="36">
        <f>SUMIFS($O$5:$O$328,$A$5:$A$328,A40,$D$5:$D$328,"&lt;="&amp;D40)</f>
        <v/>
      </c>
      <c r="Q40" s="51">
        <f>IF(F40="预算型曲线","总预算归一化","沿用旧指数公式")</f>
        <v/>
      </c>
      <c r="R40" s="51">
        <f>IF(F40="预算型曲线","与当前建议公式一致","需单独复核")</f>
        <v/>
      </c>
    </row>
    <row r="41" ht="22" customHeight="1">
      <c r="A41" s="33">
        <f>'建筑建议逐级'!A41</f>
        <v/>
      </c>
      <c r="B41" s="33">
        <f>'建筑建议逐级'!B41</f>
        <v/>
      </c>
      <c r="C41" s="33">
        <f>'建筑建议逐级'!C41</f>
        <v/>
      </c>
      <c r="D41" s="43">
        <f>'建筑建议逐级'!D41</f>
        <v/>
      </c>
      <c r="E41" s="36">
        <f>'建筑建议逐级'!E41</f>
        <v/>
      </c>
      <c r="F41" s="51">
        <f>IF(OR('建筑建议逐级'!I41&gt;0,'建筑建议逐级'!R41&gt;0,'建筑建议逐级'!S41&gt;0),"预算型曲线","旧指数公式")</f>
        <v/>
      </c>
      <c r="G41" s="50">
        <f>'建筑建议逐级'!H41</f>
        <v/>
      </c>
      <c r="H41" s="36">
        <f>'建筑建议逐级'!M41</f>
        <v/>
      </c>
      <c r="I41" s="35">
        <f>H41/3600</f>
        <v/>
      </c>
      <c r="J41" s="35">
        <f>H41/'参数与公式'!$B$21</f>
        <v/>
      </c>
      <c r="K41" s="35">
        <f>SUMIFS($J$5:$J$328,$A$5:$A$328,A41,$D$5:$D$328,"&lt;="&amp;D41)</f>
        <v/>
      </c>
      <c r="L41" s="50">
        <f>'建筑建议逐级'!Q41</f>
        <v/>
      </c>
      <c r="M41" s="36">
        <f>'建筑建议逐级'!X41</f>
        <v/>
      </c>
      <c r="N41" s="36">
        <f>SUMIFS($M$5:$M$328,$A$5:$A$328,A41,$D$5:$D$328,"&lt;="&amp;D41)</f>
        <v/>
      </c>
      <c r="O41" s="36">
        <f>'建筑建议逐级'!Y41</f>
        <v/>
      </c>
      <c r="P41" s="36">
        <f>SUMIFS($O$5:$O$328,$A$5:$A$328,A41,$D$5:$D$328,"&lt;="&amp;D41)</f>
        <v/>
      </c>
      <c r="Q41" s="51">
        <f>IF(F41="预算型曲线","总预算归一化","沿用旧指数公式")</f>
        <v/>
      </c>
      <c r="R41" s="51">
        <f>IF(F41="预算型曲线","与当前建议公式一致","需单独复核")</f>
        <v/>
      </c>
    </row>
    <row r="42" ht="22" customHeight="1">
      <c r="A42" s="33">
        <f>'建筑建议逐级'!A42</f>
        <v/>
      </c>
      <c r="B42" s="33">
        <f>'建筑建议逐级'!B42</f>
        <v/>
      </c>
      <c r="C42" s="33">
        <f>'建筑建议逐级'!C42</f>
        <v/>
      </c>
      <c r="D42" s="43">
        <f>'建筑建议逐级'!D42</f>
        <v/>
      </c>
      <c r="E42" s="36">
        <f>'建筑建议逐级'!E42</f>
        <v/>
      </c>
      <c r="F42" s="51">
        <f>IF(OR('建筑建议逐级'!I42&gt;0,'建筑建议逐级'!R42&gt;0,'建筑建议逐级'!S42&gt;0),"预算型曲线","旧指数公式")</f>
        <v/>
      </c>
      <c r="G42" s="50">
        <f>'建筑建议逐级'!H42</f>
        <v/>
      </c>
      <c r="H42" s="36">
        <f>'建筑建议逐级'!M42</f>
        <v/>
      </c>
      <c r="I42" s="35">
        <f>H42/3600</f>
        <v/>
      </c>
      <c r="J42" s="35">
        <f>H42/'参数与公式'!$B$21</f>
        <v/>
      </c>
      <c r="K42" s="35">
        <f>SUMIFS($J$5:$J$328,$A$5:$A$328,A42,$D$5:$D$328,"&lt;="&amp;D42)</f>
        <v/>
      </c>
      <c r="L42" s="50">
        <f>'建筑建议逐级'!Q42</f>
        <v/>
      </c>
      <c r="M42" s="36">
        <f>'建筑建议逐级'!X42</f>
        <v/>
      </c>
      <c r="N42" s="36">
        <f>SUMIFS($M$5:$M$328,$A$5:$A$328,A42,$D$5:$D$328,"&lt;="&amp;D42)</f>
        <v/>
      </c>
      <c r="O42" s="36">
        <f>'建筑建议逐级'!Y42</f>
        <v/>
      </c>
      <c r="P42" s="36">
        <f>SUMIFS($O$5:$O$328,$A$5:$A$328,A42,$D$5:$D$328,"&lt;="&amp;D42)</f>
        <v/>
      </c>
      <c r="Q42" s="51">
        <f>IF(F42="预算型曲线","总预算归一化","沿用旧指数公式")</f>
        <v/>
      </c>
      <c r="R42" s="51">
        <f>IF(F42="预算型曲线","与当前建议公式一致","需单独复核")</f>
        <v/>
      </c>
    </row>
    <row r="43" ht="22" customHeight="1">
      <c r="A43" s="33">
        <f>'建筑建议逐级'!A43</f>
        <v/>
      </c>
      <c r="B43" s="33">
        <f>'建筑建议逐级'!B43</f>
        <v/>
      </c>
      <c r="C43" s="33">
        <f>'建筑建议逐级'!C43</f>
        <v/>
      </c>
      <c r="D43" s="43">
        <f>'建筑建议逐级'!D43</f>
        <v/>
      </c>
      <c r="E43" s="36">
        <f>'建筑建议逐级'!E43</f>
        <v/>
      </c>
      <c r="F43" s="51">
        <f>IF(OR('建筑建议逐级'!I43&gt;0,'建筑建议逐级'!R43&gt;0,'建筑建议逐级'!S43&gt;0),"预算型曲线","旧指数公式")</f>
        <v/>
      </c>
      <c r="G43" s="50">
        <f>'建筑建议逐级'!H43</f>
        <v/>
      </c>
      <c r="H43" s="36">
        <f>'建筑建议逐级'!M43</f>
        <v/>
      </c>
      <c r="I43" s="35">
        <f>H43/3600</f>
        <v/>
      </c>
      <c r="J43" s="35">
        <f>H43/'参数与公式'!$B$21</f>
        <v/>
      </c>
      <c r="K43" s="35">
        <f>SUMIFS($J$5:$J$328,$A$5:$A$328,A43,$D$5:$D$328,"&lt;="&amp;D43)</f>
        <v/>
      </c>
      <c r="L43" s="50">
        <f>'建筑建议逐级'!Q43</f>
        <v/>
      </c>
      <c r="M43" s="36">
        <f>'建筑建议逐级'!X43</f>
        <v/>
      </c>
      <c r="N43" s="36">
        <f>SUMIFS($M$5:$M$328,$A$5:$A$328,A43,$D$5:$D$328,"&lt;="&amp;D43)</f>
        <v/>
      </c>
      <c r="O43" s="36">
        <f>'建筑建议逐级'!Y43</f>
        <v/>
      </c>
      <c r="P43" s="36">
        <f>SUMIFS($O$5:$O$328,$A$5:$A$328,A43,$D$5:$D$328,"&lt;="&amp;D43)</f>
        <v/>
      </c>
      <c r="Q43" s="51">
        <f>IF(F43="预算型曲线","总预算归一化","沿用旧指数公式")</f>
        <v/>
      </c>
      <c r="R43" s="51">
        <f>IF(F43="预算型曲线","与当前建议公式一致","需单独复核")</f>
        <v/>
      </c>
    </row>
    <row r="44" ht="22" customHeight="1">
      <c r="A44" s="33">
        <f>'建筑建议逐级'!A44</f>
        <v/>
      </c>
      <c r="B44" s="33">
        <f>'建筑建议逐级'!B44</f>
        <v/>
      </c>
      <c r="C44" s="33">
        <f>'建筑建议逐级'!C44</f>
        <v/>
      </c>
      <c r="D44" s="43">
        <f>'建筑建议逐级'!D44</f>
        <v/>
      </c>
      <c r="E44" s="36">
        <f>'建筑建议逐级'!E44</f>
        <v/>
      </c>
      <c r="F44" s="51">
        <f>IF(OR('建筑建议逐级'!I44&gt;0,'建筑建议逐级'!R44&gt;0,'建筑建议逐级'!S44&gt;0),"预算型曲线","旧指数公式")</f>
        <v/>
      </c>
      <c r="G44" s="50">
        <f>'建筑建议逐级'!H44</f>
        <v/>
      </c>
      <c r="H44" s="36">
        <f>'建筑建议逐级'!M44</f>
        <v/>
      </c>
      <c r="I44" s="35">
        <f>H44/3600</f>
        <v/>
      </c>
      <c r="J44" s="35">
        <f>H44/'参数与公式'!$B$21</f>
        <v/>
      </c>
      <c r="K44" s="35">
        <f>SUMIFS($J$5:$J$328,$A$5:$A$328,A44,$D$5:$D$328,"&lt;="&amp;D44)</f>
        <v/>
      </c>
      <c r="L44" s="50">
        <f>'建筑建议逐级'!Q44</f>
        <v/>
      </c>
      <c r="M44" s="36">
        <f>'建筑建议逐级'!X44</f>
        <v/>
      </c>
      <c r="N44" s="36">
        <f>SUMIFS($M$5:$M$328,$A$5:$A$328,A44,$D$5:$D$328,"&lt;="&amp;D44)</f>
        <v/>
      </c>
      <c r="O44" s="36">
        <f>'建筑建议逐级'!Y44</f>
        <v/>
      </c>
      <c r="P44" s="36">
        <f>SUMIFS($O$5:$O$328,$A$5:$A$328,A44,$D$5:$D$328,"&lt;="&amp;D44)</f>
        <v/>
      </c>
      <c r="Q44" s="51">
        <f>IF(F44="预算型曲线","总预算归一化","沿用旧指数公式")</f>
        <v/>
      </c>
      <c r="R44" s="51">
        <f>IF(F44="预算型曲线","与当前建议公式一致","需单独复核")</f>
        <v/>
      </c>
    </row>
    <row r="45" ht="22" customHeight="1">
      <c r="A45" s="33">
        <f>'建筑建议逐级'!A45</f>
        <v/>
      </c>
      <c r="B45" s="33">
        <f>'建筑建议逐级'!B45</f>
        <v/>
      </c>
      <c r="C45" s="33">
        <f>'建筑建议逐级'!C45</f>
        <v/>
      </c>
      <c r="D45" s="43">
        <f>'建筑建议逐级'!D45</f>
        <v/>
      </c>
      <c r="E45" s="36">
        <f>'建筑建议逐级'!E45</f>
        <v/>
      </c>
      <c r="F45" s="51">
        <f>IF(OR('建筑建议逐级'!I45&gt;0,'建筑建议逐级'!R45&gt;0,'建筑建议逐级'!S45&gt;0),"预算型曲线","旧指数公式")</f>
        <v/>
      </c>
      <c r="G45" s="50">
        <f>'建筑建议逐级'!H45</f>
        <v/>
      </c>
      <c r="H45" s="36">
        <f>'建筑建议逐级'!M45</f>
        <v/>
      </c>
      <c r="I45" s="35">
        <f>H45/3600</f>
        <v/>
      </c>
      <c r="J45" s="35">
        <f>H45/'参数与公式'!$B$21</f>
        <v/>
      </c>
      <c r="K45" s="35">
        <f>SUMIFS($J$5:$J$328,$A$5:$A$328,A45,$D$5:$D$328,"&lt;="&amp;D45)</f>
        <v/>
      </c>
      <c r="L45" s="50">
        <f>'建筑建议逐级'!Q45</f>
        <v/>
      </c>
      <c r="M45" s="36">
        <f>'建筑建议逐级'!X45</f>
        <v/>
      </c>
      <c r="N45" s="36">
        <f>SUMIFS($M$5:$M$328,$A$5:$A$328,A45,$D$5:$D$328,"&lt;="&amp;D45)</f>
        <v/>
      </c>
      <c r="O45" s="36">
        <f>'建筑建议逐级'!Y45</f>
        <v/>
      </c>
      <c r="P45" s="36">
        <f>SUMIFS($O$5:$O$328,$A$5:$A$328,A45,$D$5:$D$328,"&lt;="&amp;D45)</f>
        <v/>
      </c>
      <c r="Q45" s="51">
        <f>IF(F45="预算型曲线","总预算归一化","沿用旧指数公式")</f>
        <v/>
      </c>
      <c r="R45" s="51">
        <f>IF(F45="预算型曲线","与当前建议公式一致","需单独复核")</f>
        <v/>
      </c>
    </row>
    <row r="46" ht="22" customHeight="1">
      <c r="A46" s="33">
        <f>'建筑建议逐级'!A46</f>
        <v/>
      </c>
      <c r="B46" s="33">
        <f>'建筑建议逐级'!B46</f>
        <v/>
      </c>
      <c r="C46" s="33">
        <f>'建筑建议逐级'!C46</f>
        <v/>
      </c>
      <c r="D46" s="43">
        <f>'建筑建议逐级'!D46</f>
        <v/>
      </c>
      <c r="E46" s="36">
        <f>'建筑建议逐级'!E46</f>
        <v/>
      </c>
      <c r="F46" s="51">
        <f>IF(OR('建筑建议逐级'!I46&gt;0,'建筑建议逐级'!R46&gt;0,'建筑建议逐级'!S46&gt;0),"预算型曲线","旧指数公式")</f>
        <v/>
      </c>
      <c r="G46" s="50">
        <f>'建筑建议逐级'!H46</f>
        <v/>
      </c>
      <c r="H46" s="36">
        <f>'建筑建议逐级'!M46</f>
        <v/>
      </c>
      <c r="I46" s="35">
        <f>H46/3600</f>
        <v/>
      </c>
      <c r="J46" s="35">
        <f>H46/'参数与公式'!$B$21</f>
        <v/>
      </c>
      <c r="K46" s="35">
        <f>SUMIFS($J$5:$J$328,$A$5:$A$328,A46,$D$5:$D$328,"&lt;="&amp;D46)</f>
        <v/>
      </c>
      <c r="L46" s="50">
        <f>'建筑建议逐级'!Q46</f>
        <v/>
      </c>
      <c r="M46" s="36">
        <f>'建筑建议逐级'!X46</f>
        <v/>
      </c>
      <c r="N46" s="36">
        <f>SUMIFS($M$5:$M$328,$A$5:$A$328,A46,$D$5:$D$328,"&lt;="&amp;D46)</f>
        <v/>
      </c>
      <c r="O46" s="36">
        <f>'建筑建议逐级'!Y46</f>
        <v/>
      </c>
      <c r="P46" s="36">
        <f>SUMIFS($O$5:$O$328,$A$5:$A$328,A46,$D$5:$D$328,"&lt;="&amp;D46)</f>
        <v/>
      </c>
      <c r="Q46" s="51">
        <f>IF(F46="预算型曲线","总预算归一化","沿用旧指数公式")</f>
        <v/>
      </c>
      <c r="R46" s="51">
        <f>IF(F46="预算型曲线","与当前建议公式一致","需单独复核")</f>
        <v/>
      </c>
    </row>
    <row r="47" ht="22" customHeight="1">
      <c r="A47" s="33">
        <f>'建筑建议逐级'!A47</f>
        <v/>
      </c>
      <c r="B47" s="33">
        <f>'建筑建议逐级'!B47</f>
        <v/>
      </c>
      <c r="C47" s="33">
        <f>'建筑建议逐级'!C47</f>
        <v/>
      </c>
      <c r="D47" s="43">
        <f>'建筑建议逐级'!D47</f>
        <v/>
      </c>
      <c r="E47" s="36">
        <f>'建筑建议逐级'!E47</f>
        <v/>
      </c>
      <c r="F47" s="51">
        <f>IF(OR('建筑建议逐级'!I47&gt;0,'建筑建议逐级'!R47&gt;0,'建筑建议逐级'!S47&gt;0),"预算型曲线","旧指数公式")</f>
        <v/>
      </c>
      <c r="G47" s="50">
        <f>'建筑建议逐级'!H47</f>
        <v/>
      </c>
      <c r="H47" s="36">
        <f>'建筑建议逐级'!M47</f>
        <v/>
      </c>
      <c r="I47" s="35">
        <f>H47/3600</f>
        <v/>
      </c>
      <c r="J47" s="35">
        <f>H47/'参数与公式'!$B$21</f>
        <v/>
      </c>
      <c r="K47" s="35">
        <f>SUMIFS($J$5:$J$328,$A$5:$A$328,A47,$D$5:$D$328,"&lt;="&amp;D47)</f>
        <v/>
      </c>
      <c r="L47" s="50">
        <f>'建筑建议逐级'!Q47</f>
        <v/>
      </c>
      <c r="M47" s="36">
        <f>'建筑建议逐级'!X47</f>
        <v/>
      </c>
      <c r="N47" s="36">
        <f>SUMIFS($M$5:$M$328,$A$5:$A$328,A47,$D$5:$D$328,"&lt;="&amp;D47)</f>
        <v/>
      </c>
      <c r="O47" s="36">
        <f>'建筑建议逐级'!Y47</f>
        <v/>
      </c>
      <c r="P47" s="36">
        <f>SUMIFS($O$5:$O$328,$A$5:$A$328,A47,$D$5:$D$328,"&lt;="&amp;D47)</f>
        <v/>
      </c>
      <c r="Q47" s="51">
        <f>IF(F47="预算型曲线","总预算归一化","沿用旧指数公式")</f>
        <v/>
      </c>
      <c r="R47" s="51">
        <f>IF(F47="预算型曲线","与当前建议公式一致","需单独复核")</f>
        <v/>
      </c>
    </row>
    <row r="48" ht="22" customHeight="1">
      <c r="A48" s="33">
        <f>'建筑建议逐级'!A48</f>
        <v/>
      </c>
      <c r="B48" s="33">
        <f>'建筑建议逐级'!B48</f>
        <v/>
      </c>
      <c r="C48" s="33">
        <f>'建筑建议逐级'!C48</f>
        <v/>
      </c>
      <c r="D48" s="43">
        <f>'建筑建议逐级'!D48</f>
        <v/>
      </c>
      <c r="E48" s="36">
        <f>'建筑建议逐级'!E48</f>
        <v/>
      </c>
      <c r="F48" s="51">
        <f>IF(OR('建筑建议逐级'!I48&gt;0,'建筑建议逐级'!R48&gt;0,'建筑建议逐级'!S48&gt;0),"预算型曲线","旧指数公式")</f>
        <v/>
      </c>
      <c r="G48" s="50">
        <f>'建筑建议逐级'!H48</f>
        <v/>
      </c>
      <c r="H48" s="36">
        <f>'建筑建议逐级'!M48</f>
        <v/>
      </c>
      <c r="I48" s="35">
        <f>H48/3600</f>
        <v/>
      </c>
      <c r="J48" s="35">
        <f>H48/'参数与公式'!$B$21</f>
        <v/>
      </c>
      <c r="K48" s="35">
        <f>SUMIFS($J$5:$J$328,$A$5:$A$328,A48,$D$5:$D$328,"&lt;="&amp;D48)</f>
        <v/>
      </c>
      <c r="L48" s="50">
        <f>'建筑建议逐级'!Q48</f>
        <v/>
      </c>
      <c r="M48" s="36">
        <f>'建筑建议逐级'!X48</f>
        <v/>
      </c>
      <c r="N48" s="36">
        <f>SUMIFS($M$5:$M$328,$A$5:$A$328,A48,$D$5:$D$328,"&lt;="&amp;D48)</f>
        <v/>
      </c>
      <c r="O48" s="36">
        <f>'建筑建议逐级'!Y48</f>
        <v/>
      </c>
      <c r="P48" s="36">
        <f>SUMIFS($O$5:$O$328,$A$5:$A$328,A48,$D$5:$D$328,"&lt;="&amp;D48)</f>
        <v/>
      </c>
      <c r="Q48" s="51">
        <f>IF(F48="预算型曲线","总预算归一化","沿用旧指数公式")</f>
        <v/>
      </c>
      <c r="R48" s="51">
        <f>IF(F48="预算型曲线","与当前建议公式一致","需单独复核")</f>
        <v/>
      </c>
    </row>
    <row r="49" ht="22" customHeight="1">
      <c r="A49" s="33">
        <f>'建筑建议逐级'!A49</f>
        <v/>
      </c>
      <c r="B49" s="33">
        <f>'建筑建议逐级'!B49</f>
        <v/>
      </c>
      <c r="C49" s="33">
        <f>'建筑建议逐级'!C49</f>
        <v/>
      </c>
      <c r="D49" s="43">
        <f>'建筑建议逐级'!D49</f>
        <v/>
      </c>
      <c r="E49" s="36">
        <f>'建筑建议逐级'!E49</f>
        <v/>
      </c>
      <c r="F49" s="51">
        <f>IF(OR('建筑建议逐级'!I49&gt;0,'建筑建议逐级'!R49&gt;0,'建筑建议逐级'!S49&gt;0),"预算型曲线","旧指数公式")</f>
        <v/>
      </c>
      <c r="G49" s="50">
        <f>'建筑建议逐级'!H49</f>
        <v/>
      </c>
      <c r="H49" s="36">
        <f>'建筑建议逐级'!M49</f>
        <v/>
      </c>
      <c r="I49" s="35">
        <f>H49/3600</f>
        <v/>
      </c>
      <c r="J49" s="35">
        <f>H49/'参数与公式'!$B$21</f>
        <v/>
      </c>
      <c r="K49" s="35">
        <f>SUMIFS($J$5:$J$328,$A$5:$A$328,A49,$D$5:$D$328,"&lt;="&amp;D49)</f>
        <v/>
      </c>
      <c r="L49" s="50">
        <f>'建筑建议逐级'!Q49</f>
        <v/>
      </c>
      <c r="M49" s="36">
        <f>'建筑建议逐级'!X49</f>
        <v/>
      </c>
      <c r="N49" s="36">
        <f>SUMIFS($M$5:$M$328,$A$5:$A$328,A49,$D$5:$D$328,"&lt;="&amp;D49)</f>
        <v/>
      </c>
      <c r="O49" s="36">
        <f>'建筑建议逐级'!Y49</f>
        <v/>
      </c>
      <c r="P49" s="36">
        <f>SUMIFS($O$5:$O$328,$A$5:$A$328,A49,$D$5:$D$328,"&lt;="&amp;D49)</f>
        <v/>
      </c>
      <c r="Q49" s="51">
        <f>IF(F49="预算型曲线","总预算归一化","沿用旧指数公式")</f>
        <v/>
      </c>
      <c r="R49" s="51">
        <f>IF(F49="预算型曲线","与当前建议公式一致","需单独复核")</f>
        <v/>
      </c>
    </row>
    <row r="50" ht="22" customHeight="1">
      <c r="A50" s="33">
        <f>'建筑建议逐级'!A50</f>
        <v/>
      </c>
      <c r="B50" s="33">
        <f>'建筑建议逐级'!B50</f>
        <v/>
      </c>
      <c r="C50" s="33">
        <f>'建筑建议逐级'!C50</f>
        <v/>
      </c>
      <c r="D50" s="43">
        <f>'建筑建议逐级'!D50</f>
        <v/>
      </c>
      <c r="E50" s="36">
        <f>'建筑建议逐级'!E50</f>
        <v/>
      </c>
      <c r="F50" s="51">
        <f>IF(OR('建筑建议逐级'!I50&gt;0,'建筑建议逐级'!R50&gt;0,'建筑建议逐级'!S50&gt;0),"预算型曲线","旧指数公式")</f>
        <v/>
      </c>
      <c r="G50" s="50">
        <f>'建筑建议逐级'!H50</f>
        <v/>
      </c>
      <c r="H50" s="36">
        <f>'建筑建议逐级'!M50</f>
        <v/>
      </c>
      <c r="I50" s="35">
        <f>H50/3600</f>
        <v/>
      </c>
      <c r="J50" s="35">
        <f>H50/'参数与公式'!$B$21</f>
        <v/>
      </c>
      <c r="K50" s="35">
        <f>SUMIFS($J$5:$J$328,$A$5:$A$328,A50,$D$5:$D$328,"&lt;="&amp;D50)</f>
        <v/>
      </c>
      <c r="L50" s="50">
        <f>'建筑建议逐级'!Q50</f>
        <v/>
      </c>
      <c r="M50" s="36">
        <f>'建筑建议逐级'!X50</f>
        <v/>
      </c>
      <c r="N50" s="36">
        <f>SUMIFS($M$5:$M$328,$A$5:$A$328,A50,$D$5:$D$328,"&lt;="&amp;D50)</f>
        <v/>
      </c>
      <c r="O50" s="36">
        <f>'建筑建议逐级'!Y50</f>
        <v/>
      </c>
      <c r="P50" s="36">
        <f>SUMIFS($O$5:$O$328,$A$5:$A$328,A50,$D$5:$D$328,"&lt;="&amp;D50)</f>
        <v/>
      </c>
      <c r="Q50" s="51">
        <f>IF(F50="预算型曲线","总预算归一化","沿用旧指数公式")</f>
        <v/>
      </c>
      <c r="R50" s="51">
        <f>IF(F50="预算型曲线","与当前建议公式一致","需单独复核")</f>
        <v/>
      </c>
    </row>
    <row r="51" ht="22" customHeight="1">
      <c r="A51" s="33">
        <f>'建筑建议逐级'!A51</f>
        <v/>
      </c>
      <c r="B51" s="33">
        <f>'建筑建议逐级'!B51</f>
        <v/>
      </c>
      <c r="C51" s="33">
        <f>'建筑建议逐级'!C51</f>
        <v/>
      </c>
      <c r="D51" s="43">
        <f>'建筑建议逐级'!D51</f>
        <v/>
      </c>
      <c r="E51" s="36">
        <f>'建筑建议逐级'!E51</f>
        <v/>
      </c>
      <c r="F51" s="51">
        <f>IF(OR('建筑建议逐级'!I51&gt;0,'建筑建议逐级'!R51&gt;0,'建筑建议逐级'!S51&gt;0),"预算型曲线","旧指数公式")</f>
        <v/>
      </c>
      <c r="G51" s="50">
        <f>'建筑建议逐级'!H51</f>
        <v/>
      </c>
      <c r="H51" s="36">
        <f>'建筑建议逐级'!M51</f>
        <v/>
      </c>
      <c r="I51" s="35">
        <f>H51/3600</f>
        <v/>
      </c>
      <c r="J51" s="35">
        <f>H51/'参数与公式'!$B$21</f>
        <v/>
      </c>
      <c r="K51" s="35">
        <f>SUMIFS($J$5:$J$328,$A$5:$A$328,A51,$D$5:$D$328,"&lt;="&amp;D51)</f>
        <v/>
      </c>
      <c r="L51" s="50">
        <f>'建筑建议逐级'!Q51</f>
        <v/>
      </c>
      <c r="M51" s="36">
        <f>'建筑建议逐级'!X51</f>
        <v/>
      </c>
      <c r="N51" s="36">
        <f>SUMIFS($M$5:$M$328,$A$5:$A$328,A51,$D$5:$D$328,"&lt;="&amp;D51)</f>
        <v/>
      </c>
      <c r="O51" s="36">
        <f>'建筑建议逐级'!Y51</f>
        <v/>
      </c>
      <c r="P51" s="36">
        <f>SUMIFS($O$5:$O$328,$A$5:$A$328,A51,$D$5:$D$328,"&lt;="&amp;D51)</f>
        <v/>
      </c>
      <c r="Q51" s="51">
        <f>IF(F51="预算型曲线","总预算归一化","沿用旧指数公式")</f>
        <v/>
      </c>
      <c r="R51" s="51">
        <f>IF(F51="预算型曲线","与当前建议公式一致","需单独复核")</f>
        <v/>
      </c>
    </row>
    <row r="52" ht="22" customHeight="1">
      <c r="A52" s="33">
        <f>'建筑建议逐级'!A52</f>
        <v/>
      </c>
      <c r="B52" s="33">
        <f>'建筑建议逐级'!B52</f>
        <v/>
      </c>
      <c r="C52" s="33">
        <f>'建筑建议逐级'!C52</f>
        <v/>
      </c>
      <c r="D52" s="43">
        <f>'建筑建议逐级'!D52</f>
        <v/>
      </c>
      <c r="E52" s="36">
        <f>'建筑建议逐级'!E52</f>
        <v/>
      </c>
      <c r="F52" s="51">
        <f>IF(OR('建筑建议逐级'!I52&gt;0,'建筑建议逐级'!R52&gt;0,'建筑建议逐级'!S52&gt;0),"预算型曲线","旧指数公式")</f>
        <v/>
      </c>
      <c r="G52" s="50">
        <f>'建筑建议逐级'!H52</f>
        <v/>
      </c>
      <c r="H52" s="36">
        <f>'建筑建议逐级'!M52</f>
        <v/>
      </c>
      <c r="I52" s="35">
        <f>H52/3600</f>
        <v/>
      </c>
      <c r="J52" s="35">
        <f>H52/'参数与公式'!$B$21</f>
        <v/>
      </c>
      <c r="K52" s="35">
        <f>SUMIFS($J$5:$J$328,$A$5:$A$328,A52,$D$5:$D$328,"&lt;="&amp;D52)</f>
        <v/>
      </c>
      <c r="L52" s="50">
        <f>'建筑建议逐级'!Q52</f>
        <v/>
      </c>
      <c r="M52" s="36">
        <f>'建筑建议逐级'!X52</f>
        <v/>
      </c>
      <c r="N52" s="36">
        <f>SUMIFS($M$5:$M$328,$A$5:$A$328,A52,$D$5:$D$328,"&lt;="&amp;D52)</f>
        <v/>
      </c>
      <c r="O52" s="36">
        <f>'建筑建议逐级'!Y52</f>
        <v/>
      </c>
      <c r="P52" s="36">
        <f>SUMIFS($O$5:$O$328,$A$5:$A$328,A52,$D$5:$D$328,"&lt;="&amp;D52)</f>
        <v/>
      </c>
      <c r="Q52" s="51">
        <f>IF(F52="预算型曲线","总预算归一化","沿用旧指数公式")</f>
        <v/>
      </c>
      <c r="R52" s="51">
        <f>IF(F52="预算型曲线","与当前建议公式一致","需单独复核")</f>
        <v/>
      </c>
    </row>
    <row r="53" ht="22" customHeight="1">
      <c r="A53" s="33">
        <f>'建筑建议逐级'!A53</f>
        <v/>
      </c>
      <c r="B53" s="33">
        <f>'建筑建议逐级'!B53</f>
        <v/>
      </c>
      <c r="C53" s="33">
        <f>'建筑建议逐级'!C53</f>
        <v/>
      </c>
      <c r="D53" s="43">
        <f>'建筑建议逐级'!D53</f>
        <v/>
      </c>
      <c r="E53" s="36">
        <f>'建筑建议逐级'!E53</f>
        <v/>
      </c>
      <c r="F53" s="51">
        <f>IF(OR('建筑建议逐级'!I53&gt;0,'建筑建议逐级'!R53&gt;0,'建筑建议逐级'!S53&gt;0),"预算型曲线","旧指数公式")</f>
        <v/>
      </c>
      <c r="G53" s="50">
        <f>'建筑建议逐级'!H53</f>
        <v/>
      </c>
      <c r="H53" s="36">
        <f>'建筑建议逐级'!M53</f>
        <v/>
      </c>
      <c r="I53" s="35">
        <f>H53/3600</f>
        <v/>
      </c>
      <c r="J53" s="35">
        <f>H53/'参数与公式'!$B$21</f>
        <v/>
      </c>
      <c r="K53" s="35">
        <f>SUMIFS($J$5:$J$328,$A$5:$A$328,A53,$D$5:$D$328,"&lt;="&amp;D53)</f>
        <v/>
      </c>
      <c r="L53" s="50">
        <f>'建筑建议逐级'!Q53</f>
        <v/>
      </c>
      <c r="M53" s="36">
        <f>'建筑建议逐级'!X53</f>
        <v/>
      </c>
      <c r="N53" s="36">
        <f>SUMIFS($M$5:$M$328,$A$5:$A$328,A53,$D$5:$D$328,"&lt;="&amp;D53)</f>
        <v/>
      </c>
      <c r="O53" s="36">
        <f>'建筑建议逐级'!Y53</f>
        <v/>
      </c>
      <c r="P53" s="36">
        <f>SUMIFS($O$5:$O$328,$A$5:$A$328,A53,$D$5:$D$328,"&lt;="&amp;D53)</f>
        <v/>
      </c>
      <c r="Q53" s="51">
        <f>IF(F53="预算型曲线","总预算归一化","沿用旧指数公式")</f>
        <v/>
      </c>
      <c r="R53" s="51">
        <f>IF(F53="预算型曲线","与当前建议公式一致","需单独复核")</f>
        <v/>
      </c>
    </row>
    <row r="54" ht="22" customHeight="1">
      <c r="A54" s="33">
        <f>'建筑建议逐级'!A54</f>
        <v/>
      </c>
      <c r="B54" s="33">
        <f>'建筑建议逐级'!B54</f>
        <v/>
      </c>
      <c r="C54" s="33">
        <f>'建筑建议逐级'!C54</f>
        <v/>
      </c>
      <c r="D54" s="43">
        <f>'建筑建议逐级'!D54</f>
        <v/>
      </c>
      <c r="E54" s="36">
        <f>'建筑建议逐级'!E54</f>
        <v/>
      </c>
      <c r="F54" s="51">
        <f>IF(OR('建筑建议逐级'!I54&gt;0,'建筑建议逐级'!R54&gt;0,'建筑建议逐级'!S54&gt;0),"预算型曲线","旧指数公式")</f>
        <v/>
      </c>
      <c r="G54" s="50">
        <f>'建筑建议逐级'!H54</f>
        <v/>
      </c>
      <c r="H54" s="36">
        <f>'建筑建议逐级'!M54</f>
        <v/>
      </c>
      <c r="I54" s="35">
        <f>H54/3600</f>
        <v/>
      </c>
      <c r="J54" s="35">
        <f>H54/'参数与公式'!$B$21</f>
        <v/>
      </c>
      <c r="K54" s="35">
        <f>SUMIFS($J$5:$J$328,$A$5:$A$328,A54,$D$5:$D$328,"&lt;="&amp;D54)</f>
        <v/>
      </c>
      <c r="L54" s="50">
        <f>'建筑建议逐级'!Q54</f>
        <v/>
      </c>
      <c r="M54" s="36">
        <f>'建筑建议逐级'!X54</f>
        <v/>
      </c>
      <c r="N54" s="36">
        <f>SUMIFS($M$5:$M$328,$A$5:$A$328,A54,$D$5:$D$328,"&lt;="&amp;D54)</f>
        <v/>
      </c>
      <c r="O54" s="36">
        <f>'建筑建议逐级'!Y54</f>
        <v/>
      </c>
      <c r="P54" s="36">
        <f>SUMIFS($O$5:$O$328,$A$5:$A$328,A54,$D$5:$D$328,"&lt;="&amp;D54)</f>
        <v/>
      </c>
      <c r="Q54" s="51">
        <f>IF(F54="预算型曲线","总预算归一化","沿用旧指数公式")</f>
        <v/>
      </c>
      <c r="R54" s="51">
        <f>IF(F54="预算型曲线","与当前建议公式一致","需单独复核")</f>
        <v/>
      </c>
    </row>
    <row r="55" ht="22" customHeight="1">
      <c r="A55" s="33">
        <f>'建筑建议逐级'!A55</f>
        <v/>
      </c>
      <c r="B55" s="33">
        <f>'建筑建议逐级'!B55</f>
        <v/>
      </c>
      <c r="C55" s="33">
        <f>'建筑建议逐级'!C55</f>
        <v/>
      </c>
      <c r="D55" s="43">
        <f>'建筑建议逐级'!D55</f>
        <v/>
      </c>
      <c r="E55" s="36">
        <f>'建筑建议逐级'!E55</f>
        <v/>
      </c>
      <c r="F55" s="51">
        <f>IF(OR('建筑建议逐级'!I55&gt;0,'建筑建议逐级'!R55&gt;0,'建筑建议逐级'!S55&gt;0),"预算型曲线","旧指数公式")</f>
        <v/>
      </c>
      <c r="G55" s="50">
        <f>'建筑建议逐级'!H55</f>
        <v/>
      </c>
      <c r="H55" s="36">
        <f>'建筑建议逐级'!M55</f>
        <v/>
      </c>
      <c r="I55" s="35">
        <f>H55/3600</f>
        <v/>
      </c>
      <c r="J55" s="35">
        <f>H55/'参数与公式'!$B$21</f>
        <v/>
      </c>
      <c r="K55" s="35">
        <f>SUMIFS($J$5:$J$328,$A$5:$A$328,A55,$D$5:$D$328,"&lt;="&amp;D55)</f>
        <v/>
      </c>
      <c r="L55" s="50">
        <f>'建筑建议逐级'!Q55</f>
        <v/>
      </c>
      <c r="M55" s="36">
        <f>'建筑建议逐级'!X55</f>
        <v/>
      </c>
      <c r="N55" s="36">
        <f>SUMIFS($M$5:$M$328,$A$5:$A$328,A55,$D$5:$D$328,"&lt;="&amp;D55)</f>
        <v/>
      </c>
      <c r="O55" s="36">
        <f>'建筑建议逐级'!Y55</f>
        <v/>
      </c>
      <c r="P55" s="36">
        <f>SUMIFS($O$5:$O$328,$A$5:$A$328,A55,$D$5:$D$328,"&lt;="&amp;D55)</f>
        <v/>
      </c>
      <c r="Q55" s="51">
        <f>IF(F55="预算型曲线","总预算归一化","沿用旧指数公式")</f>
        <v/>
      </c>
      <c r="R55" s="51">
        <f>IF(F55="预算型曲线","与当前建议公式一致","需单独复核")</f>
        <v/>
      </c>
    </row>
    <row r="56" ht="22" customHeight="1">
      <c r="A56" s="33">
        <f>'建筑建议逐级'!A56</f>
        <v/>
      </c>
      <c r="B56" s="33">
        <f>'建筑建议逐级'!B56</f>
        <v/>
      </c>
      <c r="C56" s="33">
        <f>'建筑建议逐级'!C56</f>
        <v/>
      </c>
      <c r="D56" s="43">
        <f>'建筑建议逐级'!D56</f>
        <v/>
      </c>
      <c r="E56" s="36">
        <f>'建筑建议逐级'!E56</f>
        <v/>
      </c>
      <c r="F56" s="51">
        <f>IF(OR('建筑建议逐级'!I56&gt;0,'建筑建议逐级'!R56&gt;0,'建筑建议逐级'!S56&gt;0),"预算型曲线","旧指数公式")</f>
        <v/>
      </c>
      <c r="G56" s="50">
        <f>'建筑建议逐级'!H56</f>
        <v/>
      </c>
      <c r="H56" s="36">
        <f>'建筑建议逐级'!M56</f>
        <v/>
      </c>
      <c r="I56" s="35">
        <f>H56/3600</f>
        <v/>
      </c>
      <c r="J56" s="35">
        <f>H56/'参数与公式'!$B$21</f>
        <v/>
      </c>
      <c r="K56" s="35">
        <f>SUMIFS($J$5:$J$328,$A$5:$A$328,A56,$D$5:$D$328,"&lt;="&amp;D56)</f>
        <v/>
      </c>
      <c r="L56" s="50">
        <f>'建筑建议逐级'!Q56</f>
        <v/>
      </c>
      <c r="M56" s="36">
        <f>'建筑建议逐级'!X56</f>
        <v/>
      </c>
      <c r="N56" s="36">
        <f>SUMIFS($M$5:$M$328,$A$5:$A$328,A56,$D$5:$D$328,"&lt;="&amp;D56)</f>
        <v/>
      </c>
      <c r="O56" s="36">
        <f>'建筑建议逐级'!Y56</f>
        <v/>
      </c>
      <c r="P56" s="36">
        <f>SUMIFS($O$5:$O$328,$A$5:$A$328,A56,$D$5:$D$328,"&lt;="&amp;D56)</f>
        <v/>
      </c>
      <c r="Q56" s="51">
        <f>IF(F56="预算型曲线","总预算归一化","沿用旧指数公式")</f>
        <v/>
      </c>
      <c r="R56" s="51">
        <f>IF(F56="预算型曲线","与当前建议公式一致","需单独复核")</f>
        <v/>
      </c>
    </row>
    <row r="57" ht="22" customHeight="1">
      <c r="A57" s="33">
        <f>'建筑建议逐级'!A57</f>
        <v/>
      </c>
      <c r="B57" s="33">
        <f>'建筑建议逐级'!B57</f>
        <v/>
      </c>
      <c r="C57" s="33">
        <f>'建筑建议逐级'!C57</f>
        <v/>
      </c>
      <c r="D57" s="43">
        <f>'建筑建议逐级'!D57</f>
        <v/>
      </c>
      <c r="E57" s="36">
        <f>'建筑建议逐级'!E57</f>
        <v/>
      </c>
      <c r="F57" s="51">
        <f>IF(OR('建筑建议逐级'!I57&gt;0,'建筑建议逐级'!R57&gt;0,'建筑建议逐级'!S57&gt;0),"预算型曲线","旧指数公式")</f>
        <v/>
      </c>
      <c r="G57" s="50">
        <f>'建筑建议逐级'!H57</f>
        <v/>
      </c>
      <c r="H57" s="36">
        <f>'建筑建议逐级'!M57</f>
        <v/>
      </c>
      <c r="I57" s="35">
        <f>H57/3600</f>
        <v/>
      </c>
      <c r="J57" s="35">
        <f>H57/'参数与公式'!$B$21</f>
        <v/>
      </c>
      <c r="K57" s="35">
        <f>SUMIFS($J$5:$J$328,$A$5:$A$328,A57,$D$5:$D$328,"&lt;="&amp;D57)</f>
        <v/>
      </c>
      <c r="L57" s="50">
        <f>'建筑建议逐级'!Q57</f>
        <v/>
      </c>
      <c r="M57" s="36">
        <f>'建筑建议逐级'!X57</f>
        <v/>
      </c>
      <c r="N57" s="36">
        <f>SUMIFS($M$5:$M$328,$A$5:$A$328,A57,$D$5:$D$328,"&lt;="&amp;D57)</f>
        <v/>
      </c>
      <c r="O57" s="36">
        <f>'建筑建议逐级'!Y57</f>
        <v/>
      </c>
      <c r="P57" s="36">
        <f>SUMIFS($O$5:$O$328,$A$5:$A$328,A57,$D$5:$D$328,"&lt;="&amp;D57)</f>
        <v/>
      </c>
      <c r="Q57" s="51">
        <f>IF(F57="预算型曲线","总预算归一化","沿用旧指数公式")</f>
        <v/>
      </c>
      <c r="R57" s="51">
        <f>IF(F57="预算型曲线","与当前建议公式一致","需单独复核")</f>
        <v/>
      </c>
    </row>
    <row r="58" ht="22" customHeight="1">
      <c r="A58" s="33">
        <f>'建筑建议逐级'!A58</f>
        <v/>
      </c>
      <c r="B58" s="33">
        <f>'建筑建议逐级'!B58</f>
        <v/>
      </c>
      <c r="C58" s="33">
        <f>'建筑建议逐级'!C58</f>
        <v/>
      </c>
      <c r="D58" s="43">
        <f>'建筑建议逐级'!D58</f>
        <v/>
      </c>
      <c r="E58" s="36">
        <f>'建筑建议逐级'!E58</f>
        <v/>
      </c>
      <c r="F58" s="51">
        <f>IF(OR('建筑建议逐级'!I58&gt;0,'建筑建议逐级'!R58&gt;0,'建筑建议逐级'!S58&gt;0),"预算型曲线","旧指数公式")</f>
        <v/>
      </c>
      <c r="G58" s="50">
        <f>'建筑建议逐级'!H58</f>
        <v/>
      </c>
      <c r="H58" s="36">
        <f>'建筑建议逐级'!M58</f>
        <v/>
      </c>
      <c r="I58" s="35">
        <f>H58/3600</f>
        <v/>
      </c>
      <c r="J58" s="35">
        <f>H58/'参数与公式'!$B$21</f>
        <v/>
      </c>
      <c r="K58" s="35">
        <f>SUMIFS($J$5:$J$328,$A$5:$A$328,A58,$D$5:$D$328,"&lt;="&amp;D58)</f>
        <v/>
      </c>
      <c r="L58" s="50">
        <f>'建筑建议逐级'!Q58</f>
        <v/>
      </c>
      <c r="M58" s="36">
        <f>'建筑建议逐级'!X58</f>
        <v/>
      </c>
      <c r="N58" s="36">
        <f>SUMIFS($M$5:$M$328,$A$5:$A$328,A58,$D$5:$D$328,"&lt;="&amp;D58)</f>
        <v/>
      </c>
      <c r="O58" s="36">
        <f>'建筑建议逐级'!Y58</f>
        <v/>
      </c>
      <c r="P58" s="36">
        <f>SUMIFS($O$5:$O$328,$A$5:$A$328,A58,$D$5:$D$328,"&lt;="&amp;D58)</f>
        <v/>
      </c>
      <c r="Q58" s="51">
        <f>IF(F58="预算型曲线","总预算归一化","沿用旧指数公式")</f>
        <v/>
      </c>
      <c r="R58" s="51">
        <f>IF(F58="预算型曲线","与当前建议公式一致","需单独复核")</f>
        <v/>
      </c>
    </row>
    <row r="59" ht="22" customHeight="1">
      <c r="A59" s="33">
        <f>'建筑建议逐级'!A59</f>
        <v/>
      </c>
      <c r="B59" s="33">
        <f>'建筑建议逐级'!B59</f>
        <v/>
      </c>
      <c r="C59" s="33">
        <f>'建筑建议逐级'!C59</f>
        <v/>
      </c>
      <c r="D59" s="43">
        <f>'建筑建议逐级'!D59</f>
        <v/>
      </c>
      <c r="E59" s="36">
        <f>'建筑建议逐级'!E59</f>
        <v/>
      </c>
      <c r="F59" s="51">
        <f>IF(OR('建筑建议逐级'!I59&gt;0,'建筑建议逐级'!R59&gt;0,'建筑建议逐级'!S59&gt;0),"预算型曲线","旧指数公式")</f>
        <v/>
      </c>
      <c r="G59" s="50">
        <f>'建筑建议逐级'!H59</f>
        <v/>
      </c>
      <c r="H59" s="36">
        <f>'建筑建议逐级'!M59</f>
        <v/>
      </c>
      <c r="I59" s="35">
        <f>H59/3600</f>
        <v/>
      </c>
      <c r="J59" s="35">
        <f>H59/'参数与公式'!$B$21</f>
        <v/>
      </c>
      <c r="K59" s="35">
        <f>SUMIFS($J$5:$J$328,$A$5:$A$328,A59,$D$5:$D$328,"&lt;="&amp;D59)</f>
        <v/>
      </c>
      <c r="L59" s="50">
        <f>'建筑建议逐级'!Q59</f>
        <v/>
      </c>
      <c r="M59" s="36">
        <f>'建筑建议逐级'!X59</f>
        <v/>
      </c>
      <c r="N59" s="36">
        <f>SUMIFS($M$5:$M$328,$A$5:$A$328,A59,$D$5:$D$328,"&lt;="&amp;D59)</f>
        <v/>
      </c>
      <c r="O59" s="36">
        <f>'建筑建议逐级'!Y59</f>
        <v/>
      </c>
      <c r="P59" s="36">
        <f>SUMIFS($O$5:$O$328,$A$5:$A$328,A59,$D$5:$D$328,"&lt;="&amp;D59)</f>
        <v/>
      </c>
      <c r="Q59" s="51">
        <f>IF(F59="预算型曲线","总预算归一化","沿用旧指数公式")</f>
        <v/>
      </c>
      <c r="R59" s="51">
        <f>IF(F59="预算型曲线","与当前建议公式一致","需单独复核")</f>
        <v/>
      </c>
    </row>
    <row r="60" ht="22" customHeight="1">
      <c r="A60" s="33">
        <f>'建筑建议逐级'!A60</f>
        <v/>
      </c>
      <c r="B60" s="33">
        <f>'建筑建议逐级'!B60</f>
        <v/>
      </c>
      <c r="C60" s="33">
        <f>'建筑建议逐级'!C60</f>
        <v/>
      </c>
      <c r="D60" s="43">
        <f>'建筑建议逐级'!D60</f>
        <v/>
      </c>
      <c r="E60" s="36">
        <f>'建筑建议逐级'!E60</f>
        <v/>
      </c>
      <c r="F60" s="51">
        <f>IF(OR('建筑建议逐级'!I60&gt;0,'建筑建议逐级'!R60&gt;0,'建筑建议逐级'!S60&gt;0),"预算型曲线","旧指数公式")</f>
        <v/>
      </c>
      <c r="G60" s="50">
        <f>'建筑建议逐级'!H60</f>
        <v/>
      </c>
      <c r="H60" s="36">
        <f>'建筑建议逐级'!M60</f>
        <v/>
      </c>
      <c r="I60" s="35">
        <f>H60/3600</f>
        <v/>
      </c>
      <c r="J60" s="35">
        <f>H60/'参数与公式'!$B$21</f>
        <v/>
      </c>
      <c r="K60" s="35">
        <f>SUMIFS($J$5:$J$328,$A$5:$A$328,A60,$D$5:$D$328,"&lt;="&amp;D60)</f>
        <v/>
      </c>
      <c r="L60" s="50">
        <f>'建筑建议逐级'!Q60</f>
        <v/>
      </c>
      <c r="M60" s="36">
        <f>'建筑建议逐级'!X60</f>
        <v/>
      </c>
      <c r="N60" s="36">
        <f>SUMIFS($M$5:$M$328,$A$5:$A$328,A60,$D$5:$D$328,"&lt;="&amp;D60)</f>
        <v/>
      </c>
      <c r="O60" s="36">
        <f>'建筑建议逐级'!Y60</f>
        <v/>
      </c>
      <c r="P60" s="36">
        <f>SUMIFS($O$5:$O$328,$A$5:$A$328,A60,$D$5:$D$328,"&lt;="&amp;D60)</f>
        <v/>
      </c>
      <c r="Q60" s="51">
        <f>IF(F60="预算型曲线","总预算归一化","沿用旧指数公式")</f>
        <v/>
      </c>
      <c r="R60" s="51">
        <f>IF(F60="预算型曲线","与当前建议公式一致","需单独复核")</f>
        <v/>
      </c>
    </row>
    <row r="61" ht="22" customHeight="1">
      <c r="A61" s="33">
        <f>'建筑建议逐级'!A61</f>
        <v/>
      </c>
      <c r="B61" s="33">
        <f>'建筑建议逐级'!B61</f>
        <v/>
      </c>
      <c r="C61" s="33">
        <f>'建筑建议逐级'!C61</f>
        <v/>
      </c>
      <c r="D61" s="43">
        <f>'建筑建议逐级'!D61</f>
        <v/>
      </c>
      <c r="E61" s="36">
        <f>'建筑建议逐级'!E61</f>
        <v/>
      </c>
      <c r="F61" s="51">
        <f>IF(OR('建筑建议逐级'!I61&gt;0,'建筑建议逐级'!R61&gt;0,'建筑建议逐级'!S61&gt;0),"预算型曲线","旧指数公式")</f>
        <v/>
      </c>
      <c r="G61" s="50">
        <f>'建筑建议逐级'!H61</f>
        <v/>
      </c>
      <c r="H61" s="36">
        <f>'建筑建议逐级'!M61</f>
        <v/>
      </c>
      <c r="I61" s="35">
        <f>H61/3600</f>
        <v/>
      </c>
      <c r="J61" s="35">
        <f>H61/'参数与公式'!$B$21</f>
        <v/>
      </c>
      <c r="K61" s="35">
        <f>SUMIFS($J$5:$J$328,$A$5:$A$328,A61,$D$5:$D$328,"&lt;="&amp;D61)</f>
        <v/>
      </c>
      <c r="L61" s="50">
        <f>'建筑建议逐级'!Q61</f>
        <v/>
      </c>
      <c r="M61" s="36">
        <f>'建筑建议逐级'!X61</f>
        <v/>
      </c>
      <c r="N61" s="36">
        <f>SUMIFS($M$5:$M$328,$A$5:$A$328,A61,$D$5:$D$328,"&lt;="&amp;D61)</f>
        <v/>
      </c>
      <c r="O61" s="36">
        <f>'建筑建议逐级'!Y61</f>
        <v/>
      </c>
      <c r="P61" s="36">
        <f>SUMIFS($O$5:$O$328,$A$5:$A$328,A61,$D$5:$D$328,"&lt;="&amp;D61)</f>
        <v/>
      </c>
      <c r="Q61" s="51">
        <f>IF(F61="预算型曲线","总预算归一化","沿用旧指数公式")</f>
        <v/>
      </c>
      <c r="R61" s="51">
        <f>IF(F61="预算型曲线","与当前建议公式一致","需单独复核")</f>
        <v/>
      </c>
    </row>
    <row r="62" ht="22" customHeight="1">
      <c r="A62" s="33">
        <f>'建筑建议逐级'!A62</f>
        <v/>
      </c>
      <c r="B62" s="33">
        <f>'建筑建议逐级'!B62</f>
        <v/>
      </c>
      <c r="C62" s="33">
        <f>'建筑建议逐级'!C62</f>
        <v/>
      </c>
      <c r="D62" s="43">
        <f>'建筑建议逐级'!D62</f>
        <v/>
      </c>
      <c r="E62" s="36">
        <f>'建筑建议逐级'!E62</f>
        <v/>
      </c>
      <c r="F62" s="51">
        <f>IF(OR('建筑建议逐级'!I62&gt;0,'建筑建议逐级'!R62&gt;0,'建筑建议逐级'!S62&gt;0),"预算型曲线","旧指数公式")</f>
        <v/>
      </c>
      <c r="G62" s="50">
        <f>'建筑建议逐级'!H62</f>
        <v/>
      </c>
      <c r="H62" s="36">
        <f>'建筑建议逐级'!M62</f>
        <v/>
      </c>
      <c r="I62" s="35">
        <f>H62/3600</f>
        <v/>
      </c>
      <c r="J62" s="35">
        <f>H62/'参数与公式'!$B$21</f>
        <v/>
      </c>
      <c r="K62" s="35">
        <f>SUMIFS($J$5:$J$328,$A$5:$A$328,A62,$D$5:$D$328,"&lt;="&amp;D62)</f>
        <v/>
      </c>
      <c r="L62" s="50">
        <f>'建筑建议逐级'!Q62</f>
        <v/>
      </c>
      <c r="M62" s="36">
        <f>'建筑建议逐级'!X62</f>
        <v/>
      </c>
      <c r="N62" s="36">
        <f>SUMIFS($M$5:$M$328,$A$5:$A$328,A62,$D$5:$D$328,"&lt;="&amp;D62)</f>
        <v/>
      </c>
      <c r="O62" s="36">
        <f>'建筑建议逐级'!Y62</f>
        <v/>
      </c>
      <c r="P62" s="36">
        <f>SUMIFS($O$5:$O$328,$A$5:$A$328,A62,$D$5:$D$328,"&lt;="&amp;D62)</f>
        <v/>
      </c>
      <c r="Q62" s="51">
        <f>IF(F62="预算型曲线","总预算归一化","沿用旧指数公式")</f>
        <v/>
      </c>
      <c r="R62" s="51">
        <f>IF(F62="预算型曲线","与当前建议公式一致","需单独复核")</f>
        <v/>
      </c>
    </row>
    <row r="63" ht="22" customHeight="1">
      <c r="A63" s="33">
        <f>'建筑建议逐级'!A63</f>
        <v/>
      </c>
      <c r="B63" s="33">
        <f>'建筑建议逐级'!B63</f>
        <v/>
      </c>
      <c r="C63" s="33">
        <f>'建筑建议逐级'!C63</f>
        <v/>
      </c>
      <c r="D63" s="43">
        <f>'建筑建议逐级'!D63</f>
        <v/>
      </c>
      <c r="E63" s="36">
        <f>'建筑建议逐级'!E63</f>
        <v/>
      </c>
      <c r="F63" s="51">
        <f>IF(OR('建筑建议逐级'!I63&gt;0,'建筑建议逐级'!R63&gt;0,'建筑建议逐级'!S63&gt;0),"预算型曲线","旧指数公式")</f>
        <v/>
      </c>
      <c r="G63" s="50">
        <f>'建筑建议逐级'!H63</f>
        <v/>
      </c>
      <c r="H63" s="36">
        <f>'建筑建议逐级'!M63</f>
        <v/>
      </c>
      <c r="I63" s="35">
        <f>H63/3600</f>
        <v/>
      </c>
      <c r="J63" s="35">
        <f>H63/'参数与公式'!$B$21</f>
        <v/>
      </c>
      <c r="K63" s="35">
        <f>SUMIFS($J$5:$J$328,$A$5:$A$328,A63,$D$5:$D$328,"&lt;="&amp;D63)</f>
        <v/>
      </c>
      <c r="L63" s="50">
        <f>'建筑建议逐级'!Q63</f>
        <v/>
      </c>
      <c r="M63" s="36">
        <f>'建筑建议逐级'!X63</f>
        <v/>
      </c>
      <c r="N63" s="36">
        <f>SUMIFS($M$5:$M$328,$A$5:$A$328,A63,$D$5:$D$328,"&lt;="&amp;D63)</f>
        <v/>
      </c>
      <c r="O63" s="36">
        <f>'建筑建议逐级'!Y63</f>
        <v/>
      </c>
      <c r="P63" s="36">
        <f>SUMIFS($O$5:$O$328,$A$5:$A$328,A63,$D$5:$D$328,"&lt;="&amp;D63)</f>
        <v/>
      </c>
      <c r="Q63" s="51">
        <f>IF(F63="预算型曲线","总预算归一化","沿用旧指数公式")</f>
        <v/>
      </c>
      <c r="R63" s="51">
        <f>IF(F63="预算型曲线","与当前建议公式一致","需单独复核")</f>
        <v/>
      </c>
    </row>
    <row r="64" ht="22" customHeight="1">
      <c r="A64" s="33">
        <f>'建筑建议逐级'!A64</f>
        <v/>
      </c>
      <c r="B64" s="33">
        <f>'建筑建议逐级'!B64</f>
        <v/>
      </c>
      <c r="C64" s="33">
        <f>'建筑建议逐级'!C64</f>
        <v/>
      </c>
      <c r="D64" s="43">
        <f>'建筑建议逐级'!D64</f>
        <v/>
      </c>
      <c r="E64" s="36">
        <f>'建筑建议逐级'!E64</f>
        <v/>
      </c>
      <c r="F64" s="51">
        <f>IF(OR('建筑建议逐级'!I64&gt;0,'建筑建议逐级'!R64&gt;0,'建筑建议逐级'!S64&gt;0),"预算型曲线","旧指数公式")</f>
        <v/>
      </c>
      <c r="G64" s="50">
        <f>'建筑建议逐级'!H64</f>
        <v/>
      </c>
      <c r="H64" s="36">
        <f>'建筑建议逐级'!M64</f>
        <v/>
      </c>
      <c r="I64" s="35">
        <f>H64/3600</f>
        <v/>
      </c>
      <c r="J64" s="35">
        <f>H64/'参数与公式'!$B$21</f>
        <v/>
      </c>
      <c r="K64" s="35">
        <f>SUMIFS($J$5:$J$328,$A$5:$A$328,A64,$D$5:$D$328,"&lt;="&amp;D64)</f>
        <v/>
      </c>
      <c r="L64" s="50">
        <f>'建筑建议逐级'!Q64</f>
        <v/>
      </c>
      <c r="M64" s="36">
        <f>'建筑建议逐级'!X64</f>
        <v/>
      </c>
      <c r="N64" s="36">
        <f>SUMIFS($M$5:$M$328,$A$5:$A$328,A64,$D$5:$D$328,"&lt;="&amp;D64)</f>
        <v/>
      </c>
      <c r="O64" s="36">
        <f>'建筑建议逐级'!Y64</f>
        <v/>
      </c>
      <c r="P64" s="36">
        <f>SUMIFS($O$5:$O$328,$A$5:$A$328,A64,$D$5:$D$328,"&lt;="&amp;D64)</f>
        <v/>
      </c>
      <c r="Q64" s="51">
        <f>IF(F64="预算型曲线","总预算归一化","沿用旧指数公式")</f>
        <v/>
      </c>
      <c r="R64" s="51">
        <f>IF(F64="预算型曲线","与当前建议公式一致","需单独复核")</f>
        <v/>
      </c>
    </row>
    <row r="65" ht="22" customHeight="1">
      <c r="A65" s="33">
        <f>'建筑建议逐级'!A65</f>
        <v/>
      </c>
      <c r="B65" s="33">
        <f>'建筑建议逐级'!B65</f>
        <v/>
      </c>
      <c r="C65" s="33">
        <f>'建筑建议逐级'!C65</f>
        <v/>
      </c>
      <c r="D65" s="43">
        <f>'建筑建议逐级'!D65</f>
        <v/>
      </c>
      <c r="E65" s="36">
        <f>'建筑建议逐级'!E65</f>
        <v/>
      </c>
      <c r="F65" s="51">
        <f>IF(OR('建筑建议逐级'!I65&gt;0,'建筑建议逐级'!R65&gt;0,'建筑建议逐级'!S65&gt;0),"预算型曲线","旧指数公式")</f>
        <v/>
      </c>
      <c r="G65" s="50">
        <f>'建筑建议逐级'!H65</f>
        <v/>
      </c>
      <c r="H65" s="36">
        <f>'建筑建议逐级'!M65</f>
        <v/>
      </c>
      <c r="I65" s="35">
        <f>H65/3600</f>
        <v/>
      </c>
      <c r="J65" s="35">
        <f>H65/'参数与公式'!$B$21</f>
        <v/>
      </c>
      <c r="K65" s="35">
        <f>SUMIFS($J$5:$J$328,$A$5:$A$328,A65,$D$5:$D$328,"&lt;="&amp;D65)</f>
        <v/>
      </c>
      <c r="L65" s="50">
        <f>'建筑建议逐级'!Q65</f>
        <v/>
      </c>
      <c r="M65" s="36">
        <f>'建筑建议逐级'!X65</f>
        <v/>
      </c>
      <c r="N65" s="36">
        <f>SUMIFS($M$5:$M$328,$A$5:$A$328,A65,$D$5:$D$328,"&lt;="&amp;D65)</f>
        <v/>
      </c>
      <c r="O65" s="36">
        <f>'建筑建议逐级'!Y65</f>
        <v/>
      </c>
      <c r="P65" s="36">
        <f>SUMIFS($O$5:$O$328,$A$5:$A$328,A65,$D$5:$D$328,"&lt;="&amp;D65)</f>
        <v/>
      </c>
      <c r="Q65" s="51">
        <f>IF(F65="预算型曲线","总预算归一化","沿用旧指数公式")</f>
        <v/>
      </c>
      <c r="R65" s="51">
        <f>IF(F65="预算型曲线","与当前建议公式一致","需单独复核")</f>
        <v/>
      </c>
    </row>
    <row r="66" ht="22" customHeight="1">
      <c r="A66" s="33">
        <f>'建筑建议逐级'!A66</f>
        <v/>
      </c>
      <c r="B66" s="33">
        <f>'建筑建议逐级'!B66</f>
        <v/>
      </c>
      <c r="C66" s="33">
        <f>'建筑建议逐级'!C66</f>
        <v/>
      </c>
      <c r="D66" s="43">
        <f>'建筑建议逐级'!D66</f>
        <v/>
      </c>
      <c r="E66" s="36">
        <f>'建筑建议逐级'!E66</f>
        <v/>
      </c>
      <c r="F66" s="51">
        <f>IF(OR('建筑建议逐级'!I66&gt;0,'建筑建议逐级'!R66&gt;0,'建筑建议逐级'!S66&gt;0),"预算型曲线","旧指数公式")</f>
        <v/>
      </c>
      <c r="G66" s="50">
        <f>'建筑建议逐级'!H66</f>
        <v/>
      </c>
      <c r="H66" s="36">
        <f>'建筑建议逐级'!M66</f>
        <v/>
      </c>
      <c r="I66" s="35">
        <f>H66/3600</f>
        <v/>
      </c>
      <c r="J66" s="35">
        <f>H66/'参数与公式'!$B$21</f>
        <v/>
      </c>
      <c r="K66" s="35">
        <f>SUMIFS($J$5:$J$328,$A$5:$A$328,A66,$D$5:$D$328,"&lt;="&amp;D66)</f>
        <v/>
      </c>
      <c r="L66" s="50">
        <f>'建筑建议逐级'!Q66</f>
        <v/>
      </c>
      <c r="M66" s="36">
        <f>'建筑建议逐级'!X66</f>
        <v/>
      </c>
      <c r="N66" s="36">
        <f>SUMIFS($M$5:$M$328,$A$5:$A$328,A66,$D$5:$D$328,"&lt;="&amp;D66)</f>
        <v/>
      </c>
      <c r="O66" s="36">
        <f>'建筑建议逐级'!Y66</f>
        <v/>
      </c>
      <c r="P66" s="36">
        <f>SUMIFS($O$5:$O$328,$A$5:$A$328,A66,$D$5:$D$328,"&lt;="&amp;D66)</f>
        <v/>
      </c>
      <c r="Q66" s="51">
        <f>IF(F66="预算型曲线","总预算归一化","沿用旧指数公式")</f>
        <v/>
      </c>
      <c r="R66" s="51">
        <f>IF(F66="预算型曲线","与当前建议公式一致","需单独复核")</f>
        <v/>
      </c>
    </row>
    <row r="67" ht="22" customHeight="1">
      <c r="A67" s="33">
        <f>'建筑建议逐级'!A67</f>
        <v/>
      </c>
      <c r="B67" s="33">
        <f>'建筑建议逐级'!B67</f>
        <v/>
      </c>
      <c r="C67" s="33">
        <f>'建筑建议逐级'!C67</f>
        <v/>
      </c>
      <c r="D67" s="43">
        <f>'建筑建议逐级'!D67</f>
        <v/>
      </c>
      <c r="E67" s="36">
        <f>'建筑建议逐级'!E67</f>
        <v/>
      </c>
      <c r="F67" s="51">
        <f>IF(OR('建筑建议逐级'!I67&gt;0,'建筑建议逐级'!R67&gt;0,'建筑建议逐级'!S67&gt;0),"预算型曲线","旧指数公式")</f>
        <v/>
      </c>
      <c r="G67" s="50">
        <f>'建筑建议逐级'!H67</f>
        <v/>
      </c>
      <c r="H67" s="36">
        <f>'建筑建议逐级'!M67</f>
        <v/>
      </c>
      <c r="I67" s="35">
        <f>H67/3600</f>
        <v/>
      </c>
      <c r="J67" s="35">
        <f>H67/'参数与公式'!$B$21</f>
        <v/>
      </c>
      <c r="K67" s="35">
        <f>SUMIFS($J$5:$J$328,$A$5:$A$328,A67,$D$5:$D$328,"&lt;="&amp;D67)</f>
        <v/>
      </c>
      <c r="L67" s="50">
        <f>'建筑建议逐级'!Q67</f>
        <v/>
      </c>
      <c r="M67" s="36">
        <f>'建筑建议逐级'!X67</f>
        <v/>
      </c>
      <c r="N67" s="36">
        <f>SUMIFS($M$5:$M$328,$A$5:$A$328,A67,$D$5:$D$328,"&lt;="&amp;D67)</f>
        <v/>
      </c>
      <c r="O67" s="36">
        <f>'建筑建议逐级'!Y67</f>
        <v/>
      </c>
      <c r="P67" s="36">
        <f>SUMIFS($O$5:$O$328,$A$5:$A$328,A67,$D$5:$D$328,"&lt;="&amp;D67)</f>
        <v/>
      </c>
      <c r="Q67" s="51">
        <f>IF(F67="预算型曲线","总预算归一化","沿用旧指数公式")</f>
        <v/>
      </c>
      <c r="R67" s="51">
        <f>IF(F67="预算型曲线","与当前建议公式一致","需单独复核")</f>
        <v/>
      </c>
    </row>
    <row r="68" ht="22" customHeight="1">
      <c r="A68" s="33">
        <f>'建筑建议逐级'!A68</f>
        <v/>
      </c>
      <c r="B68" s="33">
        <f>'建筑建议逐级'!B68</f>
        <v/>
      </c>
      <c r="C68" s="33">
        <f>'建筑建议逐级'!C68</f>
        <v/>
      </c>
      <c r="D68" s="43">
        <f>'建筑建议逐级'!D68</f>
        <v/>
      </c>
      <c r="E68" s="36">
        <f>'建筑建议逐级'!E68</f>
        <v/>
      </c>
      <c r="F68" s="51">
        <f>IF(OR('建筑建议逐级'!I68&gt;0,'建筑建议逐级'!R68&gt;0,'建筑建议逐级'!S68&gt;0),"预算型曲线","旧指数公式")</f>
        <v/>
      </c>
      <c r="G68" s="50">
        <f>'建筑建议逐级'!H68</f>
        <v/>
      </c>
      <c r="H68" s="36">
        <f>'建筑建议逐级'!M68</f>
        <v/>
      </c>
      <c r="I68" s="35">
        <f>H68/3600</f>
        <v/>
      </c>
      <c r="J68" s="35">
        <f>H68/'参数与公式'!$B$21</f>
        <v/>
      </c>
      <c r="K68" s="35">
        <f>SUMIFS($J$5:$J$328,$A$5:$A$328,A68,$D$5:$D$328,"&lt;="&amp;D68)</f>
        <v/>
      </c>
      <c r="L68" s="50">
        <f>'建筑建议逐级'!Q68</f>
        <v/>
      </c>
      <c r="M68" s="36">
        <f>'建筑建议逐级'!X68</f>
        <v/>
      </c>
      <c r="N68" s="36">
        <f>SUMIFS($M$5:$M$328,$A$5:$A$328,A68,$D$5:$D$328,"&lt;="&amp;D68)</f>
        <v/>
      </c>
      <c r="O68" s="36">
        <f>'建筑建议逐级'!Y68</f>
        <v/>
      </c>
      <c r="P68" s="36">
        <f>SUMIFS($O$5:$O$328,$A$5:$A$328,A68,$D$5:$D$328,"&lt;="&amp;D68)</f>
        <v/>
      </c>
      <c r="Q68" s="51">
        <f>IF(F68="预算型曲线","总预算归一化","沿用旧指数公式")</f>
        <v/>
      </c>
      <c r="R68" s="51">
        <f>IF(F68="预算型曲线","与当前建议公式一致","需单独复核")</f>
        <v/>
      </c>
    </row>
    <row r="69" ht="22" customHeight="1">
      <c r="A69" s="33">
        <f>'建筑建议逐级'!A69</f>
        <v/>
      </c>
      <c r="B69" s="33">
        <f>'建筑建议逐级'!B69</f>
        <v/>
      </c>
      <c r="C69" s="33">
        <f>'建筑建议逐级'!C69</f>
        <v/>
      </c>
      <c r="D69" s="43">
        <f>'建筑建议逐级'!D69</f>
        <v/>
      </c>
      <c r="E69" s="36">
        <f>'建筑建议逐级'!E69</f>
        <v/>
      </c>
      <c r="F69" s="51">
        <f>IF(OR('建筑建议逐级'!I69&gt;0,'建筑建议逐级'!R69&gt;0,'建筑建议逐级'!S69&gt;0),"预算型曲线","旧指数公式")</f>
        <v/>
      </c>
      <c r="G69" s="50">
        <f>'建筑建议逐级'!H69</f>
        <v/>
      </c>
      <c r="H69" s="36">
        <f>'建筑建议逐级'!M69</f>
        <v/>
      </c>
      <c r="I69" s="35">
        <f>H69/3600</f>
        <v/>
      </c>
      <c r="J69" s="35">
        <f>H69/'参数与公式'!$B$21</f>
        <v/>
      </c>
      <c r="K69" s="35">
        <f>SUMIFS($J$5:$J$328,$A$5:$A$328,A69,$D$5:$D$328,"&lt;="&amp;D69)</f>
        <v/>
      </c>
      <c r="L69" s="50">
        <f>'建筑建议逐级'!Q69</f>
        <v/>
      </c>
      <c r="M69" s="36">
        <f>'建筑建议逐级'!X69</f>
        <v/>
      </c>
      <c r="N69" s="36">
        <f>SUMIFS($M$5:$M$328,$A$5:$A$328,A69,$D$5:$D$328,"&lt;="&amp;D69)</f>
        <v/>
      </c>
      <c r="O69" s="36">
        <f>'建筑建议逐级'!Y69</f>
        <v/>
      </c>
      <c r="P69" s="36">
        <f>SUMIFS($O$5:$O$328,$A$5:$A$328,A69,$D$5:$D$328,"&lt;="&amp;D69)</f>
        <v/>
      </c>
      <c r="Q69" s="51">
        <f>IF(F69="预算型曲线","总预算归一化","沿用旧指数公式")</f>
        <v/>
      </c>
      <c r="R69" s="51">
        <f>IF(F69="预算型曲线","与当前建议公式一致","需单独复核")</f>
        <v/>
      </c>
    </row>
    <row r="70" ht="22" customHeight="1">
      <c r="A70" s="33">
        <f>'建筑建议逐级'!A70</f>
        <v/>
      </c>
      <c r="B70" s="33">
        <f>'建筑建议逐级'!B70</f>
        <v/>
      </c>
      <c r="C70" s="33">
        <f>'建筑建议逐级'!C70</f>
        <v/>
      </c>
      <c r="D70" s="43">
        <f>'建筑建议逐级'!D70</f>
        <v/>
      </c>
      <c r="E70" s="36">
        <f>'建筑建议逐级'!E70</f>
        <v/>
      </c>
      <c r="F70" s="51">
        <f>IF(OR('建筑建议逐级'!I70&gt;0,'建筑建议逐级'!R70&gt;0,'建筑建议逐级'!S70&gt;0),"预算型曲线","旧指数公式")</f>
        <v/>
      </c>
      <c r="G70" s="50">
        <f>'建筑建议逐级'!H70</f>
        <v/>
      </c>
      <c r="H70" s="36">
        <f>'建筑建议逐级'!M70</f>
        <v/>
      </c>
      <c r="I70" s="35">
        <f>H70/3600</f>
        <v/>
      </c>
      <c r="J70" s="35">
        <f>H70/'参数与公式'!$B$21</f>
        <v/>
      </c>
      <c r="K70" s="35">
        <f>SUMIFS($J$5:$J$328,$A$5:$A$328,A70,$D$5:$D$328,"&lt;="&amp;D70)</f>
        <v/>
      </c>
      <c r="L70" s="50">
        <f>'建筑建议逐级'!Q70</f>
        <v/>
      </c>
      <c r="M70" s="36">
        <f>'建筑建议逐级'!X70</f>
        <v/>
      </c>
      <c r="N70" s="36">
        <f>SUMIFS($M$5:$M$328,$A$5:$A$328,A70,$D$5:$D$328,"&lt;="&amp;D70)</f>
        <v/>
      </c>
      <c r="O70" s="36">
        <f>'建筑建议逐级'!Y70</f>
        <v/>
      </c>
      <c r="P70" s="36">
        <f>SUMIFS($O$5:$O$328,$A$5:$A$328,A70,$D$5:$D$328,"&lt;="&amp;D70)</f>
        <v/>
      </c>
      <c r="Q70" s="51">
        <f>IF(F70="预算型曲线","总预算归一化","沿用旧指数公式")</f>
        <v/>
      </c>
      <c r="R70" s="51">
        <f>IF(F70="预算型曲线","与当前建议公式一致","需单独复核")</f>
        <v/>
      </c>
    </row>
    <row r="71" ht="22" customHeight="1">
      <c r="A71" s="33">
        <f>'建筑建议逐级'!A71</f>
        <v/>
      </c>
      <c r="B71" s="33">
        <f>'建筑建议逐级'!B71</f>
        <v/>
      </c>
      <c r="C71" s="33">
        <f>'建筑建议逐级'!C71</f>
        <v/>
      </c>
      <c r="D71" s="43">
        <f>'建筑建议逐级'!D71</f>
        <v/>
      </c>
      <c r="E71" s="36">
        <f>'建筑建议逐级'!E71</f>
        <v/>
      </c>
      <c r="F71" s="51">
        <f>IF(OR('建筑建议逐级'!I71&gt;0,'建筑建议逐级'!R71&gt;0,'建筑建议逐级'!S71&gt;0),"预算型曲线","旧指数公式")</f>
        <v/>
      </c>
      <c r="G71" s="50">
        <f>'建筑建议逐级'!H71</f>
        <v/>
      </c>
      <c r="H71" s="36">
        <f>'建筑建议逐级'!M71</f>
        <v/>
      </c>
      <c r="I71" s="35">
        <f>H71/3600</f>
        <v/>
      </c>
      <c r="J71" s="35">
        <f>H71/'参数与公式'!$B$21</f>
        <v/>
      </c>
      <c r="K71" s="35">
        <f>SUMIFS($J$5:$J$328,$A$5:$A$328,A71,$D$5:$D$328,"&lt;="&amp;D71)</f>
        <v/>
      </c>
      <c r="L71" s="50">
        <f>'建筑建议逐级'!Q71</f>
        <v/>
      </c>
      <c r="M71" s="36">
        <f>'建筑建议逐级'!X71</f>
        <v/>
      </c>
      <c r="N71" s="36">
        <f>SUMIFS($M$5:$M$328,$A$5:$A$328,A71,$D$5:$D$328,"&lt;="&amp;D71)</f>
        <v/>
      </c>
      <c r="O71" s="36">
        <f>'建筑建议逐级'!Y71</f>
        <v/>
      </c>
      <c r="P71" s="36">
        <f>SUMIFS($O$5:$O$328,$A$5:$A$328,A71,$D$5:$D$328,"&lt;="&amp;D71)</f>
        <v/>
      </c>
      <c r="Q71" s="51">
        <f>IF(F71="预算型曲线","总预算归一化","沿用旧指数公式")</f>
        <v/>
      </c>
      <c r="R71" s="51">
        <f>IF(F71="预算型曲线","与当前建议公式一致","需单独复核")</f>
        <v/>
      </c>
    </row>
    <row r="72" ht="22" customHeight="1">
      <c r="A72" s="33">
        <f>'建筑建议逐级'!A72</f>
        <v/>
      </c>
      <c r="B72" s="33">
        <f>'建筑建议逐级'!B72</f>
        <v/>
      </c>
      <c r="C72" s="33">
        <f>'建筑建议逐级'!C72</f>
        <v/>
      </c>
      <c r="D72" s="43">
        <f>'建筑建议逐级'!D72</f>
        <v/>
      </c>
      <c r="E72" s="36">
        <f>'建筑建议逐级'!E72</f>
        <v/>
      </c>
      <c r="F72" s="51">
        <f>IF(OR('建筑建议逐级'!I72&gt;0,'建筑建议逐级'!R72&gt;0,'建筑建议逐级'!S72&gt;0),"预算型曲线","旧指数公式")</f>
        <v/>
      </c>
      <c r="G72" s="50">
        <f>'建筑建议逐级'!H72</f>
        <v/>
      </c>
      <c r="H72" s="36">
        <f>'建筑建议逐级'!M72</f>
        <v/>
      </c>
      <c r="I72" s="35">
        <f>H72/3600</f>
        <v/>
      </c>
      <c r="J72" s="35">
        <f>H72/'参数与公式'!$B$21</f>
        <v/>
      </c>
      <c r="K72" s="35">
        <f>SUMIFS($J$5:$J$328,$A$5:$A$328,A72,$D$5:$D$328,"&lt;="&amp;D72)</f>
        <v/>
      </c>
      <c r="L72" s="50">
        <f>'建筑建议逐级'!Q72</f>
        <v/>
      </c>
      <c r="M72" s="36">
        <f>'建筑建议逐级'!X72</f>
        <v/>
      </c>
      <c r="N72" s="36">
        <f>SUMIFS($M$5:$M$328,$A$5:$A$328,A72,$D$5:$D$328,"&lt;="&amp;D72)</f>
        <v/>
      </c>
      <c r="O72" s="36">
        <f>'建筑建议逐级'!Y72</f>
        <v/>
      </c>
      <c r="P72" s="36">
        <f>SUMIFS($O$5:$O$328,$A$5:$A$328,A72,$D$5:$D$328,"&lt;="&amp;D72)</f>
        <v/>
      </c>
      <c r="Q72" s="51">
        <f>IF(F72="预算型曲线","总预算归一化","沿用旧指数公式")</f>
        <v/>
      </c>
      <c r="R72" s="51">
        <f>IF(F72="预算型曲线","与当前建议公式一致","需单独复核")</f>
        <v/>
      </c>
    </row>
    <row r="73" ht="22" customHeight="1">
      <c r="A73" s="33">
        <f>'建筑建议逐级'!A73</f>
        <v/>
      </c>
      <c r="B73" s="33">
        <f>'建筑建议逐级'!B73</f>
        <v/>
      </c>
      <c r="C73" s="33">
        <f>'建筑建议逐级'!C73</f>
        <v/>
      </c>
      <c r="D73" s="43">
        <f>'建筑建议逐级'!D73</f>
        <v/>
      </c>
      <c r="E73" s="36">
        <f>'建筑建议逐级'!E73</f>
        <v/>
      </c>
      <c r="F73" s="51">
        <f>IF(OR('建筑建议逐级'!I73&gt;0,'建筑建议逐级'!R73&gt;0,'建筑建议逐级'!S73&gt;0),"预算型曲线","旧指数公式")</f>
        <v/>
      </c>
      <c r="G73" s="50">
        <f>'建筑建议逐级'!H73</f>
        <v/>
      </c>
      <c r="H73" s="36">
        <f>'建筑建议逐级'!M73</f>
        <v/>
      </c>
      <c r="I73" s="35">
        <f>H73/3600</f>
        <v/>
      </c>
      <c r="J73" s="35">
        <f>H73/'参数与公式'!$B$21</f>
        <v/>
      </c>
      <c r="K73" s="35">
        <f>SUMIFS($J$5:$J$328,$A$5:$A$328,A73,$D$5:$D$328,"&lt;="&amp;D73)</f>
        <v/>
      </c>
      <c r="L73" s="50">
        <f>'建筑建议逐级'!Q73</f>
        <v/>
      </c>
      <c r="M73" s="36">
        <f>'建筑建议逐级'!X73</f>
        <v/>
      </c>
      <c r="N73" s="36">
        <f>SUMIFS($M$5:$M$328,$A$5:$A$328,A73,$D$5:$D$328,"&lt;="&amp;D73)</f>
        <v/>
      </c>
      <c r="O73" s="36">
        <f>'建筑建议逐级'!Y73</f>
        <v/>
      </c>
      <c r="P73" s="36">
        <f>SUMIFS($O$5:$O$328,$A$5:$A$328,A73,$D$5:$D$328,"&lt;="&amp;D73)</f>
        <v/>
      </c>
      <c r="Q73" s="51">
        <f>IF(F73="预算型曲线","总预算归一化","沿用旧指数公式")</f>
        <v/>
      </c>
      <c r="R73" s="51">
        <f>IF(F73="预算型曲线","与当前建议公式一致","需单独复核")</f>
        <v/>
      </c>
    </row>
    <row r="74" ht="22" customHeight="1">
      <c r="A74" s="33">
        <f>'建筑建议逐级'!A74</f>
        <v/>
      </c>
      <c r="B74" s="33">
        <f>'建筑建议逐级'!B74</f>
        <v/>
      </c>
      <c r="C74" s="33">
        <f>'建筑建议逐级'!C74</f>
        <v/>
      </c>
      <c r="D74" s="43">
        <f>'建筑建议逐级'!D74</f>
        <v/>
      </c>
      <c r="E74" s="36">
        <f>'建筑建议逐级'!E74</f>
        <v/>
      </c>
      <c r="F74" s="51">
        <f>IF(OR('建筑建议逐级'!I74&gt;0,'建筑建议逐级'!R74&gt;0,'建筑建议逐级'!S74&gt;0),"预算型曲线","旧指数公式")</f>
        <v/>
      </c>
      <c r="G74" s="50">
        <f>'建筑建议逐级'!H74</f>
        <v/>
      </c>
      <c r="H74" s="36">
        <f>'建筑建议逐级'!M74</f>
        <v/>
      </c>
      <c r="I74" s="35">
        <f>H74/3600</f>
        <v/>
      </c>
      <c r="J74" s="35">
        <f>H74/'参数与公式'!$B$21</f>
        <v/>
      </c>
      <c r="K74" s="35">
        <f>SUMIFS($J$5:$J$328,$A$5:$A$328,A74,$D$5:$D$328,"&lt;="&amp;D74)</f>
        <v/>
      </c>
      <c r="L74" s="50">
        <f>'建筑建议逐级'!Q74</f>
        <v/>
      </c>
      <c r="M74" s="36">
        <f>'建筑建议逐级'!X74</f>
        <v/>
      </c>
      <c r="N74" s="36">
        <f>SUMIFS($M$5:$M$328,$A$5:$A$328,A74,$D$5:$D$328,"&lt;="&amp;D74)</f>
        <v/>
      </c>
      <c r="O74" s="36">
        <f>'建筑建议逐级'!Y74</f>
        <v/>
      </c>
      <c r="P74" s="36">
        <f>SUMIFS($O$5:$O$328,$A$5:$A$328,A74,$D$5:$D$328,"&lt;="&amp;D74)</f>
        <v/>
      </c>
      <c r="Q74" s="51">
        <f>IF(F74="预算型曲线","总预算归一化","沿用旧指数公式")</f>
        <v/>
      </c>
      <c r="R74" s="51">
        <f>IF(F74="预算型曲线","与当前建议公式一致","需单独复核")</f>
        <v/>
      </c>
    </row>
    <row r="75" ht="22" customHeight="1">
      <c r="A75" s="33">
        <f>'建筑建议逐级'!A75</f>
        <v/>
      </c>
      <c r="B75" s="33">
        <f>'建筑建议逐级'!B75</f>
        <v/>
      </c>
      <c r="C75" s="33">
        <f>'建筑建议逐级'!C75</f>
        <v/>
      </c>
      <c r="D75" s="43">
        <f>'建筑建议逐级'!D75</f>
        <v/>
      </c>
      <c r="E75" s="36">
        <f>'建筑建议逐级'!E75</f>
        <v/>
      </c>
      <c r="F75" s="51">
        <f>IF(OR('建筑建议逐级'!I75&gt;0,'建筑建议逐级'!R75&gt;0,'建筑建议逐级'!S75&gt;0),"预算型曲线","旧指数公式")</f>
        <v/>
      </c>
      <c r="G75" s="50">
        <f>'建筑建议逐级'!H75</f>
        <v/>
      </c>
      <c r="H75" s="36">
        <f>'建筑建议逐级'!M75</f>
        <v/>
      </c>
      <c r="I75" s="35">
        <f>H75/3600</f>
        <v/>
      </c>
      <c r="J75" s="35">
        <f>H75/'参数与公式'!$B$21</f>
        <v/>
      </c>
      <c r="K75" s="35">
        <f>SUMIFS($J$5:$J$328,$A$5:$A$328,A75,$D$5:$D$328,"&lt;="&amp;D75)</f>
        <v/>
      </c>
      <c r="L75" s="50">
        <f>'建筑建议逐级'!Q75</f>
        <v/>
      </c>
      <c r="M75" s="36">
        <f>'建筑建议逐级'!X75</f>
        <v/>
      </c>
      <c r="N75" s="36">
        <f>SUMIFS($M$5:$M$328,$A$5:$A$328,A75,$D$5:$D$328,"&lt;="&amp;D75)</f>
        <v/>
      </c>
      <c r="O75" s="36">
        <f>'建筑建议逐级'!Y75</f>
        <v/>
      </c>
      <c r="P75" s="36">
        <f>SUMIFS($O$5:$O$328,$A$5:$A$328,A75,$D$5:$D$328,"&lt;="&amp;D75)</f>
        <v/>
      </c>
      <c r="Q75" s="51">
        <f>IF(F75="预算型曲线","总预算归一化","沿用旧指数公式")</f>
        <v/>
      </c>
      <c r="R75" s="51">
        <f>IF(F75="预算型曲线","与当前建议公式一致","需单独复核")</f>
        <v/>
      </c>
    </row>
    <row r="76" ht="22" customHeight="1">
      <c r="A76" s="33">
        <f>'建筑建议逐级'!A76</f>
        <v/>
      </c>
      <c r="B76" s="33">
        <f>'建筑建议逐级'!B76</f>
        <v/>
      </c>
      <c r="C76" s="33">
        <f>'建筑建议逐级'!C76</f>
        <v/>
      </c>
      <c r="D76" s="43">
        <f>'建筑建议逐级'!D76</f>
        <v/>
      </c>
      <c r="E76" s="36">
        <f>'建筑建议逐级'!E76</f>
        <v/>
      </c>
      <c r="F76" s="51">
        <f>IF(OR('建筑建议逐级'!I76&gt;0,'建筑建议逐级'!R76&gt;0,'建筑建议逐级'!S76&gt;0),"预算型曲线","旧指数公式")</f>
        <v/>
      </c>
      <c r="G76" s="50">
        <f>'建筑建议逐级'!H76</f>
        <v/>
      </c>
      <c r="H76" s="36">
        <f>'建筑建议逐级'!M76</f>
        <v/>
      </c>
      <c r="I76" s="35">
        <f>H76/3600</f>
        <v/>
      </c>
      <c r="J76" s="35">
        <f>H76/'参数与公式'!$B$21</f>
        <v/>
      </c>
      <c r="K76" s="35">
        <f>SUMIFS($J$5:$J$328,$A$5:$A$328,A76,$D$5:$D$328,"&lt;="&amp;D76)</f>
        <v/>
      </c>
      <c r="L76" s="50">
        <f>'建筑建议逐级'!Q76</f>
        <v/>
      </c>
      <c r="M76" s="36">
        <f>'建筑建议逐级'!X76</f>
        <v/>
      </c>
      <c r="N76" s="36">
        <f>SUMIFS($M$5:$M$328,$A$5:$A$328,A76,$D$5:$D$328,"&lt;="&amp;D76)</f>
        <v/>
      </c>
      <c r="O76" s="36">
        <f>'建筑建议逐级'!Y76</f>
        <v/>
      </c>
      <c r="P76" s="36">
        <f>SUMIFS($O$5:$O$328,$A$5:$A$328,A76,$D$5:$D$328,"&lt;="&amp;D76)</f>
        <v/>
      </c>
      <c r="Q76" s="51">
        <f>IF(F76="预算型曲线","总预算归一化","沿用旧指数公式")</f>
        <v/>
      </c>
      <c r="R76" s="51">
        <f>IF(F76="预算型曲线","与当前建议公式一致","需单独复核")</f>
        <v/>
      </c>
    </row>
    <row r="77" ht="22" customHeight="1">
      <c r="A77" s="33">
        <f>'建筑建议逐级'!A77</f>
        <v/>
      </c>
      <c r="B77" s="33">
        <f>'建筑建议逐级'!B77</f>
        <v/>
      </c>
      <c r="C77" s="33">
        <f>'建筑建议逐级'!C77</f>
        <v/>
      </c>
      <c r="D77" s="43">
        <f>'建筑建议逐级'!D77</f>
        <v/>
      </c>
      <c r="E77" s="36">
        <f>'建筑建议逐级'!E77</f>
        <v/>
      </c>
      <c r="F77" s="51">
        <f>IF(OR('建筑建议逐级'!I77&gt;0,'建筑建议逐级'!R77&gt;0,'建筑建议逐级'!S77&gt;0),"预算型曲线","旧指数公式")</f>
        <v/>
      </c>
      <c r="G77" s="50">
        <f>'建筑建议逐级'!H77</f>
        <v/>
      </c>
      <c r="H77" s="36">
        <f>'建筑建议逐级'!M77</f>
        <v/>
      </c>
      <c r="I77" s="35">
        <f>H77/3600</f>
        <v/>
      </c>
      <c r="J77" s="35">
        <f>H77/'参数与公式'!$B$21</f>
        <v/>
      </c>
      <c r="K77" s="35">
        <f>SUMIFS($J$5:$J$328,$A$5:$A$328,A77,$D$5:$D$328,"&lt;="&amp;D77)</f>
        <v/>
      </c>
      <c r="L77" s="50">
        <f>'建筑建议逐级'!Q77</f>
        <v/>
      </c>
      <c r="M77" s="36">
        <f>'建筑建议逐级'!X77</f>
        <v/>
      </c>
      <c r="N77" s="36">
        <f>SUMIFS($M$5:$M$328,$A$5:$A$328,A77,$D$5:$D$328,"&lt;="&amp;D77)</f>
        <v/>
      </c>
      <c r="O77" s="36">
        <f>'建筑建议逐级'!Y77</f>
        <v/>
      </c>
      <c r="P77" s="36">
        <f>SUMIFS($O$5:$O$328,$A$5:$A$328,A77,$D$5:$D$328,"&lt;="&amp;D77)</f>
        <v/>
      </c>
      <c r="Q77" s="51">
        <f>IF(F77="预算型曲线","总预算归一化","沿用旧指数公式")</f>
        <v/>
      </c>
      <c r="R77" s="51">
        <f>IF(F77="预算型曲线","与当前建议公式一致","需单独复核")</f>
        <v/>
      </c>
    </row>
    <row r="78" ht="22" customHeight="1">
      <c r="A78" s="33">
        <f>'建筑建议逐级'!A78</f>
        <v/>
      </c>
      <c r="B78" s="33">
        <f>'建筑建议逐级'!B78</f>
        <v/>
      </c>
      <c r="C78" s="33">
        <f>'建筑建议逐级'!C78</f>
        <v/>
      </c>
      <c r="D78" s="43">
        <f>'建筑建议逐级'!D78</f>
        <v/>
      </c>
      <c r="E78" s="36">
        <f>'建筑建议逐级'!E78</f>
        <v/>
      </c>
      <c r="F78" s="51">
        <f>IF(OR('建筑建议逐级'!I78&gt;0,'建筑建议逐级'!R78&gt;0,'建筑建议逐级'!S78&gt;0),"预算型曲线","旧指数公式")</f>
        <v/>
      </c>
      <c r="G78" s="50">
        <f>'建筑建议逐级'!H78</f>
        <v/>
      </c>
      <c r="H78" s="36">
        <f>'建筑建议逐级'!M78</f>
        <v/>
      </c>
      <c r="I78" s="35">
        <f>H78/3600</f>
        <v/>
      </c>
      <c r="J78" s="35">
        <f>H78/'参数与公式'!$B$21</f>
        <v/>
      </c>
      <c r="K78" s="35">
        <f>SUMIFS($J$5:$J$328,$A$5:$A$328,A78,$D$5:$D$328,"&lt;="&amp;D78)</f>
        <v/>
      </c>
      <c r="L78" s="50">
        <f>'建筑建议逐级'!Q78</f>
        <v/>
      </c>
      <c r="M78" s="36">
        <f>'建筑建议逐级'!X78</f>
        <v/>
      </c>
      <c r="N78" s="36">
        <f>SUMIFS($M$5:$M$328,$A$5:$A$328,A78,$D$5:$D$328,"&lt;="&amp;D78)</f>
        <v/>
      </c>
      <c r="O78" s="36">
        <f>'建筑建议逐级'!Y78</f>
        <v/>
      </c>
      <c r="P78" s="36">
        <f>SUMIFS($O$5:$O$328,$A$5:$A$328,A78,$D$5:$D$328,"&lt;="&amp;D78)</f>
        <v/>
      </c>
      <c r="Q78" s="51">
        <f>IF(F78="预算型曲线","总预算归一化","沿用旧指数公式")</f>
        <v/>
      </c>
      <c r="R78" s="51">
        <f>IF(F78="预算型曲线","与当前建议公式一致","需单独复核")</f>
        <v/>
      </c>
    </row>
    <row r="79" ht="22" customHeight="1">
      <c r="A79" s="33">
        <f>'建筑建议逐级'!A79</f>
        <v/>
      </c>
      <c r="B79" s="33">
        <f>'建筑建议逐级'!B79</f>
        <v/>
      </c>
      <c r="C79" s="33">
        <f>'建筑建议逐级'!C79</f>
        <v/>
      </c>
      <c r="D79" s="43">
        <f>'建筑建议逐级'!D79</f>
        <v/>
      </c>
      <c r="E79" s="36">
        <f>'建筑建议逐级'!E79</f>
        <v/>
      </c>
      <c r="F79" s="51">
        <f>IF(OR('建筑建议逐级'!I79&gt;0,'建筑建议逐级'!R79&gt;0,'建筑建议逐级'!S79&gt;0),"预算型曲线","旧指数公式")</f>
        <v/>
      </c>
      <c r="G79" s="50">
        <f>'建筑建议逐级'!H79</f>
        <v/>
      </c>
      <c r="H79" s="36">
        <f>'建筑建议逐级'!M79</f>
        <v/>
      </c>
      <c r="I79" s="35">
        <f>H79/3600</f>
        <v/>
      </c>
      <c r="J79" s="35">
        <f>H79/'参数与公式'!$B$21</f>
        <v/>
      </c>
      <c r="K79" s="35">
        <f>SUMIFS($J$5:$J$328,$A$5:$A$328,A79,$D$5:$D$328,"&lt;="&amp;D79)</f>
        <v/>
      </c>
      <c r="L79" s="50">
        <f>'建筑建议逐级'!Q79</f>
        <v/>
      </c>
      <c r="M79" s="36">
        <f>'建筑建议逐级'!X79</f>
        <v/>
      </c>
      <c r="N79" s="36">
        <f>SUMIFS($M$5:$M$328,$A$5:$A$328,A79,$D$5:$D$328,"&lt;="&amp;D79)</f>
        <v/>
      </c>
      <c r="O79" s="36">
        <f>'建筑建议逐级'!Y79</f>
        <v/>
      </c>
      <c r="P79" s="36">
        <f>SUMIFS($O$5:$O$328,$A$5:$A$328,A79,$D$5:$D$328,"&lt;="&amp;D79)</f>
        <v/>
      </c>
      <c r="Q79" s="51">
        <f>IF(F79="预算型曲线","总预算归一化","沿用旧指数公式")</f>
        <v/>
      </c>
      <c r="R79" s="51">
        <f>IF(F79="预算型曲线","与当前建议公式一致","需单独复核")</f>
        <v/>
      </c>
    </row>
    <row r="80" ht="22" customHeight="1">
      <c r="A80" s="33">
        <f>'建筑建议逐级'!A80</f>
        <v/>
      </c>
      <c r="B80" s="33">
        <f>'建筑建议逐级'!B80</f>
        <v/>
      </c>
      <c r="C80" s="33">
        <f>'建筑建议逐级'!C80</f>
        <v/>
      </c>
      <c r="D80" s="43">
        <f>'建筑建议逐级'!D80</f>
        <v/>
      </c>
      <c r="E80" s="36">
        <f>'建筑建议逐级'!E80</f>
        <v/>
      </c>
      <c r="F80" s="51">
        <f>IF(OR('建筑建议逐级'!I80&gt;0,'建筑建议逐级'!R80&gt;0,'建筑建议逐级'!S80&gt;0),"预算型曲线","旧指数公式")</f>
        <v/>
      </c>
      <c r="G80" s="50">
        <f>'建筑建议逐级'!H80</f>
        <v/>
      </c>
      <c r="H80" s="36">
        <f>'建筑建议逐级'!M80</f>
        <v/>
      </c>
      <c r="I80" s="35">
        <f>H80/3600</f>
        <v/>
      </c>
      <c r="J80" s="35">
        <f>H80/'参数与公式'!$B$21</f>
        <v/>
      </c>
      <c r="K80" s="35">
        <f>SUMIFS($J$5:$J$328,$A$5:$A$328,A80,$D$5:$D$328,"&lt;="&amp;D80)</f>
        <v/>
      </c>
      <c r="L80" s="50">
        <f>'建筑建议逐级'!Q80</f>
        <v/>
      </c>
      <c r="M80" s="36">
        <f>'建筑建议逐级'!X80</f>
        <v/>
      </c>
      <c r="N80" s="36">
        <f>SUMIFS($M$5:$M$328,$A$5:$A$328,A80,$D$5:$D$328,"&lt;="&amp;D80)</f>
        <v/>
      </c>
      <c r="O80" s="36">
        <f>'建筑建议逐级'!Y80</f>
        <v/>
      </c>
      <c r="P80" s="36">
        <f>SUMIFS($O$5:$O$328,$A$5:$A$328,A80,$D$5:$D$328,"&lt;="&amp;D80)</f>
        <v/>
      </c>
      <c r="Q80" s="51">
        <f>IF(F80="预算型曲线","总预算归一化","沿用旧指数公式")</f>
        <v/>
      </c>
      <c r="R80" s="51">
        <f>IF(F80="预算型曲线","与当前建议公式一致","需单独复核")</f>
        <v/>
      </c>
    </row>
    <row r="81" ht="22" customHeight="1">
      <c r="A81" s="33">
        <f>'建筑建议逐级'!A81</f>
        <v/>
      </c>
      <c r="B81" s="33">
        <f>'建筑建议逐级'!B81</f>
        <v/>
      </c>
      <c r="C81" s="33">
        <f>'建筑建议逐级'!C81</f>
        <v/>
      </c>
      <c r="D81" s="43">
        <f>'建筑建议逐级'!D81</f>
        <v/>
      </c>
      <c r="E81" s="36">
        <f>'建筑建议逐级'!E81</f>
        <v/>
      </c>
      <c r="F81" s="51">
        <f>IF(OR('建筑建议逐级'!I81&gt;0,'建筑建议逐级'!R81&gt;0,'建筑建议逐级'!S81&gt;0),"预算型曲线","旧指数公式")</f>
        <v/>
      </c>
      <c r="G81" s="50">
        <f>'建筑建议逐级'!H81</f>
        <v/>
      </c>
      <c r="H81" s="36">
        <f>'建筑建议逐级'!M81</f>
        <v/>
      </c>
      <c r="I81" s="35">
        <f>H81/3600</f>
        <v/>
      </c>
      <c r="J81" s="35">
        <f>H81/'参数与公式'!$B$21</f>
        <v/>
      </c>
      <c r="K81" s="35">
        <f>SUMIFS($J$5:$J$328,$A$5:$A$328,A81,$D$5:$D$328,"&lt;="&amp;D81)</f>
        <v/>
      </c>
      <c r="L81" s="50">
        <f>'建筑建议逐级'!Q81</f>
        <v/>
      </c>
      <c r="M81" s="36">
        <f>'建筑建议逐级'!X81</f>
        <v/>
      </c>
      <c r="N81" s="36">
        <f>SUMIFS($M$5:$M$328,$A$5:$A$328,A81,$D$5:$D$328,"&lt;="&amp;D81)</f>
        <v/>
      </c>
      <c r="O81" s="36">
        <f>'建筑建议逐级'!Y81</f>
        <v/>
      </c>
      <c r="P81" s="36">
        <f>SUMIFS($O$5:$O$328,$A$5:$A$328,A81,$D$5:$D$328,"&lt;="&amp;D81)</f>
        <v/>
      </c>
      <c r="Q81" s="51">
        <f>IF(F81="预算型曲线","总预算归一化","沿用旧指数公式")</f>
        <v/>
      </c>
      <c r="R81" s="51">
        <f>IF(F81="预算型曲线","与当前建议公式一致","需单独复核")</f>
        <v/>
      </c>
    </row>
    <row r="82" ht="22" customHeight="1">
      <c r="A82" s="33">
        <f>'建筑建议逐级'!A82</f>
        <v/>
      </c>
      <c r="B82" s="33">
        <f>'建筑建议逐级'!B82</f>
        <v/>
      </c>
      <c r="C82" s="33">
        <f>'建筑建议逐级'!C82</f>
        <v/>
      </c>
      <c r="D82" s="43">
        <f>'建筑建议逐级'!D82</f>
        <v/>
      </c>
      <c r="E82" s="36">
        <f>'建筑建议逐级'!E82</f>
        <v/>
      </c>
      <c r="F82" s="51">
        <f>IF(OR('建筑建议逐级'!I82&gt;0,'建筑建议逐级'!R82&gt;0,'建筑建议逐级'!S82&gt;0),"预算型曲线","旧指数公式")</f>
        <v/>
      </c>
      <c r="G82" s="50">
        <f>'建筑建议逐级'!H82</f>
        <v/>
      </c>
      <c r="H82" s="36">
        <f>'建筑建议逐级'!M82</f>
        <v/>
      </c>
      <c r="I82" s="35">
        <f>H82/3600</f>
        <v/>
      </c>
      <c r="J82" s="35">
        <f>H82/'参数与公式'!$B$21</f>
        <v/>
      </c>
      <c r="K82" s="35">
        <f>SUMIFS($J$5:$J$328,$A$5:$A$328,A82,$D$5:$D$328,"&lt;="&amp;D82)</f>
        <v/>
      </c>
      <c r="L82" s="50">
        <f>'建筑建议逐级'!Q82</f>
        <v/>
      </c>
      <c r="M82" s="36">
        <f>'建筑建议逐级'!X82</f>
        <v/>
      </c>
      <c r="N82" s="36">
        <f>SUMIFS($M$5:$M$328,$A$5:$A$328,A82,$D$5:$D$328,"&lt;="&amp;D82)</f>
        <v/>
      </c>
      <c r="O82" s="36">
        <f>'建筑建议逐级'!Y82</f>
        <v/>
      </c>
      <c r="P82" s="36">
        <f>SUMIFS($O$5:$O$328,$A$5:$A$328,A82,$D$5:$D$328,"&lt;="&amp;D82)</f>
        <v/>
      </c>
      <c r="Q82" s="51">
        <f>IF(F82="预算型曲线","总预算归一化","沿用旧指数公式")</f>
        <v/>
      </c>
      <c r="R82" s="51">
        <f>IF(F82="预算型曲线","与当前建议公式一致","需单独复核")</f>
        <v/>
      </c>
    </row>
    <row r="83" ht="22" customHeight="1">
      <c r="A83" s="33">
        <f>'建筑建议逐级'!A83</f>
        <v/>
      </c>
      <c r="B83" s="33">
        <f>'建筑建议逐级'!B83</f>
        <v/>
      </c>
      <c r="C83" s="33">
        <f>'建筑建议逐级'!C83</f>
        <v/>
      </c>
      <c r="D83" s="43">
        <f>'建筑建议逐级'!D83</f>
        <v/>
      </c>
      <c r="E83" s="36">
        <f>'建筑建议逐级'!E83</f>
        <v/>
      </c>
      <c r="F83" s="51">
        <f>IF(OR('建筑建议逐级'!I83&gt;0,'建筑建议逐级'!R83&gt;0,'建筑建议逐级'!S83&gt;0),"预算型曲线","旧指数公式")</f>
        <v/>
      </c>
      <c r="G83" s="50">
        <f>'建筑建议逐级'!H83</f>
        <v/>
      </c>
      <c r="H83" s="36">
        <f>'建筑建议逐级'!M83</f>
        <v/>
      </c>
      <c r="I83" s="35">
        <f>H83/3600</f>
        <v/>
      </c>
      <c r="J83" s="35">
        <f>H83/'参数与公式'!$B$21</f>
        <v/>
      </c>
      <c r="K83" s="35">
        <f>SUMIFS($J$5:$J$328,$A$5:$A$328,A83,$D$5:$D$328,"&lt;="&amp;D83)</f>
        <v/>
      </c>
      <c r="L83" s="50">
        <f>'建筑建议逐级'!Q83</f>
        <v/>
      </c>
      <c r="M83" s="36">
        <f>'建筑建议逐级'!X83</f>
        <v/>
      </c>
      <c r="N83" s="36">
        <f>SUMIFS($M$5:$M$328,$A$5:$A$328,A83,$D$5:$D$328,"&lt;="&amp;D83)</f>
        <v/>
      </c>
      <c r="O83" s="36">
        <f>'建筑建议逐级'!Y83</f>
        <v/>
      </c>
      <c r="P83" s="36">
        <f>SUMIFS($O$5:$O$328,$A$5:$A$328,A83,$D$5:$D$328,"&lt;="&amp;D83)</f>
        <v/>
      </c>
      <c r="Q83" s="51">
        <f>IF(F83="预算型曲线","总预算归一化","沿用旧指数公式")</f>
        <v/>
      </c>
      <c r="R83" s="51">
        <f>IF(F83="预算型曲线","与当前建议公式一致","需单独复核")</f>
        <v/>
      </c>
    </row>
    <row r="84" ht="22" customHeight="1">
      <c r="A84" s="33">
        <f>'建筑建议逐级'!A84</f>
        <v/>
      </c>
      <c r="B84" s="33">
        <f>'建筑建议逐级'!B84</f>
        <v/>
      </c>
      <c r="C84" s="33">
        <f>'建筑建议逐级'!C84</f>
        <v/>
      </c>
      <c r="D84" s="43">
        <f>'建筑建议逐级'!D84</f>
        <v/>
      </c>
      <c r="E84" s="36">
        <f>'建筑建议逐级'!E84</f>
        <v/>
      </c>
      <c r="F84" s="51">
        <f>IF(OR('建筑建议逐级'!I84&gt;0,'建筑建议逐级'!R84&gt;0,'建筑建议逐级'!S84&gt;0),"预算型曲线","旧指数公式")</f>
        <v/>
      </c>
      <c r="G84" s="50">
        <f>'建筑建议逐级'!H84</f>
        <v/>
      </c>
      <c r="H84" s="36">
        <f>'建筑建议逐级'!M84</f>
        <v/>
      </c>
      <c r="I84" s="35">
        <f>H84/3600</f>
        <v/>
      </c>
      <c r="J84" s="35">
        <f>H84/'参数与公式'!$B$21</f>
        <v/>
      </c>
      <c r="K84" s="35">
        <f>SUMIFS($J$5:$J$328,$A$5:$A$328,A84,$D$5:$D$328,"&lt;="&amp;D84)</f>
        <v/>
      </c>
      <c r="L84" s="50">
        <f>'建筑建议逐级'!Q84</f>
        <v/>
      </c>
      <c r="M84" s="36">
        <f>'建筑建议逐级'!X84</f>
        <v/>
      </c>
      <c r="N84" s="36">
        <f>SUMIFS($M$5:$M$328,$A$5:$A$328,A84,$D$5:$D$328,"&lt;="&amp;D84)</f>
        <v/>
      </c>
      <c r="O84" s="36">
        <f>'建筑建议逐级'!Y84</f>
        <v/>
      </c>
      <c r="P84" s="36">
        <f>SUMIFS($O$5:$O$328,$A$5:$A$328,A84,$D$5:$D$328,"&lt;="&amp;D84)</f>
        <v/>
      </c>
      <c r="Q84" s="51">
        <f>IF(F84="预算型曲线","总预算归一化","沿用旧指数公式")</f>
        <v/>
      </c>
      <c r="R84" s="51">
        <f>IF(F84="预算型曲线","与当前建议公式一致","需单独复核")</f>
        <v/>
      </c>
    </row>
    <row r="85" ht="22" customHeight="1">
      <c r="A85" s="33">
        <f>'建筑建议逐级'!A85</f>
        <v/>
      </c>
      <c r="B85" s="33">
        <f>'建筑建议逐级'!B85</f>
        <v/>
      </c>
      <c r="C85" s="33">
        <f>'建筑建议逐级'!C85</f>
        <v/>
      </c>
      <c r="D85" s="43">
        <f>'建筑建议逐级'!D85</f>
        <v/>
      </c>
      <c r="E85" s="36">
        <f>'建筑建议逐级'!E85</f>
        <v/>
      </c>
      <c r="F85" s="51">
        <f>IF(OR('建筑建议逐级'!I85&gt;0,'建筑建议逐级'!R85&gt;0,'建筑建议逐级'!S85&gt;0),"预算型曲线","旧指数公式")</f>
        <v/>
      </c>
      <c r="G85" s="50">
        <f>'建筑建议逐级'!H85</f>
        <v/>
      </c>
      <c r="H85" s="36">
        <f>'建筑建议逐级'!M85</f>
        <v/>
      </c>
      <c r="I85" s="35">
        <f>H85/3600</f>
        <v/>
      </c>
      <c r="J85" s="35">
        <f>H85/'参数与公式'!$B$21</f>
        <v/>
      </c>
      <c r="K85" s="35">
        <f>SUMIFS($J$5:$J$328,$A$5:$A$328,A85,$D$5:$D$328,"&lt;="&amp;D85)</f>
        <v/>
      </c>
      <c r="L85" s="50">
        <f>'建筑建议逐级'!Q85</f>
        <v/>
      </c>
      <c r="M85" s="36">
        <f>'建筑建议逐级'!X85</f>
        <v/>
      </c>
      <c r="N85" s="36">
        <f>SUMIFS($M$5:$M$328,$A$5:$A$328,A85,$D$5:$D$328,"&lt;="&amp;D85)</f>
        <v/>
      </c>
      <c r="O85" s="36">
        <f>'建筑建议逐级'!Y85</f>
        <v/>
      </c>
      <c r="P85" s="36">
        <f>SUMIFS($O$5:$O$328,$A$5:$A$328,A85,$D$5:$D$328,"&lt;="&amp;D85)</f>
        <v/>
      </c>
      <c r="Q85" s="51">
        <f>IF(F85="预算型曲线","总预算归一化","沿用旧指数公式")</f>
        <v/>
      </c>
      <c r="R85" s="51">
        <f>IF(F85="预算型曲线","与当前建议公式一致","需单独复核")</f>
        <v/>
      </c>
    </row>
    <row r="86" ht="22" customHeight="1">
      <c r="A86" s="33">
        <f>'建筑建议逐级'!A86</f>
        <v/>
      </c>
      <c r="B86" s="33">
        <f>'建筑建议逐级'!B86</f>
        <v/>
      </c>
      <c r="C86" s="33">
        <f>'建筑建议逐级'!C86</f>
        <v/>
      </c>
      <c r="D86" s="43">
        <f>'建筑建议逐级'!D86</f>
        <v/>
      </c>
      <c r="E86" s="36">
        <f>'建筑建议逐级'!E86</f>
        <v/>
      </c>
      <c r="F86" s="51">
        <f>IF(OR('建筑建议逐级'!I86&gt;0,'建筑建议逐级'!R86&gt;0,'建筑建议逐级'!S86&gt;0),"预算型曲线","旧指数公式")</f>
        <v/>
      </c>
      <c r="G86" s="50">
        <f>'建筑建议逐级'!H86</f>
        <v/>
      </c>
      <c r="H86" s="36">
        <f>'建筑建议逐级'!M86</f>
        <v/>
      </c>
      <c r="I86" s="35">
        <f>H86/3600</f>
        <v/>
      </c>
      <c r="J86" s="35">
        <f>H86/'参数与公式'!$B$21</f>
        <v/>
      </c>
      <c r="K86" s="35">
        <f>SUMIFS($J$5:$J$328,$A$5:$A$328,A86,$D$5:$D$328,"&lt;="&amp;D86)</f>
        <v/>
      </c>
      <c r="L86" s="50">
        <f>'建筑建议逐级'!Q86</f>
        <v/>
      </c>
      <c r="M86" s="36">
        <f>'建筑建议逐级'!X86</f>
        <v/>
      </c>
      <c r="N86" s="36">
        <f>SUMIFS($M$5:$M$328,$A$5:$A$328,A86,$D$5:$D$328,"&lt;="&amp;D86)</f>
        <v/>
      </c>
      <c r="O86" s="36">
        <f>'建筑建议逐级'!Y86</f>
        <v/>
      </c>
      <c r="P86" s="36">
        <f>SUMIFS($O$5:$O$328,$A$5:$A$328,A86,$D$5:$D$328,"&lt;="&amp;D86)</f>
        <v/>
      </c>
      <c r="Q86" s="51">
        <f>IF(F86="预算型曲线","总预算归一化","沿用旧指数公式")</f>
        <v/>
      </c>
      <c r="R86" s="51">
        <f>IF(F86="预算型曲线","与当前建议公式一致","需单独复核")</f>
        <v/>
      </c>
    </row>
    <row r="87" ht="22" customHeight="1">
      <c r="A87" s="33">
        <f>'建筑建议逐级'!A87</f>
        <v/>
      </c>
      <c r="B87" s="33">
        <f>'建筑建议逐级'!B87</f>
        <v/>
      </c>
      <c r="C87" s="33">
        <f>'建筑建议逐级'!C87</f>
        <v/>
      </c>
      <c r="D87" s="43">
        <f>'建筑建议逐级'!D87</f>
        <v/>
      </c>
      <c r="E87" s="36">
        <f>'建筑建议逐级'!E87</f>
        <v/>
      </c>
      <c r="F87" s="51">
        <f>IF(OR('建筑建议逐级'!I87&gt;0,'建筑建议逐级'!R87&gt;0,'建筑建议逐级'!S87&gt;0),"预算型曲线","旧指数公式")</f>
        <v/>
      </c>
      <c r="G87" s="50">
        <f>'建筑建议逐级'!H87</f>
        <v/>
      </c>
      <c r="H87" s="36">
        <f>'建筑建议逐级'!M87</f>
        <v/>
      </c>
      <c r="I87" s="35">
        <f>H87/3600</f>
        <v/>
      </c>
      <c r="J87" s="35">
        <f>H87/'参数与公式'!$B$21</f>
        <v/>
      </c>
      <c r="K87" s="35">
        <f>SUMIFS($J$5:$J$328,$A$5:$A$328,A87,$D$5:$D$328,"&lt;="&amp;D87)</f>
        <v/>
      </c>
      <c r="L87" s="50">
        <f>'建筑建议逐级'!Q87</f>
        <v/>
      </c>
      <c r="M87" s="36">
        <f>'建筑建议逐级'!X87</f>
        <v/>
      </c>
      <c r="N87" s="36">
        <f>SUMIFS($M$5:$M$328,$A$5:$A$328,A87,$D$5:$D$328,"&lt;="&amp;D87)</f>
        <v/>
      </c>
      <c r="O87" s="36">
        <f>'建筑建议逐级'!Y87</f>
        <v/>
      </c>
      <c r="P87" s="36">
        <f>SUMIFS($O$5:$O$328,$A$5:$A$328,A87,$D$5:$D$328,"&lt;="&amp;D87)</f>
        <v/>
      </c>
      <c r="Q87" s="51">
        <f>IF(F87="预算型曲线","总预算归一化","沿用旧指数公式")</f>
        <v/>
      </c>
      <c r="R87" s="51">
        <f>IF(F87="预算型曲线","与当前建议公式一致","需单独复核")</f>
        <v/>
      </c>
    </row>
    <row r="88" ht="22" customHeight="1">
      <c r="A88" s="33">
        <f>'建筑建议逐级'!A88</f>
        <v/>
      </c>
      <c r="B88" s="33">
        <f>'建筑建议逐级'!B88</f>
        <v/>
      </c>
      <c r="C88" s="33">
        <f>'建筑建议逐级'!C88</f>
        <v/>
      </c>
      <c r="D88" s="43">
        <f>'建筑建议逐级'!D88</f>
        <v/>
      </c>
      <c r="E88" s="36">
        <f>'建筑建议逐级'!E88</f>
        <v/>
      </c>
      <c r="F88" s="51">
        <f>IF(OR('建筑建议逐级'!I88&gt;0,'建筑建议逐级'!R88&gt;0,'建筑建议逐级'!S88&gt;0),"预算型曲线","旧指数公式")</f>
        <v/>
      </c>
      <c r="G88" s="50">
        <f>'建筑建议逐级'!H88</f>
        <v/>
      </c>
      <c r="H88" s="36">
        <f>'建筑建议逐级'!M88</f>
        <v/>
      </c>
      <c r="I88" s="35">
        <f>H88/3600</f>
        <v/>
      </c>
      <c r="J88" s="35">
        <f>H88/'参数与公式'!$B$21</f>
        <v/>
      </c>
      <c r="K88" s="35">
        <f>SUMIFS($J$5:$J$328,$A$5:$A$328,A88,$D$5:$D$328,"&lt;="&amp;D88)</f>
        <v/>
      </c>
      <c r="L88" s="50">
        <f>'建筑建议逐级'!Q88</f>
        <v/>
      </c>
      <c r="M88" s="36">
        <f>'建筑建议逐级'!X88</f>
        <v/>
      </c>
      <c r="N88" s="36">
        <f>SUMIFS($M$5:$M$328,$A$5:$A$328,A88,$D$5:$D$328,"&lt;="&amp;D88)</f>
        <v/>
      </c>
      <c r="O88" s="36">
        <f>'建筑建议逐级'!Y88</f>
        <v/>
      </c>
      <c r="P88" s="36">
        <f>SUMIFS($O$5:$O$328,$A$5:$A$328,A88,$D$5:$D$328,"&lt;="&amp;D88)</f>
        <v/>
      </c>
      <c r="Q88" s="51">
        <f>IF(F88="预算型曲线","总预算归一化","沿用旧指数公式")</f>
        <v/>
      </c>
      <c r="R88" s="51">
        <f>IF(F88="预算型曲线","与当前建议公式一致","需单独复核")</f>
        <v/>
      </c>
    </row>
    <row r="89" ht="22" customHeight="1">
      <c r="A89" s="33">
        <f>'建筑建议逐级'!A89</f>
        <v/>
      </c>
      <c r="B89" s="33">
        <f>'建筑建议逐级'!B89</f>
        <v/>
      </c>
      <c r="C89" s="33">
        <f>'建筑建议逐级'!C89</f>
        <v/>
      </c>
      <c r="D89" s="43">
        <f>'建筑建议逐级'!D89</f>
        <v/>
      </c>
      <c r="E89" s="36">
        <f>'建筑建议逐级'!E89</f>
        <v/>
      </c>
      <c r="F89" s="51">
        <f>IF(OR('建筑建议逐级'!I89&gt;0,'建筑建议逐级'!R89&gt;0,'建筑建议逐级'!S89&gt;0),"预算型曲线","旧指数公式")</f>
        <v/>
      </c>
      <c r="G89" s="50">
        <f>'建筑建议逐级'!H89</f>
        <v/>
      </c>
      <c r="H89" s="36">
        <f>'建筑建议逐级'!M89</f>
        <v/>
      </c>
      <c r="I89" s="35">
        <f>H89/3600</f>
        <v/>
      </c>
      <c r="J89" s="35">
        <f>H89/'参数与公式'!$B$21</f>
        <v/>
      </c>
      <c r="K89" s="35">
        <f>SUMIFS($J$5:$J$328,$A$5:$A$328,A89,$D$5:$D$328,"&lt;="&amp;D89)</f>
        <v/>
      </c>
      <c r="L89" s="50">
        <f>'建筑建议逐级'!Q89</f>
        <v/>
      </c>
      <c r="M89" s="36">
        <f>'建筑建议逐级'!X89</f>
        <v/>
      </c>
      <c r="N89" s="36">
        <f>SUMIFS($M$5:$M$328,$A$5:$A$328,A89,$D$5:$D$328,"&lt;="&amp;D89)</f>
        <v/>
      </c>
      <c r="O89" s="36">
        <f>'建筑建议逐级'!Y89</f>
        <v/>
      </c>
      <c r="P89" s="36">
        <f>SUMIFS($O$5:$O$328,$A$5:$A$328,A89,$D$5:$D$328,"&lt;="&amp;D89)</f>
        <v/>
      </c>
      <c r="Q89" s="51">
        <f>IF(F89="预算型曲线","总预算归一化","沿用旧指数公式")</f>
        <v/>
      </c>
      <c r="R89" s="51">
        <f>IF(F89="预算型曲线","与当前建议公式一致","需单独复核")</f>
        <v/>
      </c>
    </row>
    <row r="90" ht="22" customHeight="1">
      <c r="A90" s="33">
        <f>'建筑建议逐级'!A90</f>
        <v/>
      </c>
      <c r="B90" s="33">
        <f>'建筑建议逐级'!B90</f>
        <v/>
      </c>
      <c r="C90" s="33">
        <f>'建筑建议逐级'!C90</f>
        <v/>
      </c>
      <c r="D90" s="43">
        <f>'建筑建议逐级'!D90</f>
        <v/>
      </c>
      <c r="E90" s="36">
        <f>'建筑建议逐级'!E90</f>
        <v/>
      </c>
      <c r="F90" s="51">
        <f>IF(OR('建筑建议逐级'!I90&gt;0,'建筑建议逐级'!R90&gt;0,'建筑建议逐级'!S90&gt;0),"预算型曲线","旧指数公式")</f>
        <v/>
      </c>
      <c r="G90" s="50">
        <f>'建筑建议逐级'!H90</f>
        <v/>
      </c>
      <c r="H90" s="36">
        <f>'建筑建议逐级'!M90</f>
        <v/>
      </c>
      <c r="I90" s="35">
        <f>H90/3600</f>
        <v/>
      </c>
      <c r="J90" s="35">
        <f>H90/'参数与公式'!$B$21</f>
        <v/>
      </c>
      <c r="K90" s="35">
        <f>SUMIFS($J$5:$J$328,$A$5:$A$328,A90,$D$5:$D$328,"&lt;="&amp;D90)</f>
        <v/>
      </c>
      <c r="L90" s="50">
        <f>'建筑建议逐级'!Q90</f>
        <v/>
      </c>
      <c r="M90" s="36">
        <f>'建筑建议逐级'!X90</f>
        <v/>
      </c>
      <c r="N90" s="36">
        <f>SUMIFS($M$5:$M$328,$A$5:$A$328,A90,$D$5:$D$328,"&lt;="&amp;D90)</f>
        <v/>
      </c>
      <c r="O90" s="36">
        <f>'建筑建议逐级'!Y90</f>
        <v/>
      </c>
      <c r="P90" s="36">
        <f>SUMIFS($O$5:$O$328,$A$5:$A$328,A90,$D$5:$D$328,"&lt;="&amp;D90)</f>
        <v/>
      </c>
      <c r="Q90" s="51">
        <f>IF(F90="预算型曲线","总预算归一化","沿用旧指数公式")</f>
        <v/>
      </c>
      <c r="R90" s="51">
        <f>IF(F90="预算型曲线","与当前建议公式一致","需单独复核")</f>
        <v/>
      </c>
    </row>
    <row r="91" ht="22" customHeight="1">
      <c r="A91" s="33">
        <f>'建筑建议逐级'!A91</f>
        <v/>
      </c>
      <c r="B91" s="33">
        <f>'建筑建议逐级'!B91</f>
        <v/>
      </c>
      <c r="C91" s="33">
        <f>'建筑建议逐级'!C91</f>
        <v/>
      </c>
      <c r="D91" s="43">
        <f>'建筑建议逐级'!D91</f>
        <v/>
      </c>
      <c r="E91" s="36">
        <f>'建筑建议逐级'!E91</f>
        <v/>
      </c>
      <c r="F91" s="51">
        <f>IF(OR('建筑建议逐级'!I91&gt;0,'建筑建议逐级'!R91&gt;0,'建筑建议逐级'!S91&gt;0),"预算型曲线","旧指数公式")</f>
        <v/>
      </c>
      <c r="G91" s="50">
        <f>'建筑建议逐级'!H91</f>
        <v/>
      </c>
      <c r="H91" s="36">
        <f>'建筑建议逐级'!M91</f>
        <v/>
      </c>
      <c r="I91" s="35">
        <f>H91/3600</f>
        <v/>
      </c>
      <c r="J91" s="35">
        <f>H91/'参数与公式'!$B$21</f>
        <v/>
      </c>
      <c r="K91" s="35">
        <f>SUMIFS($J$5:$J$328,$A$5:$A$328,A91,$D$5:$D$328,"&lt;="&amp;D91)</f>
        <v/>
      </c>
      <c r="L91" s="50">
        <f>'建筑建议逐级'!Q91</f>
        <v/>
      </c>
      <c r="M91" s="36">
        <f>'建筑建议逐级'!X91</f>
        <v/>
      </c>
      <c r="N91" s="36">
        <f>SUMIFS($M$5:$M$328,$A$5:$A$328,A91,$D$5:$D$328,"&lt;="&amp;D91)</f>
        <v/>
      </c>
      <c r="O91" s="36">
        <f>'建筑建议逐级'!Y91</f>
        <v/>
      </c>
      <c r="P91" s="36">
        <f>SUMIFS($O$5:$O$328,$A$5:$A$328,A91,$D$5:$D$328,"&lt;="&amp;D91)</f>
        <v/>
      </c>
      <c r="Q91" s="51">
        <f>IF(F91="预算型曲线","总预算归一化","沿用旧指数公式")</f>
        <v/>
      </c>
      <c r="R91" s="51">
        <f>IF(F91="预算型曲线","与当前建议公式一致","需单独复核")</f>
        <v/>
      </c>
    </row>
    <row r="92" ht="22" customHeight="1">
      <c r="A92" s="33">
        <f>'建筑建议逐级'!A92</f>
        <v/>
      </c>
      <c r="B92" s="33">
        <f>'建筑建议逐级'!B92</f>
        <v/>
      </c>
      <c r="C92" s="33">
        <f>'建筑建议逐级'!C92</f>
        <v/>
      </c>
      <c r="D92" s="43">
        <f>'建筑建议逐级'!D92</f>
        <v/>
      </c>
      <c r="E92" s="36">
        <f>'建筑建议逐级'!E92</f>
        <v/>
      </c>
      <c r="F92" s="51">
        <f>IF(OR('建筑建议逐级'!I92&gt;0,'建筑建议逐级'!R92&gt;0,'建筑建议逐级'!S92&gt;0),"预算型曲线","旧指数公式")</f>
        <v/>
      </c>
      <c r="G92" s="50">
        <f>'建筑建议逐级'!H92</f>
        <v/>
      </c>
      <c r="H92" s="36">
        <f>'建筑建议逐级'!M92</f>
        <v/>
      </c>
      <c r="I92" s="35">
        <f>H92/3600</f>
        <v/>
      </c>
      <c r="J92" s="35">
        <f>H92/'参数与公式'!$B$21</f>
        <v/>
      </c>
      <c r="K92" s="35">
        <f>SUMIFS($J$5:$J$328,$A$5:$A$328,A92,$D$5:$D$328,"&lt;="&amp;D92)</f>
        <v/>
      </c>
      <c r="L92" s="50">
        <f>'建筑建议逐级'!Q92</f>
        <v/>
      </c>
      <c r="M92" s="36">
        <f>'建筑建议逐级'!X92</f>
        <v/>
      </c>
      <c r="N92" s="36">
        <f>SUMIFS($M$5:$M$328,$A$5:$A$328,A92,$D$5:$D$328,"&lt;="&amp;D92)</f>
        <v/>
      </c>
      <c r="O92" s="36">
        <f>'建筑建议逐级'!Y92</f>
        <v/>
      </c>
      <c r="P92" s="36">
        <f>SUMIFS($O$5:$O$328,$A$5:$A$328,A92,$D$5:$D$328,"&lt;="&amp;D92)</f>
        <v/>
      </c>
      <c r="Q92" s="51">
        <f>IF(F92="预算型曲线","总预算归一化","沿用旧指数公式")</f>
        <v/>
      </c>
      <c r="R92" s="51">
        <f>IF(F92="预算型曲线","与当前建议公式一致","需单独复核")</f>
        <v/>
      </c>
    </row>
    <row r="93" ht="22" customHeight="1">
      <c r="A93" s="33">
        <f>'建筑建议逐级'!A93</f>
        <v/>
      </c>
      <c r="B93" s="33">
        <f>'建筑建议逐级'!B93</f>
        <v/>
      </c>
      <c r="C93" s="33">
        <f>'建筑建议逐级'!C93</f>
        <v/>
      </c>
      <c r="D93" s="43">
        <f>'建筑建议逐级'!D93</f>
        <v/>
      </c>
      <c r="E93" s="36">
        <f>'建筑建议逐级'!E93</f>
        <v/>
      </c>
      <c r="F93" s="51">
        <f>IF(OR('建筑建议逐级'!I93&gt;0,'建筑建议逐级'!R93&gt;0,'建筑建议逐级'!S93&gt;0),"预算型曲线","旧指数公式")</f>
        <v/>
      </c>
      <c r="G93" s="50">
        <f>'建筑建议逐级'!H93</f>
        <v/>
      </c>
      <c r="H93" s="36">
        <f>'建筑建议逐级'!M93</f>
        <v/>
      </c>
      <c r="I93" s="35">
        <f>H93/3600</f>
        <v/>
      </c>
      <c r="J93" s="35">
        <f>H93/'参数与公式'!$B$21</f>
        <v/>
      </c>
      <c r="K93" s="35">
        <f>SUMIFS($J$5:$J$328,$A$5:$A$328,A93,$D$5:$D$328,"&lt;="&amp;D93)</f>
        <v/>
      </c>
      <c r="L93" s="50">
        <f>'建筑建议逐级'!Q93</f>
        <v/>
      </c>
      <c r="M93" s="36">
        <f>'建筑建议逐级'!X93</f>
        <v/>
      </c>
      <c r="N93" s="36">
        <f>SUMIFS($M$5:$M$328,$A$5:$A$328,A93,$D$5:$D$328,"&lt;="&amp;D93)</f>
        <v/>
      </c>
      <c r="O93" s="36">
        <f>'建筑建议逐级'!Y93</f>
        <v/>
      </c>
      <c r="P93" s="36">
        <f>SUMIFS($O$5:$O$328,$A$5:$A$328,A93,$D$5:$D$328,"&lt;="&amp;D93)</f>
        <v/>
      </c>
      <c r="Q93" s="51">
        <f>IF(F93="预算型曲线","总预算归一化","沿用旧指数公式")</f>
        <v/>
      </c>
      <c r="R93" s="51">
        <f>IF(F93="预算型曲线","与当前建议公式一致","需单独复核")</f>
        <v/>
      </c>
    </row>
    <row r="94" ht="22" customHeight="1">
      <c r="A94" s="33">
        <f>'建筑建议逐级'!A94</f>
        <v/>
      </c>
      <c r="B94" s="33">
        <f>'建筑建议逐级'!B94</f>
        <v/>
      </c>
      <c r="C94" s="33">
        <f>'建筑建议逐级'!C94</f>
        <v/>
      </c>
      <c r="D94" s="43">
        <f>'建筑建议逐级'!D94</f>
        <v/>
      </c>
      <c r="E94" s="36">
        <f>'建筑建议逐级'!E94</f>
        <v/>
      </c>
      <c r="F94" s="51">
        <f>IF(OR('建筑建议逐级'!I94&gt;0,'建筑建议逐级'!R94&gt;0,'建筑建议逐级'!S94&gt;0),"预算型曲线","旧指数公式")</f>
        <v/>
      </c>
      <c r="G94" s="50">
        <f>'建筑建议逐级'!H94</f>
        <v/>
      </c>
      <c r="H94" s="36">
        <f>'建筑建议逐级'!M94</f>
        <v/>
      </c>
      <c r="I94" s="35">
        <f>H94/3600</f>
        <v/>
      </c>
      <c r="J94" s="35">
        <f>H94/'参数与公式'!$B$21</f>
        <v/>
      </c>
      <c r="K94" s="35">
        <f>SUMIFS($J$5:$J$328,$A$5:$A$328,A94,$D$5:$D$328,"&lt;="&amp;D94)</f>
        <v/>
      </c>
      <c r="L94" s="50">
        <f>'建筑建议逐级'!Q94</f>
        <v/>
      </c>
      <c r="M94" s="36">
        <f>'建筑建议逐级'!X94</f>
        <v/>
      </c>
      <c r="N94" s="36">
        <f>SUMIFS($M$5:$M$328,$A$5:$A$328,A94,$D$5:$D$328,"&lt;="&amp;D94)</f>
        <v/>
      </c>
      <c r="O94" s="36">
        <f>'建筑建议逐级'!Y94</f>
        <v/>
      </c>
      <c r="P94" s="36">
        <f>SUMIFS($O$5:$O$328,$A$5:$A$328,A94,$D$5:$D$328,"&lt;="&amp;D94)</f>
        <v/>
      </c>
      <c r="Q94" s="51">
        <f>IF(F94="预算型曲线","总预算归一化","沿用旧指数公式")</f>
        <v/>
      </c>
      <c r="R94" s="51">
        <f>IF(F94="预算型曲线","与当前建议公式一致","需单独复核")</f>
        <v/>
      </c>
    </row>
    <row r="95" ht="22" customHeight="1">
      <c r="A95" s="33">
        <f>'建筑建议逐级'!A95</f>
        <v/>
      </c>
      <c r="B95" s="33">
        <f>'建筑建议逐级'!B95</f>
        <v/>
      </c>
      <c r="C95" s="33">
        <f>'建筑建议逐级'!C95</f>
        <v/>
      </c>
      <c r="D95" s="43">
        <f>'建筑建议逐级'!D95</f>
        <v/>
      </c>
      <c r="E95" s="36">
        <f>'建筑建议逐级'!E95</f>
        <v/>
      </c>
      <c r="F95" s="51">
        <f>IF(OR('建筑建议逐级'!I95&gt;0,'建筑建议逐级'!R95&gt;0,'建筑建议逐级'!S95&gt;0),"预算型曲线","旧指数公式")</f>
        <v/>
      </c>
      <c r="G95" s="50">
        <f>'建筑建议逐级'!H95</f>
        <v/>
      </c>
      <c r="H95" s="36">
        <f>'建筑建议逐级'!M95</f>
        <v/>
      </c>
      <c r="I95" s="35">
        <f>H95/3600</f>
        <v/>
      </c>
      <c r="J95" s="35">
        <f>H95/'参数与公式'!$B$21</f>
        <v/>
      </c>
      <c r="K95" s="35">
        <f>SUMIFS($J$5:$J$328,$A$5:$A$328,A95,$D$5:$D$328,"&lt;="&amp;D95)</f>
        <v/>
      </c>
      <c r="L95" s="50">
        <f>'建筑建议逐级'!Q95</f>
        <v/>
      </c>
      <c r="M95" s="36">
        <f>'建筑建议逐级'!X95</f>
        <v/>
      </c>
      <c r="N95" s="36">
        <f>SUMIFS($M$5:$M$328,$A$5:$A$328,A95,$D$5:$D$328,"&lt;="&amp;D95)</f>
        <v/>
      </c>
      <c r="O95" s="36">
        <f>'建筑建议逐级'!Y95</f>
        <v/>
      </c>
      <c r="P95" s="36">
        <f>SUMIFS($O$5:$O$328,$A$5:$A$328,A95,$D$5:$D$328,"&lt;="&amp;D95)</f>
        <v/>
      </c>
      <c r="Q95" s="51">
        <f>IF(F95="预算型曲线","总预算归一化","沿用旧指数公式")</f>
        <v/>
      </c>
      <c r="R95" s="51">
        <f>IF(F95="预算型曲线","与当前建议公式一致","需单独复核")</f>
        <v/>
      </c>
    </row>
    <row r="96" ht="22" customHeight="1">
      <c r="A96" s="33">
        <f>'建筑建议逐级'!A96</f>
        <v/>
      </c>
      <c r="B96" s="33">
        <f>'建筑建议逐级'!B96</f>
        <v/>
      </c>
      <c r="C96" s="33">
        <f>'建筑建议逐级'!C96</f>
        <v/>
      </c>
      <c r="D96" s="43">
        <f>'建筑建议逐级'!D96</f>
        <v/>
      </c>
      <c r="E96" s="36">
        <f>'建筑建议逐级'!E96</f>
        <v/>
      </c>
      <c r="F96" s="51">
        <f>IF(OR('建筑建议逐级'!I96&gt;0,'建筑建议逐级'!R96&gt;0,'建筑建议逐级'!S96&gt;0),"预算型曲线","旧指数公式")</f>
        <v/>
      </c>
      <c r="G96" s="50">
        <f>'建筑建议逐级'!H96</f>
        <v/>
      </c>
      <c r="H96" s="36">
        <f>'建筑建议逐级'!M96</f>
        <v/>
      </c>
      <c r="I96" s="35">
        <f>H96/3600</f>
        <v/>
      </c>
      <c r="J96" s="35">
        <f>H96/'参数与公式'!$B$21</f>
        <v/>
      </c>
      <c r="K96" s="35">
        <f>SUMIFS($J$5:$J$328,$A$5:$A$328,A96,$D$5:$D$328,"&lt;="&amp;D96)</f>
        <v/>
      </c>
      <c r="L96" s="50">
        <f>'建筑建议逐级'!Q96</f>
        <v/>
      </c>
      <c r="M96" s="36">
        <f>'建筑建议逐级'!X96</f>
        <v/>
      </c>
      <c r="N96" s="36">
        <f>SUMIFS($M$5:$M$328,$A$5:$A$328,A96,$D$5:$D$328,"&lt;="&amp;D96)</f>
        <v/>
      </c>
      <c r="O96" s="36">
        <f>'建筑建议逐级'!Y96</f>
        <v/>
      </c>
      <c r="P96" s="36">
        <f>SUMIFS($O$5:$O$328,$A$5:$A$328,A96,$D$5:$D$328,"&lt;="&amp;D96)</f>
        <v/>
      </c>
      <c r="Q96" s="51">
        <f>IF(F96="预算型曲线","总预算归一化","沿用旧指数公式")</f>
        <v/>
      </c>
      <c r="R96" s="51">
        <f>IF(F96="预算型曲线","与当前建议公式一致","需单独复核")</f>
        <v/>
      </c>
    </row>
    <row r="97" ht="22" customHeight="1">
      <c r="A97" s="33">
        <f>'建筑建议逐级'!A97</f>
        <v/>
      </c>
      <c r="B97" s="33">
        <f>'建筑建议逐级'!B97</f>
        <v/>
      </c>
      <c r="C97" s="33">
        <f>'建筑建议逐级'!C97</f>
        <v/>
      </c>
      <c r="D97" s="43">
        <f>'建筑建议逐级'!D97</f>
        <v/>
      </c>
      <c r="E97" s="36">
        <f>'建筑建议逐级'!E97</f>
        <v/>
      </c>
      <c r="F97" s="51">
        <f>IF(OR('建筑建议逐级'!I97&gt;0,'建筑建议逐级'!R97&gt;0,'建筑建议逐级'!S97&gt;0),"预算型曲线","旧指数公式")</f>
        <v/>
      </c>
      <c r="G97" s="50">
        <f>'建筑建议逐级'!H97</f>
        <v/>
      </c>
      <c r="H97" s="36">
        <f>'建筑建议逐级'!M97</f>
        <v/>
      </c>
      <c r="I97" s="35">
        <f>H97/3600</f>
        <v/>
      </c>
      <c r="J97" s="35">
        <f>H97/'参数与公式'!$B$21</f>
        <v/>
      </c>
      <c r="K97" s="35">
        <f>SUMIFS($J$5:$J$328,$A$5:$A$328,A97,$D$5:$D$328,"&lt;="&amp;D97)</f>
        <v/>
      </c>
      <c r="L97" s="50">
        <f>'建筑建议逐级'!Q97</f>
        <v/>
      </c>
      <c r="M97" s="36">
        <f>'建筑建议逐级'!X97</f>
        <v/>
      </c>
      <c r="N97" s="36">
        <f>SUMIFS($M$5:$M$328,$A$5:$A$328,A97,$D$5:$D$328,"&lt;="&amp;D97)</f>
        <v/>
      </c>
      <c r="O97" s="36">
        <f>'建筑建议逐级'!Y97</f>
        <v/>
      </c>
      <c r="P97" s="36">
        <f>SUMIFS($O$5:$O$328,$A$5:$A$328,A97,$D$5:$D$328,"&lt;="&amp;D97)</f>
        <v/>
      </c>
      <c r="Q97" s="51">
        <f>IF(F97="预算型曲线","总预算归一化","沿用旧指数公式")</f>
        <v/>
      </c>
      <c r="R97" s="51">
        <f>IF(F97="预算型曲线","与当前建议公式一致","需单独复核")</f>
        <v/>
      </c>
    </row>
    <row r="98" ht="22" customHeight="1">
      <c r="A98" s="33">
        <f>'建筑建议逐级'!A98</f>
        <v/>
      </c>
      <c r="B98" s="33">
        <f>'建筑建议逐级'!B98</f>
        <v/>
      </c>
      <c r="C98" s="33">
        <f>'建筑建议逐级'!C98</f>
        <v/>
      </c>
      <c r="D98" s="43">
        <f>'建筑建议逐级'!D98</f>
        <v/>
      </c>
      <c r="E98" s="36">
        <f>'建筑建议逐级'!E98</f>
        <v/>
      </c>
      <c r="F98" s="51">
        <f>IF(OR('建筑建议逐级'!I98&gt;0,'建筑建议逐级'!R98&gt;0,'建筑建议逐级'!S98&gt;0),"预算型曲线","旧指数公式")</f>
        <v/>
      </c>
      <c r="G98" s="50">
        <f>'建筑建议逐级'!H98</f>
        <v/>
      </c>
      <c r="H98" s="36">
        <f>'建筑建议逐级'!M98</f>
        <v/>
      </c>
      <c r="I98" s="35">
        <f>H98/3600</f>
        <v/>
      </c>
      <c r="J98" s="35">
        <f>H98/'参数与公式'!$B$21</f>
        <v/>
      </c>
      <c r="K98" s="35">
        <f>SUMIFS($J$5:$J$328,$A$5:$A$328,A98,$D$5:$D$328,"&lt;="&amp;D98)</f>
        <v/>
      </c>
      <c r="L98" s="50">
        <f>'建筑建议逐级'!Q98</f>
        <v/>
      </c>
      <c r="M98" s="36">
        <f>'建筑建议逐级'!X98</f>
        <v/>
      </c>
      <c r="N98" s="36">
        <f>SUMIFS($M$5:$M$328,$A$5:$A$328,A98,$D$5:$D$328,"&lt;="&amp;D98)</f>
        <v/>
      </c>
      <c r="O98" s="36">
        <f>'建筑建议逐级'!Y98</f>
        <v/>
      </c>
      <c r="P98" s="36">
        <f>SUMIFS($O$5:$O$328,$A$5:$A$328,A98,$D$5:$D$328,"&lt;="&amp;D98)</f>
        <v/>
      </c>
      <c r="Q98" s="51">
        <f>IF(F98="预算型曲线","总预算归一化","沿用旧指数公式")</f>
        <v/>
      </c>
      <c r="R98" s="51">
        <f>IF(F98="预算型曲线","与当前建议公式一致","需单独复核")</f>
        <v/>
      </c>
    </row>
    <row r="99" ht="22" customHeight="1">
      <c r="A99" s="33">
        <f>'建筑建议逐级'!A99</f>
        <v/>
      </c>
      <c r="B99" s="33">
        <f>'建筑建议逐级'!B99</f>
        <v/>
      </c>
      <c r="C99" s="33">
        <f>'建筑建议逐级'!C99</f>
        <v/>
      </c>
      <c r="D99" s="43">
        <f>'建筑建议逐级'!D99</f>
        <v/>
      </c>
      <c r="E99" s="36">
        <f>'建筑建议逐级'!E99</f>
        <v/>
      </c>
      <c r="F99" s="51">
        <f>IF(OR('建筑建议逐级'!I99&gt;0,'建筑建议逐级'!R99&gt;0,'建筑建议逐级'!S99&gt;0),"预算型曲线","旧指数公式")</f>
        <v/>
      </c>
      <c r="G99" s="50">
        <f>'建筑建议逐级'!H99</f>
        <v/>
      </c>
      <c r="H99" s="36">
        <f>'建筑建议逐级'!M99</f>
        <v/>
      </c>
      <c r="I99" s="35">
        <f>H99/3600</f>
        <v/>
      </c>
      <c r="J99" s="35">
        <f>H99/'参数与公式'!$B$21</f>
        <v/>
      </c>
      <c r="K99" s="35">
        <f>SUMIFS($J$5:$J$328,$A$5:$A$328,A99,$D$5:$D$328,"&lt;="&amp;D99)</f>
        <v/>
      </c>
      <c r="L99" s="50">
        <f>'建筑建议逐级'!Q99</f>
        <v/>
      </c>
      <c r="M99" s="36">
        <f>'建筑建议逐级'!X99</f>
        <v/>
      </c>
      <c r="N99" s="36">
        <f>SUMIFS($M$5:$M$328,$A$5:$A$328,A99,$D$5:$D$328,"&lt;="&amp;D99)</f>
        <v/>
      </c>
      <c r="O99" s="36">
        <f>'建筑建议逐级'!Y99</f>
        <v/>
      </c>
      <c r="P99" s="36">
        <f>SUMIFS($O$5:$O$328,$A$5:$A$328,A99,$D$5:$D$328,"&lt;="&amp;D99)</f>
        <v/>
      </c>
      <c r="Q99" s="51">
        <f>IF(F99="预算型曲线","总预算归一化","沿用旧指数公式")</f>
        <v/>
      </c>
      <c r="R99" s="51">
        <f>IF(F99="预算型曲线","与当前建议公式一致","需单独复核")</f>
        <v/>
      </c>
    </row>
    <row r="100" ht="22" customHeight="1">
      <c r="A100" s="33">
        <f>'建筑建议逐级'!A100</f>
        <v/>
      </c>
      <c r="B100" s="33">
        <f>'建筑建议逐级'!B100</f>
        <v/>
      </c>
      <c r="C100" s="33">
        <f>'建筑建议逐级'!C100</f>
        <v/>
      </c>
      <c r="D100" s="43">
        <f>'建筑建议逐级'!D100</f>
        <v/>
      </c>
      <c r="E100" s="36">
        <f>'建筑建议逐级'!E100</f>
        <v/>
      </c>
      <c r="F100" s="51">
        <f>IF(OR('建筑建议逐级'!I100&gt;0,'建筑建议逐级'!R100&gt;0,'建筑建议逐级'!S100&gt;0),"预算型曲线","旧指数公式")</f>
        <v/>
      </c>
      <c r="G100" s="50">
        <f>'建筑建议逐级'!H100</f>
        <v/>
      </c>
      <c r="H100" s="36">
        <f>'建筑建议逐级'!M100</f>
        <v/>
      </c>
      <c r="I100" s="35">
        <f>H100/3600</f>
        <v/>
      </c>
      <c r="J100" s="35">
        <f>H100/'参数与公式'!$B$21</f>
        <v/>
      </c>
      <c r="K100" s="35">
        <f>SUMIFS($J$5:$J$328,$A$5:$A$328,A100,$D$5:$D$328,"&lt;="&amp;D100)</f>
        <v/>
      </c>
      <c r="L100" s="50">
        <f>'建筑建议逐级'!Q100</f>
        <v/>
      </c>
      <c r="M100" s="36">
        <f>'建筑建议逐级'!X100</f>
        <v/>
      </c>
      <c r="N100" s="36">
        <f>SUMIFS($M$5:$M$328,$A$5:$A$328,A100,$D$5:$D$328,"&lt;="&amp;D100)</f>
        <v/>
      </c>
      <c r="O100" s="36">
        <f>'建筑建议逐级'!Y100</f>
        <v/>
      </c>
      <c r="P100" s="36">
        <f>SUMIFS($O$5:$O$328,$A$5:$A$328,A100,$D$5:$D$328,"&lt;="&amp;D100)</f>
        <v/>
      </c>
      <c r="Q100" s="51">
        <f>IF(F100="预算型曲线","总预算归一化","沿用旧指数公式")</f>
        <v/>
      </c>
      <c r="R100" s="51">
        <f>IF(F100="预算型曲线","与当前建议公式一致","需单独复核")</f>
        <v/>
      </c>
    </row>
    <row r="101" ht="22" customHeight="1">
      <c r="A101" s="33">
        <f>'建筑建议逐级'!A101</f>
        <v/>
      </c>
      <c r="B101" s="33">
        <f>'建筑建议逐级'!B101</f>
        <v/>
      </c>
      <c r="C101" s="33">
        <f>'建筑建议逐级'!C101</f>
        <v/>
      </c>
      <c r="D101" s="43">
        <f>'建筑建议逐级'!D101</f>
        <v/>
      </c>
      <c r="E101" s="36">
        <f>'建筑建议逐级'!E101</f>
        <v/>
      </c>
      <c r="F101" s="51">
        <f>IF(OR('建筑建议逐级'!I101&gt;0,'建筑建议逐级'!R101&gt;0,'建筑建议逐级'!S101&gt;0),"预算型曲线","旧指数公式")</f>
        <v/>
      </c>
      <c r="G101" s="50">
        <f>'建筑建议逐级'!H101</f>
        <v/>
      </c>
      <c r="H101" s="36">
        <f>'建筑建议逐级'!M101</f>
        <v/>
      </c>
      <c r="I101" s="35">
        <f>H101/3600</f>
        <v/>
      </c>
      <c r="J101" s="35">
        <f>H101/'参数与公式'!$B$21</f>
        <v/>
      </c>
      <c r="K101" s="35">
        <f>SUMIFS($J$5:$J$328,$A$5:$A$328,A101,$D$5:$D$328,"&lt;="&amp;D101)</f>
        <v/>
      </c>
      <c r="L101" s="50">
        <f>'建筑建议逐级'!Q101</f>
        <v/>
      </c>
      <c r="M101" s="36">
        <f>'建筑建议逐级'!X101</f>
        <v/>
      </c>
      <c r="N101" s="36">
        <f>SUMIFS($M$5:$M$328,$A$5:$A$328,A101,$D$5:$D$328,"&lt;="&amp;D101)</f>
        <v/>
      </c>
      <c r="O101" s="36">
        <f>'建筑建议逐级'!Y101</f>
        <v/>
      </c>
      <c r="P101" s="36">
        <f>SUMIFS($O$5:$O$328,$A$5:$A$328,A101,$D$5:$D$328,"&lt;="&amp;D101)</f>
        <v/>
      </c>
      <c r="Q101" s="51">
        <f>IF(F101="预算型曲线","总预算归一化","沿用旧指数公式")</f>
        <v/>
      </c>
      <c r="R101" s="51">
        <f>IF(F101="预算型曲线","与当前建议公式一致","需单独复核")</f>
        <v/>
      </c>
    </row>
    <row r="102" ht="22" customHeight="1">
      <c r="A102" s="33">
        <f>'建筑建议逐级'!A102</f>
        <v/>
      </c>
      <c r="B102" s="33">
        <f>'建筑建议逐级'!B102</f>
        <v/>
      </c>
      <c r="C102" s="33">
        <f>'建筑建议逐级'!C102</f>
        <v/>
      </c>
      <c r="D102" s="43">
        <f>'建筑建议逐级'!D102</f>
        <v/>
      </c>
      <c r="E102" s="36">
        <f>'建筑建议逐级'!E102</f>
        <v/>
      </c>
      <c r="F102" s="51">
        <f>IF(OR('建筑建议逐级'!I102&gt;0,'建筑建议逐级'!R102&gt;0,'建筑建议逐级'!S102&gt;0),"预算型曲线","旧指数公式")</f>
        <v/>
      </c>
      <c r="G102" s="50">
        <f>'建筑建议逐级'!H102</f>
        <v/>
      </c>
      <c r="H102" s="36">
        <f>'建筑建议逐级'!M102</f>
        <v/>
      </c>
      <c r="I102" s="35">
        <f>H102/3600</f>
        <v/>
      </c>
      <c r="J102" s="35">
        <f>H102/'参数与公式'!$B$21</f>
        <v/>
      </c>
      <c r="K102" s="35">
        <f>SUMIFS($J$5:$J$328,$A$5:$A$328,A102,$D$5:$D$328,"&lt;="&amp;D102)</f>
        <v/>
      </c>
      <c r="L102" s="50">
        <f>'建筑建议逐级'!Q102</f>
        <v/>
      </c>
      <c r="M102" s="36">
        <f>'建筑建议逐级'!X102</f>
        <v/>
      </c>
      <c r="N102" s="36">
        <f>SUMIFS($M$5:$M$328,$A$5:$A$328,A102,$D$5:$D$328,"&lt;="&amp;D102)</f>
        <v/>
      </c>
      <c r="O102" s="36">
        <f>'建筑建议逐级'!Y102</f>
        <v/>
      </c>
      <c r="P102" s="36">
        <f>SUMIFS($O$5:$O$328,$A$5:$A$328,A102,$D$5:$D$328,"&lt;="&amp;D102)</f>
        <v/>
      </c>
      <c r="Q102" s="51">
        <f>IF(F102="预算型曲线","总预算归一化","沿用旧指数公式")</f>
        <v/>
      </c>
      <c r="R102" s="51">
        <f>IF(F102="预算型曲线","与当前建议公式一致","需单独复核")</f>
        <v/>
      </c>
    </row>
    <row r="103" ht="22" customHeight="1">
      <c r="A103" s="33">
        <f>'建筑建议逐级'!A103</f>
        <v/>
      </c>
      <c r="B103" s="33">
        <f>'建筑建议逐级'!B103</f>
        <v/>
      </c>
      <c r="C103" s="33">
        <f>'建筑建议逐级'!C103</f>
        <v/>
      </c>
      <c r="D103" s="43">
        <f>'建筑建议逐级'!D103</f>
        <v/>
      </c>
      <c r="E103" s="36">
        <f>'建筑建议逐级'!E103</f>
        <v/>
      </c>
      <c r="F103" s="51">
        <f>IF(OR('建筑建议逐级'!I103&gt;0,'建筑建议逐级'!R103&gt;0,'建筑建议逐级'!S103&gt;0),"预算型曲线","旧指数公式")</f>
        <v/>
      </c>
      <c r="G103" s="50">
        <f>'建筑建议逐级'!H103</f>
        <v/>
      </c>
      <c r="H103" s="36">
        <f>'建筑建议逐级'!M103</f>
        <v/>
      </c>
      <c r="I103" s="35">
        <f>H103/3600</f>
        <v/>
      </c>
      <c r="J103" s="35">
        <f>H103/'参数与公式'!$B$21</f>
        <v/>
      </c>
      <c r="K103" s="35">
        <f>SUMIFS($J$5:$J$328,$A$5:$A$328,A103,$D$5:$D$328,"&lt;="&amp;D103)</f>
        <v/>
      </c>
      <c r="L103" s="50">
        <f>'建筑建议逐级'!Q103</f>
        <v/>
      </c>
      <c r="M103" s="36">
        <f>'建筑建议逐级'!X103</f>
        <v/>
      </c>
      <c r="N103" s="36">
        <f>SUMIFS($M$5:$M$328,$A$5:$A$328,A103,$D$5:$D$328,"&lt;="&amp;D103)</f>
        <v/>
      </c>
      <c r="O103" s="36">
        <f>'建筑建议逐级'!Y103</f>
        <v/>
      </c>
      <c r="P103" s="36">
        <f>SUMIFS($O$5:$O$328,$A$5:$A$328,A103,$D$5:$D$328,"&lt;="&amp;D103)</f>
        <v/>
      </c>
      <c r="Q103" s="51">
        <f>IF(F103="预算型曲线","总预算归一化","沿用旧指数公式")</f>
        <v/>
      </c>
      <c r="R103" s="51">
        <f>IF(F103="预算型曲线","与当前建议公式一致","需单独复核")</f>
        <v/>
      </c>
    </row>
    <row r="104" ht="22" customHeight="1">
      <c r="A104" s="33">
        <f>'建筑建议逐级'!A104</f>
        <v/>
      </c>
      <c r="B104" s="33">
        <f>'建筑建议逐级'!B104</f>
        <v/>
      </c>
      <c r="C104" s="33">
        <f>'建筑建议逐级'!C104</f>
        <v/>
      </c>
      <c r="D104" s="43">
        <f>'建筑建议逐级'!D104</f>
        <v/>
      </c>
      <c r="E104" s="36">
        <f>'建筑建议逐级'!E104</f>
        <v/>
      </c>
      <c r="F104" s="51">
        <f>IF(OR('建筑建议逐级'!I104&gt;0,'建筑建议逐级'!R104&gt;0,'建筑建议逐级'!S104&gt;0),"预算型曲线","旧指数公式")</f>
        <v/>
      </c>
      <c r="G104" s="50">
        <f>'建筑建议逐级'!H104</f>
        <v/>
      </c>
      <c r="H104" s="36">
        <f>'建筑建议逐级'!M104</f>
        <v/>
      </c>
      <c r="I104" s="35">
        <f>H104/3600</f>
        <v/>
      </c>
      <c r="J104" s="35">
        <f>H104/'参数与公式'!$B$21</f>
        <v/>
      </c>
      <c r="K104" s="35">
        <f>SUMIFS($J$5:$J$328,$A$5:$A$328,A104,$D$5:$D$328,"&lt;="&amp;D104)</f>
        <v/>
      </c>
      <c r="L104" s="50">
        <f>'建筑建议逐级'!Q104</f>
        <v/>
      </c>
      <c r="M104" s="36">
        <f>'建筑建议逐级'!X104</f>
        <v/>
      </c>
      <c r="N104" s="36">
        <f>SUMIFS($M$5:$M$328,$A$5:$A$328,A104,$D$5:$D$328,"&lt;="&amp;D104)</f>
        <v/>
      </c>
      <c r="O104" s="36">
        <f>'建筑建议逐级'!Y104</f>
        <v/>
      </c>
      <c r="P104" s="36">
        <f>SUMIFS($O$5:$O$328,$A$5:$A$328,A104,$D$5:$D$328,"&lt;="&amp;D104)</f>
        <v/>
      </c>
      <c r="Q104" s="51">
        <f>IF(F104="预算型曲线","总预算归一化","沿用旧指数公式")</f>
        <v/>
      </c>
      <c r="R104" s="51">
        <f>IF(F104="预算型曲线","与当前建议公式一致","需单独复核")</f>
        <v/>
      </c>
    </row>
    <row r="105" ht="22" customHeight="1">
      <c r="A105" s="33">
        <f>'建筑建议逐级'!A105</f>
        <v/>
      </c>
      <c r="B105" s="33">
        <f>'建筑建议逐级'!B105</f>
        <v/>
      </c>
      <c r="C105" s="33">
        <f>'建筑建议逐级'!C105</f>
        <v/>
      </c>
      <c r="D105" s="43">
        <f>'建筑建议逐级'!D105</f>
        <v/>
      </c>
      <c r="E105" s="36">
        <f>'建筑建议逐级'!E105</f>
        <v/>
      </c>
      <c r="F105" s="51">
        <f>IF(OR('建筑建议逐级'!I105&gt;0,'建筑建议逐级'!R105&gt;0,'建筑建议逐级'!S105&gt;0),"预算型曲线","旧指数公式")</f>
        <v/>
      </c>
      <c r="G105" s="50">
        <f>'建筑建议逐级'!H105</f>
        <v/>
      </c>
      <c r="H105" s="36">
        <f>'建筑建议逐级'!M105</f>
        <v/>
      </c>
      <c r="I105" s="35">
        <f>H105/3600</f>
        <v/>
      </c>
      <c r="J105" s="35">
        <f>H105/'参数与公式'!$B$21</f>
        <v/>
      </c>
      <c r="K105" s="35">
        <f>SUMIFS($J$5:$J$328,$A$5:$A$328,A105,$D$5:$D$328,"&lt;="&amp;D105)</f>
        <v/>
      </c>
      <c r="L105" s="50">
        <f>'建筑建议逐级'!Q105</f>
        <v/>
      </c>
      <c r="M105" s="36">
        <f>'建筑建议逐级'!X105</f>
        <v/>
      </c>
      <c r="N105" s="36">
        <f>SUMIFS($M$5:$M$328,$A$5:$A$328,A105,$D$5:$D$328,"&lt;="&amp;D105)</f>
        <v/>
      </c>
      <c r="O105" s="36">
        <f>'建筑建议逐级'!Y105</f>
        <v/>
      </c>
      <c r="P105" s="36">
        <f>SUMIFS($O$5:$O$328,$A$5:$A$328,A105,$D$5:$D$328,"&lt;="&amp;D105)</f>
        <v/>
      </c>
      <c r="Q105" s="51">
        <f>IF(F105="预算型曲线","总预算归一化","沿用旧指数公式")</f>
        <v/>
      </c>
      <c r="R105" s="51">
        <f>IF(F105="预算型曲线","与当前建议公式一致","需单独复核")</f>
        <v/>
      </c>
    </row>
    <row r="106" ht="22" customHeight="1">
      <c r="A106" s="33">
        <f>'建筑建议逐级'!A106</f>
        <v/>
      </c>
      <c r="B106" s="33">
        <f>'建筑建议逐级'!B106</f>
        <v/>
      </c>
      <c r="C106" s="33">
        <f>'建筑建议逐级'!C106</f>
        <v/>
      </c>
      <c r="D106" s="43">
        <f>'建筑建议逐级'!D106</f>
        <v/>
      </c>
      <c r="E106" s="36">
        <f>'建筑建议逐级'!E106</f>
        <v/>
      </c>
      <c r="F106" s="51">
        <f>IF(OR('建筑建议逐级'!I106&gt;0,'建筑建议逐级'!R106&gt;0,'建筑建议逐级'!S106&gt;0),"预算型曲线","旧指数公式")</f>
        <v/>
      </c>
      <c r="G106" s="50">
        <f>'建筑建议逐级'!H106</f>
        <v/>
      </c>
      <c r="H106" s="36">
        <f>'建筑建议逐级'!M106</f>
        <v/>
      </c>
      <c r="I106" s="35">
        <f>H106/3600</f>
        <v/>
      </c>
      <c r="J106" s="35">
        <f>H106/'参数与公式'!$B$21</f>
        <v/>
      </c>
      <c r="K106" s="35">
        <f>SUMIFS($J$5:$J$328,$A$5:$A$328,A106,$D$5:$D$328,"&lt;="&amp;D106)</f>
        <v/>
      </c>
      <c r="L106" s="50">
        <f>'建筑建议逐级'!Q106</f>
        <v/>
      </c>
      <c r="M106" s="36">
        <f>'建筑建议逐级'!X106</f>
        <v/>
      </c>
      <c r="N106" s="36">
        <f>SUMIFS($M$5:$M$328,$A$5:$A$328,A106,$D$5:$D$328,"&lt;="&amp;D106)</f>
        <v/>
      </c>
      <c r="O106" s="36">
        <f>'建筑建议逐级'!Y106</f>
        <v/>
      </c>
      <c r="P106" s="36">
        <f>SUMIFS($O$5:$O$328,$A$5:$A$328,A106,$D$5:$D$328,"&lt;="&amp;D106)</f>
        <v/>
      </c>
      <c r="Q106" s="51">
        <f>IF(F106="预算型曲线","总预算归一化","沿用旧指数公式")</f>
        <v/>
      </c>
      <c r="R106" s="51">
        <f>IF(F106="预算型曲线","与当前建议公式一致","需单独复核")</f>
        <v/>
      </c>
    </row>
    <row r="107" ht="22" customHeight="1">
      <c r="A107" s="33">
        <f>'建筑建议逐级'!A107</f>
        <v/>
      </c>
      <c r="B107" s="33">
        <f>'建筑建议逐级'!B107</f>
        <v/>
      </c>
      <c r="C107" s="33">
        <f>'建筑建议逐级'!C107</f>
        <v/>
      </c>
      <c r="D107" s="43">
        <f>'建筑建议逐级'!D107</f>
        <v/>
      </c>
      <c r="E107" s="36">
        <f>'建筑建议逐级'!E107</f>
        <v/>
      </c>
      <c r="F107" s="51">
        <f>IF(OR('建筑建议逐级'!I107&gt;0,'建筑建议逐级'!R107&gt;0,'建筑建议逐级'!S107&gt;0),"预算型曲线","旧指数公式")</f>
        <v/>
      </c>
      <c r="G107" s="50">
        <f>'建筑建议逐级'!H107</f>
        <v/>
      </c>
      <c r="H107" s="36">
        <f>'建筑建议逐级'!M107</f>
        <v/>
      </c>
      <c r="I107" s="35">
        <f>H107/3600</f>
        <v/>
      </c>
      <c r="J107" s="35">
        <f>H107/'参数与公式'!$B$21</f>
        <v/>
      </c>
      <c r="K107" s="35">
        <f>SUMIFS($J$5:$J$328,$A$5:$A$328,A107,$D$5:$D$328,"&lt;="&amp;D107)</f>
        <v/>
      </c>
      <c r="L107" s="50">
        <f>'建筑建议逐级'!Q107</f>
        <v/>
      </c>
      <c r="M107" s="36">
        <f>'建筑建议逐级'!X107</f>
        <v/>
      </c>
      <c r="N107" s="36">
        <f>SUMIFS($M$5:$M$328,$A$5:$A$328,A107,$D$5:$D$328,"&lt;="&amp;D107)</f>
        <v/>
      </c>
      <c r="O107" s="36">
        <f>'建筑建议逐级'!Y107</f>
        <v/>
      </c>
      <c r="P107" s="36">
        <f>SUMIFS($O$5:$O$328,$A$5:$A$328,A107,$D$5:$D$328,"&lt;="&amp;D107)</f>
        <v/>
      </c>
      <c r="Q107" s="51">
        <f>IF(F107="预算型曲线","总预算归一化","沿用旧指数公式")</f>
        <v/>
      </c>
      <c r="R107" s="51">
        <f>IF(F107="预算型曲线","与当前建议公式一致","需单独复核")</f>
        <v/>
      </c>
    </row>
    <row r="108" ht="22" customHeight="1">
      <c r="A108" s="33">
        <f>'建筑建议逐级'!A108</f>
        <v/>
      </c>
      <c r="B108" s="33">
        <f>'建筑建议逐级'!B108</f>
        <v/>
      </c>
      <c r="C108" s="33">
        <f>'建筑建议逐级'!C108</f>
        <v/>
      </c>
      <c r="D108" s="43">
        <f>'建筑建议逐级'!D108</f>
        <v/>
      </c>
      <c r="E108" s="36">
        <f>'建筑建议逐级'!E108</f>
        <v/>
      </c>
      <c r="F108" s="51">
        <f>IF(OR('建筑建议逐级'!I108&gt;0,'建筑建议逐级'!R108&gt;0,'建筑建议逐级'!S108&gt;0),"预算型曲线","旧指数公式")</f>
        <v/>
      </c>
      <c r="G108" s="50">
        <f>'建筑建议逐级'!H108</f>
        <v/>
      </c>
      <c r="H108" s="36">
        <f>'建筑建议逐级'!M108</f>
        <v/>
      </c>
      <c r="I108" s="35">
        <f>H108/3600</f>
        <v/>
      </c>
      <c r="J108" s="35">
        <f>H108/'参数与公式'!$B$21</f>
        <v/>
      </c>
      <c r="K108" s="35">
        <f>SUMIFS($J$5:$J$328,$A$5:$A$328,A108,$D$5:$D$328,"&lt;="&amp;D108)</f>
        <v/>
      </c>
      <c r="L108" s="50">
        <f>'建筑建议逐级'!Q108</f>
        <v/>
      </c>
      <c r="M108" s="36">
        <f>'建筑建议逐级'!X108</f>
        <v/>
      </c>
      <c r="N108" s="36">
        <f>SUMIFS($M$5:$M$328,$A$5:$A$328,A108,$D$5:$D$328,"&lt;="&amp;D108)</f>
        <v/>
      </c>
      <c r="O108" s="36">
        <f>'建筑建议逐级'!Y108</f>
        <v/>
      </c>
      <c r="P108" s="36">
        <f>SUMIFS($O$5:$O$328,$A$5:$A$328,A108,$D$5:$D$328,"&lt;="&amp;D108)</f>
        <v/>
      </c>
      <c r="Q108" s="51">
        <f>IF(F108="预算型曲线","总预算归一化","沿用旧指数公式")</f>
        <v/>
      </c>
      <c r="R108" s="51">
        <f>IF(F108="预算型曲线","与当前建议公式一致","需单独复核")</f>
        <v/>
      </c>
    </row>
    <row r="109" ht="22" customHeight="1">
      <c r="A109" s="33">
        <f>'建筑建议逐级'!A109</f>
        <v/>
      </c>
      <c r="B109" s="33">
        <f>'建筑建议逐级'!B109</f>
        <v/>
      </c>
      <c r="C109" s="33">
        <f>'建筑建议逐级'!C109</f>
        <v/>
      </c>
      <c r="D109" s="43">
        <f>'建筑建议逐级'!D109</f>
        <v/>
      </c>
      <c r="E109" s="36">
        <f>'建筑建议逐级'!E109</f>
        <v/>
      </c>
      <c r="F109" s="51">
        <f>IF(OR('建筑建议逐级'!I109&gt;0,'建筑建议逐级'!R109&gt;0,'建筑建议逐级'!S109&gt;0),"预算型曲线","旧指数公式")</f>
        <v/>
      </c>
      <c r="G109" s="50">
        <f>'建筑建议逐级'!H109</f>
        <v/>
      </c>
      <c r="H109" s="36">
        <f>'建筑建议逐级'!M109</f>
        <v/>
      </c>
      <c r="I109" s="35">
        <f>H109/3600</f>
        <v/>
      </c>
      <c r="J109" s="35">
        <f>H109/'参数与公式'!$B$21</f>
        <v/>
      </c>
      <c r="K109" s="35">
        <f>SUMIFS($J$5:$J$328,$A$5:$A$328,A109,$D$5:$D$328,"&lt;="&amp;D109)</f>
        <v/>
      </c>
      <c r="L109" s="50">
        <f>'建筑建议逐级'!Q109</f>
        <v/>
      </c>
      <c r="M109" s="36">
        <f>'建筑建议逐级'!X109</f>
        <v/>
      </c>
      <c r="N109" s="36">
        <f>SUMIFS($M$5:$M$328,$A$5:$A$328,A109,$D$5:$D$328,"&lt;="&amp;D109)</f>
        <v/>
      </c>
      <c r="O109" s="36">
        <f>'建筑建议逐级'!Y109</f>
        <v/>
      </c>
      <c r="P109" s="36">
        <f>SUMIFS($O$5:$O$328,$A$5:$A$328,A109,$D$5:$D$328,"&lt;="&amp;D109)</f>
        <v/>
      </c>
      <c r="Q109" s="51">
        <f>IF(F109="预算型曲线","总预算归一化","沿用旧指数公式")</f>
        <v/>
      </c>
      <c r="R109" s="51">
        <f>IF(F109="预算型曲线","与当前建议公式一致","需单独复核")</f>
        <v/>
      </c>
    </row>
    <row r="110" ht="22" customHeight="1">
      <c r="A110" s="33">
        <f>'建筑建议逐级'!A110</f>
        <v/>
      </c>
      <c r="B110" s="33">
        <f>'建筑建议逐级'!B110</f>
        <v/>
      </c>
      <c r="C110" s="33">
        <f>'建筑建议逐级'!C110</f>
        <v/>
      </c>
      <c r="D110" s="43">
        <f>'建筑建议逐级'!D110</f>
        <v/>
      </c>
      <c r="E110" s="36">
        <f>'建筑建议逐级'!E110</f>
        <v/>
      </c>
      <c r="F110" s="51">
        <f>IF(OR('建筑建议逐级'!I110&gt;0,'建筑建议逐级'!R110&gt;0,'建筑建议逐级'!S110&gt;0),"预算型曲线","旧指数公式")</f>
        <v/>
      </c>
      <c r="G110" s="50">
        <f>'建筑建议逐级'!H110</f>
        <v/>
      </c>
      <c r="H110" s="36">
        <f>'建筑建议逐级'!M110</f>
        <v/>
      </c>
      <c r="I110" s="35">
        <f>H110/3600</f>
        <v/>
      </c>
      <c r="J110" s="35">
        <f>H110/'参数与公式'!$B$21</f>
        <v/>
      </c>
      <c r="K110" s="35">
        <f>SUMIFS($J$5:$J$328,$A$5:$A$328,A110,$D$5:$D$328,"&lt;="&amp;D110)</f>
        <v/>
      </c>
      <c r="L110" s="50">
        <f>'建筑建议逐级'!Q110</f>
        <v/>
      </c>
      <c r="M110" s="36">
        <f>'建筑建议逐级'!X110</f>
        <v/>
      </c>
      <c r="N110" s="36">
        <f>SUMIFS($M$5:$M$328,$A$5:$A$328,A110,$D$5:$D$328,"&lt;="&amp;D110)</f>
        <v/>
      </c>
      <c r="O110" s="36">
        <f>'建筑建议逐级'!Y110</f>
        <v/>
      </c>
      <c r="P110" s="36">
        <f>SUMIFS($O$5:$O$328,$A$5:$A$328,A110,$D$5:$D$328,"&lt;="&amp;D110)</f>
        <v/>
      </c>
      <c r="Q110" s="51">
        <f>IF(F110="预算型曲线","总预算归一化","沿用旧指数公式")</f>
        <v/>
      </c>
      <c r="R110" s="51">
        <f>IF(F110="预算型曲线","与当前建议公式一致","需单独复核")</f>
        <v/>
      </c>
    </row>
    <row r="111" ht="22" customHeight="1">
      <c r="A111" s="33">
        <f>'建筑建议逐级'!A111</f>
        <v/>
      </c>
      <c r="B111" s="33">
        <f>'建筑建议逐级'!B111</f>
        <v/>
      </c>
      <c r="C111" s="33">
        <f>'建筑建议逐级'!C111</f>
        <v/>
      </c>
      <c r="D111" s="43">
        <f>'建筑建议逐级'!D111</f>
        <v/>
      </c>
      <c r="E111" s="36">
        <f>'建筑建议逐级'!E111</f>
        <v/>
      </c>
      <c r="F111" s="51">
        <f>IF(OR('建筑建议逐级'!I111&gt;0,'建筑建议逐级'!R111&gt;0,'建筑建议逐级'!S111&gt;0),"预算型曲线","旧指数公式")</f>
        <v/>
      </c>
      <c r="G111" s="50">
        <f>'建筑建议逐级'!H111</f>
        <v/>
      </c>
      <c r="H111" s="36">
        <f>'建筑建议逐级'!M111</f>
        <v/>
      </c>
      <c r="I111" s="35">
        <f>H111/3600</f>
        <v/>
      </c>
      <c r="J111" s="35">
        <f>H111/'参数与公式'!$B$21</f>
        <v/>
      </c>
      <c r="K111" s="35">
        <f>SUMIFS($J$5:$J$328,$A$5:$A$328,A111,$D$5:$D$328,"&lt;="&amp;D111)</f>
        <v/>
      </c>
      <c r="L111" s="50">
        <f>'建筑建议逐级'!Q111</f>
        <v/>
      </c>
      <c r="M111" s="36">
        <f>'建筑建议逐级'!X111</f>
        <v/>
      </c>
      <c r="N111" s="36">
        <f>SUMIFS($M$5:$M$328,$A$5:$A$328,A111,$D$5:$D$328,"&lt;="&amp;D111)</f>
        <v/>
      </c>
      <c r="O111" s="36">
        <f>'建筑建议逐级'!Y111</f>
        <v/>
      </c>
      <c r="P111" s="36">
        <f>SUMIFS($O$5:$O$328,$A$5:$A$328,A111,$D$5:$D$328,"&lt;="&amp;D111)</f>
        <v/>
      </c>
      <c r="Q111" s="51">
        <f>IF(F111="预算型曲线","总预算归一化","沿用旧指数公式")</f>
        <v/>
      </c>
      <c r="R111" s="51">
        <f>IF(F111="预算型曲线","与当前建议公式一致","需单独复核")</f>
        <v/>
      </c>
    </row>
    <row r="112" ht="22" customHeight="1">
      <c r="A112" s="33">
        <f>'建筑建议逐级'!A112</f>
        <v/>
      </c>
      <c r="B112" s="33">
        <f>'建筑建议逐级'!B112</f>
        <v/>
      </c>
      <c r="C112" s="33">
        <f>'建筑建议逐级'!C112</f>
        <v/>
      </c>
      <c r="D112" s="43">
        <f>'建筑建议逐级'!D112</f>
        <v/>
      </c>
      <c r="E112" s="36">
        <f>'建筑建议逐级'!E112</f>
        <v/>
      </c>
      <c r="F112" s="51">
        <f>IF(OR('建筑建议逐级'!I112&gt;0,'建筑建议逐级'!R112&gt;0,'建筑建议逐级'!S112&gt;0),"预算型曲线","旧指数公式")</f>
        <v/>
      </c>
      <c r="G112" s="50">
        <f>'建筑建议逐级'!H112</f>
        <v/>
      </c>
      <c r="H112" s="36">
        <f>'建筑建议逐级'!M112</f>
        <v/>
      </c>
      <c r="I112" s="35">
        <f>H112/3600</f>
        <v/>
      </c>
      <c r="J112" s="35">
        <f>H112/'参数与公式'!$B$21</f>
        <v/>
      </c>
      <c r="K112" s="35">
        <f>SUMIFS($J$5:$J$328,$A$5:$A$328,A112,$D$5:$D$328,"&lt;="&amp;D112)</f>
        <v/>
      </c>
      <c r="L112" s="50">
        <f>'建筑建议逐级'!Q112</f>
        <v/>
      </c>
      <c r="M112" s="36">
        <f>'建筑建议逐级'!X112</f>
        <v/>
      </c>
      <c r="N112" s="36">
        <f>SUMIFS($M$5:$M$328,$A$5:$A$328,A112,$D$5:$D$328,"&lt;="&amp;D112)</f>
        <v/>
      </c>
      <c r="O112" s="36">
        <f>'建筑建议逐级'!Y112</f>
        <v/>
      </c>
      <c r="P112" s="36">
        <f>SUMIFS($O$5:$O$328,$A$5:$A$328,A112,$D$5:$D$328,"&lt;="&amp;D112)</f>
        <v/>
      </c>
      <c r="Q112" s="51">
        <f>IF(F112="预算型曲线","总预算归一化","沿用旧指数公式")</f>
        <v/>
      </c>
      <c r="R112" s="51">
        <f>IF(F112="预算型曲线","与当前建议公式一致","需单独复核")</f>
        <v/>
      </c>
    </row>
    <row r="113" ht="22" customHeight="1">
      <c r="A113" s="33">
        <f>'建筑建议逐级'!A113</f>
        <v/>
      </c>
      <c r="B113" s="33">
        <f>'建筑建议逐级'!B113</f>
        <v/>
      </c>
      <c r="C113" s="33">
        <f>'建筑建议逐级'!C113</f>
        <v/>
      </c>
      <c r="D113" s="43">
        <f>'建筑建议逐级'!D113</f>
        <v/>
      </c>
      <c r="E113" s="36">
        <f>'建筑建议逐级'!E113</f>
        <v/>
      </c>
      <c r="F113" s="51">
        <f>IF(OR('建筑建议逐级'!I113&gt;0,'建筑建议逐级'!R113&gt;0,'建筑建议逐级'!S113&gt;0),"预算型曲线","旧指数公式")</f>
        <v/>
      </c>
      <c r="G113" s="50">
        <f>'建筑建议逐级'!H113</f>
        <v/>
      </c>
      <c r="H113" s="36">
        <f>'建筑建议逐级'!M113</f>
        <v/>
      </c>
      <c r="I113" s="35">
        <f>H113/3600</f>
        <v/>
      </c>
      <c r="J113" s="35">
        <f>H113/'参数与公式'!$B$21</f>
        <v/>
      </c>
      <c r="K113" s="35">
        <f>SUMIFS($J$5:$J$328,$A$5:$A$328,A113,$D$5:$D$328,"&lt;="&amp;D113)</f>
        <v/>
      </c>
      <c r="L113" s="50">
        <f>'建筑建议逐级'!Q113</f>
        <v/>
      </c>
      <c r="M113" s="36">
        <f>'建筑建议逐级'!X113</f>
        <v/>
      </c>
      <c r="N113" s="36">
        <f>SUMIFS($M$5:$M$328,$A$5:$A$328,A113,$D$5:$D$328,"&lt;="&amp;D113)</f>
        <v/>
      </c>
      <c r="O113" s="36">
        <f>'建筑建议逐级'!Y113</f>
        <v/>
      </c>
      <c r="P113" s="36">
        <f>SUMIFS($O$5:$O$328,$A$5:$A$328,A113,$D$5:$D$328,"&lt;="&amp;D113)</f>
        <v/>
      </c>
      <c r="Q113" s="51">
        <f>IF(F113="预算型曲线","总预算归一化","沿用旧指数公式")</f>
        <v/>
      </c>
      <c r="R113" s="51">
        <f>IF(F113="预算型曲线","与当前建议公式一致","需单独复核")</f>
        <v/>
      </c>
    </row>
    <row r="114" ht="22" customHeight="1">
      <c r="A114" s="33">
        <f>'建筑建议逐级'!A114</f>
        <v/>
      </c>
      <c r="B114" s="33">
        <f>'建筑建议逐级'!B114</f>
        <v/>
      </c>
      <c r="C114" s="33">
        <f>'建筑建议逐级'!C114</f>
        <v/>
      </c>
      <c r="D114" s="43">
        <f>'建筑建议逐级'!D114</f>
        <v/>
      </c>
      <c r="E114" s="36">
        <f>'建筑建议逐级'!E114</f>
        <v/>
      </c>
      <c r="F114" s="51">
        <f>IF(OR('建筑建议逐级'!I114&gt;0,'建筑建议逐级'!R114&gt;0,'建筑建议逐级'!S114&gt;0),"预算型曲线","旧指数公式")</f>
        <v/>
      </c>
      <c r="G114" s="50">
        <f>'建筑建议逐级'!H114</f>
        <v/>
      </c>
      <c r="H114" s="36">
        <f>'建筑建议逐级'!M114</f>
        <v/>
      </c>
      <c r="I114" s="35">
        <f>H114/3600</f>
        <v/>
      </c>
      <c r="J114" s="35">
        <f>H114/'参数与公式'!$B$21</f>
        <v/>
      </c>
      <c r="K114" s="35">
        <f>SUMIFS($J$5:$J$328,$A$5:$A$328,A114,$D$5:$D$328,"&lt;="&amp;D114)</f>
        <v/>
      </c>
      <c r="L114" s="50">
        <f>'建筑建议逐级'!Q114</f>
        <v/>
      </c>
      <c r="M114" s="36">
        <f>'建筑建议逐级'!X114</f>
        <v/>
      </c>
      <c r="N114" s="36">
        <f>SUMIFS($M$5:$M$328,$A$5:$A$328,A114,$D$5:$D$328,"&lt;="&amp;D114)</f>
        <v/>
      </c>
      <c r="O114" s="36">
        <f>'建筑建议逐级'!Y114</f>
        <v/>
      </c>
      <c r="P114" s="36">
        <f>SUMIFS($O$5:$O$328,$A$5:$A$328,A114,$D$5:$D$328,"&lt;="&amp;D114)</f>
        <v/>
      </c>
      <c r="Q114" s="51">
        <f>IF(F114="预算型曲线","总预算归一化","沿用旧指数公式")</f>
        <v/>
      </c>
      <c r="R114" s="51">
        <f>IF(F114="预算型曲线","与当前建议公式一致","需单独复核")</f>
        <v/>
      </c>
    </row>
    <row r="115" ht="22" customHeight="1">
      <c r="A115" s="33">
        <f>'建筑建议逐级'!A115</f>
        <v/>
      </c>
      <c r="B115" s="33">
        <f>'建筑建议逐级'!B115</f>
        <v/>
      </c>
      <c r="C115" s="33">
        <f>'建筑建议逐级'!C115</f>
        <v/>
      </c>
      <c r="D115" s="43">
        <f>'建筑建议逐级'!D115</f>
        <v/>
      </c>
      <c r="E115" s="36">
        <f>'建筑建议逐级'!E115</f>
        <v/>
      </c>
      <c r="F115" s="51">
        <f>IF(OR('建筑建议逐级'!I115&gt;0,'建筑建议逐级'!R115&gt;0,'建筑建议逐级'!S115&gt;0),"预算型曲线","旧指数公式")</f>
        <v/>
      </c>
      <c r="G115" s="50">
        <f>'建筑建议逐级'!H115</f>
        <v/>
      </c>
      <c r="H115" s="36">
        <f>'建筑建议逐级'!M115</f>
        <v/>
      </c>
      <c r="I115" s="35">
        <f>H115/3600</f>
        <v/>
      </c>
      <c r="J115" s="35">
        <f>H115/'参数与公式'!$B$21</f>
        <v/>
      </c>
      <c r="K115" s="35">
        <f>SUMIFS($J$5:$J$328,$A$5:$A$328,A115,$D$5:$D$328,"&lt;="&amp;D115)</f>
        <v/>
      </c>
      <c r="L115" s="50">
        <f>'建筑建议逐级'!Q115</f>
        <v/>
      </c>
      <c r="M115" s="36">
        <f>'建筑建议逐级'!X115</f>
        <v/>
      </c>
      <c r="N115" s="36">
        <f>SUMIFS($M$5:$M$328,$A$5:$A$328,A115,$D$5:$D$328,"&lt;="&amp;D115)</f>
        <v/>
      </c>
      <c r="O115" s="36">
        <f>'建筑建议逐级'!Y115</f>
        <v/>
      </c>
      <c r="P115" s="36">
        <f>SUMIFS($O$5:$O$328,$A$5:$A$328,A115,$D$5:$D$328,"&lt;="&amp;D115)</f>
        <v/>
      </c>
      <c r="Q115" s="51">
        <f>IF(F115="预算型曲线","总预算归一化","沿用旧指数公式")</f>
        <v/>
      </c>
      <c r="R115" s="51">
        <f>IF(F115="预算型曲线","与当前建议公式一致","需单独复核")</f>
        <v/>
      </c>
    </row>
    <row r="116" ht="22" customHeight="1">
      <c r="A116" s="33">
        <f>'建筑建议逐级'!A116</f>
        <v/>
      </c>
      <c r="B116" s="33">
        <f>'建筑建议逐级'!B116</f>
        <v/>
      </c>
      <c r="C116" s="33">
        <f>'建筑建议逐级'!C116</f>
        <v/>
      </c>
      <c r="D116" s="43">
        <f>'建筑建议逐级'!D116</f>
        <v/>
      </c>
      <c r="E116" s="36">
        <f>'建筑建议逐级'!E116</f>
        <v/>
      </c>
      <c r="F116" s="51">
        <f>IF(OR('建筑建议逐级'!I116&gt;0,'建筑建议逐级'!R116&gt;0,'建筑建议逐级'!S116&gt;0),"预算型曲线","旧指数公式")</f>
        <v/>
      </c>
      <c r="G116" s="50">
        <f>'建筑建议逐级'!H116</f>
        <v/>
      </c>
      <c r="H116" s="36">
        <f>'建筑建议逐级'!M116</f>
        <v/>
      </c>
      <c r="I116" s="35">
        <f>H116/3600</f>
        <v/>
      </c>
      <c r="J116" s="35">
        <f>H116/'参数与公式'!$B$21</f>
        <v/>
      </c>
      <c r="K116" s="35">
        <f>SUMIFS($J$5:$J$328,$A$5:$A$328,A116,$D$5:$D$328,"&lt;="&amp;D116)</f>
        <v/>
      </c>
      <c r="L116" s="50">
        <f>'建筑建议逐级'!Q116</f>
        <v/>
      </c>
      <c r="M116" s="36">
        <f>'建筑建议逐级'!X116</f>
        <v/>
      </c>
      <c r="N116" s="36">
        <f>SUMIFS($M$5:$M$328,$A$5:$A$328,A116,$D$5:$D$328,"&lt;="&amp;D116)</f>
        <v/>
      </c>
      <c r="O116" s="36">
        <f>'建筑建议逐级'!Y116</f>
        <v/>
      </c>
      <c r="P116" s="36">
        <f>SUMIFS($O$5:$O$328,$A$5:$A$328,A116,$D$5:$D$328,"&lt;="&amp;D116)</f>
        <v/>
      </c>
      <c r="Q116" s="51">
        <f>IF(F116="预算型曲线","总预算归一化","沿用旧指数公式")</f>
        <v/>
      </c>
      <c r="R116" s="51">
        <f>IF(F116="预算型曲线","与当前建议公式一致","需单独复核")</f>
        <v/>
      </c>
    </row>
    <row r="117" ht="22" customHeight="1">
      <c r="A117" s="33">
        <f>'建筑建议逐级'!A117</f>
        <v/>
      </c>
      <c r="B117" s="33">
        <f>'建筑建议逐级'!B117</f>
        <v/>
      </c>
      <c r="C117" s="33">
        <f>'建筑建议逐级'!C117</f>
        <v/>
      </c>
      <c r="D117" s="43">
        <f>'建筑建议逐级'!D117</f>
        <v/>
      </c>
      <c r="E117" s="36">
        <f>'建筑建议逐级'!E117</f>
        <v/>
      </c>
      <c r="F117" s="51">
        <f>IF(OR('建筑建议逐级'!I117&gt;0,'建筑建议逐级'!R117&gt;0,'建筑建议逐级'!S117&gt;0),"预算型曲线","旧指数公式")</f>
        <v/>
      </c>
      <c r="G117" s="50">
        <f>'建筑建议逐级'!H117</f>
        <v/>
      </c>
      <c r="H117" s="36">
        <f>'建筑建议逐级'!M117</f>
        <v/>
      </c>
      <c r="I117" s="35">
        <f>H117/3600</f>
        <v/>
      </c>
      <c r="J117" s="35">
        <f>H117/'参数与公式'!$B$21</f>
        <v/>
      </c>
      <c r="K117" s="35">
        <f>SUMIFS($J$5:$J$328,$A$5:$A$328,A117,$D$5:$D$328,"&lt;="&amp;D117)</f>
        <v/>
      </c>
      <c r="L117" s="50">
        <f>'建筑建议逐级'!Q117</f>
        <v/>
      </c>
      <c r="M117" s="36">
        <f>'建筑建议逐级'!X117</f>
        <v/>
      </c>
      <c r="N117" s="36">
        <f>SUMIFS($M$5:$M$328,$A$5:$A$328,A117,$D$5:$D$328,"&lt;="&amp;D117)</f>
        <v/>
      </c>
      <c r="O117" s="36">
        <f>'建筑建议逐级'!Y117</f>
        <v/>
      </c>
      <c r="P117" s="36">
        <f>SUMIFS($O$5:$O$328,$A$5:$A$328,A117,$D$5:$D$328,"&lt;="&amp;D117)</f>
        <v/>
      </c>
      <c r="Q117" s="51">
        <f>IF(F117="预算型曲线","总预算归一化","沿用旧指数公式")</f>
        <v/>
      </c>
      <c r="R117" s="51">
        <f>IF(F117="预算型曲线","与当前建议公式一致","需单独复核")</f>
        <v/>
      </c>
    </row>
    <row r="118" ht="22" customHeight="1">
      <c r="A118" s="33">
        <f>'建筑建议逐级'!A118</f>
        <v/>
      </c>
      <c r="B118" s="33">
        <f>'建筑建议逐级'!B118</f>
        <v/>
      </c>
      <c r="C118" s="33">
        <f>'建筑建议逐级'!C118</f>
        <v/>
      </c>
      <c r="D118" s="43">
        <f>'建筑建议逐级'!D118</f>
        <v/>
      </c>
      <c r="E118" s="36">
        <f>'建筑建议逐级'!E118</f>
        <v/>
      </c>
      <c r="F118" s="51">
        <f>IF(OR('建筑建议逐级'!I118&gt;0,'建筑建议逐级'!R118&gt;0,'建筑建议逐级'!S118&gt;0),"预算型曲线","旧指数公式")</f>
        <v/>
      </c>
      <c r="G118" s="50">
        <f>'建筑建议逐级'!H118</f>
        <v/>
      </c>
      <c r="H118" s="36">
        <f>'建筑建议逐级'!M118</f>
        <v/>
      </c>
      <c r="I118" s="35">
        <f>H118/3600</f>
        <v/>
      </c>
      <c r="J118" s="35">
        <f>H118/'参数与公式'!$B$21</f>
        <v/>
      </c>
      <c r="K118" s="35">
        <f>SUMIFS($J$5:$J$328,$A$5:$A$328,A118,$D$5:$D$328,"&lt;="&amp;D118)</f>
        <v/>
      </c>
      <c r="L118" s="50">
        <f>'建筑建议逐级'!Q118</f>
        <v/>
      </c>
      <c r="M118" s="36">
        <f>'建筑建议逐级'!X118</f>
        <v/>
      </c>
      <c r="N118" s="36">
        <f>SUMIFS($M$5:$M$328,$A$5:$A$328,A118,$D$5:$D$328,"&lt;="&amp;D118)</f>
        <v/>
      </c>
      <c r="O118" s="36">
        <f>'建筑建议逐级'!Y118</f>
        <v/>
      </c>
      <c r="P118" s="36">
        <f>SUMIFS($O$5:$O$328,$A$5:$A$328,A118,$D$5:$D$328,"&lt;="&amp;D118)</f>
        <v/>
      </c>
      <c r="Q118" s="51">
        <f>IF(F118="预算型曲线","总预算归一化","沿用旧指数公式")</f>
        <v/>
      </c>
      <c r="R118" s="51">
        <f>IF(F118="预算型曲线","与当前建议公式一致","需单独复核")</f>
        <v/>
      </c>
    </row>
    <row r="119" ht="22" customHeight="1">
      <c r="A119" s="33">
        <f>'建筑建议逐级'!A119</f>
        <v/>
      </c>
      <c r="B119" s="33">
        <f>'建筑建议逐级'!B119</f>
        <v/>
      </c>
      <c r="C119" s="33">
        <f>'建筑建议逐级'!C119</f>
        <v/>
      </c>
      <c r="D119" s="43">
        <f>'建筑建议逐级'!D119</f>
        <v/>
      </c>
      <c r="E119" s="36">
        <f>'建筑建议逐级'!E119</f>
        <v/>
      </c>
      <c r="F119" s="51">
        <f>IF(OR('建筑建议逐级'!I119&gt;0,'建筑建议逐级'!R119&gt;0,'建筑建议逐级'!S119&gt;0),"预算型曲线","旧指数公式")</f>
        <v/>
      </c>
      <c r="G119" s="50">
        <f>'建筑建议逐级'!H119</f>
        <v/>
      </c>
      <c r="H119" s="36">
        <f>'建筑建议逐级'!M119</f>
        <v/>
      </c>
      <c r="I119" s="35">
        <f>H119/3600</f>
        <v/>
      </c>
      <c r="J119" s="35">
        <f>H119/'参数与公式'!$B$21</f>
        <v/>
      </c>
      <c r="K119" s="35">
        <f>SUMIFS($J$5:$J$328,$A$5:$A$328,A119,$D$5:$D$328,"&lt;="&amp;D119)</f>
        <v/>
      </c>
      <c r="L119" s="50">
        <f>'建筑建议逐级'!Q119</f>
        <v/>
      </c>
      <c r="M119" s="36">
        <f>'建筑建议逐级'!X119</f>
        <v/>
      </c>
      <c r="N119" s="36">
        <f>SUMIFS($M$5:$M$328,$A$5:$A$328,A119,$D$5:$D$328,"&lt;="&amp;D119)</f>
        <v/>
      </c>
      <c r="O119" s="36">
        <f>'建筑建议逐级'!Y119</f>
        <v/>
      </c>
      <c r="P119" s="36">
        <f>SUMIFS($O$5:$O$328,$A$5:$A$328,A119,$D$5:$D$328,"&lt;="&amp;D119)</f>
        <v/>
      </c>
      <c r="Q119" s="51">
        <f>IF(F119="预算型曲线","总预算归一化","沿用旧指数公式")</f>
        <v/>
      </c>
      <c r="R119" s="51">
        <f>IF(F119="预算型曲线","与当前建议公式一致","需单独复核")</f>
        <v/>
      </c>
    </row>
    <row r="120" ht="22" customHeight="1">
      <c r="A120" s="33">
        <f>'建筑建议逐级'!A120</f>
        <v/>
      </c>
      <c r="B120" s="33">
        <f>'建筑建议逐级'!B120</f>
        <v/>
      </c>
      <c r="C120" s="33">
        <f>'建筑建议逐级'!C120</f>
        <v/>
      </c>
      <c r="D120" s="43">
        <f>'建筑建议逐级'!D120</f>
        <v/>
      </c>
      <c r="E120" s="36">
        <f>'建筑建议逐级'!E120</f>
        <v/>
      </c>
      <c r="F120" s="51">
        <f>IF(OR('建筑建议逐级'!I120&gt;0,'建筑建议逐级'!R120&gt;0,'建筑建议逐级'!S120&gt;0),"预算型曲线","旧指数公式")</f>
        <v/>
      </c>
      <c r="G120" s="50">
        <f>'建筑建议逐级'!H120</f>
        <v/>
      </c>
      <c r="H120" s="36">
        <f>'建筑建议逐级'!M120</f>
        <v/>
      </c>
      <c r="I120" s="35">
        <f>H120/3600</f>
        <v/>
      </c>
      <c r="J120" s="35">
        <f>H120/'参数与公式'!$B$21</f>
        <v/>
      </c>
      <c r="K120" s="35">
        <f>SUMIFS($J$5:$J$328,$A$5:$A$328,A120,$D$5:$D$328,"&lt;="&amp;D120)</f>
        <v/>
      </c>
      <c r="L120" s="50">
        <f>'建筑建议逐级'!Q120</f>
        <v/>
      </c>
      <c r="M120" s="36">
        <f>'建筑建议逐级'!X120</f>
        <v/>
      </c>
      <c r="N120" s="36">
        <f>SUMIFS($M$5:$M$328,$A$5:$A$328,A120,$D$5:$D$328,"&lt;="&amp;D120)</f>
        <v/>
      </c>
      <c r="O120" s="36">
        <f>'建筑建议逐级'!Y120</f>
        <v/>
      </c>
      <c r="P120" s="36">
        <f>SUMIFS($O$5:$O$328,$A$5:$A$328,A120,$D$5:$D$328,"&lt;="&amp;D120)</f>
        <v/>
      </c>
      <c r="Q120" s="51">
        <f>IF(F120="预算型曲线","总预算归一化","沿用旧指数公式")</f>
        <v/>
      </c>
      <c r="R120" s="51">
        <f>IF(F120="预算型曲线","与当前建议公式一致","需单独复核")</f>
        <v/>
      </c>
    </row>
    <row r="121" ht="22" customHeight="1">
      <c r="A121" s="33">
        <f>'建筑建议逐级'!A121</f>
        <v/>
      </c>
      <c r="B121" s="33">
        <f>'建筑建议逐级'!B121</f>
        <v/>
      </c>
      <c r="C121" s="33">
        <f>'建筑建议逐级'!C121</f>
        <v/>
      </c>
      <c r="D121" s="43">
        <f>'建筑建议逐级'!D121</f>
        <v/>
      </c>
      <c r="E121" s="36">
        <f>'建筑建议逐级'!E121</f>
        <v/>
      </c>
      <c r="F121" s="51">
        <f>IF(OR('建筑建议逐级'!I121&gt;0,'建筑建议逐级'!R121&gt;0,'建筑建议逐级'!S121&gt;0),"预算型曲线","旧指数公式")</f>
        <v/>
      </c>
      <c r="G121" s="50">
        <f>'建筑建议逐级'!H121</f>
        <v/>
      </c>
      <c r="H121" s="36">
        <f>'建筑建议逐级'!M121</f>
        <v/>
      </c>
      <c r="I121" s="35">
        <f>H121/3600</f>
        <v/>
      </c>
      <c r="J121" s="35">
        <f>H121/'参数与公式'!$B$21</f>
        <v/>
      </c>
      <c r="K121" s="35">
        <f>SUMIFS($J$5:$J$328,$A$5:$A$328,A121,$D$5:$D$328,"&lt;="&amp;D121)</f>
        <v/>
      </c>
      <c r="L121" s="50">
        <f>'建筑建议逐级'!Q121</f>
        <v/>
      </c>
      <c r="M121" s="36">
        <f>'建筑建议逐级'!X121</f>
        <v/>
      </c>
      <c r="N121" s="36">
        <f>SUMIFS($M$5:$M$328,$A$5:$A$328,A121,$D$5:$D$328,"&lt;="&amp;D121)</f>
        <v/>
      </c>
      <c r="O121" s="36">
        <f>'建筑建议逐级'!Y121</f>
        <v/>
      </c>
      <c r="P121" s="36">
        <f>SUMIFS($O$5:$O$328,$A$5:$A$328,A121,$D$5:$D$328,"&lt;="&amp;D121)</f>
        <v/>
      </c>
      <c r="Q121" s="51">
        <f>IF(F121="预算型曲线","总预算归一化","沿用旧指数公式")</f>
        <v/>
      </c>
      <c r="R121" s="51">
        <f>IF(F121="预算型曲线","与当前建议公式一致","需单独复核")</f>
        <v/>
      </c>
    </row>
    <row r="122" ht="22" customHeight="1">
      <c r="A122" s="33">
        <f>'建筑建议逐级'!A122</f>
        <v/>
      </c>
      <c r="B122" s="33">
        <f>'建筑建议逐级'!B122</f>
        <v/>
      </c>
      <c r="C122" s="33">
        <f>'建筑建议逐级'!C122</f>
        <v/>
      </c>
      <c r="D122" s="43">
        <f>'建筑建议逐级'!D122</f>
        <v/>
      </c>
      <c r="E122" s="36">
        <f>'建筑建议逐级'!E122</f>
        <v/>
      </c>
      <c r="F122" s="51">
        <f>IF(OR('建筑建议逐级'!I122&gt;0,'建筑建议逐级'!R122&gt;0,'建筑建议逐级'!S122&gt;0),"预算型曲线","旧指数公式")</f>
        <v/>
      </c>
      <c r="G122" s="50">
        <f>'建筑建议逐级'!H122</f>
        <v/>
      </c>
      <c r="H122" s="36">
        <f>'建筑建议逐级'!M122</f>
        <v/>
      </c>
      <c r="I122" s="35">
        <f>H122/3600</f>
        <v/>
      </c>
      <c r="J122" s="35">
        <f>H122/'参数与公式'!$B$21</f>
        <v/>
      </c>
      <c r="K122" s="35">
        <f>SUMIFS($J$5:$J$328,$A$5:$A$328,A122,$D$5:$D$328,"&lt;="&amp;D122)</f>
        <v/>
      </c>
      <c r="L122" s="50">
        <f>'建筑建议逐级'!Q122</f>
        <v/>
      </c>
      <c r="M122" s="36">
        <f>'建筑建议逐级'!X122</f>
        <v/>
      </c>
      <c r="N122" s="36">
        <f>SUMIFS($M$5:$M$328,$A$5:$A$328,A122,$D$5:$D$328,"&lt;="&amp;D122)</f>
        <v/>
      </c>
      <c r="O122" s="36">
        <f>'建筑建议逐级'!Y122</f>
        <v/>
      </c>
      <c r="P122" s="36">
        <f>SUMIFS($O$5:$O$328,$A$5:$A$328,A122,$D$5:$D$328,"&lt;="&amp;D122)</f>
        <v/>
      </c>
      <c r="Q122" s="51">
        <f>IF(F122="预算型曲线","总预算归一化","沿用旧指数公式")</f>
        <v/>
      </c>
      <c r="R122" s="51">
        <f>IF(F122="预算型曲线","与当前建议公式一致","需单独复核")</f>
        <v/>
      </c>
    </row>
    <row r="123" ht="22" customHeight="1">
      <c r="A123" s="33">
        <f>'建筑建议逐级'!A123</f>
        <v/>
      </c>
      <c r="B123" s="33">
        <f>'建筑建议逐级'!B123</f>
        <v/>
      </c>
      <c r="C123" s="33">
        <f>'建筑建议逐级'!C123</f>
        <v/>
      </c>
      <c r="D123" s="43">
        <f>'建筑建议逐级'!D123</f>
        <v/>
      </c>
      <c r="E123" s="36">
        <f>'建筑建议逐级'!E123</f>
        <v/>
      </c>
      <c r="F123" s="51">
        <f>IF(OR('建筑建议逐级'!I123&gt;0,'建筑建议逐级'!R123&gt;0,'建筑建议逐级'!S123&gt;0),"预算型曲线","旧指数公式")</f>
        <v/>
      </c>
      <c r="G123" s="50">
        <f>'建筑建议逐级'!H123</f>
        <v/>
      </c>
      <c r="H123" s="36">
        <f>'建筑建议逐级'!M123</f>
        <v/>
      </c>
      <c r="I123" s="35">
        <f>H123/3600</f>
        <v/>
      </c>
      <c r="J123" s="35">
        <f>H123/'参数与公式'!$B$21</f>
        <v/>
      </c>
      <c r="K123" s="35">
        <f>SUMIFS($J$5:$J$328,$A$5:$A$328,A123,$D$5:$D$328,"&lt;="&amp;D123)</f>
        <v/>
      </c>
      <c r="L123" s="50">
        <f>'建筑建议逐级'!Q123</f>
        <v/>
      </c>
      <c r="M123" s="36">
        <f>'建筑建议逐级'!X123</f>
        <v/>
      </c>
      <c r="N123" s="36">
        <f>SUMIFS($M$5:$M$328,$A$5:$A$328,A123,$D$5:$D$328,"&lt;="&amp;D123)</f>
        <v/>
      </c>
      <c r="O123" s="36">
        <f>'建筑建议逐级'!Y123</f>
        <v/>
      </c>
      <c r="P123" s="36">
        <f>SUMIFS($O$5:$O$328,$A$5:$A$328,A123,$D$5:$D$328,"&lt;="&amp;D123)</f>
        <v/>
      </c>
      <c r="Q123" s="51">
        <f>IF(F123="预算型曲线","总预算归一化","沿用旧指数公式")</f>
        <v/>
      </c>
      <c r="R123" s="51">
        <f>IF(F123="预算型曲线","与当前建议公式一致","需单独复核")</f>
        <v/>
      </c>
    </row>
    <row r="124" ht="22" customHeight="1">
      <c r="A124" s="33">
        <f>'建筑建议逐级'!A124</f>
        <v/>
      </c>
      <c r="B124" s="33">
        <f>'建筑建议逐级'!B124</f>
        <v/>
      </c>
      <c r="C124" s="33">
        <f>'建筑建议逐级'!C124</f>
        <v/>
      </c>
      <c r="D124" s="43">
        <f>'建筑建议逐级'!D124</f>
        <v/>
      </c>
      <c r="E124" s="36">
        <f>'建筑建议逐级'!E124</f>
        <v/>
      </c>
      <c r="F124" s="51">
        <f>IF(OR('建筑建议逐级'!I124&gt;0,'建筑建议逐级'!R124&gt;0,'建筑建议逐级'!S124&gt;0),"预算型曲线","旧指数公式")</f>
        <v/>
      </c>
      <c r="G124" s="50">
        <f>'建筑建议逐级'!H124</f>
        <v/>
      </c>
      <c r="H124" s="36">
        <f>'建筑建议逐级'!M124</f>
        <v/>
      </c>
      <c r="I124" s="35">
        <f>H124/3600</f>
        <v/>
      </c>
      <c r="J124" s="35">
        <f>H124/'参数与公式'!$B$21</f>
        <v/>
      </c>
      <c r="K124" s="35">
        <f>SUMIFS($J$5:$J$328,$A$5:$A$328,A124,$D$5:$D$328,"&lt;="&amp;D124)</f>
        <v/>
      </c>
      <c r="L124" s="50">
        <f>'建筑建议逐级'!Q124</f>
        <v/>
      </c>
      <c r="M124" s="36">
        <f>'建筑建议逐级'!X124</f>
        <v/>
      </c>
      <c r="N124" s="36">
        <f>SUMIFS($M$5:$M$328,$A$5:$A$328,A124,$D$5:$D$328,"&lt;="&amp;D124)</f>
        <v/>
      </c>
      <c r="O124" s="36">
        <f>'建筑建议逐级'!Y124</f>
        <v/>
      </c>
      <c r="P124" s="36">
        <f>SUMIFS($O$5:$O$328,$A$5:$A$328,A124,$D$5:$D$328,"&lt;="&amp;D124)</f>
        <v/>
      </c>
      <c r="Q124" s="51">
        <f>IF(F124="预算型曲线","总预算归一化","沿用旧指数公式")</f>
        <v/>
      </c>
      <c r="R124" s="51">
        <f>IF(F124="预算型曲线","与当前建议公式一致","需单独复核")</f>
        <v/>
      </c>
    </row>
    <row r="125" ht="22" customHeight="1">
      <c r="A125" s="33">
        <f>'建筑建议逐级'!A125</f>
        <v/>
      </c>
      <c r="B125" s="33">
        <f>'建筑建议逐级'!B125</f>
        <v/>
      </c>
      <c r="C125" s="33">
        <f>'建筑建议逐级'!C125</f>
        <v/>
      </c>
      <c r="D125" s="43">
        <f>'建筑建议逐级'!D125</f>
        <v/>
      </c>
      <c r="E125" s="36">
        <f>'建筑建议逐级'!E125</f>
        <v/>
      </c>
      <c r="F125" s="51">
        <f>IF(OR('建筑建议逐级'!I125&gt;0,'建筑建议逐级'!R125&gt;0,'建筑建议逐级'!S125&gt;0),"预算型曲线","旧指数公式")</f>
        <v/>
      </c>
      <c r="G125" s="50">
        <f>'建筑建议逐级'!H125</f>
        <v/>
      </c>
      <c r="H125" s="36">
        <f>'建筑建议逐级'!M125</f>
        <v/>
      </c>
      <c r="I125" s="35">
        <f>H125/3600</f>
        <v/>
      </c>
      <c r="J125" s="35">
        <f>H125/'参数与公式'!$B$21</f>
        <v/>
      </c>
      <c r="K125" s="35">
        <f>SUMIFS($J$5:$J$328,$A$5:$A$328,A125,$D$5:$D$328,"&lt;="&amp;D125)</f>
        <v/>
      </c>
      <c r="L125" s="50">
        <f>'建筑建议逐级'!Q125</f>
        <v/>
      </c>
      <c r="M125" s="36">
        <f>'建筑建议逐级'!X125</f>
        <v/>
      </c>
      <c r="N125" s="36">
        <f>SUMIFS($M$5:$M$328,$A$5:$A$328,A125,$D$5:$D$328,"&lt;="&amp;D125)</f>
        <v/>
      </c>
      <c r="O125" s="36">
        <f>'建筑建议逐级'!Y125</f>
        <v/>
      </c>
      <c r="P125" s="36">
        <f>SUMIFS($O$5:$O$328,$A$5:$A$328,A125,$D$5:$D$328,"&lt;="&amp;D125)</f>
        <v/>
      </c>
      <c r="Q125" s="51">
        <f>IF(F125="预算型曲线","总预算归一化","沿用旧指数公式")</f>
        <v/>
      </c>
      <c r="R125" s="51">
        <f>IF(F125="预算型曲线","与当前建议公式一致","需单独复核")</f>
        <v/>
      </c>
    </row>
    <row r="126" ht="22" customHeight="1">
      <c r="A126" s="33">
        <f>'建筑建议逐级'!A126</f>
        <v/>
      </c>
      <c r="B126" s="33">
        <f>'建筑建议逐级'!B126</f>
        <v/>
      </c>
      <c r="C126" s="33">
        <f>'建筑建议逐级'!C126</f>
        <v/>
      </c>
      <c r="D126" s="43">
        <f>'建筑建议逐级'!D126</f>
        <v/>
      </c>
      <c r="E126" s="36">
        <f>'建筑建议逐级'!E126</f>
        <v/>
      </c>
      <c r="F126" s="51">
        <f>IF(OR('建筑建议逐级'!I126&gt;0,'建筑建议逐级'!R126&gt;0,'建筑建议逐级'!S126&gt;0),"预算型曲线","旧指数公式")</f>
        <v/>
      </c>
      <c r="G126" s="50">
        <f>'建筑建议逐级'!H126</f>
        <v/>
      </c>
      <c r="H126" s="36">
        <f>'建筑建议逐级'!M126</f>
        <v/>
      </c>
      <c r="I126" s="35">
        <f>H126/3600</f>
        <v/>
      </c>
      <c r="J126" s="35">
        <f>H126/'参数与公式'!$B$21</f>
        <v/>
      </c>
      <c r="K126" s="35">
        <f>SUMIFS($J$5:$J$328,$A$5:$A$328,A126,$D$5:$D$328,"&lt;="&amp;D126)</f>
        <v/>
      </c>
      <c r="L126" s="50">
        <f>'建筑建议逐级'!Q126</f>
        <v/>
      </c>
      <c r="M126" s="36">
        <f>'建筑建议逐级'!X126</f>
        <v/>
      </c>
      <c r="N126" s="36">
        <f>SUMIFS($M$5:$M$328,$A$5:$A$328,A126,$D$5:$D$328,"&lt;="&amp;D126)</f>
        <v/>
      </c>
      <c r="O126" s="36">
        <f>'建筑建议逐级'!Y126</f>
        <v/>
      </c>
      <c r="P126" s="36">
        <f>SUMIFS($O$5:$O$328,$A$5:$A$328,A126,$D$5:$D$328,"&lt;="&amp;D126)</f>
        <v/>
      </c>
      <c r="Q126" s="51">
        <f>IF(F126="预算型曲线","总预算归一化","沿用旧指数公式")</f>
        <v/>
      </c>
      <c r="R126" s="51">
        <f>IF(F126="预算型曲线","与当前建议公式一致","需单独复核")</f>
        <v/>
      </c>
    </row>
    <row r="127" ht="22" customHeight="1">
      <c r="A127" s="33">
        <f>'建筑建议逐级'!A127</f>
        <v/>
      </c>
      <c r="B127" s="33">
        <f>'建筑建议逐级'!B127</f>
        <v/>
      </c>
      <c r="C127" s="33">
        <f>'建筑建议逐级'!C127</f>
        <v/>
      </c>
      <c r="D127" s="43">
        <f>'建筑建议逐级'!D127</f>
        <v/>
      </c>
      <c r="E127" s="36">
        <f>'建筑建议逐级'!E127</f>
        <v/>
      </c>
      <c r="F127" s="51">
        <f>IF(OR('建筑建议逐级'!I127&gt;0,'建筑建议逐级'!R127&gt;0,'建筑建议逐级'!S127&gt;0),"预算型曲线","旧指数公式")</f>
        <v/>
      </c>
      <c r="G127" s="50">
        <f>'建筑建议逐级'!H127</f>
        <v/>
      </c>
      <c r="H127" s="36">
        <f>'建筑建议逐级'!M127</f>
        <v/>
      </c>
      <c r="I127" s="35">
        <f>H127/3600</f>
        <v/>
      </c>
      <c r="J127" s="35">
        <f>H127/'参数与公式'!$B$21</f>
        <v/>
      </c>
      <c r="K127" s="35">
        <f>SUMIFS($J$5:$J$328,$A$5:$A$328,A127,$D$5:$D$328,"&lt;="&amp;D127)</f>
        <v/>
      </c>
      <c r="L127" s="50">
        <f>'建筑建议逐级'!Q127</f>
        <v/>
      </c>
      <c r="M127" s="36">
        <f>'建筑建议逐级'!X127</f>
        <v/>
      </c>
      <c r="N127" s="36">
        <f>SUMIFS($M$5:$M$328,$A$5:$A$328,A127,$D$5:$D$328,"&lt;="&amp;D127)</f>
        <v/>
      </c>
      <c r="O127" s="36">
        <f>'建筑建议逐级'!Y127</f>
        <v/>
      </c>
      <c r="P127" s="36">
        <f>SUMIFS($O$5:$O$328,$A$5:$A$328,A127,$D$5:$D$328,"&lt;="&amp;D127)</f>
        <v/>
      </c>
      <c r="Q127" s="51">
        <f>IF(F127="预算型曲线","总预算归一化","沿用旧指数公式")</f>
        <v/>
      </c>
      <c r="R127" s="51">
        <f>IF(F127="预算型曲线","与当前建议公式一致","需单独复核")</f>
        <v/>
      </c>
    </row>
    <row r="128" ht="22" customHeight="1">
      <c r="A128" s="33">
        <f>'建筑建议逐级'!A128</f>
        <v/>
      </c>
      <c r="B128" s="33">
        <f>'建筑建议逐级'!B128</f>
        <v/>
      </c>
      <c r="C128" s="33">
        <f>'建筑建议逐级'!C128</f>
        <v/>
      </c>
      <c r="D128" s="43">
        <f>'建筑建议逐级'!D128</f>
        <v/>
      </c>
      <c r="E128" s="36">
        <f>'建筑建议逐级'!E128</f>
        <v/>
      </c>
      <c r="F128" s="51">
        <f>IF(OR('建筑建议逐级'!I128&gt;0,'建筑建议逐级'!R128&gt;0,'建筑建议逐级'!S128&gt;0),"预算型曲线","旧指数公式")</f>
        <v/>
      </c>
      <c r="G128" s="50">
        <f>'建筑建议逐级'!H128</f>
        <v/>
      </c>
      <c r="H128" s="36">
        <f>'建筑建议逐级'!M128</f>
        <v/>
      </c>
      <c r="I128" s="35">
        <f>H128/3600</f>
        <v/>
      </c>
      <c r="J128" s="35">
        <f>H128/'参数与公式'!$B$21</f>
        <v/>
      </c>
      <c r="K128" s="35">
        <f>SUMIFS($J$5:$J$328,$A$5:$A$328,A128,$D$5:$D$328,"&lt;="&amp;D128)</f>
        <v/>
      </c>
      <c r="L128" s="50">
        <f>'建筑建议逐级'!Q128</f>
        <v/>
      </c>
      <c r="M128" s="36">
        <f>'建筑建议逐级'!X128</f>
        <v/>
      </c>
      <c r="N128" s="36">
        <f>SUMIFS($M$5:$M$328,$A$5:$A$328,A128,$D$5:$D$328,"&lt;="&amp;D128)</f>
        <v/>
      </c>
      <c r="O128" s="36">
        <f>'建筑建议逐级'!Y128</f>
        <v/>
      </c>
      <c r="P128" s="36">
        <f>SUMIFS($O$5:$O$328,$A$5:$A$328,A128,$D$5:$D$328,"&lt;="&amp;D128)</f>
        <v/>
      </c>
      <c r="Q128" s="51">
        <f>IF(F128="预算型曲线","总预算归一化","沿用旧指数公式")</f>
        <v/>
      </c>
      <c r="R128" s="51">
        <f>IF(F128="预算型曲线","与当前建议公式一致","需单独复核")</f>
        <v/>
      </c>
    </row>
    <row r="129" ht="22" customHeight="1">
      <c r="A129" s="33">
        <f>'建筑建议逐级'!A129</f>
        <v/>
      </c>
      <c r="B129" s="33">
        <f>'建筑建议逐级'!B129</f>
        <v/>
      </c>
      <c r="C129" s="33">
        <f>'建筑建议逐级'!C129</f>
        <v/>
      </c>
      <c r="D129" s="43">
        <f>'建筑建议逐级'!D129</f>
        <v/>
      </c>
      <c r="E129" s="36">
        <f>'建筑建议逐级'!E129</f>
        <v/>
      </c>
      <c r="F129" s="51">
        <f>IF(OR('建筑建议逐级'!I129&gt;0,'建筑建议逐级'!R129&gt;0,'建筑建议逐级'!S129&gt;0),"预算型曲线","旧指数公式")</f>
        <v/>
      </c>
      <c r="G129" s="50">
        <f>'建筑建议逐级'!H129</f>
        <v/>
      </c>
      <c r="H129" s="36">
        <f>'建筑建议逐级'!M129</f>
        <v/>
      </c>
      <c r="I129" s="35">
        <f>H129/3600</f>
        <v/>
      </c>
      <c r="J129" s="35">
        <f>H129/'参数与公式'!$B$21</f>
        <v/>
      </c>
      <c r="K129" s="35">
        <f>SUMIFS($J$5:$J$328,$A$5:$A$328,A129,$D$5:$D$328,"&lt;="&amp;D129)</f>
        <v/>
      </c>
      <c r="L129" s="50">
        <f>'建筑建议逐级'!Q129</f>
        <v/>
      </c>
      <c r="M129" s="36">
        <f>'建筑建议逐级'!X129</f>
        <v/>
      </c>
      <c r="N129" s="36">
        <f>SUMIFS($M$5:$M$328,$A$5:$A$328,A129,$D$5:$D$328,"&lt;="&amp;D129)</f>
        <v/>
      </c>
      <c r="O129" s="36">
        <f>'建筑建议逐级'!Y129</f>
        <v/>
      </c>
      <c r="P129" s="36">
        <f>SUMIFS($O$5:$O$328,$A$5:$A$328,A129,$D$5:$D$328,"&lt;="&amp;D129)</f>
        <v/>
      </c>
      <c r="Q129" s="51">
        <f>IF(F129="预算型曲线","总预算归一化","沿用旧指数公式")</f>
        <v/>
      </c>
      <c r="R129" s="51">
        <f>IF(F129="预算型曲线","与当前建议公式一致","需单独复核")</f>
        <v/>
      </c>
    </row>
    <row r="130" ht="22" customHeight="1">
      <c r="A130" s="33">
        <f>'建筑建议逐级'!A130</f>
        <v/>
      </c>
      <c r="B130" s="33">
        <f>'建筑建议逐级'!B130</f>
        <v/>
      </c>
      <c r="C130" s="33">
        <f>'建筑建议逐级'!C130</f>
        <v/>
      </c>
      <c r="D130" s="43">
        <f>'建筑建议逐级'!D130</f>
        <v/>
      </c>
      <c r="E130" s="36">
        <f>'建筑建议逐级'!E130</f>
        <v/>
      </c>
      <c r="F130" s="51">
        <f>IF(OR('建筑建议逐级'!I130&gt;0,'建筑建议逐级'!R130&gt;0,'建筑建议逐级'!S130&gt;0),"预算型曲线","旧指数公式")</f>
        <v/>
      </c>
      <c r="G130" s="50">
        <f>'建筑建议逐级'!H130</f>
        <v/>
      </c>
      <c r="H130" s="36">
        <f>'建筑建议逐级'!M130</f>
        <v/>
      </c>
      <c r="I130" s="35">
        <f>H130/3600</f>
        <v/>
      </c>
      <c r="J130" s="35">
        <f>H130/'参数与公式'!$B$21</f>
        <v/>
      </c>
      <c r="K130" s="35">
        <f>SUMIFS($J$5:$J$328,$A$5:$A$328,A130,$D$5:$D$328,"&lt;="&amp;D130)</f>
        <v/>
      </c>
      <c r="L130" s="50">
        <f>'建筑建议逐级'!Q130</f>
        <v/>
      </c>
      <c r="M130" s="36">
        <f>'建筑建议逐级'!X130</f>
        <v/>
      </c>
      <c r="N130" s="36">
        <f>SUMIFS($M$5:$M$328,$A$5:$A$328,A130,$D$5:$D$328,"&lt;="&amp;D130)</f>
        <v/>
      </c>
      <c r="O130" s="36">
        <f>'建筑建议逐级'!Y130</f>
        <v/>
      </c>
      <c r="P130" s="36">
        <f>SUMIFS($O$5:$O$328,$A$5:$A$328,A130,$D$5:$D$328,"&lt;="&amp;D130)</f>
        <v/>
      </c>
      <c r="Q130" s="51">
        <f>IF(F130="预算型曲线","总预算归一化","沿用旧指数公式")</f>
        <v/>
      </c>
      <c r="R130" s="51">
        <f>IF(F130="预算型曲线","与当前建议公式一致","需单独复核")</f>
        <v/>
      </c>
    </row>
    <row r="131" ht="22" customHeight="1">
      <c r="A131" s="33">
        <f>'建筑建议逐级'!A131</f>
        <v/>
      </c>
      <c r="B131" s="33">
        <f>'建筑建议逐级'!B131</f>
        <v/>
      </c>
      <c r="C131" s="33">
        <f>'建筑建议逐级'!C131</f>
        <v/>
      </c>
      <c r="D131" s="43">
        <f>'建筑建议逐级'!D131</f>
        <v/>
      </c>
      <c r="E131" s="36">
        <f>'建筑建议逐级'!E131</f>
        <v/>
      </c>
      <c r="F131" s="51">
        <f>IF(OR('建筑建议逐级'!I131&gt;0,'建筑建议逐级'!R131&gt;0,'建筑建议逐级'!S131&gt;0),"预算型曲线","旧指数公式")</f>
        <v/>
      </c>
      <c r="G131" s="50">
        <f>'建筑建议逐级'!H131</f>
        <v/>
      </c>
      <c r="H131" s="36">
        <f>'建筑建议逐级'!M131</f>
        <v/>
      </c>
      <c r="I131" s="35">
        <f>H131/3600</f>
        <v/>
      </c>
      <c r="J131" s="35">
        <f>H131/'参数与公式'!$B$21</f>
        <v/>
      </c>
      <c r="K131" s="35">
        <f>SUMIFS($J$5:$J$328,$A$5:$A$328,A131,$D$5:$D$328,"&lt;="&amp;D131)</f>
        <v/>
      </c>
      <c r="L131" s="50">
        <f>'建筑建议逐级'!Q131</f>
        <v/>
      </c>
      <c r="M131" s="36">
        <f>'建筑建议逐级'!X131</f>
        <v/>
      </c>
      <c r="N131" s="36">
        <f>SUMIFS($M$5:$M$328,$A$5:$A$328,A131,$D$5:$D$328,"&lt;="&amp;D131)</f>
        <v/>
      </c>
      <c r="O131" s="36">
        <f>'建筑建议逐级'!Y131</f>
        <v/>
      </c>
      <c r="P131" s="36">
        <f>SUMIFS($O$5:$O$328,$A$5:$A$328,A131,$D$5:$D$328,"&lt;="&amp;D131)</f>
        <v/>
      </c>
      <c r="Q131" s="51">
        <f>IF(F131="预算型曲线","总预算归一化","沿用旧指数公式")</f>
        <v/>
      </c>
      <c r="R131" s="51">
        <f>IF(F131="预算型曲线","与当前建议公式一致","需单独复核")</f>
        <v/>
      </c>
    </row>
    <row r="132" ht="22" customHeight="1">
      <c r="A132" s="33">
        <f>'建筑建议逐级'!A132</f>
        <v/>
      </c>
      <c r="B132" s="33">
        <f>'建筑建议逐级'!B132</f>
        <v/>
      </c>
      <c r="C132" s="33">
        <f>'建筑建议逐级'!C132</f>
        <v/>
      </c>
      <c r="D132" s="43">
        <f>'建筑建议逐级'!D132</f>
        <v/>
      </c>
      <c r="E132" s="36">
        <f>'建筑建议逐级'!E132</f>
        <v/>
      </c>
      <c r="F132" s="51">
        <f>IF(OR('建筑建议逐级'!I132&gt;0,'建筑建议逐级'!R132&gt;0,'建筑建议逐级'!S132&gt;0),"预算型曲线","旧指数公式")</f>
        <v/>
      </c>
      <c r="G132" s="50">
        <f>'建筑建议逐级'!H132</f>
        <v/>
      </c>
      <c r="H132" s="36">
        <f>'建筑建议逐级'!M132</f>
        <v/>
      </c>
      <c r="I132" s="35">
        <f>H132/3600</f>
        <v/>
      </c>
      <c r="J132" s="35">
        <f>H132/'参数与公式'!$B$21</f>
        <v/>
      </c>
      <c r="K132" s="35">
        <f>SUMIFS($J$5:$J$328,$A$5:$A$328,A132,$D$5:$D$328,"&lt;="&amp;D132)</f>
        <v/>
      </c>
      <c r="L132" s="50">
        <f>'建筑建议逐级'!Q132</f>
        <v/>
      </c>
      <c r="M132" s="36">
        <f>'建筑建议逐级'!X132</f>
        <v/>
      </c>
      <c r="N132" s="36">
        <f>SUMIFS($M$5:$M$328,$A$5:$A$328,A132,$D$5:$D$328,"&lt;="&amp;D132)</f>
        <v/>
      </c>
      <c r="O132" s="36">
        <f>'建筑建议逐级'!Y132</f>
        <v/>
      </c>
      <c r="P132" s="36">
        <f>SUMIFS($O$5:$O$328,$A$5:$A$328,A132,$D$5:$D$328,"&lt;="&amp;D132)</f>
        <v/>
      </c>
      <c r="Q132" s="51">
        <f>IF(F132="预算型曲线","总预算归一化","沿用旧指数公式")</f>
        <v/>
      </c>
      <c r="R132" s="51">
        <f>IF(F132="预算型曲线","与当前建议公式一致","需单独复核")</f>
        <v/>
      </c>
    </row>
    <row r="133" ht="22" customHeight="1">
      <c r="A133" s="33">
        <f>'建筑建议逐级'!A133</f>
        <v/>
      </c>
      <c r="B133" s="33">
        <f>'建筑建议逐级'!B133</f>
        <v/>
      </c>
      <c r="C133" s="33">
        <f>'建筑建议逐级'!C133</f>
        <v/>
      </c>
      <c r="D133" s="43">
        <f>'建筑建议逐级'!D133</f>
        <v/>
      </c>
      <c r="E133" s="36">
        <f>'建筑建议逐级'!E133</f>
        <v/>
      </c>
      <c r="F133" s="51">
        <f>IF(OR('建筑建议逐级'!I133&gt;0,'建筑建议逐级'!R133&gt;0,'建筑建议逐级'!S133&gt;0),"预算型曲线","旧指数公式")</f>
        <v/>
      </c>
      <c r="G133" s="50">
        <f>'建筑建议逐级'!H133</f>
        <v/>
      </c>
      <c r="H133" s="36">
        <f>'建筑建议逐级'!M133</f>
        <v/>
      </c>
      <c r="I133" s="35">
        <f>H133/3600</f>
        <v/>
      </c>
      <c r="J133" s="35">
        <f>H133/'参数与公式'!$B$21</f>
        <v/>
      </c>
      <c r="K133" s="35">
        <f>SUMIFS($J$5:$J$328,$A$5:$A$328,A133,$D$5:$D$328,"&lt;="&amp;D133)</f>
        <v/>
      </c>
      <c r="L133" s="50">
        <f>'建筑建议逐级'!Q133</f>
        <v/>
      </c>
      <c r="M133" s="36">
        <f>'建筑建议逐级'!X133</f>
        <v/>
      </c>
      <c r="N133" s="36">
        <f>SUMIFS($M$5:$M$328,$A$5:$A$328,A133,$D$5:$D$328,"&lt;="&amp;D133)</f>
        <v/>
      </c>
      <c r="O133" s="36">
        <f>'建筑建议逐级'!Y133</f>
        <v/>
      </c>
      <c r="P133" s="36">
        <f>SUMIFS($O$5:$O$328,$A$5:$A$328,A133,$D$5:$D$328,"&lt;="&amp;D133)</f>
        <v/>
      </c>
      <c r="Q133" s="51">
        <f>IF(F133="预算型曲线","总预算归一化","沿用旧指数公式")</f>
        <v/>
      </c>
      <c r="R133" s="51">
        <f>IF(F133="预算型曲线","与当前建议公式一致","需单独复核")</f>
        <v/>
      </c>
    </row>
    <row r="134" ht="22" customHeight="1">
      <c r="A134" s="33">
        <f>'建筑建议逐级'!A134</f>
        <v/>
      </c>
      <c r="B134" s="33">
        <f>'建筑建议逐级'!B134</f>
        <v/>
      </c>
      <c r="C134" s="33">
        <f>'建筑建议逐级'!C134</f>
        <v/>
      </c>
      <c r="D134" s="43">
        <f>'建筑建议逐级'!D134</f>
        <v/>
      </c>
      <c r="E134" s="36">
        <f>'建筑建议逐级'!E134</f>
        <v/>
      </c>
      <c r="F134" s="51">
        <f>IF(OR('建筑建议逐级'!I134&gt;0,'建筑建议逐级'!R134&gt;0,'建筑建议逐级'!S134&gt;0),"预算型曲线","旧指数公式")</f>
        <v/>
      </c>
      <c r="G134" s="50">
        <f>'建筑建议逐级'!H134</f>
        <v/>
      </c>
      <c r="H134" s="36">
        <f>'建筑建议逐级'!M134</f>
        <v/>
      </c>
      <c r="I134" s="35">
        <f>H134/3600</f>
        <v/>
      </c>
      <c r="J134" s="35">
        <f>H134/'参数与公式'!$B$21</f>
        <v/>
      </c>
      <c r="K134" s="35">
        <f>SUMIFS($J$5:$J$328,$A$5:$A$328,A134,$D$5:$D$328,"&lt;="&amp;D134)</f>
        <v/>
      </c>
      <c r="L134" s="50">
        <f>'建筑建议逐级'!Q134</f>
        <v/>
      </c>
      <c r="M134" s="36">
        <f>'建筑建议逐级'!X134</f>
        <v/>
      </c>
      <c r="N134" s="36">
        <f>SUMIFS($M$5:$M$328,$A$5:$A$328,A134,$D$5:$D$328,"&lt;="&amp;D134)</f>
        <v/>
      </c>
      <c r="O134" s="36">
        <f>'建筑建议逐级'!Y134</f>
        <v/>
      </c>
      <c r="P134" s="36">
        <f>SUMIFS($O$5:$O$328,$A$5:$A$328,A134,$D$5:$D$328,"&lt;="&amp;D134)</f>
        <v/>
      </c>
      <c r="Q134" s="51">
        <f>IF(F134="预算型曲线","总预算归一化","沿用旧指数公式")</f>
        <v/>
      </c>
      <c r="R134" s="51">
        <f>IF(F134="预算型曲线","与当前建议公式一致","需单独复核")</f>
        <v/>
      </c>
    </row>
    <row r="135" ht="22" customHeight="1">
      <c r="A135" s="33">
        <f>'建筑建议逐级'!A135</f>
        <v/>
      </c>
      <c r="B135" s="33">
        <f>'建筑建议逐级'!B135</f>
        <v/>
      </c>
      <c r="C135" s="33">
        <f>'建筑建议逐级'!C135</f>
        <v/>
      </c>
      <c r="D135" s="43">
        <f>'建筑建议逐级'!D135</f>
        <v/>
      </c>
      <c r="E135" s="36">
        <f>'建筑建议逐级'!E135</f>
        <v/>
      </c>
      <c r="F135" s="51">
        <f>IF(OR('建筑建议逐级'!I135&gt;0,'建筑建议逐级'!R135&gt;0,'建筑建议逐级'!S135&gt;0),"预算型曲线","旧指数公式")</f>
        <v/>
      </c>
      <c r="G135" s="50">
        <f>'建筑建议逐级'!H135</f>
        <v/>
      </c>
      <c r="H135" s="36">
        <f>'建筑建议逐级'!M135</f>
        <v/>
      </c>
      <c r="I135" s="35">
        <f>H135/3600</f>
        <v/>
      </c>
      <c r="J135" s="35">
        <f>H135/'参数与公式'!$B$21</f>
        <v/>
      </c>
      <c r="K135" s="35">
        <f>SUMIFS($J$5:$J$328,$A$5:$A$328,A135,$D$5:$D$328,"&lt;="&amp;D135)</f>
        <v/>
      </c>
      <c r="L135" s="50">
        <f>'建筑建议逐级'!Q135</f>
        <v/>
      </c>
      <c r="M135" s="36">
        <f>'建筑建议逐级'!X135</f>
        <v/>
      </c>
      <c r="N135" s="36">
        <f>SUMIFS($M$5:$M$328,$A$5:$A$328,A135,$D$5:$D$328,"&lt;="&amp;D135)</f>
        <v/>
      </c>
      <c r="O135" s="36">
        <f>'建筑建议逐级'!Y135</f>
        <v/>
      </c>
      <c r="P135" s="36">
        <f>SUMIFS($O$5:$O$328,$A$5:$A$328,A135,$D$5:$D$328,"&lt;="&amp;D135)</f>
        <v/>
      </c>
      <c r="Q135" s="51">
        <f>IF(F135="预算型曲线","总预算归一化","沿用旧指数公式")</f>
        <v/>
      </c>
      <c r="R135" s="51">
        <f>IF(F135="预算型曲线","与当前建议公式一致","需单独复核")</f>
        <v/>
      </c>
    </row>
    <row r="136" ht="22" customHeight="1">
      <c r="A136" s="33">
        <f>'建筑建议逐级'!A136</f>
        <v/>
      </c>
      <c r="B136" s="33">
        <f>'建筑建议逐级'!B136</f>
        <v/>
      </c>
      <c r="C136" s="33">
        <f>'建筑建议逐级'!C136</f>
        <v/>
      </c>
      <c r="D136" s="43">
        <f>'建筑建议逐级'!D136</f>
        <v/>
      </c>
      <c r="E136" s="36">
        <f>'建筑建议逐级'!E136</f>
        <v/>
      </c>
      <c r="F136" s="51">
        <f>IF(OR('建筑建议逐级'!I136&gt;0,'建筑建议逐级'!R136&gt;0,'建筑建议逐级'!S136&gt;0),"预算型曲线","旧指数公式")</f>
        <v/>
      </c>
      <c r="G136" s="50">
        <f>'建筑建议逐级'!H136</f>
        <v/>
      </c>
      <c r="H136" s="36">
        <f>'建筑建议逐级'!M136</f>
        <v/>
      </c>
      <c r="I136" s="35">
        <f>H136/3600</f>
        <v/>
      </c>
      <c r="J136" s="35">
        <f>H136/'参数与公式'!$B$21</f>
        <v/>
      </c>
      <c r="K136" s="35">
        <f>SUMIFS($J$5:$J$328,$A$5:$A$328,A136,$D$5:$D$328,"&lt;="&amp;D136)</f>
        <v/>
      </c>
      <c r="L136" s="50">
        <f>'建筑建议逐级'!Q136</f>
        <v/>
      </c>
      <c r="M136" s="36">
        <f>'建筑建议逐级'!X136</f>
        <v/>
      </c>
      <c r="N136" s="36">
        <f>SUMIFS($M$5:$M$328,$A$5:$A$328,A136,$D$5:$D$328,"&lt;="&amp;D136)</f>
        <v/>
      </c>
      <c r="O136" s="36">
        <f>'建筑建议逐级'!Y136</f>
        <v/>
      </c>
      <c r="P136" s="36">
        <f>SUMIFS($O$5:$O$328,$A$5:$A$328,A136,$D$5:$D$328,"&lt;="&amp;D136)</f>
        <v/>
      </c>
      <c r="Q136" s="51">
        <f>IF(F136="预算型曲线","总预算归一化","沿用旧指数公式")</f>
        <v/>
      </c>
      <c r="R136" s="51">
        <f>IF(F136="预算型曲线","与当前建议公式一致","需单独复核")</f>
        <v/>
      </c>
    </row>
    <row r="137" ht="22" customHeight="1">
      <c r="A137" s="33">
        <f>'建筑建议逐级'!A137</f>
        <v/>
      </c>
      <c r="B137" s="33">
        <f>'建筑建议逐级'!B137</f>
        <v/>
      </c>
      <c r="C137" s="33">
        <f>'建筑建议逐级'!C137</f>
        <v/>
      </c>
      <c r="D137" s="43">
        <f>'建筑建议逐级'!D137</f>
        <v/>
      </c>
      <c r="E137" s="36">
        <f>'建筑建议逐级'!E137</f>
        <v/>
      </c>
      <c r="F137" s="51">
        <f>IF(OR('建筑建议逐级'!I137&gt;0,'建筑建议逐级'!R137&gt;0,'建筑建议逐级'!S137&gt;0),"预算型曲线","旧指数公式")</f>
        <v/>
      </c>
      <c r="G137" s="50">
        <f>'建筑建议逐级'!H137</f>
        <v/>
      </c>
      <c r="H137" s="36">
        <f>'建筑建议逐级'!M137</f>
        <v/>
      </c>
      <c r="I137" s="35">
        <f>H137/3600</f>
        <v/>
      </c>
      <c r="J137" s="35">
        <f>H137/'参数与公式'!$B$21</f>
        <v/>
      </c>
      <c r="K137" s="35">
        <f>SUMIFS($J$5:$J$328,$A$5:$A$328,A137,$D$5:$D$328,"&lt;="&amp;D137)</f>
        <v/>
      </c>
      <c r="L137" s="50">
        <f>'建筑建议逐级'!Q137</f>
        <v/>
      </c>
      <c r="M137" s="36">
        <f>'建筑建议逐级'!X137</f>
        <v/>
      </c>
      <c r="N137" s="36">
        <f>SUMIFS($M$5:$M$328,$A$5:$A$328,A137,$D$5:$D$328,"&lt;="&amp;D137)</f>
        <v/>
      </c>
      <c r="O137" s="36">
        <f>'建筑建议逐级'!Y137</f>
        <v/>
      </c>
      <c r="P137" s="36">
        <f>SUMIFS($O$5:$O$328,$A$5:$A$328,A137,$D$5:$D$328,"&lt;="&amp;D137)</f>
        <v/>
      </c>
      <c r="Q137" s="51">
        <f>IF(F137="预算型曲线","总预算归一化","沿用旧指数公式")</f>
        <v/>
      </c>
      <c r="R137" s="51">
        <f>IF(F137="预算型曲线","与当前建议公式一致","需单独复核")</f>
        <v/>
      </c>
    </row>
    <row r="138" ht="22" customHeight="1">
      <c r="A138" s="33">
        <f>'建筑建议逐级'!A138</f>
        <v/>
      </c>
      <c r="B138" s="33">
        <f>'建筑建议逐级'!B138</f>
        <v/>
      </c>
      <c r="C138" s="33">
        <f>'建筑建议逐级'!C138</f>
        <v/>
      </c>
      <c r="D138" s="43">
        <f>'建筑建议逐级'!D138</f>
        <v/>
      </c>
      <c r="E138" s="36">
        <f>'建筑建议逐级'!E138</f>
        <v/>
      </c>
      <c r="F138" s="51">
        <f>IF(OR('建筑建议逐级'!I138&gt;0,'建筑建议逐级'!R138&gt;0,'建筑建议逐级'!S138&gt;0),"预算型曲线","旧指数公式")</f>
        <v/>
      </c>
      <c r="G138" s="50">
        <f>'建筑建议逐级'!H138</f>
        <v/>
      </c>
      <c r="H138" s="36">
        <f>'建筑建议逐级'!M138</f>
        <v/>
      </c>
      <c r="I138" s="35">
        <f>H138/3600</f>
        <v/>
      </c>
      <c r="J138" s="35">
        <f>H138/'参数与公式'!$B$21</f>
        <v/>
      </c>
      <c r="K138" s="35">
        <f>SUMIFS($J$5:$J$328,$A$5:$A$328,A138,$D$5:$D$328,"&lt;="&amp;D138)</f>
        <v/>
      </c>
      <c r="L138" s="50">
        <f>'建筑建议逐级'!Q138</f>
        <v/>
      </c>
      <c r="M138" s="36">
        <f>'建筑建议逐级'!X138</f>
        <v/>
      </c>
      <c r="N138" s="36">
        <f>SUMIFS($M$5:$M$328,$A$5:$A$328,A138,$D$5:$D$328,"&lt;="&amp;D138)</f>
        <v/>
      </c>
      <c r="O138" s="36">
        <f>'建筑建议逐级'!Y138</f>
        <v/>
      </c>
      <c r="P138" s="36">
        <f>SUMIFS($O$5:$O$328,$A$5:$A$328,A138,$D$5:$D$328,"&lt;="&amp;D138)</f>
        <v/>
      </c>
      <c r="Q138" s="51">
        <f>IF(F138="预算型曲线","总预算归一化","沿用旧指数公式")</f>
        <v/>
      </c>
      <c r="R138" s="51">
        <f>IF(F138="预算型曲线","与当前建议公式一致","需单独复核")</f>
        <v/>
      </c>
    </row>
    <row r="139" ht="22" customHeight="1">
      <c r="A139" s="33">
        <f>'建筑建议逐级'!A139</f>
        <v/>
      </c>
      <c r="B139" s="33">
        <f>'建筑建议逐级'!B139</f>
        <v/>
      </c>
      <c r="C139" s="33">
        <f>'建筑建议逐级'!C139</f>
        <v/>
      </c>
      <c r="D139" s="43">
        <f>'建筑建议逐级'!D139</f>
        <v/>
      </c>
      <c r="E139" s="36">
        <f>'建筑建议逐级'!E139</f>
        <v/>
      </c>
      <c r="F139" s="51">
        <f>IF(OR('建筑建议逐级'!I139&gt;0,'建筑建议逐级'!R139&gt;0,'建筑建议逐级'!S139&gt;0),"预算型曲线","旧指数公式")</f>
        <v/>
      </c>
      <c r="G139" s="50">
        <f>'建筑建议逐级'!H139</f>
        <v/>
      </c>
      <c r="H139" s="36">
        <f>'建筑建议逐级'!M139</f>
        <v/>
      </c>
      <c r="I139" s="35">
        <f>H139/3600</f>
        <v/>
      </c>
      <c r="J139" s="35">
        <f>H139/'参数与公式'!$B$21</f>
        <v/>
      </c>
      <c r="K139" s="35">
        <f>SUMIFS($J$5:$J$328,$A$5:$A$328,A139,$D$5:$D$328,"&lt;="&amp;D139)</f>
        <v/>
      </c>
      <c r="L139" s="50">
        <f>'建筑建议逐级'!Q139</f>
        <v/>
      </c>
      <c r="M139" s="36">
        <f>'建筑建议逐级'!X139</f>
        <v/>
      </c>
      <c r="N139" s="36">
        <f>SUMIFS($M$5:$M$328,$A$5:$A$328,A139,$D$5:$D$328,"&lt;="&amp;D139)</f>
        <v/>
      </c>
      <c r="O139" s="36">
        <f>'建筑建议逐级'!Y139</f>
        <v/>
      </c>
      <c r="P139" s="36">
        <f>SUMIFS($O$5:$O$328,$A$5:$A$328,A139,$D$5:$D$328,"&lt;="&amp;D139)</f>
        <v/>
      </c>
      <c r="Q139" s="51">
        <f>IF(F139="预算型曲线","总预算归一化","沿用旧指数公式")</f>
        <v/>
      </c>
      <c r="R139" s="51">
        <f>IF(F139="预算型曲线","与当前建议公式一致","需单独复核")</f>
        <v/>
      </c>
    </row>
    <row r="140" ht="22" customHeight="1">
      <c r="A140" s="33">
        <f>'建筑建议逐级'!A140</f>
        <v/>
      </c>
      <c r="B140" s="33">
        <f>'建筑建议逐级'!B140</f>
        <v/>
      </c>
      <c r="C140" s="33">
        <f>'建筑建议逐级'!C140</f>
        <v/>
      </c>
      <c r="D140" s="43">
        <f>'建筑建议逐级'!D140</f>
        <v/>
      </c>
      <c r="E140" s="36">
        <f>'建筑建议逐级'!E140</f>
        <v/>
      </c>
      <c r="F140" s="51">
        <f>IF(OR('建筑建议逐级'!I140&gt;0,'建筑建议逐级'!R140&gt;0,'建筑建议逐级'!S140&gt;0),"预算型曲线","旧指数公式")</f>
        <v/>
      </c>
      <c r="G140" s="50">
        <f>'建筑建议逐级'!H140</f>
        <v/>
      </c>
      <c r="H140" s="36">
        <f>'建筑建议逐级'!M140</f>
        <v/>
      </c>
      <c r="I140" s="35">
        <f>H140/3600</f>
        <v/>
      </c>
      <c r="J140" s="35">
        <f>H140/'参数与公式'!$B$21</f>
        <v/>
      </c>
      <c r="K140" s="35">
        <f>SUMIFS($J$5:$J$328,$A$5:$A$328,A140,$D$5:$D$328,"&lt;="&amp;D140)</f>
        <v/>
      </c>
      <c r="L140" s="50">
        <f>'建筑建议逐级'!Q140</f>
        <v/>
      </c>
      <c r="M140" s="36">
        <f>'建筑建议逐级'!X140</f>
        <v/>
      </c>
      <c r="N140" s="36">
        <f>SUMIFS($M$5:$M$328,$A$5:$A$328,A140,$D$5:$D$328,"&lt;="&amp;D140)</f>
        <v/>
      </c>
      <c r="O140" s="36">
        <f>'建筑建议逐级'!Y140</f>
        <v/>
      </c>
      <c r="P140" s="36">
        <f>SUMIFS($O$5:$O$328,$A$5:$A$328,A140,$D$5:$D$328,"&lt;="&amp;D140)</f>
        <v/>
      </c>
      <c r="Q140" s="51">
        <f>IF(F140="预算型曲线","总预算归一化","沿用旧指数公式")</f>
        <v/>
      </c>
      <c r="R140" s="51">
        <f>IF(F140="预算型曲线","与当前建议公式一致","需单独复核")</f>
        <v/>
      </c>
    </row>
    <row r="141" ht="22" customHeight="1">
      <c r="A141" s="33">
        <f>'建筑建议逐级'!A141</f>
        <v/>
      </c>
      <c r="B141" s="33">
        <f>'建筑建议逐级'!B141</f>
        <v/>
      </c>
      <c r="C141" s="33">
        <f>'建筑建议逐级'!C141</f>
        <v/>
      </c>
      <c r="D141" s="43">
        <f>'建筑建议逐级'!D141</f>
        <v/>
      </c>
      <c r="E141" s="36">
        <f>'建筑建议逐级'!E141</f>
        <v/>
      </c>
      <c r="F141" s="51">
        <f>IF(OR('建筑建议逐级'!I141&gt;0,'建筑建议逐级'!R141&gt;0,'建筑建议逐级'!S141&gt;0),"预算型曲线","旧指数公式")</f>
        <v/>
      </c>
      <c r="G141" s="50">
        <f>'建筑建议逐级'!H141</f>
        <v/>
      </c>
      <c r="H141" s="36">
        <f>'建筑建议逐级'!M141</f>
        <v/>
      </c>
      <c r="I141" s="35">
        <f>H141/3600</f>
        <v/>
      </c>
      <c r="J141" s="35">
        <f>H141/'参数与公式'!$B$21</f>
        <v/>
      </c>
      <c r="K141" s="35">
        <f>SUMIFS($J$5:$J$328,$A$5:$A$328,A141,$D$5:$D$328,"&lt;="&amp;D141)</f>
        <v/>
      </c>
      <c r="L141" s="50">
        <f>'建筑建议逐级'!Q141</f>
        <v/>
      </c>
      <c r="M141" s="36">
        <f>'建筑建议逐级'!X141</f>
        <v/>
      </c>
      <c r="N141" s="36">
        <f>SUMIFS($M$5:$M$328,$A$5:$A$328,A141,$D$5:$D$328,"&lt;="&amp;D141)</f>
        <v/>
      </c>
      <c r="O141" s="36">
        <f>'建筑建议逐级'!Y141</f>
        <v/>
      </c>
      <c r="P141" s="36">
        <f>SUMIFS($O$5:$O$328,$A$5:$A$328,A141,$D$5:$D$328,"&lt;="&amp;D141)</f>
        <v/>
      </c>
      <c r="Q141" s="51">
        <f>IF(F141="预算型曲线","总预算归一化","沿用旧指数公式")</f>
        <v/>
      </c>
      <c r="R141" s="51">
        <f>IF(F141="预算型曲线","与当前建议公式一致","需单独复核")</f>
        <v/>
      </c>
    </row>
    <row r="142" ht="22" customHeight="1">
      <c r="A142" s="33">
        <f>'建筑建议逐级'!A142</f>
        <v/>
      </c>
      <c r="B142" s="33">
        <f>'建筑建议逐级'!B142</f>
        <v/>
      </c>
      <c r="C142" s="33">
        <f>'建筑建议逐级'!C142</f>
        <v/>
      </c>
      <c r="D142" s="43">
        <f>'建筑建议逐级'!D142</f>
        <v/>
      </c>
      <c r="E142" s="36">
        <f>'建筑建议逐级'!E142</f>
        <v/>
      </c>
      <c r="F142" s="51">
        <f>IF(OR('建筑建议逐级'!I142&gt;0,'建筑建议逐级'!R142&gt;0,'建筑建议逐级'!S142&gt;0),"预算型曲线","旧指数公式")</f>
        <v/>
      </c>
      <c r="G142" s="50">
        <f>'建筑建议逐级'!H142</f>
        <v/>
      </c>
      <c r="H142" s="36">
        <f>'建筑建议逐级'!M142</f>
        <v/>
      </c>
      <c r="I142" s="35">
        <f>H142/3600</f>
        <v/>
      </c>
      <c r="J142" s="35">
        <f>H142/'参数与公式'!$B$21</f>
        <v/>
      </c>
      <c r="K142" s="35">
        <f>SUMIFS($J$5:$J$328,$A$5:$A$328,A142,$D$5:$D$328,"&lt;="&amp;D142)</f>
        <v/>
      </c>
      <c r="L142" s="50">
        <f>'建筑建议逐级'!Q142</f>
        <v/>
      </c>
      <c r="M142" s="36">
        <f>'建筑建议逐级'!X142</f>
        <v/>
      </c>
      <c r="N142" s="36">
        <f>SUMIFS($M$5:$M$328,$A$5:$A$328,A142,$D$5:$D$328,"&lt;="&amp;D142)</f>
        <v/>
      </c>
      <c r="O142" s="36">
        <f>'建筑建议逐级'!Y142</f>
        <v/>
      </c>
      <c r="P142" s="36">
        <f>SUMIFS($O$5:$O$328,$A$5:$A$328,A142,$D$5:$D$328,"&lt;="&amp;D142)</f>
        <v/>
      </c>
      <c r="Q142" s="51">
        <f>IF(F142="预算型曲线","总预算归一化","沿用旧指数公式")</f>
        <v/>
      </c>
      <c r="R142" s="51">
        <f>IF(F142="预算型曲线","与当前建议公式一致","需单独复核")</f>
        <v/>
      </c>
    </row>
    <row r="143" ht="22" customHeight="1">
      <c r="A143" s="33">
        <f>'建筑建议逐级'!A143</f>
        <v/>
      </c>
      <c r="B143" s="33">
        <f>'建筑建议逐级'!B143</f>
        <v/>
      </c>
      <c r="C143" s="33">
        <f>'建筑建议逐级'!C143</f>
        <v/>
      </c>
      <c r="D143" s="43">
        <f>'建筑建议逐级'!D143</f>
        <v/>
      </c>
      <c r="E143" s="36">
        <f>'建筑建议逐级'!E143</f>
        <v/>
      </c>
      <c r="F143" s="51">
        <f>IF(OR('建筑建议逐级'!I143&gt;0,'建筑建议逐级'!R143&gt;0,'建筑建议逐级'!S143&gt;0),"预算型曲线","旧指数公式")</f>
        <v/>
      </c>
      <c r="G143" s="50">
        <f>'建筑建议逐级'!H143</f>
        <v/>
      </c>
      <c r="H143" s="36">
        <f>'建筑建议逐级'!M143</f>
        <v/>
      </c>
      <c r="I143" s="35">
        <f>H143/3600</f>
        <v/>
      </c>
      <c r="J143" s="35">
        <f>H143/'参数与公式'!$B$21</f>
        <v/>
      </c>
      <c r="K143" s="35">
        <f>SUMIFS($J$5:$J$328,$A$5:$A$328,A143,$D$5:$D$328,"&lt;="&amp;D143)</f>
        <v/>
      </c>
      <c r="L143" s="50">
        <f>'建筑建议逐级'!Q143</f>
        <v/>
      </c>
      <c r="M143" s="36">
        <f>'建筑建议逐级'!X143</f>
        <v/>
      </c>
      <c r="N143" s="36">
        <f>SUMIFS($M$5:$M$328,$A$5:$A$328,A143,$D$5:$D$328,"&lt;="&amp;D143)</f>
        <v/>
      </c>
      <c r="O143" s="36">
        <f>'建筑建议逐级'!Y143</f>
        <v/>
      </c>
      <c r="P143" s="36">
        <f>SUMIFS($O$5:$O$328,$A$5:$A$328,A143,$D$5:$D$328,"&lt;="&amp;D143)</f>
        <v/>
      </c>
      <c r="Q143" s="51">
        <f>IF(F143="预算型曲线","总预算归一化","沿用旧指数公式")</f>
        <v/>
      </c>
      <c r="R143" s="51">
        <f>IF(F143="预算型曲线","与当前建议公式一致","需单独复核")</f>
        <v/>
      </c>
    </row>
    <row r="144" ht="22" customHeight="1">
      <c r="A144" s="33">
        <f>'建筑建议逐级'!A144</f>
        <v/>
      </c>
      <c r="B144" s="33">
        <f>'建筑建议逐级'!B144</f>
        <v/>
      </c>
      <c r="C144" s="33">
        <f>'建筑建议逐级'!C144</f>
        <v/>
      </c>
      <c r="D144" s="43">
        <f>'建筑建议逐级'!D144</f>
        <v/>
      </c>
      <c r="E144" s="36">
        <f>'建筑建议逐级'!E144</f>
        <v/>
      </c>
      <c r="F144" s="51">
        <f>IF(OR('建筑建议逐级'!I144&gt;0,'建筑建议逐级'!R144&gt;0,'建筑建议逐级'!S144&gt;0),"预算型曲线","旧指数公式")</f>
        <v/>
      </c>
      <c r="G144" s="50">
        <f>'建筑建议逐级'!H144</f>
        <v/>
      </c>
      <c r="H144" s="36">
        <f>'建筑建议逐级'!M144</f>
        <v/>
      </c>
      <c r="I144" s="35">
        <f>H144/3600</f>
        <v/>
      </c>
      <c r="J144" s="35">
        <f>H144/'参数与公式'!$B$21</f>
        <v/>
      </c>
      <c r="K144" s="35">
        <f>SUMIFS($J$5:$J$328,$A$5:$A$328,A144,$D$5:$D$328,"&lt;="&amp;D144)</f>
        <v/>
      </c>
      <c r="L144" s="50">
        <f>'建筑建议逐级'!Q144</f>
        <v/>
      </c>
      <c r="M144" s="36">
        <f>'建筑建议逐级'!X144</f>
        <v/>
      </c>
      <c r="N144" s="36">
        <f>SUMIFS($M$5:$M$328,$A$5:$A$328,A144,$D$5:$D$328,"&lt;="&amp;D144)</f>
        <v/>
      </c>
      <c r="O144" s="36">
        <f>'建筑建议逐级'!Y144</f>
        <v/>
      </c>
      <c r="P144" s="36">
        <f>SUMIFS($O$5:$O$328,$A$5:$A$328,A144,$D$5:$D$328,"&lt;="&amp;D144)</f>
        <v/>
      </c>
      <c r="Q144" s="51">
        <f>IF(F144="预算型曲线","总预算归一化","沿用旧指数公式")</f>
        <v/>
      </c>
      <c r="R144" s="51">
        <f>IF(F144="预算型曲线","与当前建议公式一致","需单独复核")</f>
        <v/>
      </c>
    </row>
    <row r="145" ht="22" customHeight="1">
      <c r="A145" s="33">
        <f>'建筑建议逐级'!A145</f>
        <v/>
      </c>
      <c r="B145" s="33">
        <f>'建筑建议逐级'!B145</f>
        <v/>
      </c>
      <c r="C145" s="33">
        <f>'建筑建议逐级'!C145</f>
        <v/>
      </c>
      <c r="D145" s="43">
        <f>'建筑建议逐级'!D145</f>
        <v/>
      </c>
      <c r="E145" s="36">
        <f>'建筑建议逐级'!E145</f>
        <v/>
      </c>
      <c r="F145" s="51">
        <f>IF(OR('建筑建议逐级'!I145&gt;0,'建筑建议逐级'!R145&gt;0,'建筑建议逐级'!S145&gt;0),"预算型曲线","旧指数公式")</f>
        <v/>
      </c>
      <c r="G145" s="50">
        <f>'建筑建议逐级'!H145</f>
        <v/>
      </c>
      <c r="H145" s="36">
        <f>'建筑建议逐级'!M145</f>
        <v/>
      </c>
      <c r="I145" s="35">
        <f>H145/3600</f>
        <v/>
      </c>
      <c r="J145" s="35">
        <f>H145/'参数与公式'!$B$21</f>
        <v/>
      </c>
      <c r="K145" s="35">
        <f>SUMIFS($J$5:$J$328,$A$5:$A$328,A145,$D$5:$D$328,"&lt;="&amp;D145)</f>
        <v/>
      </c>
      <c r="L145" s="50">
        <f>'建筑建议逐级'!Q145</f>
        <v/>
      </c>
      <c r="M145" s="36">
        <f>'建筑建议逐级'!X145</f>
        <v/>
      </c>
      <c r="N145" s="36">
        <f>SUMIFS($M$5:$M$328,$A$5:$A$328,A145,$D$5:$D$328,"&lt;="&amp;D145)</f>
        <v/>
      </c>
      <c r="O145" s="36">
        <f>'建筑建议逐级'!Y145</f>
        <v/>
      </c>
      <c r="P145" s="36">
        <f>SUMIFS($O$5:$O$328,$A$5:$A$328,A145,$D$5:$D$328,"&lt;="&amp;D145)</f>
        <v/>
      </c>
      <c r="Q145" s="51">
        <f>IF(F145="预算型曲线","总预算归一化","沿用旧指数公式")</f>
        <v/>
      </c>
      <c r="R145" s="51">
        <f>IF(F145="预算型曲线","与当前建议公式一致","需单独复核")</f>
        <v/>
      </c>
    </row>
    <row r="146" ht="22" customHeight="1">
      <c r="A146" s="33">
        <f>'建筑建议逐级'!A146</f>
        <v/>
      </c>
      <c r="B146" s="33">
        <f>'建筑建议逐级'!B146</f>
        <v/>
      </c>
      <c r="C146" s="33">
        <f>'建筑建议逐级'!C146</f>
        <v/>
      </c>
      <c r="D146" s="43">
        <f>'建筑建议逐级'!D146</f>
        <v/>
      </c>
      <c r="E146" s="36">
        <f>'建筑建议逐级'!E146</f>
        <v/>
      </c>
      <c r="F146" s="51">
        <f>IF(OR('建筑建议逐级'!I146&gt;0,'建筑建议逐级'!R146&gt;0,'建筑建议逐级'!S146&gt;0),"预算型曲线","旧指数公式")</f>
        <v/>
      </c>
      <c r="G146" s="50">
        <f>'建筑建议逐级'!H146</f>
        <v/>
      </c>
      <c r="H146" s="36">
        <f>'建筑建议逐级'!M146</f>
        <v/>
      </c>
      <c r="I146" s="35">
        <f>H146/3600</f>
        <v/>
      </c>
      <c r="J146" s="35">
        <f>H146/'参数与公式'!$B$21</f>
        <v/>
      </c>
      <c r="K146" s="35">
        <f>SUMIFS($J$5:$J$328,$A$5:$A$328,A146,$D$5:$D$328,"&lt;="&amp;D146)</f>
        <v/>
      </c>
      <c r="L146" s="50">
        <f>'建筑建议逐级'!Q146</f>
        <v/>
      </c>
      <c r="M146" s="36">
        <f>'建筑建议逐级'!X146</f>
        <v/>
      </c>
      <c r="N146" s="36">
        <f>SUMIFS($M$5:$M$328,$A$5:$A$328,A146,$D$5:$D$328,"&lt;="&amp;D146)</f>
        <v/>
      </c>
      <c r="O146" s="36">
        <f>'建筑建议逐级'!Y146</f>
        <v/>
      </c>
      <c r="P146" s="36">
        <f>SUMIFS($O$5:$O$328,$A$5:$A$328,A146,$D$5:$D$328,"&lt;="&amp;D146)</f>
        <v/>
      </c>
      <c r="Q146" s="51">
        <f>IF(F146="预算型曲线","总预算归一化","沿用旧指数公式")</f>
        <v/>
      </c>
      <c r="R146" s="51">
        <f>IF(F146="预算型曲线","与当前建议公式一致","需单独复核")</f>
        <v/>
      </c>
    </row>
    <row r="147" ht="22" customHeight="1">
      <c r="A147" s="33">
        <f>'建筑建议逐级'!A147</f>
        <v/>
      </c>
      <c r="B147" s="33">
        <f>'建筑建议逐级'!B147</f>
        <v/>
      </c>
      <c r="C147" s="33">
        <f>'建筑建议逐级'!C147</f>
        <v/>
      </c>
      <c r="D147" s="43">
        <f>'建筑建议逐级'!D147</f>
        <v/>
      </c>
      <c r="E147" s="36">
        <f>'建筑建议逐级'!E147</f>
        <v/>
      </c>
      <c r="F147" s="51">
        <f>IF(OR('建筑建议逐级'!I147&gt;0,'建筑建议逐级'!R147&gt;0,'建筑建议逐级'!S147&gt;0),"预算型曲线","旧指数公式")</f>
        <v/>
      </c>
      <c r="G147" s="50">
        <f>'建筑建议逐级'!H147</f>
        <v/>
      </c>
      <c r="H147" s="36">
        <f>'建筑建议逐级'!M147</f>
        <v/>
      </c>
      <c r="I147" s="35">
        <f>H147/3600</f>
        <v/>
      </c>
      <c r="J147" s="35">
        <f>H147/'参数与公式'!$B$21</f>
        <v/>
      </c>
      <c r="K147" s="35">
        <f>SUMIFS($J$5:$J$328,$A$5:$A$328,A147,$D$5:$D$328,"&lt;="&amp;D147)</f>
        <v/>
      </c>
      <c r="L147" s="50">
        <f>'建筑建议逐级'!Q147</f>
        <v/>
      </c>
      <c r="M147" s="36">
        <f>'建筑建议逐级'!X147</f>
        <v/>
      </c>
      <c r="N147" s="36">
        <f>SUMIFS($M$5:$M$328,$A$5:$A$328,A147,$D$5:$D$328,"&lt;="&amp;D147)</f>
        <v/>
      </c>
      <c r="O147" s="36">
        <f>'建筑建议逐级'!Y147</f>
        <v/>
      </c>
      <c r="P147" s="36">
        <f>SUMIFS($O$5:$O$328,$A$5:$A$328,A147,$D$5:$D$328,"&lt;="&amp;D147)</f>
        <v/>
      </c>
      <c r="Q147" s="51">
        <f>IF(F147="预算型曲线","总预算归一化","沿用旧指数公式")</f>
        <v/>
      </c>
      <c r="R147" s="51">
        <f>IF(F147="预算型曲线","与当前建议公式一致","需单独复核")</f>
        <v/>
      </c>
    </row>
    <row r="148" ht="22" customHeight="1">
      <c r="A148" s="33">
        <f>'建筑建议逐级'!A148</f>
        <v/>
      </c>
      <c r="B148" s="33">
        <f>'建筑建议逐级'!B148</f>
        <v/>
      </c>
      <c r="C148" s="33">
        <f>'建筑建议逐级'!C148</f>
        <v/>
      </c>
      <c r="D148" s="43">
        <f>'建筑建议逐级'!D148</f>
        <v/>
      </c>
      <c r="E148" s="36">
        <f>'建筑建议逐级'!E148</f>
        <v/>
      </c>
      <c r="F148" s="51">
        <f>IF(OR('建筑建议逐级'!I148&gt;0,'建筑建议逐级'!R148&gt;0,'建筑建议逐级'!S148&gt;0),"预算型曲线","旧指数公式")</f>
        <v/>
      </c>
      <c r="G148" s="50">
        <f>'建筑建议逐级'!H148</f>
        <v/>
      </c>
      <c r="H148" s="36">
        <f>'建筑建议逐级'!M148</f>
        <v/>
      </c>
      <c r="I148" s="35">
        <f>H148/3600</f>
        <v/>
      </c>
      <c r="J148" s="35">
        <f>H148/'参数与公式'!$B$21</f>
        <v/>
      </c>
      <c r="K148" s="35">
        <f>SUMIFS($J$5:$J$328,$A$5:$A$328,A148,$D$5:$D$328,"&lt;="&amp;D148)</f>
        <v/>
      </c>
      <c r="L148" s="50">
        <f>'建筑建议逐级'!Q148</f>
        <v/>
      </c>
      <c r="M148" s="36">
        <f>'建筑建议逐级'!X148</f>
        <v/>
      </c>
      <c r="N148" s="36">
        <f>SUMIFS($M$5:$M$328,$A$5:$A$328,A148,$D$5:$D$328,"&lt;="&amp;D148)</f>
        <v/>
      </c>
      <c r="O148" s="36">
        <f>'建筑建议逐级'!Y148</f>
        <v/>
      </c>
      <c r="P148" s="36">
        <f>SUMIFS($O$5:$O$328,$A$5:$A$328,A148,$D$5:$D$328,"&lt;="&amp;D148)</f>
        <v/>
      </c>
      <c r="Q148" s="51">
        <f>IF(F148="预算型曲线","总预算归一化","沿用旧指数公式")</f>
        <v/>
      </c>
      <c r="R148" s="51">
        <f>IF(F148="预算型曲线","与当前建议公式一致","需单独复核")</f>
        <v/>
      </c>
    </row>
    <row r="149" ht="22" customHeight="1">
      <c r="A149" s="33">
        <f>'建筑建议逐级'!A149</f>
        <v/>
      </c>
      <c r="B149" s="33">
        <f>'建筑建议逐级'!B149</f>
        <v/>
      </c>
      <c r="C149" s="33">
        <f>'建筑建议逐级'!C149</f>
        <v/>
      </c>
      <c r="D149" s="43">
        <f>'建筑建议逐级'!D149</f>
        <v/>
      </c>
      <c r="E149" s="36">
        <f>'建筑建议逐级'!E149</f>
        <v/>
      </c>
      <c r="F149" s="51">
        <f>IF(OR('建筑建议逐级'!I149&gt;0,'建筑建议逐级'!R149&gt;0,'建筑建议逐级'!S149&gt;0),"预算型曲线","旧指数公式")</f>
        <v/>
      </c>
      <c r="G149" s="50">
        <f>'建筑建议逐级'!H149</f>
        <v/>
      </c>
      <c r="H149" s="36">
        <f>'建筑建议逐级'!M149</f>
        <v/>
      </c>
      <c r="I149" s="35">
        <f>H149/3600</f>
        <v/>
      </c>
      <c r="J149" s="35">
        <f>H149/'参数与公式'!$B$21</f>
        <v/>
      </c>
      <c r="K149" s="35">
        <f>SUMIFS($J$5:$J$328,$A$5:$A$328,A149,$D$5:$D$328,"&lt;="&amp;D149)</f>
        <v/>
      </c>
      <c r="L149" s="50">
        <f>'建筑建议逐级'!Q149</f>
        <v/>
      </c>
      <c r="M149" s="36">
        <f>'建筑建议逐级'!X149</f>
        <v/>
      </c>
      <c r="N149" s="36">
        <f>SUMIFS($M$5:$M$328,$A$5:$A$328,A149,$D$5:$D$328,"&lt;="&amp;D149)</f>
        <v/>
      </c>
      <c r="O149" s="36">
        <f>'建筑建议逐级'!Y149</f>
        <v/>
      </c>
      <c r="P149" s="36">
        <f>SUMIFS($O$5:$O$328,$A$5:$A$328,A149,$D$5:$D$328,"&lt;="&amp;D149)</f>
        <v/>
      </c>
      <c r="Q149" s="51">
        <f>IF(F149="预算型曲线","总预算归一化","沿用旧指数公式")</f>
        <v/>
      </c>
      <c r="R149" s="51">
        <f>IF(F149="预算型曲线","与当前建议公式一致","需单独复核")</f>
        <v/>
      </c>
    </row>
    <row r="150" ht="22" customHeight="1">
      <c r="A150" s="33">
        <f>'建筑建议逐级'!A150</f>
        <v/>
      </c>
      <c r="B150" s="33">
        <f>'建筑建议逐级'!B150</f>
        <v/>
      </c>
      <c r="C150" s="33">
        <f>'建筑建议逐级'!C150</f>
        <v/>
      </c>
      <c r="D150" s="43">
        <f>'建筑建议逐级'!D150</f>
        <v/>
      </c>
      <c r="E150" s="36">
        <f>'建筑建议逐级'!E150</f>
        <v/>
      </c>
      <c r="F150" s="51">
        <f>IF(OR('建筑建议逐级'!I150&gt;0,'建筑建议逐级'!R150&gt;0,'建筑建议逐级'!S150&gt;0),"预算型曲线","旧指数公式")</f>
        <v/>
      </c>
      <c r="G150" s="50">
        <f>'建筑建议逐级'!H150</f>
        <v/>
      </c>
      <c r="H150" s="36">
        <f>'建筑建议逐级'!M150</f>
        <v/>
      </c>
      <c r="I150" s="35">
        <f>H150/3600</f>
        <v/>
      </c>
      <c r="J150" s="35">
        <f>H150/'参数与公式'!$B$21</f>
        <v/>
      </c>
      <c r="K150" s="35">
        <f>SUMIFS($J$5:$J$328,$A$5:$A$328,A150,$D$5:$D$328,"&lt;="&amp;D150)</f>
        <v/>
      </c>
      <c r="L150" s="50">
        <f>'建筑建议逐级'!Q150</f>
        <v/>
      </c>
      <c r="M150" s="36">
        <f>'建筑建议逐级'!X150</f>
        <v/>
      </c>
      <c r="N150" s="36">
        <f>SUMIFS($M$5:$M$328,$A$5:$A$328,A150,$D$5:$D$328,"&lt;="&amp;D150)</f>
        <v/>
      </c>
      <c r="O150" s="36">
        <f>'建筑建议逐级'!Y150</f>
        <v/>
      </c>
      <c r="P150" s="36">
        <f>SUMIFS($O$5:$O$328,$A$5:$A$328,A150,$D$5:$D$328,"&lt;="&amp;D150)</f>
        <v/>
      </c>
      <c r="Q150" s="51">
        <f>IF(F150="预算型曲线","总预算归一化","沿用旧指数公式")</f>
        <v/>
      </c>
      <c r="R150" s="51">
        <f>IF(F150="预算型曲线","与当前建议公式一致","需单独复核")</f>
        <v/>
      </c>
    </row>
    <row r="151" ht="22" customHeight="1">
      <c r="A151" s="33">
        <f>'建筑建议逐级'!A151</f>
        <v/>
      </c>
      <c r="B151" s="33">
        <f>'建筑建议逐级'!B151</f>
        <v/>
      </c>
      <c r="C151" s="33">
        <f>'建筑建议逐级'!C151</f>
        <v/>
      </c>
      <c r="D151" s="43">
        <f>'建筑建议逐级'!D151</f>
        <v/>
      </c>
      <c r="E151" s="36">
        <f>'建筑建议逐级'!E151</f>
        <v/>
      </c>
      <c r="F151" s="51">
        <f>IF(OR('建筑建议逐级'!I151&gt;0,'建筑建议逐级'!R151&gt;0,'建筑建议逐级'!S151&gt;0),"预算型曲线","旧指数公式")</f>
        <v/>
      </c>
      <c r="G151" s="50">
        <f>'建筑建议逐级'!H151</f>
        <v/>
      </c>
      <c r="H151" s="36">
        <f>'建筑建议逐级'!M151</f>
        <v/>
      </c>
      <c r="I151" s="35">
        <f>H151/3600</f>
        <v/>
      </c>
      <c r="J151" s="35">
        <f>H151/'参数与公式'!$B$21</f>
        <v/>
      </c>
      <c r="K151" s="35">
        <f>SUMIFS($J$5:$J$328,$A$5:$A$328,A151,$D$5:$D$328,"&lt;="&amp;D151)</f>
        <v/>
      </c>
      <c r="L151" s="50">
        <f>'建筑建议逐级'!Q151</f>
        <v/>
      </c>
      <c r="M151" s="36">
        <f>'建筑建议逐级'!X151</f>
        <v/>
      </c>
      <c r="N151" s="36">
        <f>SUMIFS($M$5:$M$328,$A$5:$A$328,A151,$D$5:$D$328,"&lt;="&amp;D151)</f>
        <v/>
      </c>
      <c r="O151" s="36">
        <f>'建筑建议逐级'!Y151</f>
        <v/>
      </c>
      <c r="P151" s="36">
        <f>SUMIFS($O$5:$O$328,$A$5:$A$328,A151,$D$5:$D$328,"&lt;="&amp;D151)</f>
        <v/>
      </c>
      <c r="Q151" s="51">
        <f>IF(F151="预算型曲线","总预算归一化","沿用旧指数公式")</f>
        <v/>
      </c>
      <c r="R151" s="51">
        <f>IF(F151="预算型曲线","与当前建议公式一致","需单独复核")</f>
        <v/>
      </c>
    </row>
    <row r="152" ht="22" customHeight="1">
      <c r="A152" s="33">
        <f>'建筑建议逐级'!A152</f>
        <v/>
      </c>
      <c r="B152" s="33">
        <f>'建筑建议逐级'!B152</f>
        <v/>
      </c>
      <c r="C152" s="33">
        <f>'建筑建议逐级'!C152</f>
        <v/>
      </c>
      <c r="D152" s="43">
        <f>'建筑建议逐级'!D152</f>
        <v/>
      </c>
      <c r="E152" s="36">
        <f>'建筑建议逐级'!E152</f>
        <v/>
      </c>
      <c r="F152" s="51">
        <f>IF(OR('建筑建议逐级'!I152&gt;0,'建筑建议逐级'!R152&gt;0,'建筑建议逐级'!S152&gt;0),"预算型曲线","旧指数公式")</f>
        <v/>
      </c>
      <c r="G152" s="50">
        <f>'建筑建议逐级'!H152</f>
        <v/>
      </c>
      <c r="H152" s="36">
        <f>'建筑建议逐级'!M152</f>
        <v/>
      </c>
      <c r="I152" s="35">
        <f>H152/3600</f>
        <v/>
      </c>
      <c r="J152" s="35">
        <f>H152/'参数与公式'!$B$21</f>
        <v/>
      </c>
      <c r="K152" s="35">
        <f>SUMIFS($J$5:$J$328,$A$5:$A$328,A152,$D$5:$D$328,"&lt;="&amp;D152)</f>
        <v/>
      </c>
      <c r="L152" s="50">
        <f>'建筑建议逐级'!Q152</f>
        <v/>
      </c>
      <c r="M152" s="36">
        <f>'建筑建议逐级'!X152</f>
        <v/>
      </c>
      <c r="N152" s="36">
        <f>SUMIFS($M$5:$M$328,$A$5:$A$328,A152,$D$5:$D$328,"&lt;="&amp;D152)</f>
        <v/>
      </c>
      <c r="O152" s="36">
        <f>'建筑建议逐级'!Y152</f>
        <v/>
      </c>
      <c r="P152" s="36">
        <f>SUMIFS($O$5:$O$328,$A$5:$A$328,A152,$D$5:$D$328,"&lt;="&amp;D152)</f>
        <v/>
      </c>
      <c r="Q152" s="51">
        <f>IF(F152="预算型曲线","总预算归一化","沿用旧指数公式")</f>
        <v/>
      </c>
      <c r="R152" s="51">
        <f>IF(F152="预算型曲线","与当前建议公式一致","需单独复核")</f>
        <v/>
      </c>
    </row>
    <row r="153" ht="22" customHeight="1">
      <c r="A153" s="33">
        <f>'建筑建议逐级'!A153</f>
        <v/>
      </c>
      <c r="B153" s="33">
        <f>'建筑建议逐级'!B153</f>
        <v/>
      </c>
      <c r="C153" s="33">
        <f>'建筑建议逐级'!C153</f>
        <v/>
      </c>
      <c r="D153" s="43">
        <f>'建筑建议逐级'!D153</f>
        <v/>
      </c>
      <c r="E153" s="36">
        <f>'建筑建议逐级'!E153</f>
        <v/>
      </c>
      <c r="F153" s="51">
        <f>IF(OR('建筑建议逐级'!I153&gt;0,'建筑建议逐级'!R153&gt;0,'建筑建议逐级'!S153&gt;0),"预算型曲线","旧指数公式")</f>
        <v/>
      </c>
      <c r="G153" s="50">
        <f>'建筑建议逐级'!H153</f>
        <v/>
      </c>
      <c r="H153" s="36">
        <f>'建筑建议逐级'!M153</f>
        <v/>
      </c>
      <c r="I153" s="35">
        <f>H153/3600</f>
        <v/>
      </c>
      <c r="J153" s="35">
        <f>H153/'参数与公式'!$B$21</f>
        <v/>
      </c>
      <c r="K153" s="35">
        <f>SUMIFS($J$5:$J$328,$A$5:$A$328,A153,$D$5:$D$328,"&lt;="&amp;D153)</f>
        <v/>
      </c>
      <c r="L153" s="50">
        <f>'建筑建议逐级'!Q153</f>
        <v/>
      </c>
      <c r="M153" s="36">
        <f>'建筑建议逐级'!X153</f>
        <v/>
      </c>
      <c r="N153" s="36">
        <f>SUMIFS($M$5:$M$328,$A$5:$A$328,A153,$D$5:$D$328,"&lt;="&amp;D153)</f>
        <v/>
      </c>
      <c r="O153" s="36">
        <f>'建筑建议逐级'!Y153</f>
        <v/>
      </c>
      <c r="P153" s="36">
        <f>SUMIFS($O$5:$O$328,$A$5:$A$328,A153,$D$5:$D$328,"&lt;="&amp;D153)</f>
        <v/>
      </c>
      <c r="Q153" s="51">
        <f>IF(F153="预算型曲线","总预算归一化","沿用旧指数公式")</f>
        <v/>
      </c>
      <c r="R153" s="51">
        <f>IF(F153="预算型曲线","与当前建议公式一致","需单独复核")</f>
        <v/>
      </c>
    </row>
    <row r="154" ht="22" customHeight="1">
      <c r="A154" s="33">
        <f>'建筑建议逐级'!A154</f>
        <v/>
      </c>
      <c r="B154" s="33">
        <f>'建筑建议逐级'!B154</f>
        <v/>
      </c>
      <c r="C154" s="33">
        <f>'建筑建议逐级'!C154</f>
        <v/>
      </c>
      <c r="D154" s="43">
        <f>'建筑建议逐级'!D154</f>
        <v/>
      </c>
      <c r="E154" s="36">
        <f>'建筑建议逐级'!E154</f>
        <v/>
      </c>
      <c r="F154" s="51">
        <f>IF(OR('建筑建议逐级'!I154&gt;0,'建筑建议逐级'!R154&gt;0,'建筑建议逐级'!S154&gt;0),"预算型曲线","旧指数公式")</f>
        <v/>
      </c>
      <c r="G154" s="50">
        <f>'建筑建议逐级'!H154</f>
        <v/>
      </c>
      <c r="H154" s="36">
        <f>'建筑建议逐级'!M154</f>
        <v/>
      </c>
      <c r="I154" s="35">
        <f>H154/3600</f>
        <v/>
      </c>
      <c r="J154" s="35">
        <f>H154/'参数与公式'!$B$21</f>
        <v/>
      </c>
      <c r="K154" s="35">
        <f>SUMIFS($J$5:$J$328,$A$5:$A$328,A154,$D$5:$D$328,"&lt;="&amp;D154)</f>
        <v/>
      </c>
      <c r="L154" s="50">
        <f>'建筑建议逐级'!Q154</f>
        <v/>
      </c>
      <c r="M154" s="36">
        <f>'建筑建议逐级'!X154</f>
        <v/>
      </c>
      <c r="N154" s="36">
        <f>SUMIFS($M$5:$M$328,$A$5:$A$328,A154,$D$5:$D$328,"&lt;="&amp;D154)</f>
        <v/>
      </c>
      <c r="O154" s="36">
        <f>'建筑建议逐级'!Y154</f>
        <v/>
      </c>
      <c r="P154" s="36">
        <f>SUMIFS($O$5:$O$328,$A$5:$A$328,A154,$D$5:$D$328,"&lt;="&amp;D154)</f>
        <v/>
      </c>
      <c r="Q154" s="51">
        <f>IF(F154="预算型曲线","总预算归一化","沿用旧指数公式")</f>
        <v/>
      </c>
      <c r="R154" s="51">
        <f>IF(F154="预算型曲线","与当前建议公式一致","需单独复核")</f>
        <v/>
      </c>
    </row>
    <row r="155" ht="22" customHeight="1">
      <c r="A155" s="33">
        <f>'建筑建议逐级'!A155</f>
        <v/>
      </c>
      <c r="B155" s="33">
        <f>'建筑建议逐级'!B155</f>
        <v/>
      </c>
      <c r="C155" s="33">
        <f>'建筑建议逐级'!C155</f>
        <v/>
      </c>
      <c r="D155" s="43">
        <f>'建筑建议逐级'!D155</f>
        <v/>
      </c>
      <c r="E155" s="36">
        <f>'建筑建议逐级'!E155</f>
        <v/>
      </c>
      <c r="F155" s="51">
        <f>IF(OR('建筑建议逐级'!I155&gt;0,'建筑建议逐级'!R155&gt;0,'建筑建议逐级'!S155&gt;0),"预算型曲线","旧指数公式")</f>
        <v/>
      </c>
      <c r="G155" s="50">
        <f>'建筑建议逐级'!H155</f>
        <v/>
      </c>
      <c r="H155" s="36">
        <f>'建筑建议逐级'!M155</f>
        <v/>
      </c>
      <c r="I155" s="35">
        <f>H155/3600</f>
        <v/>
      </c>
      <c r="J155" s="35">
        <f>H155/'参数与公式'!$B$21</f>
        <v/>
      </c>
      <c r="K155" s="35">
        <f>SUMIFS($J$5:$J$328,$A$5:$A$328,A155,$D$5:$D$328,"&lt;="&amp;D155)</f>
        <v/>
      </c>
      <c r="L155" s="50">
        <f>'建筑建议逐级'!Q155</f>
        <v/>
      </c>
      <c r="M155" s="36">
        <f>'建筑建议逐级'!X155</f>
        <v/>
      </c>
      <c r="N155" s="36">
        <f>SUMIFS($M$5:$M$328,$A$5:$A$328,A155,$D$5:$D$328,"&lt;="&amp;D155)</f>
        <v/>
      </c>
      <c r="O155" s="36">
        <f>'建筑建议逐级'!Y155</f>
        <v/>
      </c>
      <c r="P155" s="36">
        <f>SUMIFS($O$5:$O$328,$A$5:$A$328,A155,$D$5:$D$328,"&lt;="&amp;D155)</f>
        <v/>
      </c>
      <c r="Q155" s="51">
        <f>IF(F155="预算型曲线","总预算归一化","沿用旧指数公式")</f>
        <v/>
      </c>
      <c r="R155" s="51">
        <f>IF(F155="预算型曲线","与当前建议公式一致","需单独复核")</f>
        <v/>
      </c>
    </row>
    <row r="156" ht="22" customHeight="1">
      <c r="A156" s="33">
        <f>'建筑建议逐级'!A156</f>
        <v/>
      </c>
      <c r="B156" s="33">
        <f>'建筑建议逐级'!B156</f>
        <v/>
      </c>
      <c r="C156" s="33">
        <f>'建筑建议逐级'!C156</f>
        <v/>
      </c>
      <c r="D156" s="43">
        <f>'建筑建议逐级'!D156</f>
        <v/>
      </c>
      <c r="E156" s="36">
        <f>'建筑建议逐级'!E156</f>
        <v/>
      </c>
      <c r="F156" s="51">
        <f>IF(OR('建筑建议逐级'!I156&gt;0,'建筑建议逐级'!R156&gt;0,'建筑建议逐级'!S156&gt;0),"预算型曲线","旧指数公式")</f>
        <v/>
      </c>
      <c r="G156" s="50">
        <f>'建筑建议逐级'!H156</f>
        <v/>
      </c>
      <c r="H156" s="36">
        <f>'建筑建议逐级'!M156</f>
        <v/>
      </c>
      <c r="I156" s="35">
        <f>H156/3600</f>
        <v/>
      </c>
      <c r="J156" s="35">
        <f>H156/'参数与公式'!$B$21</f>
        <v/>
      </c>
      <c r="K156" s="35">
        <f>SUMIFS($J$5:$J$328,$A$5:$A$328,A156,$D$5:$D$328,"&lt;="&amp;D156)</f>
        <v/>
      </c>
      <c r="L156" s="50">
        <f>'建筑建议逐级'!Q156</f>
        <v/>
      </c>
      <c r="M156" s="36">
        <f>'建筑建议逐级'!X156</f>
        <v/>
      </c>
      <c r="N156" s="36">
        <f>SUMIFS($M$5:$M$328,$A$5:$A$328,A156,$D$5:$D$328,"&lt;="&amp;D156)</f>
        <v/>
      </c>
      <c r="O156" s="36">
        <f>'建筑建议逐级'!Y156</f>
        <v/>
      </c>
      <c r="P156" s="36">
        <f>SUMIFS($O$5:$O$328,$A$5:$A$328,A156,$D$5:$D$328,"&lt;="&amp;D156)</f>
        <v/>
      </c>
      <c r="Q156" s="51">
        <f>IF(F156="预算型曲线","总预算归一化","沿用旧指数公式")</f>
        <v/>
      </c>
      <c r="R156" s="51">
        <f>IF(F156="预算型曲线","与当前建议公式一致","需单独复核")</f>
        <v/>
      </c>
    </row>
    <row r="157" ht="22" customHeight="1">
      <c r="A157" s="33">
        <f>'建筑建议逐级'!A157</f>
        <v/>
      </c>
      <c r="B157" s="33">
        <f>'建筑建议逐级'!B157</f>
        <v/>
      </c>
      <c r="C157" s="33">
        <f>'建筑建议逐级'!C157</f>
        <v/>
      </c>
      <c r="D157" s="43">
        <f>'建筑建议逐级'!D157</f>
        <v/>
      </c>
      <c r="E157" s="36">
        <f>'建筑建议逐级'!E157</f>
        <v/>
      </c>
      <c r="F157" s="51">
        <f>IF(OR('建筑建议逐级'!I157&gt;0,'建筑建议逐级'!R157&gt;0,'建筑建议逐级'!S157&gt;0),"预算型曲线","旧指数公式")</f>
        <v/>
      </c>
      <c r="G157" s="50">
        <f>'建筑建议逐级'!H157</f>
        <v/>
      </c>
      <c r="H157" s="36">
        <f>'建筑建议逐级'!M157</f>
        <v/>
      </c>
      <c r="I157" s="35">
        <f>H157/3600</f>
        <v/>
      </c>
      <c r="J157" s="35">
        <f>H157/'参数与公式'!$B$21</f>
        <v/>
      </c>
      <c r="K157" s="35">
        <f>SUMIFS($J$5:$J$328,$A$5:$A$328,A157,$D$5:$D$328,"&lt;="&amp;D157)</f>
        <v/>
      </c>
      <c r="L157" s="50">
        <f>'建筑建议逐级'!Q157</f>
        <v/>
      </c>
      <c r="M157" s="36">
        <f>'建筑建议逐级'!X157</f>
        <v/>
      </c>
      <c r="N157" s="36">
        <f>SUMIFS($M$5:$M$328,$A$5:$A$328,A157,$D$5:$D$328,"&lt;="&amp;D157)</f>
        <v/>
      </c>
      <c r="O157" s="36">
        <f>'建筑建议逐级'!Y157</f>
        <v/>
      </c>
      <c r="P157" s="36">
        <f>SUMIFS($O$5:$O$328,$A$5:$A$328,A157,$D$5:$D$328,"&lt;="&amp;D157)</f>
        <v/>
      </c>
      <c r="Q157" s="51">
        <f>IF(F157="预算型曲线","总预算归一化","沿用旧指数公式")</f>
        <v/>
      </c>
      <c r="R157" s="51">
        <f>IF(F157="预算型曲线","与当前建议公式一致","需单独复核")</f>
        <v/>
      </c>
    </row>
    <row r="158" ht="22" customHeight="1">
      <c r="A158" s="33">
        <f>'建筑建议逐级'!A158</f>
        <v/>
      </c>
      <c r="B158" s="33">
        <f>'建筑建议逐级'!B158</f>
        <v/>
      </c>
      <c r="C158" s="33">
        <f>'建筑建议逐级'!C158</f>
        <v/>
      </c>
      <c r="D158" s="43">
        <f>'建筑建议逐级'!D158</f>
        <v/>
      </c>
      <c r="E158" s="36">
        <f>'建筑建议逐级'!E158</f>
        <v/>
      </c>
      <c r="F158" s="51">
        <f>IF(OR('建筑建议逐级'!I158&gt;0,'建筑建议逐级'!R158&gt;0,'建筑建议逐级'!S158&gt;0),"预算型曲线","旧指数公式")</f>
        <v/>
      </c>
      <c r="G158" s="50">
        <f>'建筑建议逐级'!H158</f>
        <v/>
      </c>
      <c r="H158" s="36">
        <f>'建筑建议逐级'!M158</f>
        <v/>
      </c>
      <c r="I158" s="35">
        <f>H158/3600</f>
        <v/>
      </c>
      <c r="J158" s="35">
        <f>H158/'参数与公式'!$B$21</f>
        <v/>
      </c>
      <c r="K158" s="35">
        <f>SUMIFS($J$5:$J$328,$A$5:$A$328,A158,$D$5:$D$328,"&lt;="&amp;D158)</f>
        <v/>
      </c>
      <c r="L158" s="50">
        <f>'建筑建议逐级'!Q158</f>
        <v/>
      </c>
      <c r="M158" s="36">
        <f>'建筑建议逐级'!X158</f>
        <v/>
      </c>
      <c r="N158" s="36">
        <f>SUMIFS($M$5:$M$328,$A$5:$A$328,A158,$D$5:$D$328,"&lt;="&amp;D158)</f>
        <v/>
      </c>
      <c r="O158" s="36">
        <f>'建筑建议逐级'!Y158</f>
        <v/>
      </c>
      <c r="P158" s="36">
        <f>SUMIFS($O$5:$O$328,$A$5:$A$328,A158,$D$5:$D$328,"&lt;="&amp;D158)</f>
        <v/>
      </c>
      <c r="Q158" s="51">
        <f>IF(F158="预算型曲线","总预算归一化","沿用旧指数公式")</f>
        <v/>
      </c>
      <c r="R158" s="51">
        <f>IF(F158="预算型曲线","与当前建议公式一致","需单独复核")</f>
        <v/>
      </c>
    </row>
    <row r="159" ht="22" customHeight="1">
      <c r="A159" s="33">
        <f>'建筑建议逐级'!A159</f>
        <v/>
      </c>
      <c r="B159" s="33">
        <f>'建筑建议逐级'!B159</f>
        <v/>
      </c>
      <c r="C159" s="33">
        <f>'建筑建议逐级'!C159</f>
        <v/>
      </c>
      <c r="D159" s="43">
        <f>'建筑建议逐级'!D159</f>
        <v/>
      </c>
      <c r="E159" s="36">
        <f>'建筑建议逐级'!E159</f>
        <v/>
      </c>
      <c r="F159" s="51">
        <f>IF(OR('建筑建议逐级'!I159&gt;0,'建筑建议逐级'!R159&gt;0,'建筑建议逐级'!S159&gt;0),"预算型曲线","旧指数公式")</f>
        <v/>
      </c>
      <c r="G159" s="50">
        <f>'建筑建议逐级'!H159</f>
        <v/>
      </c>
      <c r="H159" s="36">
        <f>'建筑建议逐级'!M159</f>
        <v/>
      </c>
      <c r="I159" s="35">
        <f>H159/3600</f>
        <v/>
      </c>
      <c r="J159" s="35">
        <f>H159/'参数与公式'!$B$21</f>
        <v/>
      </c>
      <c r="K159" s="35">
        <f>SUMIFS($J$5:$J$328,$A$5:$A$328,A159,$D$5:$D$328,"&lt;="&amp;D159)</f>
        <v/>
      </c>
      <c r="L159" s="50">
        <f>'建筑建议逐级'!Q159</f>
        <v/>
      </c>
      <c r="M159" s="36">
        <f>'建筑建议逐级'!X159</f>
        <v/>
      </c>
      <c r="N159" s="36">
        <f>SUMIFS($M$5:$M$328,$A$5:$A$328,A159,$D$5:$D$328,"&lt;="&amp;D159)</f>
        <v/>
      </c>
      <c r="O159" s="36">
        <f>'建筑建议逐级'!Y159</f>
        <v/>
      </c>
      <c r="P159" s="36">
        <f>SUMIFS($O$5:$O$328,$A$5:$A$328,A159,$D$5:$D$328,"&lt;="&amp;D159)</f>
        <v/>
      </c>
      <c r="Q159" s="51">
        <f>IF(F159="预算型曲线","总预算归一化","沿用旧指数公式")</f>
        <v/>
      </c>
      <c r="R159" s="51">
        <f>IF(F159="预算型曲线","与当前建议公式一致","需单独复核")</f>
        <v/>
      </c>
    </row>
    <row r="160" ht="22" customHeight="1">
      <c r="A160" s="33">
        <f>'建筑建议逐级'!A160</f>
        <v/>
      </c>
      <c r="B160" s="33">
        <f>'建筑建议逐级'!B160</f>
        <v/>
      </c>
      <c r="C160" s="33">
        <f>'建筑建议逐级'!C160</f>
        <v/>
      </c>
      <c r="D160" s="43">
        <f>'建筑建议逐级'!D160</f>
        <v/>
      </c>
      <c r="E160" s="36">
        <f>'建筑建议逐级'!E160</f>
        <v/>
      </c>
      <c r="F160" s="51">
        <f>IF(OR('建筑建议逐级'!I160&gt;0,'建筑建议逐级'!R160&gt;0,'建筑建议逐级'!S160&gt;0),"预算型曲线","旧指数公式")</f>
        <v/>
      </c>
      <c r="G160" s="50">
        <f>'建筑建议逐级'!H160</f>
        <v/>
      </c>
      <c r="H160" s="36">
        <f>'建筑建议逐级'!M160</f>
        <v/>
      </c>
      <c r="I160" s="35">
        <f>H160/3600</f>
        <v/>
      </c>
      <c r="J160" s="35">
        <f>H160/'参数与公式'!$B$21</f>
        <v/>
      </c>
      <c r="K160" s="35">
        <f>SUMIFS($J$5:$J$328,$A$5:$A$328,A160,$D$5:$D$328,"&lt;="&amp;D160)</f>
        <v/>
      </c>
      <c r="L160" s="50">
        <f>'建筑建议逐级'!Q160</f>
        <v/>
      </c>
      <c r="M160" s="36">
        <f>'建筑建议逐级'!X160</f>
        <v/>
      </c>
      <c r="N160" s="36">
        <f>SUMIFS($M$5:$M$328,$A$5:$A$328,A160,$D$5:$D$328,"&lt;="&amp;D160)</f>
        <v/>
      </c>
      <c r="O160" s="36">
        <f>'建筑建议逐级'!Y160</f>
        <v/>
      </c>
      <c r="P160" s="36">
        <f>SUMIFS($O$5:$O$328,$A$5:$A$328,A160,$D$5:$D$328,"&lt;="&amp;D160)</f>
        <v/>
      </c>
      <c r="Q160" s="51">
        <f>IF(F160="预算型曲线","总预算归一化","沿用旧指数公式")</f>
        <v/>
      </c>
      <c r="R160" s="51">
        <f>IF(F160="预算型曲线","与当前建议公式一致","需单独复核")</f>
        <v/>
      </c>
    </row>
    <row r="161" ht="22" customHeight="1">
      <c r="A161" s="33">
        <f>'建筑建议逐级'!A161</f>
        <v/>
      </c>
      <c r="B161" s="33">
        <f>'建筑建议逐级'!B161</f>
        <v/>
      </c>
      <c r="C161" s="33">
        <f>'建筑建议逐级'!C161</f>
        <v/>
      </c>
      <c r="D161" s="43">
        <f>'建筑建议逐级'!D161</f>
        <v/>
      </c>
      <c r="E161" s="36">
        <f>'建筑建议逐级'!E161</f>
        <v/>
      </c>
      <c r="F161" s="51">
        <f>IF(OR('建筑建议逐级'!I161&gt;0,'建筑建议逐级'!R161&gt;0,'建筑建议逐级'!S161&gt;0),"预算型曲线","旧指数公式")</f>
        <v/>
      </c>
      <c r="G161" s="50">
        <f>'建筑建议逐级'!H161</f>
        <v/>
      </c>
      <c r="H161" s="36">
        <f>'建筑建议逐级'!M161</f>
        <v/>
      </c>
      <c r="I161" s="35">
        <f>H161/3600</f>
        <v/>
      </c>
      <c r="J161" s="35">
        <f>H161/'参数与公式'!$B$21</f>
        <v/>
      </c>
      <c r="K161" s="35">
        <f>SUMIFS($J$5:$J$328,$A$5:$A$328,A161,$D$5:$D$328,"&lt;="&amp;D161)</f>
        <v/>
      </c>
      <c r="L161" s="50">
        <f>'建筑建议逐级'!Q161</f>
        <v/>
      </c>
      <c r="M161" s="36">
        <f>'建筑建议逐级'!X161</f>
        <v/>
      </c>
      <c r="N161" s="36">
        <f>SUMIFS($M$5:$M$328,$A$5:$A$328,A161,$D$5:$D$328,"&lt;="&amp;D161)</f>
        <v/>
      </c>
      <c r="O161" s="36">
        <f>'建筑建议逐级'!Y161</f>
        <v/>
      </c>
      <c r="P161" s="36">
        <f>SUMIFS($O$5:$O$328,$A$5:$A$328,A161,$D$5:$D$328,"&lt;="&amp;D161)</f>
        <v/>
      </c>
      <c r="Q161" s="51">
        <f>IF(F161="预算型曲线","总预算归一化","沿用旧指数公式")</f>
        <v/>
      </c>
      <c r="R161" s="51">
        <f>IF(F161="预算型曲线","与当前建议公式一致","需单独复核")</f>
        <v/>
      </c>
    </row>
    <row r="162" ht="22" customHeight="1">
      <c r="A162" s="33">
        <f>'建筑建议逐级'!A162</f>
        <v/>
      </c>
      <c r="B162" s="33">
        <f>'建筑建议逐级'!B162</f>
        <v/>
      </c>
      <c r="C162" s="33">
        <f>'建筑建议逐级'!C162</f>
        <v/>
      </c>
      <c r="D162" s="43">
        <f>'建筑建议逐级'!D162</f>
        <v/>
      </c>
      <c r="E162" s="36">
        <f>'建筑建议逐级'!E162</f>
        <v/>
      </c>
      <c r="F162" s="51">
        <f>IF(OR('建筑建议逐级'!I162&gt;0,'建筑建议逐级'!R162&gt;0,'建筑建议逐级'!S162&gt;0),"预算型曲线","旧指数公式")</f>
        <v/>
      </c>
      <c r="G162" s="50">
        <f>'建筑建议逐级'!H162</f>
        <v/>
      </c>
      <c r="H162" s="36">
        <f>'建筑建议逐级'!M162</f>
        <v/>
      </c>
      <c r="I162" s="35">
        <f>H162/3600</f>
        <v/>
      </c>
      <c r="J162" s="35">
        <f>H162/'参数与公式'!$B$21</f>
        <v/>
      </c>
      <c r="K162" s="35">
        <f>SUMIFS($J$5:$J$328,$A$5:$A$328,A162,$D$5:$D$328,"&lt;="&amp;D162)</f>
        <v/>
      </c>
      <c r="L162" s="50">
        <f>'建筑建议逐级'!Q162</f>
        <v/>
      </c>
      <c r="M162" s="36">
        <f>'建筑建议逐级'!X162</f>
        <v/>
      </c>
      <c r="N162" s="36">
        <f>SUMIFS($M$5:$M$328,$A$5:$A$328,A162,$D$5:$D$328,"&lt;="&amp;D162)</f>
        <v/>
      </c>
      <c r="O162" s="36">
        <f>'建筑建议逐级'!Y162</f>
        <v/>
      </c>
      <c r="P162" s="36">
        <f>SUMIFS($O$5:$O$328,$A$5:$A$328,A162,$D$5:$D$328,"&lt;="&amp;D162)</f>
        <v/>
      </c>
      <c r="Q162" s="51">
        <f>IF(F162="预算型曲线","总预算归一化","沿用旧指数公式")</f>
        <v/>
      </c>
      <c r="R162" s="51">
        <f>IF(F162="预算型曲线","与当前建议公式一致","需单独复核")</f>
        <v/>
      </c>
    </row>
    <row r="163" ht="22" customHeight="1">
      <c r="A163" s="33">
        <f>'建筑建议逐级'!A163</f>
        <v/>
      </c>
      <c r="B163" s="33">
        <f>'建筑建议逐级'!B163</f>
        <v/>
      </c>
      <c r="C163" s="33">
        <f>'建筑建议逐级'!C163</f>
        <v/>
      </c>
      <c r="D163" s="43">
        <f>'建筑建议逐级'!D163</f>
        <v/>
      </c>
      <c r="E163" s="36">
        <f>'建筑建议逐级'!E163</f>
        <v/>
      </c>
      <c r="F163" s="51">
        <f>IF(OR('建筑建议逐级'!I163&gt;0,'建筑建议逐级'!R163&gt;0,'建筑建议逐级'!S163&gt;0),"预算型曲线","旧指数公式")</f>
        <v/>
      </c>
      <c r="G163" s="50">
        <f>'建筑建议逐级'!H163</f>
        <v/>
      </c>
      <c r="H163" s="36">
        <f>'建筑建议逐级'!M163</f>
        <v/>
      </c>
      <c r="I163" s="35">
        <f>H163/3600</f>
        <v/>
      </c>
      <c r="J163" s="35">
        <f>H163/'参数与公式'!$B$21</f>
        <v/>
      </c>
      <c r="K163" s="35">
        <f>SUMIFS($J$5:$J$328,$A$5:$A$328,A163,$D$5:$D$328,"&lt;="&amp;D163)</f>
        <v/>
      </c>
      <c r="L163" s="50">
        <f>'建筑建议逐级'!Q163</f>
        <v/>
      </c>
      <c r="M163" s="36">
        <f>'建筑建议逐级'!X163</f>
        <v/>
      </c>
      <c r="N163" s="36">
        <f>SUMIFS($M$5:$M$328,$A$5:$A$328,A163,$D$5:$D$328,"&lt;="&amp;D163)</f>
        <v/>
      </c>
      <c r="O163" s="36">
        <f>'建筑建议逐级'!Y163</f>
        <v/>
      </c>
      <c r="P163" s="36">
        <f>SUMIFS($O$5:$O$328,$A$5:$A$328,A163,$D$5:$D$328,"&lt;="&amp;D163)</f>
        <v/>
      </c>
      <c r="Q163" s="51">
        <f>IF(F163="预算型曲线","总预算归一化","沿用旧指数公式")</f>
        <v/>
      </c>
      <c r="R163" s="51">
        <f>IF(F163="预算型曲线","与当前建议公式一致","需单独复核")</f>
        <v/>
      </c>
    </row>
    <row r="164" ht="22" customHeight="1">
      <c r="A164" s="33">
        <f>'建筑建议逐级'!A164</f>
        <v/>
      </c>
      <c r="B164" s="33">
        <f>'建筑建议逐级'!B164</f>
        <v/>
      </c>
      <c r="C164" s="33">
        <f>'建筑建议逐级'!C164</f>
        <v/>
      </c>
      <c r="D164" s="43">
        <f>'建筑建议逐级'!D164</f>
        <v/>
      </c>
      <c r="E164" s="36">
        <f>'建筑建议逐级'!E164</f>
        <v/>
      </c>
      <c r="F164" s="51">
        <f>IF(OR('建筑建议逐级'!I164&gt;0,'建筑建议逐级'!R164&gt;0,'建筑建议逐级'!S164&gt;0),"预算型曲线","旧指数公式")</f>
        <v/>
      </c>
      <c r="G164" s="50">
        <f>'建筑建议逐级'!H164</f>
        <v/>
      </c>
      <c r="H164" s="36">
        <f>'建筑建议逐级'!M164</f>
        <v/>
      </c>
      <c r="I164" s="35">
        <f>H164/3600</f>
        <v/>
      </c>
      <c r="J164" s="35">
        <f>H164/'参数与公式'!$B$21</f>
        <v/>
      </c>
      <c r="K164" s="35">
        <f>SUMIFS($J$5:$J$328,$A$5:$A$328,A164,$D$5:$D$328,"&lt;="&amp;D164)</f>
        <v/>
      </c>
      <c r="L164" s="50">
        <f>'建筑建议逐级'!Q164</f>
        <v/>
      </c>
      <c r="M164" s="36">
        <f>'建筑建议逐级'!X164</f>
        <v/>
      </c>
      <c r="N164" s="36">
        <f>SUMIFS($M$5:$M$328,$A$5:$A$328,A164,$D$5:$D$328,"&lt;="&amp;D164)</f>
        <v/>
      </c>
      <c r="O164" s="36">
        <f>'建筑建议逐级'!Y164</f>
        <v/>
      </c>
      <c r="P164" s="36">
        <f>SUMIFS($O$5:$O$328,$A$5:$A$328,A164,$D$5:$D$328,"&lt;="&amp;D164)</f>
        <v/>
      </c>
      <c r="Q164" s="51">
        <f>IF(F164="预算型曲线","总预算归一化","沿用旧指数公式")</f>
        <v/>
      </c>
      <c r="R164" s="51">
        <f>IF(F164="预算型曲线","与当前建议公式一致","需单独复核")</f>
        <v/>
      </c>
    </row>
    <row r="165" ht="22" customHeight="1">
      <c r="A165" s="33">
        <f>'建筑建议逐级'!A165</f>
        <v/>
      </c>
      <c r="B165" s="33">
        <f>'建筑建议逐级'!B165</f>
        <v/>
      </c>
      <c r="C165" s="33">
        <f>'建筑建议逐级'!C165</f>
        <v/>
      </c>
      <c r="D165" s="43">
        <f>'建筑建议逐级'!D165</f>
        <v/>
      </c>
      <c r="E165" s="36">
        <f>'建筑建议逐级'!E165</f>
        <v/>
      </c>
      <c r="F165" s="51">
        <f>IF(OR('建筑建议逐级'!I165&gt;0,'建筑建议逐级'!R165&gt;0,'建筑建议逐级'!S165&gt;0),"预算型曲线","旧指数公式")</f>
        <v/>
      </c>
      <c r="G165" s="50">
        <f>'建筑建议逐级'!H165</f>
        <v/>
      </c>
      <c r="H165" s="36">
        <f>'建筑建议逐级'!M165</f>
        <v/>
      </c>
      <c r="I165" s="35">
        <f>H165/3600</f>
        <v/>
      </c>
      <c r="J165" s="35">
        <f>H165/'参数与公式'!$B$21</f>
        <v/>
      </c>
      <c r="K165" s="35">
        <f>SUMIFS($J$5:$J$328,$A$5:$A$328,A165,$D$5:$D$328,"&lt;="&amp;D165)</f>
        <v/>
      </c>
      <c r="L165" s="50">
        <f>'建筑建议逐级'!Q165</f>
        <v/>
      </c>
      <c r="M165" s="36">
        <f>'建筑建议逐级'!X165</f>
        <v/>
      </c>
      <c r="N165" s="36">
        <f>SUMIFS($M$5:$M$328,$A$5:$A$328,A165,$D$5:$D$328,"&lt;="&amp;D165)</f>
        <v/>
      </c>
      <c r="O165" s="36">
        <f>'建筑建议逐级'!Y165</f>
        <v/>
      </c>
      <c r="P165" s="36">
        <f>SUMIFS($O$5:$O$328,$A$5:$A$328,A165,$D$5:$D$328,"&lt;="&amp;D165)</f>
        <v/>
      </c>
      <c r="Q165" s="51">
        <f>IF(F165="预算型曲线","总预算归一化","沿用旧指数公式")</f>
        <v/>
      </c>
      <c r="R165" s="51">
        <f>IF(F165="预算型曲线","与当前建议公式一致","需单独复核")</f>
        <v/>
      </c>
    </row>
    <row r="166" ht="22" customHeight="1">
      <c r="A166" s="33">
        <f>'建筑建议逐级'!A166</f>
        <v/>
      </c>
      <c r="B166" s="33">
        <f>'建筑建议逐级'!B166</f>
        <v/>
      </c>
      <c r="C166" s="33">
        <f>'建筑建议逐级'!C166</f>
        <v/>
      </c>
      <c r="D166" s="43">
        <f>'建筑建议逐级'!D166</f>
        <v/>
      </c>
      <c r="E166" s="36">
        <f>'建筑建议逐级'!E166</f>
        <v/>
      </c>
      <c r="F166" s="51">
        <f>IF(OR('建筑建议逐级'!I166&gt;0,'建筑建议逐级'!R166&gt;0,'建筑建议逐级'!S166&gt;0),"预算型曲线","旧指数公式")</f>
        <v/>
      </c>
      <c r="G166" s="50">
        <f>'建筑建议逐级'!H166</f>
        <v/>
      </c>
      <c r="H166" s="36">
        <f>'建筑建议逐级'!M166</f>
        <v/>
      </c>
      <c r="I166" s="35">
        <f>H166/3600</f>
        <v/>
      </c>
      <c r="J166" s="35">
        <f>H166/'参数与公式'!$B$21</f>
        <v/>
      </c>
      <c r="K166" s="35">
        <f>SUMIFS($J$5:$J$328,$A$5:$A$328,A166,$D$5:$D$328,"&lt;="&amp;D166)</f>
        <v/>
      </c>
      <c r="L166" s="50">
        <f>'建筑建议逐级'!Q166</f>
        <v/>
      </c>
      <c r="M166" s="36">
        <f>'建筑建议逐级'!X166</f>
        <v/>
      </c>
      <c r="N166" s="36">
        <f>SUMIFS($M$5:$M$328,$A$5:$A$328,A166,$D$5:$D$328,"&lt;="&amp;D166)</f>
        <v/>
      </c>
      <c r="O166" s="36">
        <f>'建筑建议逐级'!Y166</f>
        <v/>
      </c>
      <c r="P166" s="36">
        <f>SUMIFS($O$5:$O$328,$A$5:$A$328,A166,$D$5:$D$328,"&lt;="&amp;D166)</f>
        <v/>
      </c>
      <c r="Q166" s="51">
        <f>IF(F166="预算型曲线","总预算归一化","沿用旧指数公式")</f>
        <v/>
      </c>
      <c r="R166" s="51">
        <f>IF(F166="预算型曲线","与当前建议公式一致","需单独复核")</f>
        <v/>
      </c>
    </row>
    <row r="167" ht="22" customHeight="1">
      <c r="A167" s="33">
        <f>'建筑建议逐级'!A167</f>
        <v/>
      </c>
      <c r="B167" s="33">
        <f>'建筑建议逐级'!B167</f>
        <v/>
      </c>
      <c r="C167" s="33">
        <f>'建筑建议逐级'!C167</f>
        <v/>
      </c>
      <c r="D167" s="43">
        <f>'建筑建议逐级'!D167</f>
        <v/>
      </c>
      <c r="E167" s="36">
        <f>'建筑建议逐级'!E167</f>
        <v/>
      </c>
      <c r="F167" s="51">
        <f>IF(OR('建筑建议逐级'!I167&gt;0,'建筑建议逐级'!R167&gt;0,'建筑建议逐级'!S167&gt;0),"预算型曲线","旧指数公式")</f>
        <v/>
      </c>
      <c r="G167" s="50">
        <f>'建筑建议逐级'!H167</f>
        <v/>
      </c>
      <c r="H167" s="36">
        <f>'建筑建议逐级'!M167</f>
        <v/>
      </c>
      <c r="I167" s="35">
        <f>H167/3600</f>
        <v/>
      </c>
      <c r="J167" s="35">
        <f>H167/'参数与公式'!$B$21</f>
        <v/>
      </c>
      <c r="K167" s="35">
        <f>SUMIFS($J$5:$J$328,$A$5:$A$328,A167,$D$5:$D$328,"&lt;="&amp;D167)</f>
        <v/>
      </c>
      <c r="L167" s="50">
        <f>'建筑建议逐级'!Q167</f>
        <v/>
      </c>
      <c r="M167" s="36">
        <f>'建筑建议逐级'!X167</f>
        <v/>
      </c>
      <c r="N167" s="36">
        <f>SUMIFS($M$5:$M$328,$A$5:$A$328,A167,$D$5:$D$328,"&lt;="&amp;D167)</f>
        <v/>
      </c>
      <c r="O167" s="36">
        <f>'建筑建议逐级'!Y167</f>
        <v/>
      </c>
      <c r="P167" s="36">
        <f>SUMIFS($O$5:$O$328,$A$5:$A$328,A167,$D$5:$D$328,"&lt;="&amp;D167)</f>
        <v/>
      </c>
      <c r="Q167" s="51">
        <f>IF(F167="预算型曲线","总预算归一化","沿用旧指数公式")</f>
        <v/>
      </c>
      <c r="R167" s="51">
        <f>IF(F167="预算型曲线","与当前建议公式一致","需单独复核")</f>
        <v/>
      </c>
    </row>
    <row r="168" ht="22" customHeight="1">
      <c r="A168" s="33">
        <f>'建筑建议逐级'!A168</f>
        <v/>
      </c>
      <c r="B168" s="33">
        <f>'建筑建议逐级'!B168</f>
        <v/>
      </c>
      <c r="C168" s="33">
        <f>'建筑建议逐级'!C168</f>
        <v/>
      </c>
      <c r="D168" s="43">
        <f>'建筑建议逐级'!D168</f>
        <v/>
      </c>
      <c r="E168" s="36">
        <f>'建筑建议逐级'!E168</f>
        <v/>
      </c>
      <c r="F168" s="51">
        <f>IF(OR('建筑建议逐级'!I168&gt;0,'建筑建议逐级'!R168&gt;0,'建筑建议逐级'!S168&gt;0),"预算型曲线","旧指数公式")</f>
        <v/>
      </c>
      <c r="G168" s="50">
        <f>'建筑建议逐级'!H168</f>
        <v/>
      </c>
      <c r="H168" s="36">
        <f>'建筑建议逐级'!M168</f>
        <v/>
      </c>
      <c r="I168" s="35">
        <f>H168/3600</f>
        <v/>
      </c>
      <c r="J168" s="35">
        <f>H168/'参数与公式'!$B$21</f>
        <v/>
      </c>
      <c r="K168" s="35">
        <f>SUMIFS($J$5:$J$328,$A$5:$A$328,A168,$D$5:$D$328,"&lt;="&amp;D168)</f>
        <v/>
      </c>
      <c r="L168" s="50">
        <f>'建筑建议逐级'!Q168</f>
        <v/>
      </c>
      <c r="M168" s="36">
        <f>'建筑建议逐级'!X168</f>
        <v/>
      </c>
      <c r="N168" s="36">
        <f>SUMIFS($M$5:$M$328,$A$5:$A$328,A168,$D$5:$D$328,"&lt;="&amp;D168)</f>
        <v/>
      </c>
      <c r="O168" s="36">
        <f>'建筑建议逐级'!Y168</f>
        <v/>
      </c>
      <c r="P168" s="36">
        <f>SUMIFS($O$5:$O$328,$A$5:$A$328,A168,$D$5:$D$328,"&lt;="&amp;D168)</f>
        <v/>
      </c>
      <c r="Q168" s="51">
        <f>IF(F168="预算型曲线","总预算归一化","沿用旧指数公式")</f>
        <v/>
      </c>
      <c r="R168" s="51">
        <f>IF(F168="预算型曲线","与当前建议公式一致","需单独复核")</f>
        <v/>
      </c>
    </row>
    <row r="169" ht="22" customHeight="1">
      <c r="A169" s="33">
        <f>'建筑建议逐级'!A169</f>
        <v/>
      </c>
      <c r="B169" s="33">
        <f>'建筑建议逐级'!B169</f>
        <v/>
      </c>
      <c r="C169" s="33">
        <f>'建筑建议逐级'!C169</f>
        <v/>
      </c>
      <c r="D169" s="43">
        <f>'建筑建议逐级'!D169</f>
        <v/>
      </c>
      <c r="E169" s="36">
        <f>'建筑建议逐级'!E169</f>
        <v/>
      </c>
      <c r="F169" s="51">
        <f>IF(OR('建筑建议逐级'!I169&gt;0,'建筑建议逐级'!R169&gt;0,'建筑建议逐级'!S169&gt;0),"预算型曲线","旧指数公式")</f>
        <v/>
      </c>
      <c r="G169" s="50">
        <f>'建筑建议逐级'!H169</f>
        <v/>
      </c>
      <c r="H169" s="36">
        <f>'建筑建议逐级'!M169</f>
        <v/>
      </c>
      <c r="I169" s="35">
        <f>H169/3600</f>
        <v/>
      </c>
      <c r="J169" s="35">
        <f>H169/'参数与公式'!$B$21</f>
        <v/>
      </c>
      <c r="K169" s="35">
        <f>SUMIFS($J$5:$J$328,$A$5:$A$328,A169,$D$5:$D$328,"&lt;="&amp;D169)</f>
        <v/>
      </c>
      <c r="L169" s="50">
        <f>'建筑建议逐级'!Q169</f>
        <v/>
      </c>
      <c r="M169" s="36">
        <f>'建筑建议逐级'!X169</f>
        <v/>
      </c>
      <c r="N169" s="36">
        <f>SUMIFS($M$5:$M$328,$A$5:$A$328,A169,$D$5:$D$328,"&lt;="&amp;D169)</f>
        <v/>
      </c>
      <c r="O169" s="36">
        <f>'建筑建议逐级'!Y169</f>
        <v/>
      </c>
      <c r="P169" s="36">
        <f>SUMIFS($O$5:$O$328,$A$5:$A$328,A169,$D$5:$D$328,"&lt;="&amp;D169)</f>
        <v/>
      </c>
      <c r="Q169" s="51">
        <f>IF(F169="预算型曲线","总预算归一化","沿用旧指数公式")</f>
        <v/>
      </c>
      <c r="R169" s="51">
        <f>IF(F169="预算型曲线","与当前建议公式一致","需单独复核")</f>
        <v/>
      </c>
    </row>
    <row r="170" ht="22" customHeight="1">
      <c r="A170" s="33">
        <f>'建筑建议逐级'!A170</f>
        <v/>
      </c>
      <c r="B170" s="33">
        <f>'建筑建议逐级'!B170</f>
        <v/>
      </c>
      <c r="C170" s="33">
        <f>'建筑建议逐级'!C170</f>
        <v/>
      </c>
      <c r="D170" s="43">
        <f>'建筑建议逐级'!D170</f>
        <v/>
      </c>
      <c r="E170" s="36">
        <f>'建筑建议逐级'!E170</f>
        <v/>
      </c>
      <c r="F170" s="51">
        <f>IF(OR('建筑建议逐级'!I170&gt;0,'建筑建议逐级'!R170&gt;0,'建筑建议逐级'!S170&gt;0),"预算型曲线","旧指数公式")</f>
        <v/>
      </c>
      <c r="G170" s="50">
        <f>'建筑建议逐级'!H170</f>
        <v/>
      </c>
      <c r="H170" s="36">
        <f>'建筑建议逐级'!M170</f>
        <v/>
      </c>
      <c r="I170" s="35">
        <f>H170/3600</f>
        <v/>
      </c>
      <c r="J170" s="35">
        <f>H170/'参数与公式'!$B$21</f>
        <v/>
      </c>
      <c r="K170" s="35">
        <f>SUMIFS($J$5:$J$328,$A$5:$A$328,A170,$D$5:$D$328,"&lt;="&amp;D170)</f>
        <v/>
      </c>
      <c r="L170" s="50">
        <f>'建筑建议逐级'!Q170</f>
        <v/>
      </c>
      <c r="M170" s="36">
        <f>'建筑建议逐级'!X170</f>
        <v/>
      </c>
      <c r="N170" s="36">
        <f>SUMIFS($M$5:$M$328,$A$5:$A$328,A170,$D$5:$D$328,"&lt;="&amp;D170)</f>
        <v/>
      </c>
      <c r="O170" s="36">
        <f>'建筑建议逐级'!Y170</f>
        <v/>
      </c>
      <c r="P170" s="36">
        <f>SUMIFS($O$5:$O$328,$A$5:$A$328,A170,$D$5:$D$328,"&lt;="&amp;D170)</f>
        <v/>
      </c>
      <c r="Q170" s="51">
        <f>IF(F170="预算型曲线","总预算归一化","沿用旧指数公式")</f>
        <v/>
      </c>
      <c r="R170" s="51">
        <f>IF(F170="预算型曲线","与当前建议公式一致","需单独复核")</f>
        <v/>
      </c>
    </row>
    <row r="171" ht="22" customHeight="1">
      <c r="A171" s="33">
        <f>'建筑建议逐级'!A171</f>
        <v/>
      </c>
      <c r="B171" s="33">
        <f>'建筑建议逐级'!B171</f>
        <v/>
      </c>
      <c r="C171" s="33">
        <f>'建筑建议逐级'!C171</f>
        <v/>
      </c>
      <c r="D171" s="43">
        <f>'建筑建议逐级'!D171</f>
        <v/>
      </c>
      <c r="E171" s="36">
        <f>'建筑建议逐级'!E171</f>
        <v/>
      </c>
      <c r="F171" s="51">
        <f>IF(OR('建筑建议逐级'!I171&gt;0,'建筑建议逐级'!R171&gt;0,'建筑建议逐级'!S171&gt;0),"预算型曲线","旧指数公式")</f>
        <v/>
      </c>
      <c r="G171" s="50">
        <f>'建筑建议逐级'!H171</f>
        <v/>
      </c>
      <c r="H171" s="36">
        <f>'建筑建议逐级'!M171</f>
        <v/>
      </c>
      <c r="I171" s="35">
        <f>H171/3600</f>
        <v/>
      </c>
      <c r="J171" s="35">
        <f>H171/'参数与公式'!$B$21</f>
        <v/>
      </c>
      <c r="K171" s="35">
        <f>SUMIFS($J$5:$J$328,$A$5:$A$328,A171,$D$5:$D$328,"&lt;="&amp;D171)</f>
        <v/>
      </c>
      <c r="L171" s="50">
        <f>'建筑建议逐级'!Q171</f>
        <v/>
      </c>
      <c r="M171" s="36">
        <f>'建筑建议逐级'!X171</f>
        <v/>
      </c>
      <c r="N171" s="36">
        <f>SUMIFS($M$5:$M$328,$A$5:$A$328,A171,$D$5:$D$328,"&lt;="&amp;D171)</f>
        <v/>
      </c>
      <c r="O171" s="36">
        <f>'建筑建议逐级'!Y171</f>
        <v/>
      </c>
      <c r="P171" s="36">
        <f>SUMIFS($O$5:$O$328,$A$5:$A$328,A171,$D$5:$D$328,"&lt;="&amp;D171)</f>
        <v/>
      </c>
      <c r="Q171" s="51">
        <f>IF(F171="预算型曲线","总预算归一化","沿用旧指数公式")</f>
        <v/>
      </c>
      <c r="R171" s="51">
        <f>IF(F171="预算型曲线","与当前建议公式一致","需单独复核")</f>
        <v/>
      </c>
    </row>
    <row r="172" ht="22" customHeight="1">
      <c r="A172" s="33">
        <f>'建筑建议逐级'!A172</f>
        <v/>
      </c>
      <c r="B172" s="33">
        <f>'建筑建议逐级'!B172</f>
        <v/>
      </c>
      <c r="C172" s="33">
        <f>'建筑建议逐级'!C172</f>
        <v/>
      </c>
      <c r="D172" s="43">
        <f>'建筑建议逐级'!D172</f>
        <v/>
      </c>
      <c r="E172" s="36">
        <f>'建筑建议逐级'!E172</f>
        <v/>
      </c>
      <c r="F172" s="51">
        <f>IF(OR('建筑建议逐级'!I172&gt;0,'建筑建议逐级'!R172&gt;0,'建筑建议逐级'!S172&gt;0),"预算型曲线","旧指数公式")</f>
        <v/>
      </c>
      <c r="G172" s="50">
        <f>'建筑建议逐级'!H172</f>
        <v/>
      </c>
      <c r="H172" s="36">
        <f>'建筑建议逐级'!M172</f>
        <v/>
      </c>
      <c r="I172" s="35">
        <f>H172/3600</f>
        <v/>
      </c>
      <c r="J172" s="35">
        <f>H172/'参数与公式'!$B$21</f>
        <v/>
      </c>
      <c r="K172" s="35">
        <f>SUMIFS($J$5:$J$328,$A$5:$A$328,A172,$D$5:$D$328,"&lt;="&amp;D172)</f>
        <v/>
      </c>
      <c r="L172" s="50">
        <f>'建筑建议逐级'!Q172</f>
        <v/>
      </c>
      <c r="M172" s="36">
        <f>'建筑建议逐级'!X172</f>
        <v/>
      </c>
      <c r="N172" s="36">
        <f>SUMIFS($M$5:$M$328,$A$5:$A$328,A172,$D$5:$D$328,"&lt;="&amp;D172)</f>
        <v/>
      </c>
      <c r="O172" s="36">
        <f>'建筑建议逐级'!Y172</f>
        <v/>
      </c>
      <c r="P172" s="36">
        <f>SUMIFS($O$5:$O$328,$A$5:$A$328,A172,$D$5:$D$328,"&lt;="&amp;D172)</f>
        <v/>
      </c>
      <c r="Q172" s="51">
        <f>IF(F172="预算型曲线","总预算归一化","沿用旧指数公式")</f>
        <v/>
      </c>
      <c r="R172" s="51">
        <f>IF(F172="预算型曲线","与当前建议公式一致","需单独复核")</f>
        <v/>
      </c>
    </row>
    <row r="173" ht="22" customHeight="1">
      <c r="A173" s="33">
        <f>'建筑建议逐级'!A173</f>
        <v/>
      </c>
      <c r="B173" s="33">
        <f>'建筑建议逐级'!B173</f>
        <v/>
      </c>
      <c r="C173" s="33">
        <f>'建筑建议逐级'!C173</f>
        <v/>
      </c>
      <c r="D173" s="43">
        <f>'建筑建议逐级'!D173</f>
        <v/>
      </c>
      <c r="E173" s="36">
        <f>'建筑建议逐级'!E173</f>
        <v/>
      </c>
      <c r="F173" s="51">
        <f>IF(OR('建筑建议逐级'!I173&gt;0,'建筑建议逐级'!R173&gt;0,'建筑建议逐级'!S173&gt;0),"预算型曲线","旧指数公式")</f>
        <v/>
      </c>
      <c r="G173" s="50">
        <f>'建筑建议逐级'!H173</f>
        <v/>
      </c>
      <c r="H173" s="36">
        <f>'建筑建议逐级'!M173</f>
        <v/>
      </c>
      <c r="I173" s="35">
        <f>H173/3600</f>
        <v/>
      </c>
      <c r="J173" s="35">
        <f>H173/'参数与公式'!$B$21</f>
        <v/>
      </c>
      <c r="K173" s="35">
        <f>SUMIFS($J$5:$J$328,$A$5:$A$328,A173,$D$5:$D$328,"&lt;="&amp;D173)</f>
        <v/>
      </c>
      <c r="L173" s="50">
        <f>'建筑建议逐级'!Q173</f>
        <v/>
      </c>
      <c r="M173" s="36">
        <f>'建筑建议逐级'!X173</f>
        <v/>
      </c>
      <c r="N173" s="36">
        <f>SUMIFS($M$5:$M$328,$A$5:$A$328,A173,$D$5:$D$328,"&lt;="&amp;D173)</f>
        <v/>
      </c>
      <c r="O173" s="36">
        <f>'建筑建议逐级'!Y173</f>
        <v/>
      </c>
      <c r="P173" s="36">
        <f>SUMIFS($O$5:$O$328,$A$5:$A$328,A173,$D$5:$D$328,"&lt;="&amp;D173)</f>
        <v/>
      </c>
      <c r="Q173" s="51">
        <f>IF(F173="预算型曲线","总预算归一化","沿用旧指数公式")</f>
        <v/>
      </c>
      <c r="R173" s="51">
        <f>IF(F173="预算型曲线","与当前建议公式一致","需单独复核")</f>
        <v/>
      </c>
    </row>
    <row r="174" ht="22" customHeight="1">
      <c r="A174" s="33">
        <f>'建筑建议逐级'!A174</f>
        <v/>
      </c>
      <c r="B174" s="33">
        <f>'建筑建议逐级'!B174</f>
        <v/>
      </c>
      <c r="C174" s="33">
        <f>'建筑建议逐级'!C174</f>
        <v/>
      </c>
      <c r="D174" s="43">
        <f>'建筑建议逐级'!D174</f>
        <v/>
      </c>
      <c r="E174" s="36">
        <f>'建筑建议逐级'!E174</f>
        <v/>
      </c>
      <c r="F174" s="51">
        <f>IF(OR('建筑建议逐级'!I174&gt;0,'建筑建议逐级'!R174&gt;0,'建筑建议逐级'!S174&gt;0),"预算型曲线","旧指数公式")</f>
        <v/>
      </c>
      <c r="G174" s="50">
        <f>'建筑建议逐级'!H174</f>
        <v/>
      </c>
      <c r="H174" s="36">
        <f>'建筑建议逐级'!M174</f>
        <v/>
      </c>
      <c r="I174" s="35">
        <f>H174/3600</f>
        <v/>
      </c>
      <c r="J174" s="35">
        <f>H174/'参数与公式'!$B$21</f>
        <v/>
      </c>
      <c r="K174" s="35">
        <f>SUMIFS($J$5:$J$328,$A$5:$A$328,A174,$D$5:$D$328,"&lt;="&amp;D174)</f>
        <v/>
      </c>
      <c r="L174" s="50">
        <f>'建筑建议逐级'!Q174</f>
        <v/>
      </c>
      <c r="M174" s="36">
        <f>'建筑建议逐级'!X174</f>
        <v/>
      </c>
      <c r="N174" s="36">
        <f>SUMIFS($M$5:$M$328,$A$5:$A$328,A174,$D$5:$D$328,"&lt;="&amp;D174)</f>
        <v/>
      </c>
      <c r="O174" s="36">
        <f>'建筑建议逐级'!Y174</f>
        <v/>
      </c>
      <c r="P174" s="36">
        <f>SUMIFS($O$5:$O$328,$A$5:$A$328,A174,$D$5:$D$328,"&lt;="&amp;D174)</f>
        <v/>
      </c>
      <c r="Q174" s="51">
        <f>IF(F174="预算型曲线","总预算归一化","沿用旧指数公式")</f>
        <v/>
      </c>
      <c r="R174" s="51">
        <f>IF(F174="预算型曲线","与当前建议公式一致","需单独复核")</f>
        <v/>
      </c>
    </row>
    <row r="175" ht="22" customHeight="1">
      <c r="A175" s="33">
        <f>'建筑建议逐级'!A175</f>
        <v/>
      </c>
      <c r="B175" s="33">
        <f>'建筑建议逐级'!B175</f>
        <v/>
      </c>
      <c r="C175" s="33">
        <f>'建筑建议逐级'!C175</f>
        <v/>
      </c>
      <c r="D175" s="43">
        <f>'建筑建议逐级'!D175</f>
        <v/>
      </c>
      <c r="E175" s="36">
        <f>'建筑建议逐级'!E175</f>
        <v/>
      </c>
      <c r="F175" s="51">
        <f>IF(OR('建筑建议逐级'!I175&gt;0,'建筑建议逐级'!R175&gt;0,'建筑建议逐级'!S175&gt;0),"预算型曲线","旧指数公式")</f>
        <v/>
      </c>
      <c r="G175" s="50">
        <f>'建筑建议逐级'!H175</f>
        <v/>
      </c>
      <c r="H175" s="36">
        <f>'建筑建议逐级'!M175</f>
        <v/>
      </c>
      <c r="I175" s="35">
        <f>H175/3600</f>
        <v/>
      </c>
      <c r="J175" s="35">
        <f>H175/'参数与公式'!$B$21</f>
        <v/>
      </c>
      <c r="K175" s="35">
        <f>SUMIFS($J$5:$J$328,$A$5:$A$328,A175,$D$5:$D$328,"&lt;="&amp;D175)</f>
        <v/>
      </c>
      <c r="L175" s="50">
        <f>'建筑建议逐级'!Q175</f>
        <v/>
      </c>
      <c r="M175" s="36">
        <f>'建筑建议逐级'!X175</f>
        <v/>
      </c>
      <c r="N175" s="36">
        <f>SUMIFS($M$5:$M$328,$A$5:$A$328,A175,$D$5:$D$328,"&lt;="&amp;D175)</f>
        <v/>
      </c>
      <c r="O175" s="36">
        <f>'建筑建议逐级'!Y175</f>
        <v/>
      </c>
      <c r="P175" s="36">
        <f>SUMIFS($O$5:$O$328,$A$5:$A$328,A175,$D$5:$D$328,"&lt;="&amp;D175)</f>
        <v/>
      </c>
      <c r="Q175" s="51">
        <f>IF(F175="预算型曲线","总预算归一化","沿用旧指数公式")</f>
        <v/>
      </c>
      <c r="R175" s="51">
        <f>IF(F175="预算型曲线","与当前建议公式一致","需单独复核")</f>
        <v/>
      </c>
    </row>
    <row r="176" ht="22" customHeight="1">
      <c r="A176" s="33">
        <f>'建筑建议逐级'!A176</f>
        <v/>
      </c>
      <c r="B176" s="33">
        <f>'建筑建议逐级'!B176</f>
        <v/>
      </c>
      <c r="C176" s="33">
        <f>'建筑建议逐级'!C176</f>
        <v/>
      </c>
      <c r="D176" s="43">
        <f>'建筑建议逐级'!D176</f>
        <v/>
      </c>
      <c r="E176" s="36">
        <f>'建筑建议逐级'!E176</f>
        <v/>
      </c>
      <c r="F176" s="51">
        <f>IF(OR('建筑建议逐级'!I176&gt;0,'建筑建议逐级'!R176&gt;0,'建筑建议逐级'!S176&gt;0),"预算型曲线","旧指数公式")</f>
        <v/>
      </c>
      <c r="G176" s="50">
        <f>'建筑建议逐级'!H176</f>
        <v/>
      </c>
      <c r="H176" s="36">
        <f>'建筑建议逐级'!M176</f>
        <v/>
      </c>
      <c r="I176" s="35">
        <f>H176/3600</f>
        <v/>
      </c>
      <c r="J176" s="35">
        <f>H176/'参数与公式'!$B$21</f>
        <v/>
      </c>
      <c r="K176" s="35">
        <f>SUMIFS($J$5:$J$328,$A$5:$A$328,A176,$D$5:$D$328,"&lt;="&amp;D176)</f>
        <v/>
      </c>
      <c r="L176" s="50">
        <f>'建筑建议逐级'!Q176</f>
        <v/>
      </c>
      <c r="M176" s="36">
        <f>'建筑建议逐级'!X176</f>
        <v/>
      </c>
      <c r="N176" s="36">
        <f>SUMIFS($M$5:$M$328,$A$5:$A$328,A176,$D$5:$D$328,"&lt;="&amp;D176)</f>
        <v/>
      </c>
      <c r="O176" s="36">
        <f>'建筑建议逐级'!Y176</f>
        <v/>
      </c>
      <c r="P176" s="36">
        <f>SUMIFS($O$5:$O$328,$A$5:$A$328,A176,$D$5:$D$328,"&lt;="&amp;D176)</f>
        <v/>
      </c>
      <c r="Q176" s="51">
        <f>IF(F176="预算型曲线","总预算归一化","沿用旧指数公式")</f>
        <v/>
      </c>
      <c r="R176" s="51">
        <f>IF(F176="预算型曲线","与当前建议公式一致","需单独复核")</f>
        <v/>
      </c>
    </row>
    <row r="177" ht="22" customHeight="1">
      <c r="A177" s="33">
        <f>'建筑建议逐级'!A177</f>
        <v/>
      </c>
      <c r="B177" s="33">
        <f>'建筑建议逐级'!B177</f>
        <v/>
      </c>
      <c r="C177" s="33">
        <f>'建筑建议逐级'!C177</f>
        <v/>
      </c>
      <c r="D177" s="43">
        <f>'建筑建议逐级'!D177</f>
        <v/>
      </c>
      <c r="E177" s="36">
        <f>'建筑建议逐级'!E177</f>
        <v/>
      </c>
      <c r="F177" s="51">
        <f>IF(OR('建筑建议逐级'!I177&gt;0,'建筑建议逐级'!R177&gt;0,'建筑建议逐级'!S177&gt;0),"预算型曲线","旧指数公式")</f>
        <v/>
      </c>
      <c r="G177" s="50">
        <f>'建筑建议逐级'!H177</f>
        <v/>
      </c>
      <c r="H177" s="36">
        <f>'建筑建议逐级'!M177</f>
        <v/>
      </c>
      <c r="I177" s="35">
        <f>H177/3600</f>
        <v/>
      </c>
      <c r="J177" s="35">
        <f>H177/'参数与公式'!$B$21</f>
        <v/>
      </c>
      <c r="K177" s="35">
        <f>SUMIFS($J$5:$J$328,$A$5:$A$328,A177,$D$5:$D$328,"&lt;="&amp;D177)</f>
        <v/>
      </c>
      <c r="L177" s="50">
        <f>'建筑建议逐级'!Q177</f>
        <v/>
      </c>
      <c r="M177" s="36">
        <f>'建筑建议逐级'!X177</f>
        <v/>
      </c>
      <c r="N177" s="36">
        <f>SUMIFS($M$5:$M$328,$A$5:$A$328,A177,$D$5:$D$328,"&lt;="&amp;D177)</f>
        <v/>
      </c>
      <c r="O177" s="36">
        <f>'建筑建议逐级'!Y177</f>
        <v/>
      </c>
      <c r="P177" s="36">
        <f>SUMIFS($O$5:$O$328,$A$5:$A$328,A177,$D$5:$D$328,"&lt;="&amp;D177)</f>
        <v/>
      </c>
      <c r="Q177" s="51">
        <f>IF(F177="预算型曲线","总预算归一化","沿用旧指数公式")</f>
        <v/>
      </c>
      <c r="R177" s="51">
        <f>IF(F177="预算型曲线","与当前建议公式一致","需单独复核")</f>
        <v/>
      </c>
    </row>
    <row r="178" ht="22" customHeight="1">
      <c r="A178" s="33">
        <f>'建筑建议逐级'!A178</f>
        <v/>
      </c>
      <c r="B178" s="33">
        <f>'建筑建议逐级'!B178</f>
        <v/>
      </c>
      <c r="C178" s="33">
        <f>'建筑建议逐级'!C178</f>
        <v/>
      </c>
      <c r="D178" s="43">
        <f>'建筑建议逐级'!D178</f>
        <v/>
      </c>
      <c r="E178" s="36">
        <f>'建筑建议逐级'!E178</f>
        <v/>
      </c>
      <c r="F178" s="51">
        <f>IF(OR('建筑建议逐级'!I178&gt;0,'建筑建议逐级'!R178&gt;0,'建筑建议逐级'!S178&gt;0),"预算型曲线","旧指数公式")</f>
        <v/>
      </c>
      <c r="G178" s="50">
        <f>'建筑建议逐级'!H178</f>
        <v/>
      </c>
      <c r="H178" s="36">
        <f>'建筑建议逐级'!M178</f>
        <v/>
      </c>
      <c r="I178" s="35">
        <f>H178/3600</f>
        <v/>
      </c>
      <c r="J178" s="35">
        <f>H178/'参数与公式'!$B$21</f>
        <v/>
      </c>
      <c r="K178" s="35">
        <f>SUMIFS($J$5:$J$328,$A$5:$A$328,A178,$D$5:$D$328,"&lt;="&amp;D178)</f>
        <v/>
      </c>
      <c r="L178" s="50">
        <f>'建筑建议逐级'!Q178</f>
        <v/>
      </c>
      <c r="M178" s="36">
        <f>'建筑建议逐级'!X178</f>
        <v/>
      </c>
      <c r="N178" s="36">
        <f>SUMIFS($M$5:$M$328,$A$5:$A$328,A178,$D$5:$D$328,"&lt;="&amp;D178)</f>
        <v/>
      </c>
      <c r="O178" s="36">
        <f>'建筑建议逐级'!Y178</f>
        <v/>
      </c>
      <c r="P178" s="36">
        <f>SUMIFS($O$5:$O$328,$A$5:$A$328,A178,$D$5:$D$328,"&lt;="&amp;D178)</f>
        <v/>
      </c>
      <c r="Q178" s="51">
        <f>IF(F178="预算型曲线","总预算归一化","沿用旧指数公式")</f>
        <v/>
      </c>
      <c r="R178" s="51">
        <f>IF(F178="预算型曲线","与当前建议公式一致","需单独复核")</f>
        <v/>
      </c>
    </row>
    <row r="179" ht="22" customHeight="1">
      <c r="A179" s="33">
        <f>'建筑建议逐级'!A179</f>
        <v/>
      </c>
      <c r="B179" s="33">
        <f>'建筑建议逐级'!B179</f>
        <v/>
      </c>
      <c r="C179" s="33">
        <f>'建筑建议逐级'!C179</f>
        <v/>
      </c>
      <c r="D179" s="43">
        <f>'建筑建议逐级'!D179</f>
        <v/>
      </c>
      <c r="E179" s="36">
        <f>'建筑建议逐级'!E179</f>
        <v/>
      </c>
      <c r="F179" s="51">
        <f>IF(OR('建筑建议逐级'!I179&gt;0,'建筑建议逐级'!R179&gt;0,'建筑建议逐级'!S179&gt;0),"预算型曲线","旧指数公式")</f>
        <v/>
      </c>
      <c r="G179" s="50">
        <f>'建筑建议逐级'!H179</f>
        <v/>
      </c>
      <c r="H179" s="36">
        <f>'建筑建议逐级'!M179</f>
        <v/>
      </c>
      <c r="I179" s="35">
        <f>H179/3600</f>
        <v/>
      </c>
      <c r="J179" s="35">
        <f>H179/'参数与公式'!$B$21</f>
        <v/>
      </c>
      <c r="K179" s="35">
        <f>SUMIFS($J$5:$J$328,$A$5:$A$328,A179,$D$5:$D$328,"&lt;="&amp;D179)</f>
        <v/>
      </c>
      <c r="L179" s="50">
        <f>'建筑建议逐级'!Q179</f>
        <v/>
      </c>
      <c r="M179" s="36">
        <f>'建筑建议逐级'!X179</f>
        <v/>
      </c>
      <c r="N179" s="36">
        <f>SUMIFS($M$5:$M$328,$A$5:$A$328,A179,$D$5:$D$328,"&lt;="&amp;D179)</f>
        <v/>
      </c>
      <c r="O179" s="36">
        <f>'建筑建议逐级'!Y179</f>
        <v/>
      </c>
      <c r="P179" s="36">
        <f>SUMIFS($O$5:$O$328,$A$5:$A$328,A179,$D$5:$D$328,"&lt;="&amp;D179)</f>
        <v/>
      </c>
      <c r="Q179" s="51">
        <f>IF(F179="预算型曲线","总预算归一化","沿用旧指数公式")</f>
        <v/>
      </c>
      <c r="R179" s="51">
        <f>IF(F179="预算型曲线","与当前建议公式一致","需单独复核")</f>
        <v/>
      </c>
    </row>
    <row r="180" ht="22" customHeight="1">
      <c r="A180" s="33">
        <f>'建筑建议逐级'!A180</f>
        <v/>
      </c>
      <c r="B180" s="33">
        <f>'建筑建议逐级'!B180</f>
        <v/>
      </c>
      <c r="C180" s="33">
        <f>'建筑建议逐级'!C180</f>
        <v/>
      </c>
      <c r="D180" s="43">
        <f>'建筑建议逐级'!D180</f>
        <v/>
      </c>
      <c r="E180" s="36">
        <f>'建筑建议逐级'!E180</f>
        <v/>
      </c>
      <c r="F180" s="51">
        <f>IF(OR('建筑建议逐级'!I180&gt;0,'建筑建议逐级'!R180&gt;0,'建筑建议逐级'!S180&gt;0),"预算型曲线","旧指数公式")</f>
        <v/>
      </c>
      <c r="G180" s="50">
        <f>'建筑建议逐级'!H180</f>
        <v/>
      </c>
      <c r="H180" s="36">
        <f>'建筑建议逐级'!M180</f>
        <v/>
      </c>
      <c r="I180" s="35">
        <f>H180/3600</f>
        <v/>
      </c>
      <c r="J180" s="35">
        <f>H180/'参数与公式'!$B$21</f>
        <v/>
      </c>
      <c r="K180" s="35">
        <f>SUMIFS($J$5:$J$328,$A$5:$A$328,A180,$D$5:$D$328,"&lt;="&amp;D180)</f>
        <v/>
      </c>
      <c r="L180" s="50">
        <f>'建筑建议逐级'!Q180</f>
        <v/>
      </c>
      <c r="M180" s="36">
        <f>'建筑建议逐级'!X180</f>
        <v/>
      </c>
      <c r="N180" s="36">
        <f>SUMIFS($M$5:$M$328,$A$5:$A$328,A180,$D$5:$D$328,"&lt;="&amp;D180)</f>
        <v/>
      </c>
      <c r="O180" s="36">
        <f>'建筑建议逐级'!Y180</f>
        <v/>
      </c>
      <c r="P180" s="36">
        <f>SUMIFS($O$5:$O$328,$A$5:$A$328,A180,$D$5:$D$328,"&lt;="&amp;D180)</f>
        <v/>
      </c>
      <c r="Q180" s="51">
        <f>IF(F180="预算型曲线","总预算归一化","沿用旧指数公式")</f>
        <v/>
      </c>
      <c r="R180" s="51">
        <f>IF(F180="预算型曲线","与当前建议公式一致","需单独复核")</f>
        <v/>
      </c>
    </row>
    <row r="181" ht="22" customHeight="1">
      <c r="A181" s="33">
        <f>'建筑建议逐级'!A181</f>
        <v/>
      </c>
      <c r="B181" s="33">
        <f>'建筑建议逐级'!B181</f>
        <v/>
      </c>
      <c r="C181" s="33">
        <f>'建筑建议逐级'!C181</f>
        <v/>
      </c>
      <c r="D181" s="43">
        <f>'建筑建议逐级'!D181</f>
        <v/>
      </c>
      <c r="E181" s="36">
        <f>'建筑建议逐级'!E181</f>
        <v/>
      </c>
      <c r="F181" s="51">
        <f>IF(OR('建筑建议逐级'!I181&gt;0,'建筑建议逐级'!R181&gt;0,'建筑建议逐级'!S181&gt;0),"预算型曲线","旧指数公式")</f>
        <v/>
      </c>
      <c r="G181" s="50">
        <f>'建筑建议逐级'!H181</f>
        <v/>
      </c>
      <c r="H181" s="36">
        <f>'建筑建议逐级'!M181</f>
        <v/>
      </c>
      <c r="I181" s="35">
        <f>H181/3600</f>
        <v/>
      </c>
      <c r="J181" s="35">
        <f>H181/'参数与公式'!$B$21</f>
        <v/>
      </c>
      <c r="K181" s="35">
        <f>SUMIFS($J$5:$J$328,$A$5:$A$328,A181,$D$5:$D$328,"&lt;="&amp;D181)</f>
        <v/>
      </c>
      <c r="L181" s="50">
        <f>'建筑建议逐级'!Q181</f>
        <v/>
      </c>
      <c r="M181" s="36">
        <f>'建筑建议逐级'!X181</f>
        <v/>
      </c>
      <c r="N181" s="36">
        <f>SUMIFS($M$5:$M$328,$A$5:$A$328,A181,$D$5:$D$328,"&lt;="&amp;D181)</f>
        <v/>
      </c>
      <c r="O181" s="36">
        <f>'建筑建议逐级'!Y181</f>
        <v/>
      </c>
      <c r="P181" s="36">
        <f>SUMIFS($O$5:$O$328,$A$5:$A$328,A181,$D$5:$D$328,"&lt;="&amp;D181)</f>
        <v/>
      </c>
      <c r="Q181" s="51">
        <f>IF(F181="预算型曲线","总预算归一化","沿用旧指数公式")</f>
        <v/>
      </c>
      <c r="R181" s="51">
        <f>IF(F181="预算型曲线","与当前建议公式一致","需单独复核")</f>
        <v/>
      </c>
    </row>
    <row r="182" ht="22" customHeight="1">
      <c r="A182" s="33">
        <f>'建筑建议逐级'!A182</f>
        <v/>
      </c>
      <c r="B182" s="33">
        <f>'建筑建议逐级'!B182</f>
        <v/>
      </c>
      <c r="C182" s="33">
        <f>'建筑建议逐级'!C182</f>
        <v/>
      </c>
      <c r="D182" s="43">
        <f>'建筑建议逐级'!D182</f>
        <v/>
      </c>
      <c r="E182" s="36">
        <f>'建筑建议逐级'!E182</f>
        <v/>
      </c>
      <c r="F182" s="51">
        <f>IF(OR('建筑建议逐级'!I182&gt;0,'建筑建议逐级'!R182&gt;0,'建筑建议逐级'!S182&gt;0),"预算型曲线","旧指数公式")</f>
        <v/>
      </c>
      <c r="G182" s="50">
        <f>'建筑建议逐级'!H182</f>
        <v/>
      </c>
      <c r="H182" s="36">
        <f>'建筑建议逐级'!M182</f>
        <v/>
      </c>
      <c r="I182" s="35">
        <f>H182/3600</f>
        <v/>
      </c>
      <c r="J182" s="35">
        <f>H182/'参数与公式'!$B$21</f>
        <v/>
      </c>
      <c r="K182" s="35">
        <f>SUMIFS($J$5:$J$328,$A$5:$A$328,A182,$D$5:$D$328,"&lt;="&amp;D182)</f>
        <v/>
      </c>
      <c r="L182" s="50">
        <f>'建筑建议逐级'!Q182</f>
        <v/>
      </c>
      <c r="M182" s="36">
        <f>'建筑建议逐级'!X182</f>
        <v/>
      </c>
      <c r="N182" s="36">
        <f>SUMIFS($M$5:$M$328,$A$5:$A$328,A182,$D$5:$D$328,"&lt;="&amp;D182)</f>
        <v/>
      </c>
      <c r="O182" s="36">
        <f>'建筑建议逐级'!Y182</f>
        <v/>
      </c>
      <c r="P182" s="36">
        <f>SUMIFS($O$5:$O$328,$A$5:$A$328,A182,$D$5:$D$328,"&lt;="&amp;D182)</f>
        <v/>
      </c>
      <c r="Q182" s="51">
        <f>IF(F182="预算型曲线","总预算归一化","沿用旧指数公式")</f>
        <v/>
      </c>
      <c r="R182" s="51">
        <f>IF(F182="预算型曲线","与当前建议公式一致","需单独复核")</f>
        <v/>
      </c>
    </row>
    <row r="183" ht="22" customHeight="1">
      <c r="A183" s="33">
        <f>'建筑建议逐级'!A183</f>
        <v/>
      </c>
      <c r="B183" s="33">
        <f>'建筑建议逐级'!B183</f>
        <v/>
      </c>
      <c r="C183" s="33">
        <f>'建筑建议逐级'!C183</f>
        <v/>
      </c>
      <c r="D183" s="43">
        <f>'建筑建议逐级'!D183</f>
        <v/>
      </c>
      <c r="E183" s="36">
        <f>'建筑建议逐级'!E183</f>
        <v/>
      </c>
      <c r="F183" s="51">
        <f>IF(OR('建筑建议逐级'!I183&gt;0,'建筑建议逐级'!R183&gt;0,'建筑建议逐级'!S183&gt;0),"预算型曲线","旧指数公式")</f>
        <v/>
      </c>
      <c r="G183" s="50">
        <f>'建筑建议逐级'!H183</f>
        <v/>
      </c>
      <c r="H183" s="36">
        <f>'建筑建议逐级'!M183</f>
        <v/>
      </c>
      <c r="I183" s="35">
        <f>H183/3600</f>
        <v/>
      </c>
      <c r="J183" s="35">
        <f>H183/'参数与公式'!$B$21</f>
        <v/>
      </c>
      <c r="K183" s="35">
        <f>SUMIFS($J$5:$J$328,$A$5:$A$328,A183,$D$5:$D$328,"&lt;="&amp;D183)</f>
        <v/>
      </c>
      <c r="L183" s="50">
        <f>'建筑建议逐级'!Q183</f>
        <v/>
      </c>
      <c r="M183" s="36">
        <f>'建筑建议逐级'!X183</f>
        <v/>
      </c>
      <c r="N183" s="36">
        <f>SUMIFS($M$5:$M$328,$A$5:$A$328,A183,$D$5:$D$328,"&lt;="&amp;D183)</f>
        <v/>
      </c>
      <c r="O183" s="36">
        <f>'建筑建议逐级'!Y183</f>
        <v/>
      </c>
      <c r="P183" s="36">
        <f>SUMIFS($O$5:$O$328,$A$5:$A$328,A183,$D$5:$D$328,"&lt;="&amp;D183)</f>
        <v/>
      </c>
      <c r="Q183" s="51">
        <f>IF(F183="预算型曲线","总预算归一化","沿用旧指数公式")</f>
        <v/>
      </c>
      <c r="R183" s="51">
        <f>IF(F183="预算型曲线","与当前建议公式一致","需单独复核")</f>
        <v/>
      </c>
    </row>
    <row r="184" ht="22" customHeight="1">
      <c r="A184" s="33">
        <f>'建筑建议逐级'!A184</f>
        <v/>
      </c>
      <c r="B184" s="33">
        <f>'建筑建议逐级'!B184</f>
        <v/>
      </c>
      <c r="C184" s="33">
        <f>'建筑建议逐级'!C184</f>
        <v/>
      </c>
      <c r="D184" s="43">
        <f>'建筑建议逐级'!D184</f>
        <v/>
      </c>
      <c r="E184" s="36">
        <f>'建筑建议逐级'!E184</f>
        <v/>
      </c>
      <c r="F184" s="51">
        <f>IF(OR('建筑建议逐级'!I184&gt;0,'建筑建议逐级'!R184&gt;0,'建筑建议逐级'!S184&gt;0),"预算型曲线","旧指数公式")</f>
        <v/>
      </c>
      <c r="G184" s="50">
        <f>'建筑建议逐级'!H184</f>
        <v/>
      </c>
      <c r="H184" s="36">
        <f>'建筑建议逐级'!M184</f>
        <v/>
      </c>
      <c r="I184" s="35">
        <f>H184/3600</f>
        <v/>
      </c>
      <c r="J184" s="35">
        <f>H184/'参数与公式'!$B$21</f>
        <v/>
      </c>
      <c r="K184" s="35">
        <f>SUMIFS($J$5:$J$328,$A$5:$A$328,A184,$D$5:$D$328,"&lt;="&amp;D184)</f>
        <v/>
      </c>
      <c r="L184" s="50">
        <f>'建筑建议逐级'!Q184</f>
        <v/>
      </c>
      <c r="M184" s="36">
        <f>'建筑建议逐级'!X184</f>
        <v/>
      </c>
      <c r="N184" s="36">
        <f>SUMIFS($M$5:$M$328,$A$5:$A$328,A184,$D$5:$D$328,"&lt;="&amp;D184)</f>
        <v/>
      </c>
      <c r="O184" s="36">
        <f>'建筑建议逐级'!Y184</f>
        <v/>
      </c>
      <c r="P184" s="36">
        <f>SUMIFS($O$5:$O$328,$A$5:$A$328,A184,$D$5:$D$328,"&lt;="&amp;D184)</f>
        <v/>
      </c>
      <c r="Q184" s="51">
        <f>IF(F184="预算型曲线","总预算归一化","沿用旧指数公式")</f>
        <v/>
      </c>
      <c r="R184" s="51">
        <f>IF(F184="预算型曲线","与当前建议公式一致","需单独复核")</f>
        <v/>
      </c>
    </row>
    <row r="185" ht="22" customHeight="1">
      <c r="A185" s="33">
        <f>'建筑建议逐级'!A185</f>
        <v/>
      </c>
      <c r="B185" s="33">
        <f>'建筑建议逐级'!B185</f>
        <v/>
      </c>
      <c r="C185" s="33">
        <f>'建筑建议逐级'!C185</f>
        <v/>
      </c>
      <c r="D185" s="43">
        <f>'建筑建议逐级'!D185</f>
        <v/>
      </c>
      <c r="E185" s="36">
        <f>'建筑建议逐级'!E185</f>
        <v/>
      </c>
      <c r="F185" s="51">
        <f>IF(OR('建筑建议逐级'!I185&gt;0,'建筑建议逐级'!R185&gt;0,'建筑建议逐级'!S185&gt;0),"预算型曲线","旧指数公式")</f>
        <v/>
      </c>
      <c r="G185" s="50">
        <f>'建筑建议逐级'!H185</f>
        <v/>
      </c>
      <c r="H185" s="36">
        <f>'建筑建议逐级'!M185</f>
        <v/>
      </c>
      <c r="I185" s="35">
        <f>H185/3600</f>
        <v/>
      </c>
      <c r="J185" s="35">
        <f>H185/'参数与公式'!$B$21</f>
        <v/>
      </c>
      <c r="K185" s="35">
        <f>SUMIFS($J$5:$J$328,$A$5:$A$328,A185,$D$5:$D$328,"&lt;="&amp;D185)</f>
        <v/>
      </c>
      <c r="L185" s="50">
        <f>'建筑建议逐级'!Q185</f>
        <v/>
      </c>
      <c r="M185" s="36">
        <f>'建筑建议逐级'!X185</f>
        <v/>
      </c>
      <c r="N185" s="36">
        <f>SUMIFS($M$5:$M$328,$A$5:$A$328,A185,$D$5:$D$328,"&lt;="&amp;D185)</f>
        <v/>
      </c>
      <c r="O185" s="36">
        <f>'建筑建议逐级'!Y185</f>
        <v/>
      </c>
      <c r="P185" s="36">
        <f>SUMIFS($O$5:$O$328,$A$5:$A$328,A185,$D$5:$D$328,"&lt;="&amp;D185)</f>
        <v/>
      </c>
      <c r="Q185" s="51">
        <f>IF(F185="预算型曲线","总预算归一化","沿用旧指数公式")</f>
        <v/>
      </c>
      <c r="R185" s="51">
        <f>IF(F185="预算型曲线","与当前建议公式一致","需单独复核")</f>
        <v/>
      </c>
    </row>
    <row r="186" ht="22" customHeight="1">
      <c r="A186" s="33">
        <f>'建筑建议逐级'!A186</f>
        <v/>
      </c>
      <c r="B186" s="33">
        <f>'建筑建议逐级'!B186</f>
        <v/>
      </c>
      <c r="C186" s="33">
        <f>'建筑建议逐级'!C186</f>
        <v/>
      </c>
      <c r="D186" s="43">
        <f>'建筑建议逐级'!D186</f>
        <v/>
      </c>
      <c r="E186" s="36">
        <f>'建筑建议逐级'!E186</f>
        <v/>
      </c>
      <c r="F186" s="51">
        <f>IF(OR('建筑建议逐级'!I186&gt;0,'建筑建议逐级'!R186&gt;0,'建筑建议逐级'!S186&gt;0),"预算型曲线","旧指数公式")</f>
        <v/>
      </c>
      <c r="G186" s="50">
        <f>'建筑建议逐级'!H186</f>
        <v/>
      </c>
      <c r="H186" s="36">
        <f>'建筑建议逐级'!M186</f>
        <v/>
      </c>
      <c r="I186" s="35">
        <f>H186/3600</f>
        <v/>
      </c>
      <c r="J186" s="35">
        <f>H186/'参数与公式'!$B$21</f>
        <v/>
      </c>
      <c r="K186" s="35">
        <f>SUMIFS($J$5:$J$328,$A$5:$A$328,A186,$D$5:$D$328,"&lt;="&amp;D186)</f>
        <v/>
      </c>
      <c r="L186" s="50">
        <f>'建筑建议逐级'!Q186</f>
        <v/>
      </c>
      <c r="M186" s="36">
        <f>'建筑建议逐级'!X186</f>
        <v/>
      </c>
      <c r="N186" s="36">
        <f>SUMIFS($M$5:$M$328,$A$5:$A$328,A186,$D$5:$D$328,"&lt;="&amp;D186)</f>
        <v/>
      </c>
      <c r="O186" s="36">
        <f>'建筑建议逐级'!Y186</f>
        <v/>
      </c>
      <c r="P186" s="36">
        <f>SUMIFS($O$5:$O$328,$A$5:$A$328,A186,$D$5:$D$328,"&lt;="&amp;D186)</f>
        <v/>
      </c>
      <c r="Q186" s="51">
        <f>IF(F186="预算型曲线","总预算归一化","沿用旧指数公式")</f>
        <v/>
      </c>
      <c r="R186" s="51">
        <f>IF(F186="预算型曲线","与当前建议公式一致","需单独复核")</f>
        <v/>
      </c>
    </row>
    <row r="187" ht="22" customHeight="1">
      <c r="A187" s="33">
        <f>'建筑建议逐级'!A187</f>
        <v/>
      </c>
      <c r="B187" s="33">
        <f>'建筑建议逐级'!B187</f>
        <v/>
      </c>
      <c r="C187" s="33">
        <f>'建筑建议逐级'!C187</f>
        <v/>
      </c>
      <c r="D187" s="43">
        <f>'建筑建议逐级'!D187</f>
        <v/>
      </c>
      <c r="E187" s="36">
        <f>'建筑建议逐级'!E187</f>
        <v/>
      </c>
      <c r="F187" s="51">
        <f>IF(OR('建筑建议逐级'!I187&gt;0,'建筑建议逐级'!R187&gt;0,'建筑建议逐级'!S187&gt;0),"预算型曲线","旧指数公式")</f>
        <v/>
      </c>
      <c r="G187" s="50">
        <f>'建筑建议逐级'!H187</f>
        <v/>
      </c>
      <c r="H187" s="36">
        <f>'建筑建议逐级'!M187</f>
        <v/>
      </c>
      <c r="I187" s="35">
        <f>H187/3600</f>
        <v/>
      </c>
      <c r="J187" s="35">
        <f>H187/'参数与公式'!$B$21</f>
        <v/>
      </c>
      <c r="K187" s="35">
        <f>SUMIFS($J$5:$J$328,$A$5:$A$328,A187,$D$5:$D$328,"&lt;="&amp;D187)</f>
        <v/>
      </c>
      <c r="L187" s="50">
        <f>'建筑建议逐级'!Q187</f>
        <v/>
      </c>
      <c r="M187" s="36">
        <f>'建筑建议逐级'!X187</f>
        <v/>
      </c>
      <c r="N187" s="36">
        <f>SUMIFS($M$5:$M$328,$A$5:$A$328,A187,$D$5:$D$328,"&lt;="&amp;D187)</f>
        <v/>
      </c>
      <c r="O187" s="36">
        <f>'建筑建议逐级'!Y187</f>
        <v/>
      </c>
      <c r="P187" s="36">
        <f>SUMIFS($O$5:$O$328,$A$5:$A$328,A187,$D$5:$D$328,"&lt;="&amp;D187)</f>
        <v/>
      </c>
      <c r="Q187" s="51">
        <f>IF(F187="预算型曲线","总预算归一化","沿用旧指数公式")</f>
        <v/>
      </c>
      <c r="R187" s="51">
        <f>IF(F187="预算型曲线","与当前建议公式一致","需单独复核")</f>
        <v/>
      </c>
    </row>
    <row r="188" ht="22" customHeight="1">
      <c r="A188" s="33">
        <f>'建筑建议逐级'!A188</f>
        <v/>
      </c>
      <c r="B188" s="33">
        <f>'建筑建议逐级'!B188</f>
        <v/>
      </c>
      <c r="C188" s="33">
        <f>'建筑建议逐级'!C188</f>
        <v/>
      </c>
      <c r="D188" s="43">
        <f>'建筑建议逐级'!D188</f>
        <v/>
      </c>
      <c r="E188" s="36">
        <f>'建筑建议逐级'!E188</f>
        <v/>
      </c>
      <c r="F188" s="51">
        <f>IF(OR('建筑建议逐级'!I188&gt;0,'建筑建议逐级'!R188&gt;0,'建筑建议逐级'!S188&gt;0),"预算型曲线","旧指数公式")</f>
        <v/>
      </c>
      <c r="G188" s="50">
        <f>'建筑建议逐级'!H188</f>
        <v/>
      </c>
      <c r="H188" s="36">
        <f>'建筑建议逐级'!M188</f>
        <v/>
      </c>
      <c r="I188" s="35">
        <f>H188/3600</f>
        <v/>
      </c>
      <c r="J188" s="35">
        <f>H188/'参数与公式'!$B$21</f>
        <v/>
      </c>
      <c r="K188" s="35">
        <f>SUMIFS($J$5:$J$328,$A$5:$A$328,A188,$D$5:$D$328,"&lt;="&amp;D188)</f>
        <v/>
      </c>
      <c r="L188" s="50">
        <f>'建筑建议逐级'!Q188</f>
        <v/>
      </c>
      <c r="M188" s="36">
        <f>'建筑建议逐级'!X188</f>
        <v/>
      </c>
      <c r="N188" s="36">
        <f>SUMIFS($M$5:$M$328,$A$5:$A$328,A188,$D$5:$D$328,"&lt;="&amp;D188)</f>
        <v/>
      </c>
      <c r="O188" s="36">
        <f>'建筑建议逐级'!Y188</f>
        <v/>
      </c>
      <c r="P188" s="36">
        <f>SUMIFS($O$5:$O$328,$A$5:$A$328,A188,$D$5:$D$328,"&lt;="&amp;D188)</f>
        <v/>
      </c>
      <c r="Q188" s="51">
        <f>IF(F188="预算型曲线","总预算归一化","沿用旧指数公式")</f>
        <v/>
      </c>
      <c r="R188" s="51">
        <f>IF(F188="预算型曲线","与当前建议公式一致","需单独复核")</f>
        <v/>
      </c>
    </row>
    <row r="189" ht="22" customHeight="1">
      <c r="A189" s="33">
        <f>'建筑建议逐级'!A189</f>
        <v/>
      </c>
      <c r="B189" s="33">
        <f>'建筑建议逐级'!B189</f>
        <v/>
      </c>
      <c r="C189" s="33">
        <f>'建筑建议逐级'!C189</f>
        <v/>
      </c>
      <c r="D189" s="43">
        <f>'建筑建议逐级'!D189</f>
        <v/>
      </c>
      <c r="E189" s="36">
        <f>'建筑建议逐级'!E189</f>
        <v/>
      </c>
      <c r="F189" s="51">
        <f>IF(OR('建筑建议逐级'!I189&gt;0,'建筑建议逐级'!R189&gt;0,'建筑建议逐级'!S189&gt;0),"预算型曲线","旧指数公式")</f>
        <v/>
      </c>
      <c r="G189" s="50">
        <f>'建筑建议逐级'!H189</f>
        <v/>
      </c>
      <c r="H189" s="36">
        <f>'建筑建议逐级'!M189</f>
        <v/>
      </c>
      <c r="I189" s="35">
        <f>H189/3600</f>
        <v/>
      </c>
      <c r="J189" s="35">
        <f>H189/'参数与公式'!$B$21</f>
        <v/>
      </c>
      <c r="K189" s="35">
        <f>SUMIFS($J$5:$J$328,$A$5:$A$328,A189,$D$5:$D$328,"&lt;="&amp;D189)</f>
        <v/>
      </c>
      <c r="L189" s="50">
        <f>'建筑建议逐级'!Q189</f>
        <v/>
      </c>
      <c r="M189" s="36">
        <f>'建筑建议逐级'!X189</f>
        <v/>
      </c>
      <c r="N189" s="36">
        <f>SUMIFS($M$5:$M$328,$A$5:$A$328,A189,$D$5:$D$328,"&lt;="&amp;D189)</f>
        <v/>
      </c>
      <c r="O189" s="36">
        <f>'建筑建议逐级'!Y189</f>
        <v/>
      </c>
      <c r="P189" s="36">
        <f>SUMIFS($O$5:$O$328,$A$5:$A$328,A189,$D$5:$D$328,"&lt;="&amp;D189)</f>
        <v/>
      </c>
      <c r="Q189" s="51">
        <f>IF(F189="预算型曲线","总预算归一化","沿用旧指数公式")</f>
        <v/>
      </c>
      <c r="R189" s="51">
        <f>IF(F189="预算型曲线","与当前建议公式一致","需单独复核")</f>
        <v/>
      </c>
    </row>
    <row r="190" ht="22" customHeight="1">
      <c r="A190" s="33">
        <f>'建筑建议逐级'!A190</f>
        <v/>
      </c>
      <c r="B190" s="33">
        <f>'建筑建议逐级'!B190</f>
        <v/>
      </c>
      <c r="C190" s="33">
        <f>'建筑建议逐级'!C190</f>
        <v/>
      </c>
      <c r="D190" s="43">
        <f>'建筑建议逐级'!D190</f>
        <v/>
      </c>
      <c r="E190" s="36">
        <f>'建筑建议逐级'!E190</f>
        <v/>
      </c>
      <c r="F190" s="51">
        <f>IF(OR('建筑建议逐级'!I190&gt;0,'建筑建议逐级'!R190&gt;0,'建筑建议逐级'!S190&gt;0),"预算型曲线","旧指数公式")</f>
        <v/>
      </c>
      <c r="G190" s="50">
        <f>'建筑建议逐级'!H190</f>
        <v/>
      </c>
      <c r="H190" s="36">
        <f>'建筑建议逐级'!M190</f>
        <v/>
      </c>
      <c r="I190" s="35">
        <f>H190/3600</f>
        <v/>
      </c>
      <c r="J190" s="35">
        <f>H190/'参数与公式'!$B$21</f>
        <v/>
      </c>
      <c r="K190" s="35">
        <f>SUMIFS($J$5:$J$328,$A$5:$A$328,A190,$D$5:$D$328,"&lt;="&amp;D190)</f>
        <v/>
      </c>
      <c r="L190" s="50">
        <f>'建筑建议逐级'!Q190</f>
        <v/>
      </c>
      <c r="M190" s="36">
        <f>'建筑建议逐级'!X190</f>
        <v/>
      </c>
      <c r="N190" s="36">
        <f>SUMIFS($M$5:$M$328,$A$5:$A$328,A190,$D$5:$D$328,"&lt;="&amp;D190)</f>
        <v/>
      </c>
      <c r="O190" s="36">
        <f>'建筑建议逐级'!Y190</f>
        <v/>
      </c>
      <c r="P190" s="36">
        <f>SUMIFS($O$5:$O$328,$A$5:$A$328,A190,$D$5:$D$328,"&lt;="&amp;D190)</f>
        <v/>
      </c>
      <c r="Q190" s="51">
        <f>IF(F190="预算型曲线","总预算归一化","沿用旧指数公式")</f>
        <v/>
      </c>
      <c r="R190" s="51">
        <f>IF(F190="预算型曲线","与当前建议公式一致","需单独复核")</f>
        <v/>
      </c>
    </row>
    <row r="191" ht="22" customHeight="1">
      <c r="A191" s="33">
        <f>'建筑建议逐级'!A191</f>
        <v/>
      </c>
      <c r="B191" s="33">
        <f>'建筑建议逐级'!B191</f>
        <v/>
      </c>
      <c r="C191" s="33">
        <f>'建筑建议逐级'!C191</f>
        <v/>
      </c>
      <c r="D191" s="43">
        <f>'建筑建议逐级'!D191</f>
        <v/>
      </c>
      <c r="E191" s="36">
        <f>'建筑建议逐级'!E191</f>
        <v/>
      </c>
      <c r="F191" s="51">
        <f>IF(OR('建筑建议逐级'!I191&gt;0,'建筑建议逐级'!R191&gt;0,'建筑建议逐级'!S191&gt;0),"预算型曲线","旧指数公式")</f>
        <v/>
      </c>
      <c r="G191" s="50">
        <f>'建筑建议逐级'!H191</f>
        <v/>
      </c>
      <c r="H191" s="36">
        <f>'建筑建议逐级'!M191</f>
        <v/>
      </c>
      <c r="I191" s="35">
        <f>H191/3600</f>
        <v/>
      </c>
      <c r="J191" s="35">
        <f>H191/'参数与公式'!$B$21</f>
        <v/>
      </c>
      <c r="K191" s="35">
        <f>SUMIFS($J$5:$J$328,$A$5:$A$328,A191,$D$5:$D$328,"&lt;="&amp;D191)</f>
        <v/>
      </c>
      <c r="L191" s="50">
        <f>'建筑建议逐级'!Q191</f>
        <v/>
      </c>
      <c r="M191" s="36">
        <f>'建筑建议逐级'!X191</f>
        <v/>
      </c>
      <c r="N191" s="36">
        <f>SUMIFS($M$5:$M$328,$A$5:$A$328,A191,$D$5:$D$328,"&lt;="&amp;D191)</f>
        <v/>
      </c>
      <c r="O191" s="36">
        <f>'建筑建议逐级'!Y191</f>
        <v/>
      </c>
      <c r="P191" s="36">
        <f>SUMIFS($O$5:$O$328,$A$5:$A$328,A191,$D$5:$D$328,"&lt;="&amp;D191)</f>
        <v/>
      </c>
      <c r="Q191" s="51">
        <f>IF(F191="预算型曲线","总预算归一化","沿用旧指数公式")</f>
        <v/>
      </c>
      <c r="R191" s="51">
        <f>IF(F191="预算型曲线","与当前建议公式一致","需单独复核")</f>
        <v/>
      </c>
    </row>
    <row r="192" ht="22" customHeight="1">
      <c r="A192" s="33">
        <f>'建筑建议逐级'!A192</f>
        <v/>
      </c>
      <c r="B192" s="33">
        <f>'建筑建议逐级'!B192</f>
        <v/>
      </c>
      <c r="C192" s="33">
        <f>'建筑建议逐级'!C192</f>
        <v/>
      </c>
      <c r="D192" s="43">
        <f>'建筑建议逐级'!D192</f>
        <v/>
      </c>
      <c r="E192" s="36">
        <f>'建筑建议逐级'!E192</f>
        <v/>
      </c>
      <c r="F192" s="51">
        <f>IF(OR('建筑建议逐级'!I192&gt;0,'建筑建议逐级'!R192&gt;0,'建筑建议逐级'!S192&gt;0),"预算型曲线","旧指数公式")</f>
        <v/>
      </c>
      <c r="G192" s="50">
        <f>'建筑建议逐级'!H192</f>
        <v/>
      </c>
      <c r="H192" s="36">
        <f>'建筑建议逐级'!M192</f>
        <v/>
      </c>
      <c r="I192" s="35">
        <f>H192/3600</f>
        <v/>
      </c>
      <c r="J192" s="35">
        <f>H192/'参数与公式'!$B$21</f>
        <v/>
      </c>
      <c r="K192" s="35">
        <f>SUMIFS($J$5:$J$328,$A$5:$A$328,A192,$D$5:$D$328,"&lt;="&amp;D192)</f>
        <v/>
      </c>
      <c r="L192" s="50">
        <f>'建筑建议逐级'!Q192</f>
        <v/>
      </c>
      <c r="M192" s="36">
        <f>'建筑建议逐级'!X192</f>
        <v/>
      </c>
      <c r="N192" s="36">
        <f>SUMIFS($M$5:$M$328,$A$5:$A$328,A192,$D$5:$D$328,"&lt;="&amp;D192)</f>
        <v/>
      </c>
      <c r="O192" s="36">
        <f>'建筑建议逐级'!Y192</f>
        <v/>
      </c>
      <c r="P192" s="36">
        <f>SUMIFS($O$5:$O$328,$A$5:$A$328,A192,$D$5:$D$328,"&lt;="&amp;D192)</f>
        <v/>
      </c>
      <c r="Q192" s="51">
        <f>IF(F192="预算型曲线","总预算归一化","沿用旧指数公式")</f>
        <v/>
      </c>
      <c r="R192" s="51">
        <f>IF(F192="预算型曲线","与当前建议公式一致","需单独复核")</f>
        <v/>
      </c>
    </row>
    <row r="193" ht="22" customHeight="1">
      <c r="A193" s="33">
        <f>'建筑建议逐级'!A193</f>
        <v/>
      </c>
      <c r="B193" s="33">
        <f>'建筑建议逐级'!B193</f>
        <v/>
      </c>
      <c r="C193" s="33">
        <f>'建筑建议逐级'!C193</f>
        <v/>
      </c>
      <c r="D193" s="43">
        <f>'建筑建议逐级'!D193</f>
        <v/>
      </c>
      <c r="E193" s="36">
        <f>'建筑建议逐级'!E193</f>
        <v/>
      </c>
      <c r="F193" s="51">
        <f>IF(OR('建筑建议逐级'!I193&gt;0,'建筑建议逐级'!R193&gt;0,'建筑建议逐级'!S193&gt;0),"预算型曲线","旧指数公式")</f>
        <v/>
      </c>
      <c r="G193" s="50">
        <f>'建筑建议逐级'!H193</f>
        <v/>
      </c>
      <c r="H193" s="36">
        <f>'建筑建议逐级'!M193</f>
        <v/>
      </c>
      <c r="I193" s="35">
        <f>H193/3600</f>
        <v/>
      </c>
      <c r="J193" s="35">
        <f>H193/'参数与公式'!$B$21</f>
        <v/>
      </c>
      <c r="K193" s="35">
        <f>SUMIFS($J$5:$J$328,$A$5:$A$328,A193,$D$5:$D$328,"&lt;="&amp;D193)</f>
        <v/>
      </c>
      <c r="L193" s="50">
        <f>'建筑建议逐级'!Q193</f>
        <v/>
      </c>
      <c r="M193" s="36">
        <f>'建筑建议逐级'!X193</f>
        <v/>
      </c>
      <c r="N193" s="36">
        <f>SUMIFS($M$5:$M$328,$A$5:$A$328,A193,$D$5:$D$328,"&lt;="&amp;D193)</f>
        <v/>
      </c>
      <c r="O193" s="36">
        <f>'建筑建议逐级'!Y193</f>
        <v/>
      </c>
      <c r="P193" s="36">
        <f>SUMIFS($O$5:$O$328,$A$5:$A$328,A193,$D$5:$D$328,"&lt;="&amp;D193)</f>
        <v/>
      </c>
      <c r="Q193" s="51">
        <f>IF(F193="预算型曲线","总预算归一化","沿用旧指数公式")</f>
        <v/>
      </c>
      <c r="R193" s="51">
        <f>IF(F193="预算型曲线","与当前建议公式一致","需单独复核")</f>
        <v/>
      </c>
    </row>
    <row r="194" ht="22" customHeight="1">
      <c r="A194" s="33">
        <f>'建筑建议逐级'!A194</f>
        <v/>
      </c>
      <c r="B194" s="33">
        <f>'建筑建议逐级'!B194</f>
        <v/>
      </c>
      <c r="C194" s="33">
        <f>'建筑建议逐级'!C194</f>
        <v/>
      </c>
      <c r="D194" s="43">
        <f>'建筑建议逐级'!D194</f>
        <v/>
      </c>
      <c r="E194" s="36">
        <f>'建筑建议逐级'!E194</f>
        <v/>
      </c>
      <c r="F194" s="51">
        <f>IF(OR('建筑建议逐级'!I194&gt;0,'建筑建议逐级'!R194&gt;0,'建筑建议逐级'!S194&gt;0),"预算型曲线","旧指数公式")</f>
        <v/>
      </c>
      <c r="G194" s="50">
        <f>'建筑建议逐级'!H194</f>
        <v/>
      </c>
      <c r="H194" s="36">
        <f>'建筑建议逐级'!M194</f>
        <v/>
      </c>
      <c r="I194" s="35">
        <f>H194/3600</f>
        <v/>
      </c>
      <c r="J194" s="35">
        <f>H194/'参数与公式'!$B$21</f>
        <v/>
      </c>
      <c r="K194" s="35">
        <f>SUMIFS($J$5:$J$328,$A$5:$A$328,A194,$D$5:$D$328,"&lt;="&amp;D194)</f>
        <v/>
      </c>
      <c r="L194" s="50">
        <f>'建筑建议逐级'!Q194</f>
        <v/>
      </c>
      <c r="M194" s="36">
        <f>'建筑建议逐级'!X194</f>
        <v/>
      </c>
      <c r="N194" s="36">
        <f>SUMIFS($M$5:$M$328,$A$5:$A$328,A194,$D$5:$D$328,"&lt;="&amp;D194)</f>
        <v/>
      </c>
      <c r="O194" s="36">
        <f>'建筑建议逐级'!Y194</f>
        <v/>
      </c>
      <c r="P194" s="36">
        <f>SUMIFS($O$5:$O$328,$A$5:$A$328,A194,$D$5:$D$328,"&lt;="&amp;D194)</f>
        <v/>
      </c>
      <c r="Q194" s="51">
        <f>IF(F194="预算型曲线","总预算归一化","沿用旧指数公式")</f>
        <v/>
      </c>
      <c r="R194" s="51">
        <f>IF(F194="预算型曲线","与当前建议公式一致","需单独复核")</f>
        <v/>
      </c>
    </row>
    <row r="195" ht="22" customHeight="1">
      <c r="A195" s="33">
        <f>'建筑建议逐级'!A195</f>
        <v/>
      </c>
      <c r="B195" s="33">
        <f>'建筑建议逐级'!B195</f>
        <v/>
      </c>
      <c r="C195" s="33">
        <f>'建筑建议逐级'!C195</f>
        <v/>
      </c>
      <c r="D195" s="43">
        <f>'建筑建议逐级'!D195</f>
        <v/>
      </c>
      <c r="E195" s="36">
        <f>'建筑建议逐级'!E195</f>
        <v/>
      </c>
      <c r="F195" s="51">
        <f>IF(OR('建筑建议逐级'!I195&gt;0,'建筑建议逐级'!R195&gt;0,'建筑建议逐级'!S195&gt;0),"预算型曲线","旧指数公式")</f>
        <v/>
      </c>
      <c r="G195" s="50">
        <f>'建筑建议逐级'!H195</f>
        <v/>
      </c>
      <c r="H195" s="36">
        <f>'建筑建议逐级'!M195</f>
        <v/>
      </c>
      <c r="I195" s="35">
        <f>H195/3600</f>
        <v/>
      </c>
      <c r="J195" s="35">
        <f>H195/'参数与公式'!$B$21</f>
        <v/>
      </c>
      <c r="K195" s="35">
        <f>SUMIFS($J$5:$J$328,$A$5:$A$328,A195,$D$5:$D$328,"&lt;="&amp;D195)</f>
        <v/>
      </c>
      <c r="L195" s="50">
        <f>'建筑建议逐级'!Q195</f>
        <v/>
      </c>
      <c r="M195" s="36">
        <f>'建筑建议逐级'!X195</f>
        <v/>
      </c>
      <c r="N195" s="36">
        <f>SUMIFS($M$5:$M$328,$A$5:$A$328,A195,$D$5:$D$328,"&lt;="&amp;D195)</f>
        <v/>
      </c>
      <c r="O195" s="36">
        <f>'建筑建议逐级'!Y195</f>
        <v/>
      </c>
      <c r="P195" s="36">
        <f>SUMIFS($O$5:$O$328,$A$5:$A$328,A195,$D$5:$D$328,"&lt;="&amp;D195)</f>
        <v/>
      </c>
      <c r="Q195" s="51">
        <f>IF(F195="预算型曲线","总预算归一化","沿用旧指数公式")</f>
        <v/>
      </c>
      <c r="R195" s="51">
        <f>IF(F195="预算型曲线","与当前建议公式一致","需单独复核")</f>
        <v/>
      </c>
    </row>
    <row r="196" ht="22" customHeight="1">
      <c r="A196" s="33">
        <f>'建筑建议逐级'!A196</f>
        <v/>
      </c>
      <c r="B196" s="33">
        <f>'建筑建议逐级'!B196</f>
        <v/>
      </c>
      <c r="C196" s="33">
        <f>'建筑建议逐级'!C196</f>
        <v/>
      </c>
      <c r="D196" s="43">
        <f>'建筑建议逐级'!D196</f>
        <v/>
      </c>
      <c r="E196" s="36">
        <f>'建筑建议逐级'!E196</f>
        <v/>
      </c>
      <c r="F196" s="51">
        <f>IF(OR('建筑建议逐级'!I196&gt;0,'建筑建议逐级'!R196&gt;0,'建筑建议逐级'!S196&gt;0),"预算型曲线","旧指数公式")</f>
        <v/>
      </c>
      <c r="G196" s="50">
        <f>'建筑建议逐级'!H196</f>
        <v/>
      </c>
      <c r="H196" s="36">
        <f>'建筑建议逐级'!M196</f>
        <v/>
      </c>
      <c r="I196" s="35">
        <f>H196/3600</f>
        <v/>
      </c>
      <c r="J196" s="35">
        <f>H196/'参数与公式'!$B$21</f>
        <v/>
      </c>
      <c r="K196" s="35">
        <f>SUMIFS($J$5:$J$328,$A$5:$A$328,A196,$D$5:$D$328,"&lt;="&amp;D196)</f>
        <v/>
      </c>
      <c r="L196" s="50">
        <f>'建筑建议逐级'!Q196</f>
        <v/>
      </c>
      <c r="M196" s="36">
        <f>'建筑建议逐级'!X196</f>
        <v/>
      </c>
      <c r="N196" s="36">
        <f>SUMIFS($M$5:$M$328,$A$5:$A$328,A196,$D$5:$D$328,"&lt;="&amp;D196)</f>
        <v/>
      </c>
      <c r="O196" s="36">
        <f>'建筑建议逐级'!Y196</f>
        <v/>
      </c>
      <c r="P196" s="36">
        <f>SUMIFS($O$5:$O$328,$A$5:$A$328,A196,$D$5:$D$328,"&lt;="&amp;D196)</f>
        <v/>
      </c>
      <c r="Q196" s="51">
        <f>IF(F196="预算型曲线","总预算归一化","沿用旧指数公式")</f>
        <v/>
      </c>
      <c r="R196" s="51">
        <f>IF(F196="预算型曲线","与当前建议公式一致","需单独复核")</f>
        <v/>
      </c>
    </row>
    <row r="197" ht="22" customHeight="1">
      <c r="A197" s="33">
        <f>'建筑建议逐级'!A197</f>
        <v/>
      </c>
      <c r="B197" s="33">
        <f>'建筑建议逐级'!B197</f>
        <v/>
      </c>
      <c r="C197" s="33">
        <f>'建筑建议逐级'!C197</f>
        <v/>
      </c>
      <c r="D197" s="43">
        <f>'建筑建议逐级'!D197</f>
        <v/>
      </c>
      <c r="E197" s="36">
        <f>'建筑建议逐级'!E197</f>
        <v/>
      </c>
      <c r="F197" s="51">
        <f>IF(OR('建筑建议逐级'!I197&gt;0,'建筑建议逐级'!R197&gt;0,'建筑建议逐级'!S197&gt;0),"预算型曲线","旧指数公式")</f>
        <v/>
      </c>
      <c r="G197" s="50">
        <f>'建筑建议逐级'!H197</f>
        <v/>
      </c>
      <c r="H197" s="36">
        <f>'建筑建议逐级'!M197</f>
        <v/>
      </c>
      <c r="I197" s="35">
        <f>H197/3600</f>
        <v/>
      </c>
      <c r="J197" s="35">
        <f>H197/'参数与公式'!$B$21</f>
        <v/>
      </c>
      <c r="K197" s="35">
        <f>SUMIFS($J$5:$J$328,$A$5:$A$328,A197,$D$5:$D$328,"&lt;="&amp;D197)</f>
        <v/>
      </c>
      <c r="L197" s="50">
        <f>'建筑建议逐级'!Q197</f>
        <v/>
      </c>
      <c r="M197" s="36">
        <f>'建筑建议逐级'!X197</f>
        <v/>
      </c>
      <c r="N197" s="36">
        <f>SUMIFS($M$5:$M$328,$A$5:$A$328,A197,$D$5:$D$328,"&lt;="&amp;D197)</f>
        <v/>
      </c>
      <c r="O197" s="36">
        <f>'建筑建议逐级'!Y197</f>
        <v/>
      </c>
      <c r="P197" s="36">
        <f>SUMIFS($O$5:$O$328,$A$5:$A$328,A197,$D$5:$D$328,"&lt;="&amp;D197)</f>
        <v/>
      </c>
      <c r="Q197" s="51">
        <f>IF(F197="预算型曲线","总预算归一化","沿用旧指数公式")</f>
        <v/>
      </c>
      <c r="R197" s="51">
        <f>IF(F197="预算型曲线","与当前建议公式一致","需单独复核")</f>
        <v/>
      </c>
    </row>
    <row r="198" ht="22" customHeight="1">
      <c r="A198" s="33">
        <f>'建筑建议逐级'!A198</f>
        <v/>
      </c>
      <c r="B198" s="33">
        <f>'建筑建议逐级'!B198</f>
        <v/>
      </c>
      <c r="C198" s="33">
        <f>'建筑建议逐级'!C198</f>
        <v/>
      </c>
      <c r="D198" s="43">
        <f>'建筑建议逐级'!D198</f>
        <v/>
      </c>
      <c r="E198" s="36">
        <f>'建筑建议逐级'!E198</f>
        <v/>
      </c>
      <c r="F198" s="51">
        <f>IF(OR('建筑建议逐级'!I198&gt;0,'建筑建议逐级'!R198&gt;0,'建筑建议逐级'!S198&gt;0),"预算型曲线","旧指数公式")</f>
        <v/>
      </c>
      <c r="G198" s="50">
        <f>'建筑建议逐级'!H198</f>
        <v/>
      </c>
      <c r="H198" s="36">
        <f>'建筑建议逐级'!M198</f>
        <v/>
      </c>
      <c r="I198" s="35">
        <f>H198/3600</f>
        <v/>
      </c>
      <c r="J198" s="35">
        <f>H198/'参数与公式'!$B$21</f>
        <v/>
      </c>
      <c r="K198" s="35">
        <f>SUMIFS($J$5:$J$328,$A$5:$A$328,A198,$D$5:$D$328,"&lt;="&amp;D198)</f>
        <v/>
      </c>
      <c r="L198" s="50">
        <f>'建筑建议逐级'!Q198</f>
        <v/>
      </c>
      <c r="M198" s="36">
        <f>'建筑建议逐级'!X198</f>
        <v/>
      </c>
      <c r="N198" s="36">
        <f>SUMIFS($M$5:$M$328,$A$5:$A$328,A198,$D$5:$D$328,"&lt;="&amp;D198)</f>
        <v/>
      </c>
      <c r="O198" s="36">
        <f>'建筑建议逐级'!Y198</f>
        <v/>
      </c>
      <c r="P198" s="36">
        <f>SUMIFS($O$5:$O$328,$A$5:$A$328,A198,$D$5:$D$328,"&lt;="&amp;D198)</f>
        <v/>
      </c>
      <c r="Q198" s="51">
        <f>IF(F198="预算型曲线","总预算归一化","沿用旧指数公式")</f>
        <v/>
      </c>
      <c r="R198" s="51">
        <f>IF(F198="预算型曲线","与当前建议公式一致","需单独复核")</f>
        <v/>
      </c>
    </row>
    <row r="199" ht="22" customHeight="1">
      <c r="A199" s="33">
        <f>'建筑建议逐级'!A199</f>
        <v/>
      </c>
      <c r="B199" s="33">
        <f>'建筑建议逐级'!B199</f>
        <v/>
      </c>
      <c r="C199" s="33">
        <f>'建筑建议逐级'!C199</f>
        <v/>
      </c>
      <c r="D199" s="43">
        <f>'建筑建议逐级'!D199</f>
        <v/>
      </c>
      <c r="E199" s="36">
        <f>'建筑建议逐级'!E199</f>
        <v/>
      </c>
      <c r="F199" s="51">
        <f>IF(OR('建筑建议逐级'!I199&gt;0,'建筑建议逐级'!R199&gt;0,'建筑建议逐级'!S199&gt;0),"预算型曲线","旧指数公式")</f>
        <v/>
      </c>
      <c r="G199" s="50">
        <f>'建筑建议逐级'!H199</f>
        <v/>
      </c>
      <c r="H199" s="36">
        <f>'建筑建议逐级'!M199</f>
        <v/>
      </c>
      <c r="I199" s="35">
        <f>H199/3600</f>
        <v/>
      </c>
      <c r="J199" s="35">
        <f>H199/'参数与公式'!$B$21</f>
        <v/>
      </c>
      <c r="K199" s="35">
        <f>SUMIFS($J$5:$J$328,$A$5:$A$328,A199,$D$5:$D$328,"&lt;="&amp;D199)</f>
        <v/>
      </c>
      <c r="L199" s="50">
        <f>'建筑建议逐级'!Q199</f>
        <v/>
      </c>
      <c r="M199" s="36">
        <f>'建筑建议逐级'!X199</f>
        <v/>
      </c>
      <c r="N199" s="36">
        <f>SUMIFS($M$5:$M$328,$A$5:$A$328,A199,$D$5:$D$328,"&lt;="&amp;D199)</f>
        <v/>
      </c>
      <c r="O199" s="36">
        <f>'建筑建议逐级'!Y199</f>
        <v/>
      </c>
      <c r="P199" s="36">
        <f>SUMIFS($O$5:$O$328,$A$5:$A$328,A199,$D$5:$D$328,"&lt;="&amp;D199)</f>
        <v/>
      </c>
      <c r="Q199" s="51">
        <f>IF(F199="预算型曲线","总预算归一化","沿用旧指数公式")</f>
        <v/>
      </c>
      <c r="R199" s="51">
        <f>IF(F199="预算型曲线","与当前建议公式一致","需单独复核")</f>
        <v/>
      </c>
    </row>
    <row r="200" ht="22" customHeight="1">
      <c r="A200" s="33">
        <f>'建筑建议逐级'!A200</f>
        <v/>
      </c>
      <c r="B200" s="33">
        <f>'建筑建议逐级'!B200</f>
        <v/>
      </c>
      <c r="C200" s="33">
        <f>'建筑建议逐级'!C200</f>
        <v/>
      </c>
      <c r="D200" s="43">
        <f>'建筑建议逐级'!D200</f>
        <v/>
      </c>
      <c r="E200" s="36">
        <f>'建筑建议逐级'!E200</f>
        <v/>
      </c>
      <c r="F200" s="51">
        <f>IF(OR('建筑建议逐级'!I200&gt;0,'建筑建议逐级'!R200&gt;0,'建筑建议逐级'!S200&gt;0),"预算型曲线","旧指数公式")</f>
        <v/>
      </c>
      <c r="G200" s="50">
        <f>'建筑建议逐级'!H200</f>
        <v/>
      </c>
      <c r="H200" s="36">
        <f>'建筑建议逐级'!M200</f>
        <v/>
      </c>
      <c r="I200" s="35">
        <f>H200/3600</f>
        <v/>
      </c>
      <c r="J200" s="35">
        <f>H200/'参数与公式'!$B$21</f>
        <v/>
      </c>
      <c r="K200" s="35">
        <f>SUMIFS($J$5:$J$328,$A$5:$A$328,A200,$D$5:$D$328,"&lt;="&amp;D200)</f>
        <v/>
      </c>
      <c r="L200" s="50">
        <f>'建筑建议逐级'!Q200</f>
        <v/>
      </c>
      <c r="M200" s="36">
        <f>'建筑建议逐级'!X200</f>
        <v/>
      </c>
      <c r="N200" s="36">
        <f>SUMIFS($M$5:$M$328,$A$5:$A$328,A200,$D$5:$D$328,"&lt;="&amp;D200)</f>
        <v/>
      </c>
      <c r="O200" s="36">
        <f>'建筑建议逐级'!Y200</f>
        <v/>
      </c>
      <c r="P200" s="36">
        <f>SUMIFS($O$5:$O$328,$A$5:$A$328,A200,$D$5:$D$328,"&lt;="&amp;D200)</f>
        <v/>
      </c>
      <c r="Q200" s="51">
        <f>IF(F200="预算型曲线","总预算归一化","沿用旧指数公式")</f>
        <v/>
      </c>
      <c r="R200" s="51">
        <f>IF(F200="预算型曲线","与当前建议公式一致","需单独复核")</f>
        <v/>
      </c>
    </row>
    <row r="201" ht="22" customHeight="1">
      <c r="A201" s="33">
        <f>'建筑建议逐级'!A201</f>
        <v/>
      </c>
      <c r="B201" s="33">
        <f>'建筑建议逐级'!B201</f>
        <v/>
      </c>
      <c r="C201" s="33">
        <f>'建筑建议逐级'!C201</f>
        <v/>
      </c>
      <c r="D201" s="43">
        <f>'建筑建议逐级'!D201</f>
        <v/>
      </c>
      <c r="E201" s="36">
        <f>'建筑建议逐级'!E201</f>
        <v/>
      </c>
      <c r="F201" s="51">
        <f>IF(OR('建筑建议逐级'!I201&gt;0,'建筑建议逐级'!R201&gt;0,'建筑建议逐级'!S201&gt;0),"预算型曲线","旧指数公式")</f>
        <v/>
      </c>
      <c r="G201" s="50">
        <f>'建筑建议逐级'!H201</f>
        <v/>
      </c>
      <c r="H201" s="36">
        <f>'建筑建议逐级'!M201</f>
        <v/>
      </c>
      <c r="I201" s="35">
        <f>H201/3600</f>
        <v/>
      </c>
      <c r="J201" s="35">
        <f>H201/'参数与公式'!$B$21</f>
        <v/>
      </c>
      <c r="K201" s="35">
        <f>SUMIFS($J$5:$J$328,$A$5:$A$328,A201,$D$5:$D$328,"&lt;="&amp;D201)</f>
        <v/>
      </c>
      <c r="L201" s="50">
        <f>'建筑建议逐级'!Q201</f>
        <v/>
      </c>
      <c r="M201" s="36">
        <f>'建筑建议逐级'!X201</f>
        <v/>
      </c>
      <c r="N201" s="36">
        <f>SUMIFS($M$5:$M$328,$A$5:$A$328,A201,$D$5:$D$328,"&lt;="&amp;D201)</f>
        <v/>
      </c>
      <c r="O201" s="36">
        <f>'建筑建议逐级'!Y201</f>
        <v/>
      </c>
      <c r="P201" s="36">
        <f>SUMIFS($O$5:$O$328,$A$5:$A$328,A201,$D$5:$D$328,"&lt;="&amp;D201)</f>
        <v/>
      </c>
      <c r="Q201" s="51">
        <f>IF(F201="预算型曲线","总预算归一化","沿用旧指数公式")</f>
        <v/>
      </c>
      <c r="R201" s="51">
        <f>IF(F201="预算型曲线","与当前建议公式一致","需单独复核")</f>
        <v/>
      </c>
    </row>
    <row r="202" ht="22" customHeight="1">
      <c r="A202" s="33">
        <f>'建筑建议逐级'!A202</f>
        <v/>
      </c>
      <c r="B202" s="33">
        <f>'建筑建议逐级'!B202</f>
        <v/>
      </c>
      <c r="C202" s="33">
        <f>'建筑建议逐级'!C202</f>
        <v/>
      </c>
      <c r="D202" s="43">
        <f>'建筑建议逐级'!D202</f>
        <v/>
      </c>
      <c r="E202" s="36">
        <f>'建筑建议逐级'!E202</f>
        <v/>
      </c>
      <c r="F202" s="51">
        <f>IF(OR('建筑建议逐级'!I202&gt;0,'建筑建议逐级'!R202&gt;0,'建筑建议逐级'!S202&gt;0),"预算型曲线","旧指数公式")</f>
        <v/>
      </c>
      <c r="G202" s="50">
        <f>'建筑建议逐级'!H202</f>
        <v/>
      </c>
      <c r="H202" s="36">
        <f>'建筑建议逐级'!M202</f>
        <v/>
      </c>
      <c r="I202" s="35">
        <f>H202/3600</f>
        <v/>
      </c>
      <c r="J202" s="35">
        <f>H202/'参数与公式'!$B$21</f>
        <v/>
      </c>
      <c r="K202" s="35">
        <f>SUMIFS($J$5:$J$328,$A$5:$A$328,A202,$D$5:$D$328,"&lt;="&amp;D202)</f>
        <v/>
      </c>
      <c r="L202" s="50">
        <f>'建筑建议逐级'!Q202</f>
        <v/>
      </c>
      <c r="M202" s="36">
        <f>'建筑建议逐级'!X202</f>
        <v/>
      </c>
      <c r="N202" s="36">
        <f>SUMIFS($M$5:$M$328,$A$5:$A$328,A202,$D$5:$D$328,"&lt;="&amp;D202)</f>
        <v/>
      </c>
      <c r="O202" s="36">
        <f>'建筑建议逐级'!Y202</f>
        <v/>
      </c>
      <c r="P202" s="36">
        <f>SUMIFS($O$5:$O$328,$A$5:$A$328,A202,$D$5:$D$328,"&lt;="&amp;D202)</f>
        <v/>
      </c>
      <c r="Q202" s="51">
        <f>IF(F202="预算型曲线","总预算归一化","沿用旧指数公式")</f>
        <v/>
      </c>
      <c r="R202" s="51">
        <f>IF(F202="预算型曲线","与当前建议公式一致","需单独复核")</f>
        <v/>
      </c>
    </row>
    <row r="203" ht="22" customHeight="1">
      <c r="A203" s="33">
        <f>'建筑建议逐级'!A203</f>
        <v/>
      </c>
      <c r="B203" s="33">
        <f>'建筑建议逐级'!B203</f>
        <v/>
      </c>
      <c r="C203" s="33">
        <f>'建筑建议逐级'!C203</f>
        <v/>
      </c>
      <c r="D203" s="43">
        <f>'建筑建议逐级'!D203</f>
        <v/>
      </c>
      <c r="E203" s="36">
        <f>'建筑建议逐级'!E203</f>
        <v/>
      </c>
      <c r="F203" s="51">
        <f>IF(OR('建筑建议逐级'!I203&gt;0,'建筑建议逐级'!R203&gt;0,'建筑建议逐级'!S203&gt;0),"预算型曲线","旧指数公式")</f>
        <v/>
      </c>
      <c r="G203" s="50">
        <f>'建筑建议逐级'!H203</f>
        <v/>
      </c>
      <c r="H203" s="36">
        <f>'建筑建议逐级'!M203</f>
        <v/>
      </c>
      <c r="I203" s="35">
        <f>H203/3600</f>
        <v/>
      </c>
      <c r="J203" s="35">
        <f>H203/'参数与公式'!$B$21</f>
        <v/>
      </c>
      <c r="K203" s="35">
        <f>SUMIFS($J$5:$J$328,$A$5:$A$328,A203,$D$5:$D$328,"&lt;="&amp;D203)</f>
        <v/>
      </c>
      <c r="L203" s="50">
        <f>'建筑建议逐级'!Q203</f>
        <v/>
      </c>
      <c r="M203" s="36">
        <f>'建筑建议逐级'!X203</f>
        <v/>
      </c>
      <c r="N203" s="36">
        <f>SUMIFS($M$5:$M$328,$A$5:$A$328,A203,$D$5:$D$328,"&lt;="&amp;D203)</f>
        <v/>
      </c>
      <c r="O203" s="36">
        <f>'建筑建议逐级'!Y203</f>
        <v/>
      </c>
      <c r="P203" s="36">
        <f>SUMIFS($O$5:$O$328,$A$5:$A$328,A203,$D$5:$D$328,"&lt;="&amp;D203)</f>
        <v/>
      </c>
      <c r="Q203" s="51">
        <f>IF(F203="预算型曲线","总预算归一化","沿用旧指数公式")</f>
        <v/>
      </c>
      <c r="R203" s="51">
        <f>IF(F203="预算型曲线","与当前建议公式一致","需单独复核")</f>
        <v/>
      </c>
    </row>
    <row r="204" ht="22" customHeight="1">
      <c r="A204" s="33">
        <f>'建筑建议逐级'!A204</f>
        <v/>
      </c>
      <c r="B204" s="33">
        <f>'建筑建议逐级'!B204</f>
        <v/>
      </c>
      <c r="C204" s="33">
        <f>'建筑建议逐级'!C204</f>
        <v/>
      </c>
      <c r="D204" s="43">
        <f>'建筑建议逐级'!D204</f>
        <v/>
      </c>
      <c r="E204" s="36">
        <f>'建筑建议逐级'!E204</f>
        <v/>
      </c>
      <c r="F204" s="51">
        <f>IF(OR('建筑建议逐级'!I204&gt;0,'建筑建议逐级'!R204&gt;0,'建筑建议逐级'!S204&gt;0),"预算型曲线","旧指数公式")</f>
        <v/>
      </c>
      <c r="G204" s="50">
        <f>'建筑建议逐级'!H204</f>
        <v/>
      </c>
      <c r="H204" s="36">
        <f>'建筑建议逐级'!M204</f>
        <v/>
      </c>
      <c r="I204" s="35">
        <f>H204/3600</f>
        <v/>
      </c>
      <c r="J204" s="35">
        <f>H204/'参数与公式'!$B$21</f>
        <v/>
      </c>
      <c r="K204" s="35">
        <f>SUMIFS($J$5:$J$328,$A$5:$A$328,A204,$D$5:$D$328,"&lt;="&amp;D204)</f>
        <v/>
      </c>
      <c r="L204" s="50">
        <f>'建筑建议逐级'!Q204</f>
        <v/>
      </c>
      <c r="M204" s="36">
        <f>'建筑建议逐级'!X204</f>
        <v/>
      </c>
      <c r="N204" s="36">
        <f>SUMIFS($M$5:$M$328,$A$5:$A$328,A204,$D$5:$D$328,"&lt;="&amp;D204)</f>
        <v/>
      </c>
      <c r="O204" s="36">
        <f>'建筑建议逐级'!Y204</f>
        <v/>
      </c>
      <c r="P204" s="36">
        <f>SUMIFS($O$5:$O$328,$A$5:$A$328,A204,$D$5:$D$328,"&lt;="&amp;D204)</f>
        <v/>
      </c>
      <c r="Q204" s="51">
        <f>IF(F204="预算型曲线","总预算归一化","沿用旧指数公式")</f>
        <v/>
      </c>
      <c r="R204" s="51">
        <f>IF(F204="预算型曲线","与当前建议公式一致","需单独复核")</f>
        <v/>
      </c>
    </row>
    <row r="205" ht="22" customHeight="1">
      <c r="A205" s="33">
        <f>'建筑建议逐级'!A205</f>
        <v/>
      </c>
      <c r="B205" s="33">
        <f>'建筑建议逐级'!B205</f>
        <v/>
      </c>
      <c r="C205" s="33">
        <f>'建筑建议逐级'!C205</f>
        <v/>
      </c>
      <c r="D205" s="43">
        <f>'建筑建议逐级'!D205</f>
        <v/>
      </c>
      <c r="E205" s="36">
        <f>'建筑建议逐级'!E205</f>
        <v/>
      </c>
      <c r="F205" s="51">
        <f>IF(OR('建筑建议逐级'!I205&gt;0,'建筑建议逐级'!R205&gt;0,'建筑建议逐级'!S205&gt;0),"预算型曲线","旧指数公式")</f>
        <v/>
      </c>
      <c r="G205" s="50">
        <f>'建筑建议逐级'!H205</f>
        <v/>
      </c>
      <c r="H205" s="36">
        <f>'建筑建议逐级'!M205</f>
        <v/>
      </c>
      <c r="I205" s="35">
        <f>H205/3600</f>
        <v/>
      </c>
      <c r="J205" s="35">
        <f>H205/'参数与公式'!$B$21</f>
        <v/>
      </c>
      <c r="K205" s="35">
        <f>SUMIFS($J$5:$J$328,$A$5:$A$328,A205,$D$5:$D$328,"&lt;="&amp;D205)</f>
        <v/>
      </c>
      <c r="L205" s="50">
        <f>'建筑建议逐级'!Q205</f>
        <v/>
      </c>
      <c r="M205" s="36">
        <f>'建筑建议逐级'!X205</f>
        <v/>
      </c>
      <c r="N205" s="36">
        <f>SUMIFS($M$5:$M$328,$A$5:$A$328,A205,$D$5:$D$328,"&lt;="&amp;D205)</f>
        <v/>
      </c>
      <c r="O205" s="36">
        <f>'建筑建议逐级'!Y205</f>
        <v/>
      </c>
      <c r="P205" s="36">
        <f>SUMIFS($O$5:$O$328,$A$5:$A$328,A205,$D$5:$D$328,"&lt;="&amp;D205)</f>
        <v/>
      </c>
      <c r="Q205" s="51">
        <f>IF(F205="预算型曲线","总预算归一化","沿用旧指数公式")</f>
        <v/>
      </c>
      <c r="R205" s="51">
        <f>IF(F205="预算型曲线","与当前建议公式一致","需单独复核")</f>
        <v/>
      </c>
    </row>
    <row r="206" ht="22" customHeight="1">
      <c r="A206" s="33">
        <f>'建筑建议逐级'!A206</f>
        <v/>
      </c>
      <c r="B206" s="33">
        <f>'建筑建议逐级'!B206</f>
        <v/>
      </c>
      <c r="C206" s="33">
        <f>'建筑建议逐级'!C206</f>
        <v/>
      </c>
      <c r="D206" s="43">
        <f>'建筑建议逐级'!D206</f>
        <v/>
      </c>
      <c r="E206" s="36">
        <f>'建筑建议逐级'!E206</f>
        <v/>
      </c>
      <c r="F206" s="51">
        <f>IF(OR('建筑建议逐级'!I206&gt;0,'建筑建议逐级'!R206&gt;0,'建筑建议逐级'!S206&gt;0),"预算型曲线","旧指数公式")</f>
        <v/>
      </c>
      <c r="G206" s="50">
        <f>'建筑建议逐级'!H206</f>
        <v/>
      </c>
      <c r="H206" s="36">
        <f>'建筑建议逐级'!M206</f>
        <v/>
      </c>
      <c r="I206" s="35">
        <f>H206/3600</f>
        <v/>
      </c>
      <c r="J206" s="35">
        <f>H206/'参数与公式'!$B$21</f>
        <v/>
      </c>
      <c r="K206" s="35">
        <f>SUMIFS($J$5:$J$328,$A$5:$A$328,A206,$D$5:$D$328,"&lt;="&amp;D206)</f>
        <v/>
      </c>
      <c r="L206" s="50">
        <f>'建筑建议逐级'!Q206</f>
        <v/>
      </c>
      <c r="M206" s="36">
        <f>'建筑建议逐级'!X206</f>
        <v/>
      </c>
      <c r="N206" s="36">
        <f>SUMIFS($M$5:$M$328,$A$5:$A$328,A206,$D$5:$D$328,"&lt;="&amp;D206)</f>
        <v/>
      </c>
      <c r="O206" s="36">
        <f>'建筑建议逐级'!Y206</f>
        <v/>
      </c>
      <c r="P206" s="36">
        <f>SUMIFS($O$5:$O$328,$A$5:$A$328,A206,$D$5:$D$328,"&lt;="&amp;D206)</f>
        <v/>
      </c>
      <c r="Q206" s="51">
        <f>IF(F206="预算型曲线","总预算归一化","沿用旧指数公式")</f>
        <v/>
      </c>
      <c r="R206" s="51">
        <f>IF(F206="预算型曲线","与当前建议公式一致","需单独复核")</f>
        <v/>
      </c>
    </row>
    <row r="207" ht="22" customHeight="1">
      <c r="A207" s="33">
        <f>'建筑建议逐级'!A207</f>
        <v/>
      </c>
      <c r="B207" s="33">
        <f>'建筑建议逐级'!B207</f>
        <v/>
      </c>
      <c r="C207" s="33">
        <f>'建筑建议逐级'!C207</f>
        <v/>
      </c>
      <c r="D207" s="43">
        <f>'建筑建议逐级'!D207</f>
        <v/>
      </c>
      <c r="E207" s="36">
        <f>'建筑建议逐级'!E207</f>
        <v/>
      </c>
      <c r="F207" s="51">
        <f>IF(OR('建筑建议逐级'!I207&gt;0,'建筑建议逐级'!R207&gt;0,'建筑建议逐级'!S207&gt;0),"预算型曲线","旧指数公式")</f>
        <v/>
      </c>
      <c r="G207" s="50">
        <f>'建筑建议逐级'!H207</f>
        <v/>
      </c>
      <c r="H207" s="36">
        <f>'建筑建议逐级'!M207</f>
        <v/>
      </c>
      <c r="I207" s="35">
        <f>H207/3600</f>
        <v/>
      </c>
      <c r="J207" s="35">
        <f>H207/'参数与公式'!$B$21</f>
        <v/>
      </c>
      <c r="K207" s="35">
        <f>SUMIFS($J$5:$J$328,$A$5:$A$328,A207,$D$5:$D$328,"&lt;="&amp;D207)</f>
        <v/>
      </c>
      <c r="L207" s="50">
        <f>'建筑建议逐级'!Q207</f>
        <v/>
      </c>
      <c r="M207" s="36">
        <f>'建筑建议逐级'!X207</f>
        <v/>
      </c>
      <c r="N207" s="36">
        <f>SUMIFS($M$5:$M$328,$A$5:$A$328,A207,$D$5:$D$328,"&lt;="&amp;D207)</f>
        <v/>
      </c>
      <c r="O207" s="36">
        <f>'建筑建议逐级'!Y207</f>
        <v/>
      </c>
      <c r="P207" s="36">
        <f>SUMIFS($O$5:$O$328,$A$5:$A$328,A207,$D$5:$D$328,"&lt;="&amp;D207)</f>
        <v/>
      </c>
      <c r="Q207" s="51">
        <f>IF(F207="预算型曲线","总预算归一化","沿用旧指数公式")</f>
        <v/>
      </c>
      <c r="R207" s="51">
        <f>IF(F207="预算型曲线","与当前建议公式一致","需单独复核")</f>
        <v/>
      </c>
    </row>
    <row r="208" ht="22" customHeight="1">
      <c r="A208" s="33">
        <f>'建筑建议逐级'!A208</f>
        <v/>
      </c>
      <c r="B208" s="33">
        <f>'建筑建议逐级'!B208</f>
        <v/>
      </c>
      <c r="C208" s="33">
        <f>'建筑建议逐级'!C208</f>
        <v/>
      </c>
      <c r="D208" s="43">
        <f>'建筑建议逐级'!D208</f>
        <v/>
      </c>
      <c r="E208" s="36">
        <f>'建筑建议逐级'!E208</f>
        <v/>
      </c>
      <c r="F208" s="51">
        <f>IF(OR('建筑建议逐级'!I208&gt;0,'建筑建议逐级'!R208&gt;0,'建筑建议逐级'!S208&gt;0),"预算型曲线","旧指数公式")</f>
        <v/>
      </c>
      <c r="G208" s="50">
        <f>'建筑建议逐级'!H208</f>
        <v/>
      </c>
      <c r="H208" s="36">
        <f>'建筑建议逐级'!M208</f>
        <v/>
      </c>
      <c r="I208" s="35">
        <f>H208/3600</f>
        <v/>
      </c>
      <c r="J208" s="35">
        <f>H208/'参数与公式'!$B$21</f>
        <v/>
      </c>
      <c r="K208" s="35">
        <f>SUMIFS($J$5:$J$328,$A$5:$A$328,A208,$D$5:$D$328,"&lt;="&amp;D208)</f>
        <v/>
      </c>
      <c r="L208" s="50">
        <f>'建筑建议逐级'!Q208</f>
        <v/>
      </c>
      <c r="M208" s="36">
        <f>'建筑建议逐级'!X208</f>
        <v/>
      </c>
      <c r="N208" s="36">
        <f>SUMIFS($M$5:$M$328,$A$5:$A$328,A208,$D$5:$D$328,"&lt;="&amp;D208)</f>
        <v/>
      </c>
      <c r="O208" s="36">
        <f>'建筑建议逐级'!Y208</f>
        <v/>
      </c>
      <c r="P208" s="36">
        <f>SUMIFS($O$5:$O$328,$A$5:$A$328,A208,$D$5:$D$328,"&lt;="&amp;D208)</f>
        <v/>
      </c>
      <c r="Q208" s="51">
        <f>IF(F208="预算型曲线","总预算归一化","沿用旧指数公式")</f>
        <v/>
      </c>
      <c r="R208" s="51">
        <f>IF(F208="预算型曲线","与当前建议公式一致","需单独复核")</f>
        <v/>
      </c>
    </row>
    <row r="209" ht="22" customHeight="1">
      <c r="A209" s="33">
        <f>'建筑建议逐级'!A209</f>
        <v/>
      </c>
      <c r="B209" s="33">
        <f>'建筑建议逐级'!B209</f>
        <v/>
      </c>
      <c r="C209" s="33">
        <f>'建筑建议逐级'!C209</f>
        <v/>
      </c>
      <c r="D209" s="43">
        <f>'建筑建议逐级'!D209</f>
        <v/>
      </c>
      <c r="E209" s="36">
        <f>'建筑建议逐级'!E209</f>
        <v/>
      </c>
      <c r="F209" s="51">
        <f>IF(OR('建筑建议逐级'!I209&gt;0,'建筑建议逐级'!R209&gt;0,'建筑建议逐级'!S209&gt;0),"预算型曲线","旧指数公式")</f>
        <v/>
      </c>
      <c r="G209" s="50">
        <f>'建筑建议逐级'!H209</f>
        <v/>
      </c>
      <c r="H209" s="36">
        <f>'建筑建议逐级'!M209</f>
        <v/>
      </c>
      <c r="I209" s="35">
        <f>H209/3600</f>
        <v/>
      </c>
      <c r="J209" s="35">
        <f>H209/'参数与公式'!$B$21</f>
        <v/>
      </c>
      <c r="K209" s="35">
        <f>SUMIFS($J$5:$J$328,$A$5:$A$328,A209,$D$5:$D$328,"&lt;="&amp;D209)</f>
        <v/>
      </c>
      <c r="L209" s="50">
        <f>'建筑建议逐级'!Q209</f>
        <v/>
      </c>
      <c r="M209" s="36">
        <f>'建筑建议逐级'!X209</f>
        <v/>
      </c>
      <c r="N209" s="36">
        <f>SUMIFS($M$5:$M$328,$A$5:$A$328,A209,$D$5:$D$328,"&lt;="&amp;D209)</f>
        <v/>
      </c>
      <c r="O209" s="36">
        <f>'建筑建议逐级'!Y209</f>
        <v/>
      </c>
      <c r="P209" s="36">
        <f>SUMIFS($O$5:$O$328,$A$5:$A$328,A209,$D$5:$D$328,"&lt;="&amp;D209)</f>
        <v/>
      </c>
      <c r="Q209" s="51">
        <f>IF(F209="预算型曲线","总预算归一化","沿用旧指数公式")</f>
        <v/>
      </c>
      <c r="R209" s="51">
        <f>IF(F209="预算型曲线","与当前建议公式一致","需单独复核")</f>
        <v/>
      </c>
    </row>
    <row r="210" ht="22" customHeight="1">
      <c r="A210" s="33">
        <f>'建筑建议逐级'!A210</f>
        <v/>
      </c>
      <c r="B210" s="33">
        <f>'建筑建议逐级'!B210</f>
        <v/>
      </c>
      <c r="C210" s="33">
        <f>'建筑建议逐级'!C210</f>
        <v/>
      </c>
      <c r="D210" s="43">
        <f>'建筑建议逐级'!D210</f>
        <v/>
      </c>
      <c r="E210" s="36">
        <f>'建筑建议逐级'!E210</f>
        <v/>
      </c>
      <c r="F210" s="51">
        <f>IF(OR('建筑建议逐级'!I210&gt;0,'建筑建议逐级'!R210&gt;0,'建筑建议逐级'!S210&gt;0),"预算型曲线","旧指数公式")</f>
        <v/>
      </c>
      <c r="G210" s="50">
        <f>'建筑建议逐级'!H210</f>
        <v/>
      </c>
      <c r="H210" s="36">
        <f>'建筑建议逐级'!M210</f>
        <v/>
      </c>
      <c r="I210" s="35">
        <f>H210/3600</f>
        <v/>
      </c>
      <c r="J210" s="35">
        <f>H210/'参数与公式'!$B$21</f>
        <v/>
      </c>
      <c r="K210" s="35">
        <f>SUMIFS($J$5:$J$328,$A$5:$A$328,A210,$D$5:$D$328,"&lt;="&amp;D210)</f>
        <v/>
      </c>
      <c r="L210" s="50">
        <f>'建筑建议逐级'!Q210</f>
        <v/>
      </c>
      <c r="M210" s="36">
        <f>'建筑建议逐级'!X210</f>
        <v/>
      </c>
      <c r="N210" s="36">
        <f>SUMIFS($M$5:$M$328,$A$5:$A$328,A210,$D$5:$D$328,"&lt;="&amp;D210)</f>
        <v/>
      </c>
      <c r="O210" s="36">
        <f>'建筑建议逐级'!Y210</f>
        <v/>
      </c>
      <c r="P210" s="36">
        <f>SUMIFS($O$5:$O$328,$A$5:$A$328,A210,$D$5:$D$328,"&lt;="&amp;D210)</f>
        <v/>
      </c>
      <c r="Q210" s="51">
        <f>IF(F210="预算型曲线","总预算归一化","沿用旧指数公式")</f>
        <v/>
      </c>
      <c r="R210" s="51">
        <f>IF(F210="预算型曲线","与当前建议公式一致","需单独复核")</f>
        <v/>
      </c>
    </row>
    <row r="211" ht="22" customHeight="1">
      <c r="A211" s="33">
        <f>'建筑建议逐级'!A211</f>
        <v/>
      </c>
      <c r="B211" s="33">
        <f>'建筑建议逐级'!B211</f>
        <v/>
      </c>
      <c r="C211" s="33">
        <f>'建筑建议逐级'!C211</f>
        <v/>
      </c>
      <c r="D211" s="43">
        <f>'建筑建议逐级'!D211</f>
        <v/>
      </c>
      <c r="E211" s="36">
        <f>'建筑建议逐级'!E211</f>
        <v/>
      </c>
      <c r="F211" s="51">
        <f>IF(OR('建筑建议逐级'!I211&gt;0,'建筑建议逐级'!R211&gt;0,'建筑建议逐级'!S211&gt;0),"预算型曲线","旧指数公式")</f>
        <v/>
      </c>
      <c r="G211" s="50">
        <f>'建筑建议逐级'!H211</f>
        <v/>
      </c>
      <c r="H211" s="36">
        <f>'建筑建议逐级'!M211</f>
        <v/>
      </c>
      <c r="I211" s="35">
        <f>H211/3600</f>
        <v/>
      </c>
      <c r="J211" s="35">
        <f>H211/'参数与公式'!$B$21</f>
        <v/>
      </c>
      <c r="K211" s="35">
        <f>SUMIFS($J$5:$J$328,$A$5:$A$328,A211,$D$5:$D$328,"&lt;="&amp;D211)</f>
        <v/>
      </c>
      <c r="L211" s="50">
        <f>'建筑建议逐级'!Q211</f>
        <v/>
      </c>
      <c r="M211" s="36">
        <f>'建筑建议逐级'!X211</f>
        <v/>
      </c>
      <c r="N211" s="36">
        <f>SUMIFS($M$5:$M$328,$A$5:$A$328,A211,$D$5:$D$328,"&lt;="&amp;D211)</f>
        <v/>
      </c>
      <c r="O211" s="36">
        <f>'建筑建议逐级'!Y211</f>
        <v/>
      </c>
      <c r="P211" s="36">
        <f>SUMIFS($O$5:$O$328,$A$5:$A$328,A211,$D$5:$D$328,"&lt;="&amp;D211)</f>
        <v/>
      </c>
      <c r="Q211" s="51">
        <f>IF(F211="预算型曲线","总预算归一化","沿用旧指数公式")</f>
        <v/>
      </c>
      <c r="R211" s="51">
        <f>IF(F211="预算型曲线","与当前建议公式一致","需单独复核")</f>
        <v/>
      </c>
    </row>
    <row r="212" ht="22" customHeight="1">
      <c r="A212" s="33">
        <f>'建筑建议逐级'!A212</f>
        <v/>
      </c>
      <c r="B212" s="33">
        <f>'建筑建议逐级'!B212</f>
        <v/>
      </c>
      <c r="C212" s="33">
        <f>'建筑建议逐级'!C212</f>
        <v/>
      </c>
      <c r="D212" s="43">
        <f>'建筑建议逐级'!D212</f>
        <v/>
      </c>
      <c r="E212" s="36">
        <f>'建筑建议逐级'!E212</f>
        <v/>
      </c>
      <c r="F212" s="51">
        <f>IF(OR('建筑建议逐级'!I212&gt;0,'建筑建议逐级'!R212&gt;0,'建筑建议逐级'!S212&gt;0),"预算型曲线","旧指数公式")</f>
        <v/>
      </c>
      <c r="G212" s="50">
        <f>'建筑建议逐级'!H212</f>
        <v/>
      </c>
      <c r="H212" s="36">
        <f>'建筑建议逐级'!M212</f>
        <v/>
      </c>
      <c r="I212" s="35">
        <f>H212/3600</f>
        <v/>
      </c>
      <c r="J212" s="35">
        <f>H212/'参数与公式'!$B$21</f>
        <v/>
      </c>
      <c r="K212" s="35">
        <f>SUMIFS($J$5:$J$328,$A$5:$A$328,A212,$D$5:$D$328,"&lt;="&amp;D212)</f>
        <v/>
      </c>
      <c r="L212" s="50">
        <f>'建筑建议逐级'!Q212</f>
        <v/>
      </c>
      <c r="M212" s="36">
        <f>'建筑建议逐级'!X212</f>
        <v/>
      </c>
      <c r="N212" s="36">
        <f>SUMIFS($M$5:$M$328,$A$5:$A$328,A212,$D$5:$D$328,"&lt;="&amp;D212)</f>
        <v/>
      </c>
      <c r="O212" s="36">
        <f>'建筑建议逐级'!Y212</f>
        <v/>
      </c>
      <c r="P212" s="36">
        <f>SUMIFS($O$5:$O$328,$A$5:$A$328,A212,$D$5:$D$328,"&lt;="&amp;D212)</f>
        <v/>
      </c>
      <c r="Q212" s="51">
        <f>IF(F212="预算型曲线","总预算归一化","沿用旧指数公式")</f>
        <v/>
      </c>
      <c r="R212" s="51">
        <f>IF(F212="预算型曲线","与当前建议公式一致","需单独复核")</f>
        <v/>
      </c>
    </row>
    <row r="213" ht="22" customHeight="1">
      <c r="A213" s="33">
        <f>'建筑建议逐级'!A213</f>
        <v/>
      </c>
      <c r="B213" s="33">
        <f>'建筑建议逐级'!B213</f>
        <v/>
      </c>
      <c r="C213" s="33">
        <f>'建筑建议逐级'!C213</f>
        <v/>
      </c>
      <c r="D213" s="43">
        <f>'建筑建议逐级'!D213</f>
        <v/>
      </c>
      <c r="E213" s="36">
        <f>'建筑建议逐级'!E213</f>
        <v/>
      </c>
      <c r="F213" s="51">
        <f>IF(OR('建筑建议逐级'!I213&gt;0,'建筑建议逐级'!R213&gt;0,'建筑建议逐级'!S213&gt;0),"预算型曲线","旧指数公式")</f>
        <v/>
      </c>
      <c r="G213" s="50">
        <f>'建筑建议逐级'!H213</f>
        <v/>
      </c>
      <c r="H213" s="36">
        <f>'建筑建议逐级'!M213</f>
        <v/>
      </c>
      <c r="I213" s="35">
        <f>H213/3600</f>
        <v/>
      </c>
      <c r="J213" s="35">
        <f>H213/'参数与公式'!$B$21</f>
        <v/>
      </c>
      <c r="K213" s="35">
        <f>SUMIFS($J$5:$J$328,$A$5:$A$328,A213,$D$5:$D$328,"&lt;="&amp;D213)</f>
        <v/>
      </c>
      <c r="L213" s="50">
        <f>'建筑建议逐级'!Q213</f>
        <v/>
      </c>
      <c r="M213" s="36">
        <f>'建筑建议逐级'!X213</f>
        <v/>
      </c>
      <c r="N213" s="36">
        <f>SUMIFS($M$5:$M$328,$A$5:$A$328,A213,$D$5:$D$328,"&lt;="&amp;D213)</f>
        <v/>
      </c>
      <c r="O213" s="36">
        <f>'建筑建议逐级'!Y213</f>
        <v/>
      </c>
      <c r="P213" s="36">
        <f>SUMIFS($O$5:$O$328,$A$5:$A$328,A213,$D$5:$D$328,"&lt;="&amp;D213)</f>
        <v/>
      </c>
      <c r="Q213" s="51">
        <f>IF(F213="预算型曲线","总预算归一化","沿用旧指数公式")</f>
        <v/>
      </c>
      <c r="R213" s="51">
        <f>IF(F213="预算型曲线","与当前建议公式一致","需单独复核")</f>
        <v/>
      </c>
    </row>
    <row r="214" ht="22" customHeight="1">
      <c r="A214" s="33">
        <f>'建筑建议逐级'!A214</f>
        <v/>
      </c>
      <c r="B214" s="33">
        <f>'建筑建议逐级'!B214</f>
        <v/>
      </c>
      <c r="C214" s="33">
        <f>'建筑建议逐级'!C214</f>
        <v/>
      </c>
      <c r="D214" s="43">
        <f>'建筑建议逐级'!D214</f>
        <v/>
      </c>
      <c r="E214" s="36">
        <f>'建筑建议逐级'!E214</f>
        <v/>
      </c>
      <c r="F214" s="51">
        <f>IF(OR('建筑建议逐级'!I214&gt;0,'建筑建议逐级'!R214&gt;0,'建筑建议逐级'!S214&gt;0),"预算型曲线","旧指数公式")</f>
        <v/>
      </c>
      <c r="G214" s="50">
        <f>'建筑建议逐级'!H214</f>
        <v/>
      </c>
      <c r="H214" s="36">
        <f>'建筑建议逐级'!M214</f>
        <v/>
      </c>
      <c r="I214" s="35">
        <f>H214/3600</f>
        <v/>
      </c>
      <c r="J214" s="35">
        <f>H214/'参数与公式'!$B$21</f>
        <v/>
      </c>
      <c r="K214" s="35">
        <f>SUMIFS($J$5:$J$328,$A$5:$A$328,A214,$D$5:$D$328,"&lt;="&amp;D214)</f>
        <v/>
      </c>
      <c r="L214" s="50">
        <f>'建筑建议逐级'!Q214</f>
        <v/>
      </c>
      <c r="M214" s="36">
        <f>'建筑建议逐级'!X214</f>
        <v/>
      </c>
      <c r="N214" s="36">
        <f>SUMIFS($M$5:$M$328,$A$5:$A$328,A214,$D$5:$D$328,"&lt;="&amp;D214)</f>
        <v/>
      </c>
      <c r="O214" s="36">
        <f>'建筑建议逐级'!Y214</f>
        <v/>
      </c>
      <c r="P214" s="36">
        <f>SUMIFS($O$5:$O$328,$A$5:$A$328,A214,$D$5:$D$328,"&lt;="&amp;D214)</f>
        <v/>
      </c>
      <c r="Q214" s="51">
        <f>IF(F214="预算型曲线","总预算归一化","沿用旧指数公式")</f>
        <v/>
      </c>
      <c r="R214" s="51">
        <f>IF(F214="预算型曲线","与当前建议公式一致","需单独复核")</f>
        <v/>
      </c>
    </row>
    <row r="215" ht="22" customHeight="1">
      <c r="A215" s="33">
        <f>'建筑建议逐级'!A215</f>
        <v/>
      </c>
      <c r="B215" s="33">
        <f>'建筑建议逐级'!B215</f>
        <v/>
      </c>
      <c r="C215" s="33">
        <f>'建筑建议逐级'!C215</f>
        <v/>
      </c>
      <c r="D215" s="43">
        <f>'建筑建议逐级'!D215</f>
        <v/>
      </c>
      <c r="E215" s="36">
        <f>'建筑建议逐级'!E215</f>
        <v/>
      </c>
      <c r="F215" s="51">
        <f>IF(OR('建筑建议逐级'!I215&gt;0,'建筑建议逐级'!R215&gt;0,'建筑建议逐级'!S215&gt;0),"预算型曲线","旧指数公式")</f>
        <v/>
      </c>
      <c r="G215" s="50">
        <f>'建筑建议逐级'!H215</f>
        <v/>
      </c>
      <c r="H215" s="36">
        <f>'建筑建议逐级'!M215</f>
        <v/>
      </c>
      <c r="I215" s="35">
        <f>H215/3600</f>
        <v/>
      </c>
      <c r="J215" s="35">
        <f>H215/'参数与公式'!$B$21</f>
        <v/>
      </c>
      <c r="K215" s="35">
        <f>SUMIFS($J$5:$J$328,$A$5:$A$328,A215,$D$5:$D$328,"&lt;="&amp;D215)</f>
        <v/>
      </c>
      <c r="L215" s="50">
        <f>'建筑建议逐级'!Q215</f>
        <v/>
      </c>
      <c r="M215" s="36">
        <f>'建筑建议逐级'!X215</f>
        <v/>
      </c>
      <c r="N215" s="36">
        <f>SUMIFS($M$5:$M$328,$A$5:$A$328,A215,$D$5:$D$328,"&lt;="&amp;D215)</f>
        <v/>
      </c>
      <c r="O215" s="36">
        <f>'建筑建议逐级'!Y215</f>
        <v/>
      </c>
      <c r="P215" s="36">
        <f>SUMIFS($O$5:$O$328,$A$5:$A$328,A215,$D$5:$D$328,"&lt;="&amp;D215)</f>
        <v/>
      </c>
      <c r="Q215" s="51">
        <f>IF(F215="预算型曲线","总预算归一化","沿用旧指数公式")</f>
        <v/>
      </c>
      <c r="R215" s="51">
        <f>IF(F215="预算型曲线","与当前建议公式一致","需单独复核")</f>
        <v/>
      </c>
    </row>
    <row r="216" ht="22" customHeight="1">
      <c r="A216" s="33">
        <f>'建筑建议逐级'!A216</f>
        <v/>
      </c>
      <c r="B216" s="33">
        <f>'建筑建议逐级'!B216</f>
        <v/>
      </c>
      <c r="C216" s="33">
        <f>'建筑建议逐级'!C216</f>
        <v/>
      </c>
      <c r="D216" s="43">
        <f>'建筑建议逐级'!D216</f>
        <v/>
      </c>
      <c r="E216" s="36">
        <f>'建筑建议逐级'!E216</f>
        <v/>
      </c>
      <c r="F216" s="51">
        <f>IF(OR('建筑建议逐级'!I216&gt;0,'建筑建议逐级'!R216&gt;0,'建筑建议逐级'!S216&gt;0),"预算型曲线","旧指数公式")</f>
        <v/>
      </c>
      <c r="G216" s="50">
        <f>'建筑建议逐级'!H216</f>
        <v/>
      </c>
      <c r="H216" s="36">
        <f>'建筑建议逐级'!M216</f>
        <v/>
      </c>
      <c r="I216" s="35">
        <f>H216/3600</f>
        <v/>
      </c>
      <c r="J216" s="35">
        <f>H216/'参数与公式'!$B$21</f>
        <v/>
      </c>
      <c r="K216" s="35">
        <f>SUMIFS($J$5:$J$328,$A$5:$A$328,A216,$D$5:$D$328,"&lt;="&amp;D216)</f>
        <v/>
      </c>
      <c r="L216" s="50">
        <f>'建筑建议逐级'!Q216</f>
        <v/>
      </c>
      <c r="M216" s="36">
        <f>'建筑建议逐级'!X216</f>
        <v/>
      </c>
      <c r="N216" s="36">
        <f>SUMIFS($M$5:$M$328,$A$5:$A$328,A216,$D$5:$D$328,"&lt;="&amp;D216)</f>
        <v/>
      </c>
      <c r="O216" s="36">
        <f>'建筑建议逐级'!Y216</f>
        <v/>
      </c>
      <c r="P216" s="36">
        <f>SUMIFS($O$5:$O$328,$A$5:$A$328,A216,$D$5:$D$328,"&lt;="&amp;D216)</f>
        <v/>
      </c>
      <c r="Q216" s="51">
        <f>IF(F216="预算型曲线","总预算归一化","沿用旧指数公式")</f>
        <v/>
      </c>
      <c r="R216" s="51">
        <f>IF(F216="预算型曲线","与当前建议公式一致","需单独复核")</f>
        <v/>
      </c>
    </row>
    <row r="217" ht="22" customHeight="1">
      <c r="A217" s="33">
        <f>'建筑建议逐级'!A217</f>
        <v/>
      </c>
      <c r="B217" s="33">
        <f>'建筑建议逐级'!B217</f>
        <v/>
      </c>
      <c r="C217" s="33">
        <f>'建筑建议逐级'!C217</f>
        <v/>
      </c>
      <c r="D217" s="43">
        <f>'建筑建议逐级'!D217</f>
        <v/>
      </c>
      <c r="E217" s="36">
        <f>'建筑建议逐级'!E217</f>
        <v/>
      </c>
      <c r="F217" s="51">
        <f>IF(OR('建筑建议逐级'!I217&gt;0,'建筑建议逐级'!R217&gt;0,'建筑建议逐级'!S217&gt;0),"预算型曲线","旧指数公式")</f>
        <v/>
      </c>
      <c r="G217" s="50">
        <f>'建筑建议逐级'!H217</f>
        <v/>
      </c>
      <c r="H217" s="36">
        <f>'建筑建议逐级'!M217</f>
        <v/>
      </c>
      <c r="I217" s="35">
        <f>H217/3600</f>
        <v/>
      </c>
      <c r="J217" s="35">
        <f>H217/'参数与公式'!$B$21</f>
        <v/>
      </c>
      <c r="K217" s="35">
        <f>SUMIFS($J$5:$J$328,$A$5:$A$328,A217,$D$5:$D$328,"&lt;="&amp;D217)</f>
        <v/>
      </c>
      <c r="L217" s="50">
        <f>'建筑建议逐级'!Q217</f>
        <v/>
      </c>
      <c r="M217" s="36">
        <f>'建筑建议逐级'!X217</f>
        <v/>
      </c>
      <c r="N217" s="36">
        <f>SUMIFS($M$5:$M$328,$A$5:$A$328,A217,$D$5:$D$328,"&lt;="&amp;D217)</f>
        <v/>
      </c>
      <c r="O217" s="36">
        <f>'建筑建议逐级'!Y217</f>
        <v/>
      </c>
      <c r="P217" s="36">
        <f>SUMIFS($O$5:$O$328,$A$5:$A$328,A217,$D$5:$D$328,"&lt;="&amp;D217)</f>
        <v/>
      </c>
      <c r="Q217" s="51">
        <f>IF(F217="预算型曲线","总预算归一化","沿用旧指数公式")</f>
        <v/>
      </c>
      <c r="R217" s="51">
        <f>IF(F217="预算型曲线","与当前建议公式一致","需单独复核")</f>
        <v/>
      </c>
    </row>
    <row r="218" ht="22" customHeight="1">
      <c r="A218" s="33">
        <f>'建筑建议逐级'!A218</f>
        <v/>
      </c>
      <c r="B218" s="33">
        <f>'建筑建议逐级'!B218</f>
        <v/>
      </c>
      <c r="C218" s="33">
        <f>'建筑建议逐级'!C218</f>
        <v/>
      </c>
      <c r="D218" s="43">
        <f>'建筑建议逐级'!D218</f>
        <v/>
      </c>
      <c r="E218" s="36">
        <f>'建筑建议逐级'!E218</f>
        <v/>
      </c>
      <c r="F218" s="51">
        <f>IF(OR('建筑建议逐级'!I218&gt;0,'建筑建议逐级'!R218&gt;0,'建筑建议逐级'!S218&gt;0),"预算型曲线","旧指数公式")</f>
        <v/>
      </c>
      <c r="G218" s="50">
        <f>'建筑建议逐级'!H218</f>
        <v/>
      </c>
      <c r="H218" s="36">
        <f>'建筑建议逐级'!M218</f>
        <v/>
      </c>
      <c r="I218" s="35">
        <f>H218/3600</f>
        <v/>
      </c>
      <c r="J218" s="35">
        <f>H218/'参数与公式'!$B$21</f>
        <v/>
      </c>
      <c r="K218" s="35">
        <f>SUMIFS($J$5:$J$328,$A$5:$A$328,A218,$D$5:$D$328,"&lt;="&amp;D218)</f>
        <v/>
      </c>
      <c r="L218" s="50">
        <f>'建筑建议逐级'!Q218</f>
        <v/>
      </c>
      <c r="M218" s="36">
        <f>'建筑建议逐级'!X218</f>
        <v/>
      </c>
      <c r="N218" s="36">
        <f>SUMIFS($M$5:$M$328,$A$5:$A$328,A218,$D$5:$D$328,"&lt;="&amp;D218)</f>
        <v/>
      </c>
      <c r="O218" s="36">
        <f>'建筑建议逐级'!Y218</f>
        <v/>
      </c>
      <c r="P218" s="36">
        <f>SUMIFS($O$5:$O$328,$A$5:$A$328,A218,$D$5:$D$328,"&lt;="&amp;D218)</f>
        <v/>
      </c>
      <c r="Q218" s="51">
        <f>IF(F218="预算型曲线","总预算归一化","沿用旧指数公式")</f>
        <v/>
      </c>
      <c r="R218" s="51">
        <f>IF(F218="预算型曲线","与当前建议公式一致","需单独复核")</f>
        <v/>
      </c>
    </row>
    <row r="219" ht="22" customHeight="1">
      <c r="A219" s="33">
        <f>'建筑建议逐级'!A219</f>
        <v/>
      </c>
      <c r="B219" s="33">
        <f>'建筑建议逐级'!B219</f>
        <v/>
      </c>
      <c r="C219" s="33">
        <f>'建筑建议逐级'!C219</f>
        <v/>
      </c>
      <c r="D219" s="43">
        <f>'建筑建议逐级'!D219</f>
        <v/>
      </c>
      <c r="E219" s="36">
        <f>'建筑建议逐级'!E219</f>
        <v/>
      </c>
      <c r="F219" s="51">
        <f>IF(OR('建筑建议逐级'!I219&gt;0,'建筑建议逐级'!R219&gt;0,'建筑建议逐级'!S219&gt;0),"预算型曲线","旧指数公式")</f>
        <v/>
      </c>
      <c r="G219" s="50">
        <f>'建筑建议逐级'!H219</f>
        <v/>
      </c>
      <c r="H219" s="36">
        <f>'建筑建议逐级'!M219</f>
        <v/>
      </c>
      <c r="I219" s="35">
        <f>H219/3600</f>
        <v/>
      </c>
      <c r="J219" s="35">
        <f>H219/'参数与公式'!$B$21</f>
        <v/>
      </c>
      <c r="K219" s="35">
        <f>SUMIFS($J$5:$J$328,$A$5:$A$328,A219,$D$5:$D$328,"&lt;="&amp;D219)</f>
        <v/>
      </c>
      <c r="L219" s="50">
        <f>'建筑建议逐级'!Q219</f>
        <v/>
      </c>
      <c r="M219" s="36">
        <f>'建筑建议逐级'!X219</f>
        <v/>
      </c>
      <c r="N219" s="36">
        <f>SUMIFS($M$5:$M$328,$A$5:$A$328,A219,$D$5:$D$328,"&lt;="&amp;D219)</f>
        <v/>
      </c>
      <c r="O219" s="36">
        <f>'建筑建议逐级'!Y219</f>
        <v/>
      </c>
      <c r="P219" s="36">
        <f>SUMIFS($O$5:$O$328,$A$5:$A$328,A219,$D$5:$D$328,"&lt;="&amp;D219)</f>
        <v/>
      </c>
      <c r="Q219" s="51">
        <f>IF(F219="预算型曲线","总预算归一化","沿用旧指数公式")</f>
        <v/>
      </c>
      <c r="R219" s="51">
        <f>IF(F219="预算型曲线","与当前建议公式一致","需单独复核")</f>
        <v/>
      </c>
    </row>
    <row r="220" ht="22" customHeight="1">
      <c r="A220" s="33">
        <f>'建筑建议逐级'!A220</f>
        <v/>
      </c>
      <c r="B220" s="33">
        <f>'建筑建议逐级'!B220</f>
        <v/>
      </c>
      <c r="C220" s="33">
        <f>'建筑建议逐级'!C220</f>
        <v/>
      </c>
      <c r="D220" s="43">
        <f>'建筑建议逐级'!D220</f>
        <v/>
      </c>
      <c r="E220" s="36">
        <f>'建筑建议逐级'!E220</f>
        <v/>
      </c>
      <c r="F220" s="51">
        <f>IF(OR('建筑建议逐级'!I220&gt;0,'建筑建议逐级'!R220&gt;0,'建筑建议逐级'!S220&gt;0),"预算型曲线","旧指数公式")</f>
        <v/>
      </c>
      <c r="G220" s="50">
        <f>'建筑建议逐级'!H220</f>
        <v/>
      </c>
      <c r="H220" s="36">
        <f>'建筑建议逐级'!M220</f>
        <v/>
      </c>
      <c r="I220" s="35">
        <f>H220/3600</f>
        <v/>
      </c>
      <c r="J220" s="35">
        <f>H220/'参数与公式'!$B$21</f>
        <v/>
      </c>
      <c r="K220" s="35">
        <f>SUMIFS($J$5:$J$328,$A$5:$A$328,A220,$D$5:$D$328,"&lt;="&amp;D220)</f>
        <v/>
      </c>
      <c r="L220" s="50">
        <f>'建筑建议逐级'!Q220</f>
        <v/>
      </c>
      <c r="M220" s="36">
        <f>'建筑建议逐级'!X220</f>
        <v/>
      </c>
      <c r="N220" s="36">
        <f>SUMIFS($M$5:$M$328,$A$5:$A$328,A220,$D$5:$D$328,"&lt;="&amp;D220)</f>
        <v/>
      </c>
      <c r="O220" s="36">
        <f>'建筑建议逐级'!Y220</f>
        <v/>
      </c>
      <c r="P220" s="36">
        <f>SUMIFS($O$5:$O$328,$A$5:$A$328,A220,$D$5:$D$328,"&lt;="&amp;D220)</f>
        <v/>
      </c>
      <c r="Q220" s="51">
        <f>IF(F220="预算型曲线","总预算归一化","沿用旧指数公式")</f>
        <v/>
      </c>
      <c r="R220" s="51">
        <f>IF(F220="预算型曲线","与当前建议公式一致","需单独复核")</f>
        <v/>
      </c>
    </row>
    <row r="221" ht="22" customHeight="1">
      <c r="A221" s="33">
        <f>'建筑建议逐级'!A221</f>
        <v/>
      </c>
      <c r="B221" s="33">
        <f>'建筑建议逐级'!B221</f>
        <v/>
      </c>
      <c r="C221" s="33">
        <f>'建筑建议逐级'!C221</f>
        <v/>
      </c>
      <c r="D221" s="43">
        <f>'建筑建议逐级'!D221</f>
        <v/>
      </c>
      <c r="E221" s="36">
        <f>'建筑建议逐级'!E221</f>
        <v/>
      </c>
      <c r="F221" s="51">
        <f>IF(OR('建筑建议逐级'!I221&gt;0,'建筑建议逐级'!R221&gt;0,'建筑建议逐级'!S221&gt;0),"预算型曲线","旧指数公式")</f>
        <v/>
      </c>
      <c r="G221" s="50">
        <f>'建筑建议逐级'!H221</f>
        <v/>
      </c>
      <c r="H221" s="36">
        <f>'建筑建议逐级'!M221</f>
        <v/>
      </c>
      <c r="I221" s="35">
        <f>H221/3600</f>
        <v/>
      </c>
      <c r="J221" s="35">
        <f>H221/'参数与公式'!$B$21</f>
        <v/>
      </c>
      <c r="K221" s="35">
        <f>SUMIFS($J$5:$J$328,$A$5:$A$328,A221,$D$5:$D$328,"&lt;="&amp;D221)</f>
        <v/>
      </c>
      <c r="L221" s="50">
        <f>'建筑建议逐级'!Q221</f>
        <v/>
      </c>
      <c r="M221" s="36">
        <f>'建筑建议逐级'!X221</f>
        <v/>
      </c>
      <c r="N221" s="36">
        <f>SUMIFS($M$5:$M$328,$A$5:$A$328,A221,$D$5:$D$328,"&lt;="&amp;D221)</f>
        <v/>
      </c>
      <c r="O221" s="36">
        <f>'建筑建议逐级'!Y221</f>
        <v/>
      </c>
      <c r="P221" s="36">
        <f>SUMIFS($O$5:$O$328,$A$5:$A$328,A221,$D$5:$D$328,"&lt;="&amp;D221)</f>
        <v/>
      </c>
      <c r="Q221" s="51">
        <f>IF(F221="预算型曲线","总预算归一化","沿用旧指数公式")</f>
        <v/>
      </c>
      <c r="R221" s="51">
        <f>IF(F221="预算型曲线","与当前建议公式一致","需单独复核")</f>
        <v/>
      </c>
    </row>
    <row r="222" ht="22" customHeight="1">
      <c r="A222" s="33">
        <f>'建筑建议逐级'!A222</f>
        <v/>
      </c>
      <c r="B222" s="33">
        <f>'建筑建议逐级'!B222</f>
        <v/>
      </c>
      <c r="C222" s="33">
        <f>'建筑建议逐级'!C222</f>
        <v/>
      </c>
      <c r="D222" s="43">
        <f>'建筑建议逐级'!D222</f>
        <v/>
      </c>
      <c r="E222" s="36">
        <f>'建筑建议逐级'!E222</f>
        <v/>
      </c>
      <c r="F222" s="51">
        <f>IF(OR('建筑建议逐级'!I222&gt;0,'建筑建议逐级'!R222&gt;0,'建筑建议逐级'!S222&gt;0),"预算型曲线","旧指数公式")</f>
        <v/>
      </c>
      <c r="G222" s="50">
        <f>'建筑建议逐级'!H222</f>
        <v/>
      </c>
      <c r="H222" s="36">
        <f>'建筑建议逐级'!M222</f>
        <v/>
      </c>
      <c r="I222" s="35">
        <f>H222/3600</f>
        <v/>
      </c>
      <c r="J222" s="35">
        <f>H222/'参数与公式'!$B$21</f>
        <v/>
      </c>
      <c r="K222" s="35">
        <f>SUMIFS($J$5:$J$328,$A$5:$A$328,A222,$D$5:$D$328,"&lt;="&amp;D222)</f>
        <v/>
      </c>
      <c r="L222" s="50">
        <f>'建筑建议逐级'!Q222</f>
        <v/>
      </c>
      <c r="M222" s="36">
        <f>'建筑建议逐级'!X222</f>
        <v/>
      </c>
      <c r="N222" s="36">
        <f>SUMIFS($M$5:$M$328,$A$5:$A$328,A222,$D$5:$D$328,"&lt;="&amp;D222)</f>
        <v/>
      </c>
      <c r="O222" s="36">
        <f>'建筑建议逐级'!Y222</f>
        <v/>
      </c>
      <c r="P222" s="36">
        <f>SUMIFS($O$5:$O$328,$A$5:$A$328,A222,$D$5:$D$328,"&lt;="&amp;D222)</f>
        <v/>
      </c>
      <c r="Q222" s="51">
        <f>IF(F222="预算型曲线","总预算归一化","沿用旧指数公式")</f>
        <v/>
      </c>
      <c r="R222" s="51">
        <f>IF(F222="预算型曲线","与当前建议公式一致","需单独复核")</f>
        <v/>
      </c>
    </row>
    <row r="223" ht="22" customHeight="1">
      <c r="A223" s="33">
        <f>'建筑建议逐级'!A223</f>
        <v/>
      </c>
      <c r="B223" s="33">
        <f>'建筑建议逐级'!B223</f>
        <v/>
      </c>
      <c r="C223" s="33">
        <f>'建筑建议逐级'!C223</f>
        <v/>
      </c>
      <c r="D223" s="43">
        <f>'建筑建议逐级'!D223</f>
        <v/>
      </c>
      <c r="E223" s="36">
        <f>'建筑建议逐级'!E223</f>
        <v/>
      </c>
      <c r="F223" s="51">
        <f>IF(OR('建筑建议逐级'!I223&gt;0,'建筑建议逐级'!R223&gt;0,'建筑建议逐级'!S223&gt;0),"预算型曲线","旧指数公式")</f>
        <v/>
      </c>
      <c r="G223" s="50">
        <f>'建筑建议逐级'!H223</f>
        <v/>
      </c>
      <c r="H223" s="36">
        <f>'建筑建议逐级'!M223</f>
        <v/>
      </c>
      <c r="I223" s="35">
        <f>H223/3600</f>
        <v/>
      </c>
      <c r="J223" s="35">
        <f>H223/'参数与公式'!$B$21</f>
        <v/>
      </c>
      <c r="K223" s="35">
        <f>SUMIFS($J$5:$J$328,$A$5:$A$328,A223,$D$5:$D$328,"&lt;="&amp;D223)</f>
        <v/>
      </c>
      <c r="L223" s="50">
        <f>'建筑建议逐级'!Q223</f>
        <v/>
      </c>
      <c r="M223" s="36">
        <f>'建筑建议逐级'!X223</f>
        <v/>
      </c>
      <c r="N223" s="36">
        <f>SUMIFS($M$5:$M$328,$A$5:$A$328,A223,$D$5:$D$328,"&lt;="&amp;D223)</f>
        <v/>
      </c>
      <c r="O223" s="36">
        <f>'建筑建议逐级'!Y223</f>
        <v/>
      </c>
      <c r="P223" s="36">
        <f>SUMIFS($O$5:$O$328,$A$5:$A$328,A223,$D$5:$D$328,"&lt;="&amp;D223)</f>
        <v/>
      </c>
      <c r="Q223" s="51">
        <f>IF(F223="预算型曲线","总预算归一化","沿用旧指数公式")</f>
        <v/>
      </c>
      <c r="R223" s="51">
        <f>IF(F223="预算型曲线","与当前建议公式一致","需单独复核")</f>
        <v/>
      </c>
    </row>
    <row r="224" ht="22" customHeight="1">
      <c r="A224" s="33">
        <f>'建筑建议逐级'!A224</f>
        <v/>
      </c>
      <c r="B224" s="33">
        <f>'建筑建议逐级'!B224</f>
        <v/>
      </c>
      <c r="C224" s="33">
        <f>'建筑建议逐级'!C224</f>
        <v/>
      </c>
      <c r="D224" s="43">
        <f>'建筑建议逐级'!D224</f>
        <v/>
      </c>
      <c r="E224" s="36">
        <f>'建筑建议逐级'!E224</f>
        <v/>
      </c>
      <c r="F224" s="51">
        <f>IF(OR('建筑建议逐级'!I224&gt;0,'建筑建议逐级'!R224&gt;0,'建筑建议逐级'!S224&gt;0),"预算型曲线","旧指数公式")</f>
        <v/>
      </c>
      <c r="G224" s="50">
        <f>'建筑建议逐级'!H224</f>
        <v/>
      </c>
      <c r="H224" s="36">
        <f>'建筑建议逐级'!M224</f>
        <v/>
      </c>
      <c r="I224" s="35">
        <f>H224/3600</f>
        <v/>
      </c>
      <c r="J224" s="35">
        <f>H224/'参数与公式'!$B$21</f>
        <v/>
      </c>
      <c r="K224" s="35">
        <f>SUMIFS($J$5:$J$328,$A$5:$A$328,A224,$D$5:$D$328,"&lt;="&amp;D224)</f>
        <v/>
      </c>
      <c r="L224" s="50">
        <f>'建筑建议逐级'!Q224</f>
        <v/>
      </c>
      <c r="M224" s="36">
        <f>'建筑建议逐级'!X224</f>
        <v/>
      </c>
      <c r="N224" s="36">
        <f>SUMIFS($M$5:$M$328,$A$5:$A$328,A224,$D$5:$D$328,"&lt;="&amp;D224)</f>
        <v/>
      </c>
      <c r="O224" s="36">
        <f>'建筑建议逐级'!Y224</f>
        <v/>
      </c>
      <c r="P224" s="36">
        <f>SUMIFS($O$5:$O$328,$A$5:$A$328,A224,$D$5:$D$328,"&lt;="&amp;D224)</f>
        <v/>
      </c>
      <c r="Q224" s="51">
        <f>IF(F224="预算型曲线","总预算归一化","沿用旧指数公式")</f>
        <v/>
      </c>
      <c r="R224" s="51">
        <f>IF(F224="预算型曲线","与当前建议公式一致","需单独复核")</f>
        <v/>
      </c>
    </row>
    <row r="225" ht="22" customHeight="1">
      <c r="A225" s="33">
        <f>'建筑建议逐级'!A225</f>
        <v/>
      </c>
      <c r="B225" s="33">
        <f>'建筑建议逐级'!B225</f>
        <v/>
      </c>
      <c r="C225" s="33">
        <f>'建筑建议逐级'!C225</f>
        <v/>
      </c>
      <c r="D225" s="43">
        <f>'建筑建议逐级'!D225</f>
        <v/>
      </c>
      <c r="E225" s="36">
        <f>'建筑建议逐级'!E225</f>
        <v/>
      </c>
      <c r="F225" s="51">
        <f>IF(OR('建筑建议逐级'!I225&gt;0,'建筑建议逐级'!R225&gt;0,'建筑建议逐级'!S225&gt;0),"预算型曲线","旧指数公式")</f>
        <v/>
      </c>
      <c r="G225" s="50">
        <f>'建筑建议逐级'!H225</f>
        <v/>
      </c>
      <c r="H225" s="36">
        <f>'建筑建议逐级'!M225</f>
        <v/>
      </c>
      <c r="I225" s="35">
        <f>H225/3600</f>
        <v/>
      </c>
      <c r="J225" s="35">
        <f>H225/'参数与公式'!$B$21</f>
        <v/>
      </c>
      <c r="K225" s="35">
        <f>SUMIFS($J$5:$J$328,$A$5:$A$328,A225,$D$5:$D$328,"&lt;="&amp;D225)</f>
        <v/>
      </c>
      <c r="L225" s="50">
        <f>'建筑建议逐级'!Q225</f>
        <v/>
      </c>
      <c r="M225" s="36">
        <f>'建筑建议逐级'!X225</f>
        <v/>
      </c>
      <c r="N225" s="36">
        <f>SUMIFS($M$5:$M$328,$A$5:$A$328,A225,$D$5:$D$328,"&lt;="&amp;D225)</f>
        <v/>
      </c>
      <c r="O225" s="36">
        <f>'建筑建议逐级'!Y225</f>
        <v/>
      </c>
      <c r="P225" s="36">
        <f>SUMIFS($O$5:$O$328,$A$5:$A$328,A225,$D$5:$D$328,"&lt;="&amp;D225)</f>
        <v/>
      </c>
      <c r="Q225" s="51">
        <f>IF(F225="预算型曲线","总预算归一化","沿用旧指数公式")</f>
        <v/>
      </c>
      <c r="R225" s="51">
        <f>IF(F225="预算型曲线","与当前建议公式一致","需单独复核")</f>
        <v/>
      </c>
    </row>
    <row r="226" ht="22" customHeight="1">
      <c r="A226" s="33">
        <f>'建筑建议逐级'!A226</f>
        <v/>
      </c>
      <c r="B226" s="33">
        <f>'建筑建议逐级'!B226</f>
        <v/>
      </c>
      <c r="C226" s="33">
        <f>'建筑建议逐级'!C226</f>
        <v/>
      </c>
      <c r="D226" s="43">
        <f>'建筑建议逐级'!D226</f>
        <v/>
      </c>
      <c r="E226" s="36">
        <f>'建筑建议逐级'!E226</f>
        <v/>
      </c>
      <c r="F226" s="51">
        <f>IF(OR('建筑建议逐级'!I226&gt;0,'建筑建议逐级'!R226&gt;0,'建筑建议逐级'!S226&gt;0),"预算型曲线","旧指数公式")</f>
        <v/>
      </c>
      <c r="G226" s="50">
        <f>'建筑建议逐级'!H226</f>
        <v/>
      </c>
      <c r="H226" s="36">
        <f>'建筑建议逐级'!M226</f>
        <v/>
      </c>
      <c r="I226" s="35">
        <f>H226/3600</f>
        <v/>
      </c>
      <c r="J226" s="35">
        <f>H226/'参数与公式'!$B$21</f>
        <v/>
      </c>
      <c r="K226" s="35">
        <f>SUMIFS($J$5:$J$328,$A$5:$A$328,A226,$D$5:$D$328,"&lt;="&amp;D226)</f>
        <v/>
      </c>
      <c r="L226" s="50">
        <f>'建筑建议逐级'!Q226</f>
        <v/>
      </c>
      <c r="M226" s="36">
        <f>'建筑建议逐级'!X226</f>
        <v/>
      </c>
      <c r="N226" s="36">
        <f>SUMIFS($M$5:$M$328,$A$5:$A$328,A226,$D$5:$D$328,"&lt;="&amp;D226)</f>
        <v/>
      </c>
      <c r="O226" s="36">
        <f>'建筑建议逐级'!Y226</f>
        <v/>
      </c>
      <c r="P226" s="36">
        <f>SUMIFS($O$5:$O$328,$A$5:$A$328,A226,$D$5:$D$328,"&lt;="&amp;D226)</f>
        <v/>
      </c>
      <c r="Q226" s="51">
        <f>IF(F226="预算型曲线","总预算归一化","沿用旧指数公式")</f>
        <v/>
      </c>
      <c r="R226" s="51">
        <f>IF(F226="预算型曲线","与当前建议公式一致","需单独复核")</f>
        <v/>
      </c>
    </row>
    <row r="227" ht="22" customHeight="1">
      <c r="A227" s="33">
        <f>'建筑建议逐级'!A227</f>
        <v/>
      </c>
      <c r="B227" s="33">
        <f>'建筑建议逐级'!B227</f>
        <v/>
      </c>
      <c r="C227" s="33">
        <f>'建筑建议逐级'!C227</f>
        <v/>
      </c>
      <c r="D227" s="43">
        <f>'建筑建议逐级'!D227</f>
        <v/>
      </c>
      <c r="E227" s="36">
        <f>'建筑建议逐级'!E227</f>
        <v/>
      </c>
      <c r="F227" s="51">
        <f>IF(OR('建筑建议逐级'!I227&gt;0,'建筑建议逐级'!R227&gt;0,'建筑建议逐级'!S227&gt;0),"预算型曲线","旧指数公式")</f>
        <v/>
      </c>
      <c r="G227" s="50">
        <f>'建筑建议逐级'!H227</f>
        <v/>
      </c>
      <c r="H227" s="36">
        <f>'建筑建议逐级'!M227</f>
        <v/>
      </c>
      <c r="I227" s="35">
        <f>H227/3600</f>
        <v/>
      </c>
      <c r="J227" s="35">
        <f>H227/'参数与公式'!$B$21</f>
        <v/>
      </c>
      <c r="K227" s="35">
        <f>SUMIFS($J$5:$J$328,$A$5:$A$328,A227,$D$5:$D$328,"&lt;="&amp;D227)</f>
        <v/>
      </c>
      <c r="L227" s="50">
        <f>'建筑建议逐级'!Q227</f>
        <v/>
      </c>
      <c r="M227" s="36">
        <f>'建筑建议逐级'!X227</f>
        <v/>
      </c>
      <c r="N227" s="36">
        <f>SUMIFS($M$5:$M$328,$A$5:$A$328,A227,$D$5:$D$328,"&lt;="&amp;D227)</f>
        <v/>
      </c>
      <c r="O227" s="36">
        <f>'建筑建议逐级'!Y227</f>
        <v/>
      </c>
      <c r="P227" s="36">
        <f>SUMIFS($O$5:$O$328,$A$5:$A$328,A227,$D$5:$D$328,"&lt;="&amp;D227)</f>
        <v/>
      </c>
      <c r="Q227" s="51">
        <f>IF(F227="预算型曲线","总预算归一化","沿用旧指数公式")</f>
        <v/>
      </c>
      <c r="R227" s="51">
        <f>IF(F227="预算型曲线","与当前建议公式一致","需单独复核")</f>
        <v/>
      </c>
    </row>
    <row r="228" ht="22" customHeight="1">
      <c r="A228" s="33">
        <f>'建筑建议逐级'!A228</f>
        <v/>
      </c>
      <c r="B228" s="33">
        <f>'建筑建议逐级'!B228</f>
        <v/>
      </c>
      <c r="C228" s="33">
        <f>'建筑建议逐级'!C228</f>
        <v/>
      </c>
      <c r="D228" s="43">
        <f>'建筑建议逐级'!D228</f>
        <v/>
      </c>
      <c r="E228" s="36">
        <f>'建筑建议逐级'!E228</f>
        <v/>
      </c>
      <c r="F228" s="51">
        <f>IF(OR('建筑建议逐级'!I228&gt;0,'建筑建议逐级'!R228&gt;0,'建筑建议逐级'!S228&gt;0),"预算型曲线","旧指数公式")</f>
        <v/>
      </c>
      <c r="G228" s="50">
        <f>'建筑建议逐级'!H228</f>
        <v/>
      </c>
      <c r="H228" s="36">
        <f>'建筑建议逐级'!M228</f>
        <v/>
      </c>
      <c r="I228" s="35">
        <f>H228/3600</f>
        <v/>
      </c>
      <c r="J228" s="35">
        <f>H228/'参数与公式'!$B$21</f>
        <v/>
      </c>
      <c r="K228" s="35">
        <f>SUMIFS($J$5:$J$328,$A$5:$A$328,A228,$D$5:$D$328,"&lt;="&amp;D228)</f>
        <v/>
      </c>
      <c r="L228" s="50">
        <f>'建筑建议逐级'!Q228</f>
        <v/>
      </c>
      <c r="M228" s="36">
        <f>'建筑建议逐级'!X228</f>
        <v/>
      </c>
      <c r="N228" s="36">
        <f>SUMIFS($M$5:$M$328,$A$5:$A$328,A228,$D$5:$D$328,"&lt;="&amp;D228)</f>
        <v/>
      </c>
      <c r="O228" s="36">
        <f>'建筑建议逐级'!Y228</f>
        <v/>
      </c>
      <c r="P228" s="36">
        <f>SUMIFS($O$5:$O$328,$A$5:$A$328,A228,$D$5:$D$328,"&lt;="&amp;D228)</f>
        <v/>
      </c>
      <c r="Q228" s="51">
        <f>IF(F228="预算型曲线","总预算归一化","沿用旧指数公式")</f>
        <v/>
      </c>
      <c r="R228" s="51">
        <f>IF(F228="预算型曲线","与当前建议公式一致","需单独复核")</f>
        <v/>
      </c>
    </row>
    <row r="229" ht="22" customHeight="1">
      <c r="A229" s="33">
        <f>'建筑建议逐级'!A229</f>
        <v/>
      </c>
      <c r="B229" s="33">
        <f>'建筑建议逐级'!B229</f>
        <v/>
      </c>
      <c r="C229" s="33">
        <f>'建筑建议逐级'!C229</f>
        <v/>
      </c>
      <c r="D229" s="43">
        <f>'建筑建议逐级'!D229</f>
        <v/>
      </c>
      <c r="E229" s="36">
        <f>'建筑建议逐级'!E229</f>
        <v/>
      </c>
      <c r="F229" s="51">
        <f>IF(OR('建筑建议逐级'!I229&gt;0,'建筑建议逐级'!R229&gt;0,'建筑建议逐级'!S229&gt;0),"预算型曲线","旧指数公式")</f>
        <v/>
      </c>
      <c r="G229" s="50">
        <f>'建筑建议逐级'!H229</f>
        <v/>
      </c>
      <c r="H229" s="36">
        <f>'建筑建议逐级'!M229</f>
        <v/>
      </c>
      <c r="I229" s="35">
        <f>H229/3600</f>
        <v/>
      </c>
      <c r="J229" s="35">
        <f>H229/'参数与公式'!$B$21</f>
        <v/>
      </c>
      <c r="K229" s="35">
        <f>SUMIFS($J$5:$J$328,$A$5:$A$328,A229,$D$5:$D$328,"&lt;="&amp;D229)</f>
        <v/>
      </c>
      <c r="L229" s="50">
        <f>'建筑建议逐级'!Q229</f>
        <v/>
      </c>
      <c r="M229" s="36">
        <f>'建筑建议逐级'!X229</f>
        <v/>
      </c>
      <c r="N229" s="36">
        <f>SUMIFS($M$5:$M$328,$A$5:$A$328,A229,$D$5:$D$328,"&lt;="&amp;D229)</f>
        <v/>
      </c>
      <c r="O229" s="36">
        <f>'建筑建议逐级'!Y229</f>
        <v/>
      </c>
      <c r="P229" s="36">
        <f>SUMIFS($O$5:$O$328,$A$5:$A$328,A229,$D$5:$D$328,"&lt;="&amp;D229)</f>
        <v/>
      </c>
      <c r="Q229" s="51">
        <f>IF(F229="预算型曲线","总预算归一化","沿用旧指数公式")</f>
        <v/>
      </c>
      <c r="R229" s="51">
        <f>IF(F229="预算型曲线","与当前建议公式一致","需单独复核")</f>
        <v/>
      </c>
    </row>
    <row r="230" ht="22" customHeight="1">
      <c r="A230" s="33">
        <f>'建筑建议逐级'!A230</f>
        <v/>
      </c>
      <c r="B230" s="33">
        <f>'建筑建议逐级'!B230</f>
        <v/>
      </c>
      <c r="C230" s="33">
        <f>'建筑建议逐级'!C230</f>
        <v/>
      </c>
      <c r="D230" s="43">
        <f>'建筑建议逐级'!D230</f>
        <v/>
      </c>
      <c r="E230" s="36">
        <f>'建筑建议逐级'!E230</f>
        <v/>
      </c>
      <c r="F230" s="51">
        <f>IF(OR('建筑建议逐级'!I230&gt;0,'建筑建议逐级'!R230&gt;0,'建筑建议逐级'!S230&gt;0),"预算型曲线","旧指数公式")</f>
        <v/>
      </c>
      <c r="G230" s="50">
        <f>'建筑建议逐级'!H230</f>
        <v/>
      </c>
      <c r="H230" s="36">
        <f>'建筑建议逐级'!M230</f>
        <v/>
      </c>
      <c r="I230" s="35">
        <f>H230/3600</f>
        <v/>
      </c>
      <c r="J230" s="35">
        <f>H230/'参数与公式'!$B$21</f>
        <v/>
      </c>
      <c r="K230" s="35">
        <f>SUMIFS($J$5:$J$328,$A$5:$A$328,A230,$D$5:$D$328,"&lt;="&amp;D230)</f>
        <v/>
      </c>
      <c r="L230" s="50">
        <f>'建筑建议逐级'!Q230</f>
        <v/>
      </c>
      <c r="M230" s="36">
        <f>'建筑建议逐级'!X230</f>
        <v/>
      </c>
      <c r="N230" s="36">
        <f>SUMIFS($M$5:$M$328,$A$5:$A$328,A230,$D$5:$D$328,"&lt;="&amp;D230)</f>
        <v/>
      </c>
      <c r="O230" s="36">
        <f>'建筑建议逐级'!Y230</f>
        <v/>
      </c>
      <c r="P230" s="36">
        <f>SUMIFS($O$5:$O$328,$A$5:$A$328,A230,$D$5:$D$328,"&lt;="&amp;D230)</f>
        <v/>
      </c>
      <c r="Q230" s="51">
        <f>IF(F230="预算型曲线","总预算归一化","沿用旧指数公式")</f>
        <v/>
      </c>
      <c r="R230" s="51">
        <f>IF(F230="预算型曲线","与当前建议公式一致","需单独复核")</f>
        <v/>
      </c>
    </row>
    <row r="231" ht="22" customHeight="1">
      <c r="A231" s="33">
        <f>'建筑建议逐级'!A231</f>
        <v/>
      </c>
      <c r="B231" s="33">
        <f>'建筑建议逐级'!B231</f>
        <v/>
      </c>
      <c r="C231" s="33">
        <f>'建筑建议逐级'!C231</f>
        <v/>
      </c>
      <c r="D231" s="43">
        <f>'建筑建议逐级'!D231</f>
        <v/>
      </c>
      <c r="E231" s="36">
        <f>'建筑建议逐级'!E231</f>
        <v/>
      </c>
      <c r="F231" s="51">
        <f>IF(OR('建筑建议逐级'!I231&gt;0,'建筑建议逐级'!R231&gt;0,'建筑建议逐级'!S231&gt;0),"预算型曲线","旧指数公式")</f>
        <v/>
      </c>
      <c r="G231" s="50">
        <f>'建筑建议逐级'!H231</f>
        <v/>
      </c>
      <c r="H231" s="36">
        <f>'建筑建议逐级'!M231</f>
        <v/>
      </c>
      <c r="I231" s="35">
        <f>H231/3600</f>
        <v/>
      </c>
      <c r="J231" s="35">
        <f>H231/'参数与公式'!$B$21</f>
        <v/>
      </c>
      <c r="K231" s="35">
        <f>SUMIFS($J$5:$J$328,$A$5:$A$328,A231,$D$5:$D$328,"&lt;="&amp;D231)</f>
        <v/>
      </c>
      <c r="L231" s="50">
        <f>'建筑建议逐级'!Q231</f>
        <v/>
      </c>
      <c r="M231" s="36">
        <f>'建筑建议逐级'!X231</f>
        <v/>
      </c>
      <c r="N231" s="36">
        <f>SUMIFS($M$5:$M$328,$A$5:$A$328,A231,$D$5:$D$328,"&lt;="&amp;D231)</f>
        <v/>
      </c>
      <c r="O231" s="36">
        <f>'建筑建议逐级'!Y231</f>
        <v/>
      </c>
      <c r="P231" s="36">
        <f>SUMIFS($O$5:$O$328,$A$5:$A$328,A231,$D$5:$D$328,"&lt;="&amp;D231)</f>
        <v/>
      </c>
      <c r="Q231" s="51">
        <f>IF(F231="预算型曲线","总预算归一化","沿用旧指数公式")</f>
        <v/>
      </c>
      <c r="R231" s="51">
        <f>IF(F231="预算型曲线","与当前建议公式一致","需单独复核")</f>
        <v/>
      </c>
    </row>
    <row r="232" ht="22" customHeight="1">
      <c r="A232" s="33">
        <f>'建筑建议逐级'!A232</f>
        <v/>
      </c>
      <c r="B232" s="33">
        <f>'建筑建议逐级'!B232</f>
        <v/>
      </c>
      <c r="C232" s="33">
        <f>'建筑建议逐级'!C232</f>
        <v/>
      </c>
      <c r="D232" s="43">
        <f>'建筑建议逐级'!D232</f>
        <v/>
      </c>
      <c r="E232" s="36">
        <f>'建筑建议逐级'!E232</f>
        <v/>
      </c>
      <c r="F232" s="51">
        <f>IF(OR('建筑建议逐级'!I232&gt;0,'建筑建议逐级'!R232&gt;0,'建筑建议逐级'!S232&gt;0),"预算型曲线","旧指数公式")</f>
        <v/>
      </c>
      <c r="G232" s="50">
        <f>'建筑建议逐级'!H232</f>
        <v/>
      </c>
      <c r="H232" s="36">
        <f>'建筑建议逐级'!M232</f>
        <v/>
      </c>
      <c r="I232" s="35">
        <f>H232/3600</f>
        <v/>
      </c>
      <c r="J232" s="35">
        <f>H232/'参数与公式'!$B$21</f>
        <v/>
      </c>
      <c r="K232" s="35">
        <f>SUMIFS($J$5:$J$328,$A$5:$A$328,A232,$D$5:$D$328,"&lt;="&amp;D232)</f>
        <v/>
      </c>
      <c r="L232" s="50">
        <f>'建筑建议逐级'!Q232</f>
        <v/>
      </c>
      <c r="M232" s="36">
        <f>'建筑建议逐级'!X232</f>
        <v/>
      </c>
      <c r="N232" s="36">
        <f>SUMIFS($M$5:$M$328,$A$5:$A$328,A232,$D$5:$D$328,"&lt;="&amp;D232)</f>
        <v/>
      </c>
      <c r="O232" s="36">
        <f>'建筑建议逐级'!Y232</f>
        <v/>
      </c>
      <c r="P232" s="36">
        <f>SUMIFS($O$5:$O$328,$A$5:$A$328,A232,$D$5:$D$328,"&lt;="&amp;D232)</f>
        <v/>
      </c>
      <c r="Q232" s="51">
        <f>IF(F232="预算型曲线","总预算归一化","沿用旧指数公式")</f>
        <v/>
      </c>
      <c r="R232" s="51">
        <f>IF(F232="预算型曲线","与当前建议公式一致","需单独复核")</f>
        <v/>
      </c>
    </row>
    <row r="233" ht="22" customHeight="1">
      <c r="A233" s="33">
        <f>'建筑建议逐级'!A233</f>
        <v/>
      </c>
      <c r="B233" s="33">
        <f>'建筑建议逐级'!B233</f>
        <v/>
      </c>
      <c r="C233" s="33">
        <f>'建筑建议逐级'!C233</f>
        <v/>
      </c>
      <c r="D233" s="43">
        <f>'建筑建议逐级'!D233</f>
        <v/>
      </c>
      <c r="E233" s="36">
        <f>'建筑建议逐级'!E233</f>
        <v/>
      </c>
      <c r="F233" s="51">
        <f>IF(OR('建筑建议逐级'!I233&gt;0,'建筑建议逐级'!R233&gt;0,'建筑建议逐级'!S233&gt;0),"预算型曲线","旧指数公式")</f>
        <v/>
      </c>
      <c r="G233" s="50">
        <f>'建筑建议逐级'!H233</f>
        <v/>
      </c>
      <c r="H233" s="36">
        <f>'建筑建议逐级'!M233</f>
        <v/>
      </c>
      <c r="I233" s="35">
        <f>H233/3600</f>
        <v/>
      </c>
      <c r="J233" s="35">
        <f>H233/'参数与公式'!$B$21</f>
        <v/>
      </c>
      <c r="K233" s="35">
        <f>SUMIFS($J$5:$J$328,$A$5:$A$328,A233,$D$5:$D$328,"&lt;="&amp;D233)</f>
        <v/>
      </c>
      <c r="L233" s="50">
        <f>'建筑建议逐级'!Q233</f>
        <v/>
      </c>
      <c r="M233" s="36">
        <f>'建筑建议逐级'!X233</f>
        <v/>
      </c>
      <c r="N233" s="36">
        <f>SUMIFS($M$5:$M$328,$A$5:$A$328,A233,$D$5:$D$328,"&lt;="&amp;D233)</f>
        <v/>
      </c>
      <c r="O233" s="36">
        <f>'建筑建议逐级'!Y233</f>
        <v/>
      </c>
      <c r="P233" s="36">
        <f>SUMIFS($O$5:$O$328,$A$5:$A$328,A233,$D$5:$D$328,"&lt;="&amp;D233)</f>
        <v/>
      </c>
      <c r="Q233" s="51">
        <f>IF(F233="预算型曲线","总预算归一化","沿用旧指数公式")</f>
        <v/>
      </c>
      <c r="R233" s="51">
        <f>IF(F233="预算型曲线","与当前建议公式一致","需单独复核")</f>
        <v/>
      </c>
    </row>
    <row r="234" ht="22" customHeight="1">
      <c r="A234" s="33">
        <f>'建筑建议逐级'!A234</f>
        <v/>
      </c>
      <c r="B234" s="33">
        <f>'建筑建议逐级'!B234</f>
        <v/>
      </c>
      <c r="C234" s="33">
        <f>'建筑建议逐级'!C234</f>
        <v/>
      </c>
      <c r="D234" s="43">
        <f>'建筑建议逐级'!D234</f>
        <v/>
      </c>
      <c r="E234" s="36">
        <f>'建筑建议逐级'!E234</f>
        <v/>
      </c>
      <c r="F234" s="51">
        <f>IF(OR('建筑建议逐级'!I234&gt;0,'建筑建议逐级'!R234&gt;0,'建筑建议逐级'!S234&gt;0),"预算型曲线","旧指数公式")</f>
        <v/>
      </c>
      <c r="G234" s="50">
        <f>'建筑建议逐级'!H234</f>
        <v/>
      </c>
      <c r="H234" s="36">
        <f>'建筑建议逐级'!M234</f>
        <v/>
      </c>
      <c r="I234" s="35">
        <f>H234/3600</f>
        <v/>
      </c>
      <c r="J234" s="35">
        <f>H234/'参数与公式'!$B$21</f>
        <v/>
      </c>
      <c r="K234" s="35">
        <f>SUMIFS($J$5:$J$328,$A$5:$A$328,A234,$D$5:$D$328,"&lt;="&amp;D234)</f>
        <v/>
      </c>
      <c r="L234" s="50">
        <f>'建筑建议逐级'!Q234</f>
        <v/>
      </c>
      <c r="M234" s="36">
        <f>'建筑建议逐级'!X234</f>
        <v/>
      </c>
      <c r="N234" s="36">
        <f>SUMIFS($M$5:$M$328,$A$5:$A$328,A234,$D$5:$D$328,"&lt;="&amp;D234)</f>
        <v/>
      </c>
      <c r="O234" s="36">
        <f>'建筑建议逐级'!Y234</f>
        <v/>
      </c>
      <c r="P234" s="36">
        <f>SUMIFS($O$5:$O$328,$A$5:$A$328,A234,$D$5:$D$328,"&lt;="&amp;D234)</f>
        <v/>
      </c>
      <c r="Q234" s="51">
        <f>IF(F234="预算型曲线","总预算归一化","沿用旧指数公式")</f>
        <v/>
      </c>
      <c r="R234" s="51">
        <f>IF(F234="预算型曲线","与当前建议公式一致","需单独复核")</f>
        <v/>
      </c>
    </row>
    <row r="235" ht="22" customHeight="1">
      <c r="A235" s="33">
        <f>'建筑建议逐级'!A235</f>
        <v/>
      </c>
      <c r="B235" s="33">
        <f>'建筑建议逐级'!B235</f>
        <v/>
      </c>
      <c r="C235" s="33">
        <f>'建筑建议逐级'!C235</f>
        <v/>
      </c>
      <c r="D235" s="43">
        <f>'建筑建议逐级'!D235</f>
        <v/>
      </c>
      <c r="E235" s="36">
        <f>'建筑建议逐级'!E235</f>
        <v/>
      </c>
      <c r="F235" s="51">
        <f>IF(OR('建筑建议逐级'!I235&gt;0,'建筑建议逐级'!R235&gt;0,'建筑建议逐级'!S235&gt;0),"预算型曲线","旧指数公式")</f>
        <v/>
      </c>
      <c r="G235" s="50">
        <f>'建筑建议逐级'!H235</f>
        <v/>
      </c>
      <c r="H235" s="36">
        <f>'建筑建议逐级'!M235</f>
        <v/>
      </c>
      <c r="I235" s="35">
        <f>H235/3600</f>
        <v/>
      </c>
      <c r="J235" s="35">
        <f>H235/'参数与公式'!$B$21</f>
        <v/>
      </c>
      <c r="K235" s="35">
        <f>SUMIFS($J$5:$J$328,$A$5:$A$328,A235,$D$5:$D$328,"&lt;="&amp;D235)</f>
        <v/>
      </c>
      <c r="L235" s="50">
        <f>'建筑建议逐级'!Q235</f>
        <v/>
      </c>
      <c r="M235" s="36">
        <f>'建筑建议逐级'!X235</f>
        <v/>
      </c>
      <c r="N235" s="36">
        <f>SUMIFS($M$5:$M$328,$A$5:$A$328,A235,$D$5:$D$328,"&lt;="&amp;D235)</f>
        <v/>
      </c>
      <c r="O235" s="36">
        <f>'建筑建议逐级'!Y235</f>
        <v/>
      </c>
      <c r="P235" s="36">
        <f>SUMIFS($O$5:$O$328,$A$5:$A$328,A235,$D$5:$D$328,"&lt;="&amp;D235)</f>
        <v/>
      </c>
      <c r="Q235" s="51">
        <f>IF(F235="预算型曲线","总预算归一化","沿用旧指数公式")</f>
        <v/>
      </c>
      <c r="R235" s="51">
        <f>IF(F235="预算型曲线","与当前建议公式一致","需单独复核")</f>
        <v/>
      </c>
    </row>
    <row r="236" ht="22" customHeight="1">
      <c r="A236" s="33">
        <f>'建筑建议逐级'!A236</f>
        <v/>
      </c>
      <c r="B236" s="33">
        <f>'建筑建议逐级'!B236</f>
        <v/>
      </c>
      <c r="C236" s="33">
        <f>'建筑建议逐级'!C236</f>
        <v/>
      </c>
      <c r="D236" s="43">
        <f>'建筑建议逐级'!D236</f>
        <v/>
      </c>
      <c r="E236" s="36">
        <f>'建筑建议逐级'!E236</f>
        <v/>
      </c>
      <c r="F236" s="51">
        <f>IF(OR('建筑建议逐级'!I236&gt;0,'建筑建议逐级'!R236&gt;0,'建筑建议逐级'!S236&gt;0),"预算型曲线","旧指数公式")</f>
        <v/>
      </c>
      <c r="G236" s="50">
        <f>'建筑建议逐级'!H236</f>
        <v/>
      </c>
      <c r="H236" s="36">
        <f>'建筑建议逐级'!M236</f>
        <v/>
      </c>
      <c r="I236" s="35">
        <f>H236/3600</f>
        <v/>
      </c>
      <c r="J236" s="35">
        <f>H236/'参数与公式'!$B$21</f>
        <v/>
      </c>
      <c r="K236" s="35">
        <f>SUMIFS($J$5:$J$328,$A$5:$A$328,A236,$D$5:$D$328,"&lt;="&amp;D236)</f>
        <v/>
      </c>
      <c r="L236" s="50">
        <f>'建筑建议逐级'!Q236</f>
        <v/>
      </c>
      <c r="M236" s="36">
        <f>'建筑建议逐级'!X236</f>
        <v/>
      </c>
      <c r="N236" s="36">
        <f>SUMIFS($M$5:$M$328,$A$5:$A$328,A236,$D$5:$D$328,"&lt;="&amp;D236)</f>
        <v/>
      </c>
      <c r="O236" s="36">
        <f>'建筑建议逐级'!Y236</f>
        <v/>
      </c>
      <c r="P236" s="36">
        <f>SUMIFS($O$5:$O$328,$A$5:$A$328,A236,$D$5:$D$328,"&lt;="&amp;D236)</f>
        <v/>
      </c>
      <c r="Q236" s="51">
        <f>IF(F236="预算型曲线","总预算归一化","沿用旧指数公式")</f>
        <v/>
      </c>
      <c r="R236" s="51">
        <f>IF(F236="预算型曲线","与当前建议公式一致","需单独复核")</f>
        <v/>
      </c>
    </row>
    <row r="237" ht="22" customHeight="1">
      <c r="A237" s="33">
        <f>'建筑建议逐级'!A237</f>
        <v/>
      </c>
      <c r="B237" s="33">
        <f>'建筑建议逐级'!B237</f>
        <v/>
      </c>
      <c r="C237" s="33">
        <f>'建筑建议逐级'!C237</f>
        <v/>
      </c>
      <c r="D237" s="43">
        <f>'建筑建议逐级'!D237</f>
        <v/>
      </c>
      <c r="E237" s="36">
        <f>'建筑建议逐级'!E237</f>
        <v/>
      </c>
      <c r="F237" s="51">
        <f>IF(OR('建筑建议逐级'!I237&gt;0,'建筑建议逐级'!R237&gt;0,'建筑建议逐级'!S237&gt;0),"预算型曲线","旧指数公式")</f>
        <v/>
      </c>
      <c r="G237" s="50">
        <f>'建筑建议逐级'!H237</f>
        <v/>
      </c>
      <c r="H237" s="36">
        <f>'建筑建议逐级'!M237</f>
        <v/>
      </c>
      <c r="I237" s="35">
        <f>H237/3600</f>
        <v/>
      </c>
      <c r="J237" s="35">
        <f>H237/'参数与公式'!$B$21</f>
        <v/>
      </c>
      <c r="K237" s="35">
        <f>SUMIFS($J$5:$J$328,$A$5:$A$328,A237,$D$5:$D$328,"&lt;="&amp;D237)</f>
        <v/>
      </c>
      <c r="L237" s="50">
        <f>'建筑建议逐级'!Q237</f>
        <v/>
      </c>
      <c r="M237" s="36">
        <f>'建筑建议逐级'!X237</f>
        <v/>
      </c>
      <c r="N237" s="36">
        <f>SUMIFS($M$5:$M$328,$A$5:$A$328,A237,$D$5:$D$328,"&lt;="&amp;D237)</f>
        <v/>
      </c>
      <c r="O237" s="36">
        <f>'建筑建议逐级'!Y237</f>
        <v/>
      </c>
      <c r="P237" s="36">
        <f>SUMIFS($O$5:$O$328,$A$5:$A$328,A237,$D$5:$D$328,"&lt;="&amp;D237)</f>
        <v/>
      </c>
      <c r="Q237" s="51">
        <f>IF(F237="预算型曲线","总预算归一化","沿用旧指数公式")</f>
        <v/>
      </c>
      <c r="R237" s="51">
        <f>IF(F237="预算型曲线","与当前建议公式一致","需单独复核")</f>
        <v/>
      </c>
    </row>
    <row r="238" ht="22" customHeight="1">
      <c r="A238" s="33">
        <f>'建筑建议逐级'!A238</f>
        <v/>
      </c>
      <c r="B238" s="33">
        <f>'建筑建议逐级'!B238</f>
        <v/>
      </c>
      <c r="C238" s="33">
        <f>'建筑建议逐级'!C238</f>
        <v/>
      </c>
      <c r="D238" s="43">
        <f>'建筑建议逐级'!D238</f>
        <v/>
      </c>
      <c r="E238" s="36">
        <f>'建筑建议逐级'!E238</f>
        <v/>
      </c>
      <c r="F238" s="51">
        <f>IF(OR('建筑建议逐级'!I238&gt;0,'建筑建议逐级'!R238&gt;0,'建筑建议逐级'!S238&gt;0),"预算型曲线","旧指数公式")</f>
        <v/>
      </c>
      <c r="G238" s="50">
        <f>'建筑建议逐级'!H238</f>
        <v/>
      </c>
      <c r="H238" s="36">
        <f>'建筑建议逐级'!M238</f>
        <v/>
      </c>
      <c r="I238" s="35">
        <f>H238/3600</f>
        <v/>
      </c>
      <c r="J238" s="35">
        <f>H238/'参数与公式'!$B$21</f>
        <v/>
      </c>
      <c r="K238" s="35">
        <f>SUMIFS($J$5:$J$328,$A$5:$A$328,A238,$D$5:$D$328,"&lt;="&amp;D238)</f>
        <v/>
      </c>
      <c r="L238" s="50">
        <f>'建筑建议逐级'!Q238</f>
        <v/>
      </c>
      <c r="M238" s="36">
        <f>'建筑建议逐级'!X238</f>
        <v/>
      </c>
      <c r="N238" s="36">
        <f>SUMIFS($M$5:$M$328,$A$5:$A$328,A238,$D$5:$D$328,"&lt;="&amp;D238)</f>
        <v/>
      </c>
      <c r="O238" s="36">
        <f>'建筑建议逐级'!Y238</f>
        <v/>
      </c>
      <c r="P238" s="36">
        <f>SUMIFS($O$5:$O$328,$A$5:$A$328,A238,$D$5:$D$328,"&lt;="&amp;D238)</f>
        <v/>
      </c>
      <c r="Q238" s="51">
        <f>IF(F238="预算型曲线","总预算归一化","沿用旧指数公式")</f>
        <v/>
      </c>
      <c r="R238" s="51">
        <f>IF(F238="预算型曲线","与当前建议公式一致","需单独复核")</f>
        <v/>
      </c>
    </row>
    <row r="239" ht="22" customHeight="1">
      <c r="A239" s="33">
        <f>'建筑建议逐级'!A239</f>
        <v/>
      </c>
      <c r="B239" s="33">
        <f>'建筑建议逐级'!B239</f>
        <v/>
      </c>
      <c r="C239" s="33">
        <f>'建筑建议逐级'!C239</f>
        <v/>
      </c>
      <c r="D239" s="43">
        <f>'建筑建议逐级'!D239</f>
        <v/>
      </c>
      <c r="E239" s="36">
        <f>'建筑建议逐级'!E239</f>
        <v/>
      </c>
      <c r="F239" s="51">
        <f>IF(OR('建筑建议逐级'!I239&gt;0,'建筑建议逐级'!R239&gt;0,'建筑建议逐级'!S239&gt;0),"预算型曲线","旧指数公式")</f>
        <v/>
      </c>
      <c r="G239" s="50">
        <f>'建筑建议逐级'!H239</f>
        <v/>
      </c>
      <c r="H239" s="36">
        <f>'建筑建议逐级'!M239</f>
        <v/>
      </c>
      <c r="I239" s="35">
        <f>H239/3600</f>
        <v/>
      </c>
      <c r="J239" s="35">
        <f>H239/'参数与公式'!$B$21</f>
        <v/>
      </c>
      <c r="K239" s="35">
        <f>SUMIFS($J$5:$J$328,$A$5:$A$328,A239,$D$5:$D$328,"&lt;="&amp;D239)</f>
        <v/>
      </c>
      <c r="L239" s="50">
        <f>'建筑建议逐级'!Q239</f>
        <v/>
      </c>
      <c r="M239" s="36">
        <f>'建筑建议逐级'!X239</f>
        <v/>
      </c>
      <c r="N239" s="36">
        <f>SUMIFS($M$5:$M$328,$A$5:$A$328,A239,$D$5:$D$328,"&lt;="&amp;D239)</f>
        <v/>
      </c>
      <c r="O239" s="36">
        <f>'建筑建议逐级'!Y239</f>
        <v/>
      </c>
      <c r="P239" s="36">
        <f>SUMIFS($O$5:$O$328,$A$5:$A$328,A239,$D$5:$D$328,"&lt;="&amp;D239)</f>
        <v/>
      </c>
      <c r="Q239" s="51">
        <f>IF(F239="预算型曲线","总预算归一化","沿用旧指数公式")</f>
        <v/>
      </c>
      <c r="R239" s="51">
        <f>IF(F239="预算型曲线","与当前建议公式一致","需单独复核")</f>
        <v/>
      </c>
    </row>
    <row r="240" ht="22" customHeight="1">
      <c r="A240" s="33">
        <f>'建筑建议逐级'!A240</f>
        <v/>
      </c>
      <c r="B240" s="33">
        <f>'建筑建议逐级'!B240</f>
        <v/>
      </c>
      <c r="C240" s="33">
        <f>'建筑建议逐级'!C240</f>
        <v/>
      </c>
      <c r="D240" s="43">
        <f>'建筑建议逐级'!D240</f>
        <v/>
      </c>
      <c r="E240" s="36">
        <f>'建筑建议逐级'!E240</f>
        <v/>
      </c>
      <c r="F240" s="51">
        <f>IF(OR('建筑建议逐级'!I240&gt;0,'建筑建议逐级'!R240&gt;0,'建筑建议逐级'!S240&gt;0),"预算型曲线","旧指数公式")</f>
        <v/>
      </c>
      <c r="G240" s="50">
        <f>'建筑建议逐级'!H240</f>
        <v/>
      </c>
      <c r="H240" s="36">
        <f>'建筑建议逐级'!M240</f>
        <v/>
      </c>
      <c r="I240" s="35">
        <f>H240/3600</f>
        <v/>
      </c>
      <c r="J240" s="35">
        <f>H240/'参数与公式'!$B$21</f>
        <v/>
      </c>
      <c r="K240" s="35">
        <f>SUMIFS($J$5:$J$328,$A$5:$A$328,A240,$D$5:$D$328,"&lt;="&amp;D240)</f>
        <v/>
      </c>
      <c r="L240" s="50">
        <f>'建筑建议逐级'!Q240</f>
        <v/>
      </c>
      <c r="M240" s="36">
        <f>'建筑建议逐级'!X240</f>
        <v/>
      </c>
      <c r="N240" s="36">
        <f>SUMIFS($M$5:$M$328,$A$5:$A$328,A240,$D$5:$D$328,"&lt;="&amp;D240)</f>
        <v/>
      </c>
      <c r="O240" s="36">
        <f>'建筑建议逐级'!Y240</f>
        <v/>
      </c>
      <c r="P240" s="36">
        <f>SUMIFS($O$5:$O$328,$A$5:$A$328,A240,$D$5:$D$328,"&lt;="&amp;D240)</f>
        <v/>
      </c>
      <c r="Q240" s="51">
        <f>IF(F240="预算型曲线","总预算归一化","沿用旧指数公式")</f>
        <v/>
      </c>
      <c r="R240" s="51">
        <f>IF(F240="预算型曲线","与当前建议公式一致","需单独复核")</f>
        <v/>
      </c>
    </row>
    <row r="241" ht="22" customHeight="1">
      <c r="A241" s="33">
        <f>'建筑建议逐级'!A241</f>
        <v/>
      </c>
      <c r="B241" s="33">
        <f>'建筑建议逐级'!B241</f>
        <v/>
      </c>
      <c r="C241" s="33">
        <f>'建筑建议逐级'!C241</f>
        <v/>
      </c>
      <c r="D241" s="43">
        <f>'建筑建议逐级'!D241</f>
        <v/>
      </c>
      <c r="E241" s="36">
        <f>'建筑建议逐级'!E241</f>
        <v/>
      </c>
      <c r="F241" s="51">
        <f>IF(OR('建筑建议逐级'!I241&gt;0,'建筑建议逐级'!R241&gt;0,'建筑建议逐级'!S241&gt;0),"预算型曲线","旧指数公式")</f>
        <v/>
      </c>
      <c r="G241" s="50">
        <f>'建筑建议逐级'!H241</f>
        <v/>
      </c>
      <c r="H241" s="36">
        <f>'建筑建议逐级'!M241</f>
        <v/>
      </c>
      <c r="I241" s="35">
        <f>H241/3600</f>
        <v/>
      </c>
      <c r="J241" s="35">
        <f>H241/'参数与公式'!$B$21</f>
        <v/>
      </c>
      <c r="K241" s="35">
        <f>SUMIFS($J$5:$J$328,$A$5:$A$328,A241,$D$5:$D$328,"&lt;="&amp;D241)</f>
        <v/>
      </c>
      <c r="L241" s="50">
        <f>'建筑建议逐级'!Q241</f>
        <v/>
      </c>
      <c r="M241" s="36">
        <f>'建筑建议逐级'!X241</f>
        <v/>
      </c>
      <c r="N241" s="36">
        <f>SUMIFS($M$5:$M$328,$A$5:$A$328,A241,$D$5:$D$328,"&lt;="&amp;D241)</f>
        <v/>
      </c>
      <c r="O241" s="36">
        <f>'建筑建议逐级'!Y241</f>
        <v/>
      </c>
      <c r="P241" s="36">
        <f>SUMIFS($O$5:$O$328,$A$5:$A$328,A241,$D$5:$D$328,"&lt;="&amp;D241)</f>
        <v/>
      </c>
      <c r="Q241" s="51">
        <f>IF(F241="预算型曲线","总预算归一化","沿用旧指数公式")</f>
        <v/>
      </c>
      <c r="R241" s="51">
        <f>IF(F241="预算型曲线","与当前建议公式一致","需单独复核")</f>
        <v/>
      </c>
    </row>
    <row r="242" ht="22" customHeight="1">
      <c r="A242" s="33">
        <f>'建筑建议逐级'!A242</f>
        <v/>
      </c>
      <c r="B242" s="33">
        <f>'建筑建议逐级'!B242</f>
        <v/>
      </c>
      <c r="C242" s="33">
        <f>'建筑建议逐级'!C242</f>
        <v/>
      </c>
      <c r="D242" s="43">
        <f>'建筑建议逐级'!D242</f>
        <v/>
      </c>
      <c r="E242" s="36">
        <f>'建筑建议逐级'!E242</f>
        <v/>
      </c>
      <c r="F242" s="51">
        <f>IF(OR('建筑建议逐级'!I242&gt;0,'建筑建议逐级'!R242&gt;0,'建筑建议逐级'!S242&gt;0),"预算型曲线","旧指数公式")</f>
        <v/>
      </c>
      <c r="G242" s="50">
        <f>'建筑建议逐级'!H242</f>
        <v/>
      </c>
      <c r="H242" s="36">
        <f>'建筑建议逐级'!M242</f>
        <v/>
      </c>
      <c r="I242" s="35">
        <f>H242/3600</f>
        <v/>
      </c>
      <c r="J242" s="35">
        <f>H242/'参数与公式'!$B$21</f>
        <v/>
      </c>
      <c r="K242" s="35">
        <f>SUMIFS($J$5:$J$328,$A$5:$A$328,A242,$D$5:$D$328,"&lt;="&amp;D242)</f>
        <v/>
      </c>
      <c r="L242" s="50">
        <f>'建筑建议逐级'!Q242</f>
        <v/>
      </c>
      <c r="M242" s="36">
        <f>'建筑建议逐级'!X242</f>
        <v/>
      </c>
      <c r="N242" s="36">
        <f>SUMIFS($M$5:$M$328,$A$5:$A$328,A242,$D$5:$D$328,"&lt;="&amp;D242)</f>
        <v/>
      </c>
      <c r="O242" s="36">
        <f>'建筑建议逐级'!Y242</f>
        <v/>
      </c>
      <c r="P242" s="36">
        <f>SUMIFS($O$5:$O$328,$A$5:$A$328,A242,$D$5:$D$328,"&lt;="&amp;D242)</f>
        <v/>
      </c>
      <c r="Q242" s="51">
        <f>IF(F242="预算型曲线","总预算归一化","沿用旧指数公式")</f>
        <v/>
      </c>
      <c r="R242" s="51">
        <f>IF(F242="预算型曲线","与当前建议公式一致","需单独复核")</f>
        <v/>
      </c>
    </row>
    <row r="243" ht="22" customHeight="1">
      <c r="A243" s="33">
        <f>'建筑建议逐级'!A243</f>
        <v/>
      </c>
      <c r="B243" s="33">
        <f>'建筑建议逐级'!B243</f>
        <v/>
      </c>
      <c r="C243" s="33">
        <f>'建筑建议逐级'!C243</f>
        <v/>
      </c>
      <c r="D243" s="43">
        <f>'建筑建议逐级'!D243</f>
        <v/>
      </c>
      <c r="E243" s="36">
        <f>'建筑建议逐级'!E243</f>
        <v/>
      </c>
      <c r="F243" s="51">
        <f>IF(OR('建筑建议逐级'!I243&gt;0,'建筑建议逐级'!R243&gt;0,'建筑建议逐级'!S243&gt;0),"预算型曲线","旧指数公式")</f>
        <v/>
      </c>
      <c r="G243" s="50">
        <f>'建筑建议逐级'!H243</f>
        <v/>
      </c>
      <c r="H243" s="36">
        <f>'建筑建议逐级'!M243</f>
        <v/>
      </c>
      <c r="I243" s="35">
        <f>H243/3600</f>
        <v/>
      </c>
      <c r="J243" s="35">
        <f>H243/'参数与公式'!$B$21</f>
        <v/>
      </c>
      <c r="K243" s="35">
        <f>SUMIFS($J$5:$J$328,$A$5:$A$328,A243,$D$5:$D$328,"&lt;="&amp;D243)</f>
        <v/>
      </c>
      <c r="L243" s="50">
        <f>'建筑建议逐级'!Q243</f>
        <v/>
      </c>
      <c r="M243" s="36">
        <f>'建筑建议逐级'!X243</f>
        <v/>
      </c>
      <c r="N243" s="36">
        <f>SUMIFS($M$5:$M$328,$A$5:$A$328,A243,$D$5:$D$328,"&lt;="&amp;D243)</f>
        <v/>
      </c>
      <c r="O243" s="36">
        <f>'建筑建议逐级'!Y243</f>
        <v/>
      </c>
      <c r="P243" s="36">
        <f>SUMIFS($O$5:$O$328,$A$5:$A$328,A243,$D$5:$D$328,"&lt;="&amp;D243)</f>
        <v/>
      </c>
      <c r="Q243" s="51">
        <f>IF(F243="预算型曲线","总预算归一化","沿用旧指数公式")</f>
        <v/>
      </c>
      <c r="R243" s="51">
        <f>IF(F243="预算型曲线","与当前建议公式一致","需单独复核")</f>
        <v/>
      </c>
    </row>
    <row r="244" ht="22" customHeight="1">
      <c r="A244" s="33">
        <f>'建筑建议逐级'!A244</f>
        <v/>
      </c>
      <c r="B244" s="33">
        <f>'建筑建议逐级'!B244</f>
        <v/>
      </c>
      <c r="C244" s="33">
        <f>'建筑建议逐级'!C244</f>
        <v/>
      </c>
      <c r="D244" s="43">
        <f>'建筑建议逐级'!D244</f>
        <v/>
      </c>
      <c r="E244" s="36">
        <f>'建筑建议逐级'!E244</f>
        <v/>
      </c>
      <c r="F244" s="51">
        <f>IF(OR('建筑建议逐级'!I244&gt;0,'建筑建议逐级'!R244&gt;0,'建筑建议逐级'!S244&gt;0),"预算型曲线","旧指数公式")</f>
        <v/>
      </c>
      <c r="G244" s="50">
        <f>'建筑建议逐级'!H244</f>
        <v/>
      </c>
      <c r="H244" s="36">
        <f>'建筑建议逐级'!M244</f>
        <v/>
      </c>
      <c r="I244" s="35">
        <f>H244/3600</f>
        <v/>
      </c>
      <c r="J244" s="35">
        <f>H244/'参数与公式'!$B$21</f>
        <v/>
      </c>
      <c r="K244" s="35">
        <f>SUMIFS($J$5:$J$328,$A$5:$A$328,A244,$D$5:$D$328,"&lt;="&amp;D244)</f>
        <v/>
      </c>
      <c r="L244" s="50">
        <f>'建筑建议逐级'!Q244</f>
        <v/>
      </c>
      <c r="M244" s="36">
        <f>'建筑建议逐级'!X244</f>
        <v/>
      </c>
      <c r="N244" s="36">
        <f>SUMIFS($M$5:$M$328,$A$5:$A$328,A244,$D$5:$D$328,"&lt;="&amp;D244)</f>
        <v/>
      </c>
      <c r="O244" s="36">
        <f>'建筑建议逐级'!Y244</f>
        <v/>
      </c>
      <c r="P244" s="36">
        <f>SUMIFS($O$5:$O$328,$A$5:$A$328,A244,$D$5:$D$328,"&lt;="&amp;D244)</f>
        <v/>
      </c>
      <c r="Q244" s="51">
        <f>IF(F244="预算型曲线","总预算归一化","沿用旧指数公式")</f>
        <v/>
      </c>
      <c r="R244" s="51">
        <f>IF(F244="预算型曲线","与当前建议公式一致","需单独复核")</f>
        <v/>
      </c>
    </row>
    <row r="245" ht="22" customHeight="1">
      <c r="A245" s="33">
        <f>'建筑建议逐级'!A245</f>
        <v/>
      </c>
      <c r="B245" s="33">
        <f>'建筑建议逐级'!B245</f>
        <v/>
      </c>
      <c r="C245" s="33">
        <f>'建筑建议逐级'!C245</f>
        <v/>
      </c>
      <c r="D245" s="43">
        <f>'建筑建议逐级'!D245</f>
        <v/>
      </c>
      <c r="E245" s="36">
        <f>'建筑建议逐级'!E245</f>
        <v/>
      </c>
      <c r="F245" s="51">
        <f>IF(OR('建筑建议逐级'!I245&gt;0,'建筑建议逐级'!R245&gt;0,'建筑建议逐级'!S245&gt;0),"预算型曲线","旧指数公式")</f>
        <v/>
      </c>
      <c r="G245" s="50">
        <f>'建筑建议逐级'!H245</f>
        <v/>
      </c>
      <c r="H245" s="36">
        <f>'建筑建议逐级'!M245</f>
        <v/>
      </c>
      <c r="I245" s="35">
        <f>H245/3600</f>
        <v/>
      </c>
      <c r="J245" s="35">
        <f>H245/'参数与公式'!$B$21</f>
        <v/>
      </c>
      <c r="K245" s="35">
        <f>SUMIFS($J$5:$J$328,$A$5:$A$328,A245,$D$5:$D$328,"&lt;="&amp;D245)</f>
        <v/>
      </c>
      <c r="L245" s="50">
        <f>'建筑建议逐级'!Q245</f>
        <v/>
      </c>
      <c r="M245" s="36">
        <f>'建筑建议逐级'!X245</f>
        <v/>
      </c>
      <c r="N245" s="36">
        <f>SUMIFS($M$5:$M$328,$A$5:$A$328,A245,$D$5:$D$328,"&lt;="&amp;D245)</f>
        <v/>
      </c>
      <c r="O245" s="36">
        <f>'建筑建议逐级'!Y245</f>
        <v/>
      </c>
      <c r="P245" s="36">
        <f>SUMIFS($O$5:$O$328,$A$5:$A$328,A245,$D$5:$D$328,"&lt;="&amp;D245)</f>
        <v/>
      </c>
      <c r="Q245" s="51">
        <f>IF(F245="预算型曲线","总预算归一化","沿用旧指数公式")</f>
        <v/>
      </c>
      <c r="R245" s="51">
        <f>IF(F245="预算型曲线","与当前建议公式一致","需单独复核")</f>
        <v/>
      </c>
    </row>
    <row r="246" ht="22" customHeight="1">
      <c r="A246" s="33">
        <f>'建筑建议逐级'!A246</f>
        <v/>
      </c>
      <c r="B246" s="33">
        <f>'建筑建议逐级'!B246</f>
        <v/>
      </c>
      <c r="C246" s="33">
        <f>'建筑建议逐级'!C246</f>
        <v/>
      </c>
      <c r="D246" s="43">
        <f>'建筑建议逐级'!D246</f>
        <v/>
      </c>
      <c r="E246" s="36">
        <f>'建筑建议逐级'!E246</f>
        <v/>
      </c>
      <c r="F246" s="51">
        <f>IF(OR('建筑建议逐级'!I246&gt;0,'建筑建议逐级'!R246&gt;0,'建筑建议逐级'!S246&gt;0),"预算型曲线","旧指数公式")</f>
        <v/>
      </c>
      <c r="G246" s="50">
        <f>'建筑建议逐级'!H246</f>
        <v/>
      </c>
      <c r="H246" s="36">
        <f>'建筑建议逐级'!M246</f>
        <v/>
      </c>
      <c r="I246" s="35">
        <f>H246/3600</f>
        <v/>
      </c>
      <c r="J246" s="35">
        <f>H246/'参数与公式'!$B$21</f>
        <v/>
      </c>
      <c r="K246" s="35">
        <f>SUMIFS($J$5:$J$328,$A$5:$A$328,A246,$D$5:$D$328,"&lt;="&amp;D246)</f>
        <v/>
      </c>
      <c r="L246" s="50">
        <f>'建筑建议逐级'!Q246</f>
        <v/>
      </c>
      <c r="M246" s="36">
        <f>'建筑建议逐级'!X246</f>
        <v/>
      </c>
      <c r="N246" s="36">
        <f>SUMIFS($M$5:$M$328,$A$5:$A$328,A246,$D$5:$D$328,"&lt;="&amp;D246)</f>
        <v/>
      </c>
      <c r="O246" s="36">
        <f>'建筑建议逐级'!Y246</f>
        <v/>
      </c>
      <c r="P246" s="36">
        <f>SUMIFS($O$5:$O$328,$A$5:$A$328,A246,$D$5:$D$328,"&lt;="&amp;D246)</f>
        <v/>
      </c>
      <c r="Q246" s="51">
        <f>IF(F246="预算型曲线","总预算归一化","沿用旧指数公式")</f>
        <v/>
      </c>
      <c r="R246" s="51">
        <f>IF(F246="预算型曲线","与当前建议公式一致","需单独复核")</f>
        <v/>
      </c>
    </row>
    <row r="247" ht="22" customHeight="1">
      <c r="A247" s="33">
        <f>'建筑建议逐级'!A247</f>
        <v/>
      </c>
      <c r="B247" s="33">
        <f>'建筑建议逐级'!B247</f>
        <v/>
      </c>
      <c r="C247" s="33">
        <f>'建筑建议逐级'!C247</f>
        <v/>
      </c>
      <c r="D247" s="43">
        <f>'建筑建议逐级'!D247</f>
        <v/>
      </c>
      <c r="E247" s="36">
        <f>'建筑建议逐级'!E247</f>
        <v/>
      </c>
      <c r="F247" s="51">
        <f>IF(OR('建筑建议逐级'!I247&gt;0,'建筑建议逐级'!R247&gt;0,'建筑建议逐级'!S247&gt;0),"预算型曲线","旧指数公式")</f>
        <v/>
      </c>
      <c r="G247" s="50">
        <f>'建筑建议逐级'!H247</f>
        <v/>
      </c>
      <c r="H247" s="36">
        <f>'建筑建议逐级'!M247</f>
        <v/>
      </c>
      <c r="I247" s="35">
        <f>H247/3600</f>
        <v/>
      </c>
      <c r="J247" s="35">
        <f>H247/'参数与公式'!$B$21</f>
        <v/>
      </c>
      <c r="K247" s="35">
        <f>SUMIFS($J$5:$J$328,$A$5:$A$328,A247,$D$5:$D$328,"&lt;="&amp;D247)</f>
        <v/>
      </c>
      <c r="L247" s="50">
        <f>'建筑建议逐级'!Q247</f>
        <v/>
      </c>
      <c r="M247" s="36">
        <f>'建筑建议逐级'!X247</f>
        <v/>
      </c>
      <c r="N247" s="36">
        <f>SUMIFS($M$5:$M$328,$A$5:$A$328,A247,$D$5:$D$328,"&lt;="&amp;D247)</f>
        <v/>
      </c>
      <c r="O247" s="36">
        <f>'建筑建议逐级'!Y247</f>
        <v/>
      </c>
      <c r="P247" s="36">
        <f>SUMIFS($O$5:$O$328,$A$5:$A$328,A247,$D$5:$D$328,"&lt;="&amp;D247)</f>
        <v/>
      </c>
      <c r="Q247" s="51">
        <f>IF(F247="预算型曲线","总预算归一化","沿用旧指数公式")</f>
        <v/>
      </c>
      <c r="R247" s="51">
        <f>IF(F247="预算型曲线","与当前建议公式一致","需单独复核")</f>
        <v/>
      </c>
    </row>
    <row r="248" ht="22" customHeight="1">
      <c r="A248" s="33">
        <f>'建筑建议逐级'!A248</f>
        <v/>
      </c>
      <c r="B248" s="33">
        <f>'建筑建议逐级'!B248</f>
        <v/>
      </c>
      <c r="C248" s="33">
        <f>'建筑建议逐级'!C248</f>
        <v/>
      </c>
      <c r="D248" s="43">
        <f>'建筑建议逐级'!D248</f>
        <v/>
      </c>
      <c r="E248" s="36">
        <f>'建筑建议逐级'!E248</f>
        <v/>
      </c>
      <c r="F248" s="51">
        <f>IF(OR('建筑建议逐级'!I248&gt;0,'建筑建议逐级'!R248&gt;0,'建筑建议逐级'!S248&gt;0),"预算型曲线","旧指数公式")</f>
        <v/>
      </c>
      <c r="G248" s="50">
        <f>'建筑建议逐级'!H248</f>
        <v/>
      </c>
      <c r="H248" s="36">
        <f>'建筑建议逐级'!M248</f>
        <v/>
      </c>
      <c r="I248" s="35">
        <f>H248/3600</f>
        <v/>
      </c>
      <c r="J248" s="35">
        <f>H248/'参数与公式'!$B$21</f>
        <v/>
      </c>
      <c r="K248" s="35">
        <f>SUMIFS($J$5:$J$328,$A$5:$A$328,A248,$D$5:$D$328,"&lt;="&amp;D248)</f>
        <v/>
      </c>
      <c r="L248" s="50">
        <f>'建筑建议逐级'!Q248</f>
        <v/>
      </c>
      <c r="M248" s="36">
        <f>'建筑建议逐级'!X248</f>
        <v/>
      </c>
      <c r="N248" s="36">
        <f>SUMIFS($M$5:$M$328,$A$5:$A$328,A248,$D$5:$D$328,"&lt;="&amp;D248)</f>
        <v/>
      </c>
      <c r="O248" s="36">
        <f>'建筑建议逐级'!Y248</f>
        <v/>
      </c>
      <c r="P248" s="36">
        <f>SUMIFS($O$5:$O$328,$A$5:$A$328,A248,$D$5:$D$328,"&lt;="&amp;D248)</f>
        <v/>
      </c>
      <c r="Q248" s="51">
        <f>IF(F248="预算型曲线","总预算归一化","沿用旧指数公式")</f>
        <v/>
      </c>
      <c r="R248" s="51">
        <f>IF(F248="预算型曲线","与当前建议公式一致","需单独复核")</f>
        <v/>
      </c>
    </row>
    <row r="249" ht="22" customHeight="1">
      <c r="A249" s="33">
        <f>'建筑建议逐级'!A249</f>
        <v/>
      </c>
      <c r="B249" s="33">
        <f>'建筑建议逐级'!B249</f>
        <v/>
      </c>
      <c r="C249" s="33">
        <f>'建筑建议逐级'!C249</f>
        <v/>
      </c>
      <c r="D249" s="43">
        <f>'建筑建议逐级'!D249</f>
        <v/>
      </c>
      <c r="E249" s="36">
        <f>'建筑建议逐级'!E249</f>
        <v/>
      </c>
      <c r="F249" s="51">
        <f>IF(OR('建筑建议逐级'!I249&gt;0,'建筑建议逐级'!R249&gt;0,'建筑建议逐级'!S249&gt;0),"预算型曲线","旧指数公式")</f>
        <v/>
      </c>
      <c r="G249" s="50">
        <f>'建筑建议逐级'!H249</f>
        <v/>
      </c>
      <c r="H249" s="36">
        <f>'建筑建议逐级'!M249</f>
        <v/>
      </c>
      <c r="I249" s="35">
        <f>H249/3600</f>
        <v/>
      </c>
      <c r="J249" s="35">
        <f>H249/'参数与公式'!$B$21</f>
        <v/>
      </c>
      <c r="K249" s="35">
        <f>SUMIFS($J$5:$J$328,$A$5:$A$328,A249,$D$5:$D$328,"&lt;="&amp;D249)</f>
        <v/>
      </c>
      <c r="L249" s="50">
        <f>'建筑建议逐级'!Q249</f>
        <v/>
      </c>
      <c r="M249" s="36">
        <f>'建筑建议逐级'!X249</f>
        <v/>
      </c>
      <c r="N249" s="36">
        <f>SUMIFS($M$5:$M$328,$A$5:$A$328,A249,$D$5:$D$328,"&lt;="&amp;D249)</f>
        <v/>
      </c>
      <c r="O249" s="36">
        <f>'建筑建议逐级'!Y249</f>
        <v/>
      </c>
      <c r="P249" s="36">
        <f>SUMIFS($O$5:$O$328,$A$5:$A$328,A249,$D$5:$D$328,"&lt;="&amp;D249)</f>
        <v/>
      </c>
      <c r="Q249" s="51">
        <f>IF(F249="预算型曲线","总预算归一化","沿用旧指数公式")</f>
        <v/>
      </c>
      <c r="R249" s="51">
        <f>IF(F249="预算型曲线","与当前建议公式一致","需单独复核")</f>
        <v/>
      </c>
    </row>
    <row r="250" ht="22" customHeight="1">
      <c r="A250" s="33">
        <f>'建筑建议逐级'!A250</f>
        <v/>
      </c>
      <c r="B250" s="33">
        <f>'建筑建议逐级'!B250</f>
        <v/>
      </c>
      <c r="C250" s="33">
        <f>'建筑建议逐级'!C250</f>
        <v/>
      </c>
      <c r="D250" s="43">
        <f>'建筑建议逐级'!D250</f>
        <v/>
      </c>
      <c r="E250" s="36">
        <f>'建筑建议逐级'!E250</f>
        <v/>
      </c>
      <c r="F250" s="51">
        <f>IF(OR('建筑建议逐级'!I250&gt;0,'建筑建议逐级'!R250&gt;0,'建筑建议逐级'!S250&gt;0),"预算型曲线","旧指数公式")</f>
        <v/>
      </c>
      <c r="G250" s="50">
        <f>'建筑建议逐级'!H250</f>
        <v/>
      </c>
      <c r="H250" s="36">
        <f>'建筑建议逐级'!M250</f>
        <v/>
      </c>
      <c r="I250" s="35">
        <f>H250/3600</f>
        <v/>
      </c>
      <c r="J250" s="35">
        <f>H250/'参数与公式'!$B$21</f>
        <v/>
      </c>
      <c r="K250" s="35">
        <f>SUMIFS($J$5:$J$328,$A$5:$A$328,A250,$D$5:$D$328,"&lt;="&amp;D250)</f>
        <v/>
      </c>
      <c r="L250" s="50">
        <f>'建筑建议逐级'!Q250</f>
        <v/>
      </c>
      <c r="M250" s="36">
        <f>'建筑建议逐级'!X250</f>
        <v/>
      </c>
      <c r="N250" s="36">
        <f>SUMIFS($M$5:$M$328,$A$5:$A$328,A250,$D$5:$D$328,"&lt;="&amp;D250)</f>
        <v/>
      </c>
      <c r="O250" s="36">
        <f>'建筑建议逐级'!Y250</f>
        <v/>
      </c>
      <c r="P250" s="36">
        <f>SUMIFS($O$5:$O$328,$A$5:$A$328,A250,$D$5:$D$328,"&lt;="&amp;D250)</f>
        <v/>
      </c>
      <c r="Q250" s="51">
        <f>IF(F250="预算型曲线","总预算归一化","沿用旧指数公式")</f>
        <v/>
      </c>
      <c r="R250" s="51">
        <f>IF(F250="预算型曲线","与当前建议公式一致","需单独复核")</f>
        <v/>
      </c>
    </row>
    <row r="251" ht="22" customHeight="1">
      <c r="A251" s="33">
        <f>'建筑建议逐级'!A251</f>
        <v/>
      </c>
      <c r="B251" s="33">
        <f>'建筑建议逐级'!B251</f>
        <v/>
      </c>
      <c r="C251" s="33">
        <f>'建筑建议逐级'!C251</f>
        <v/>
      </c>
      <c r="D251" s="43">
        <f>'建筑建议逐级'!D251</f>
        <v/>
      </c>
      <c r="E251" s="36">
        <f>'建筑建议逐级'!E251</f>
        <v/>
      </c>
      <c r="F251" s="51">
        <f>IF(OR('建筑建议逐级'!I251&gt;0,'建筑建议逐级'!R251&gt;0,'建筑建议逐级'!S251&gt;0),"预算型曲线","旧指数公式")</f>
        <v/>
      </c>
      <c r="G251" s="50">
        <f>'建筑建议逐级'!H251</f>
        <v/>
      </c>
      <c r="H251" s="36">
        <f>'建筑建议逐级'!M251</f>
        <v/>
      </c>
      <c r="I251" s="35">
        <f>H251/3600</f>
        <v/>
      </c>
      <c r="J251" s="35">
        <f>H251/'参数与公式'!$B$21</f>
        <v/>
      </c>
      <c r="K251" s="35">
        <f>SUMIFS($J$5:$J$328,$A$5:$A$328,A251,$D$5:$D$328,"&lt;="&amp;D251)</f>
        <v/>
      </c>
      <c r="L251" s="50">
        <f>'建筑建议逐级'!Q251</f>
        <v/>
      </c>
      <c r="M251" s="36">
        <f>'建筑建议逐级'!X251</f>
        <v/>
      </c>
      <c r="N251" s="36">
        <f>SUMIFS($M$5:$M$328,$A$5:$A$328,A251,$D$5:$D$328,"&lt;="&amp;D251)</f>
        <v/>
      </c>
      <c r="O251" s="36">
        <f>'建筑建议逐级'!Y251</f>
        <v/>
      </c>
      <c r="P251" s="36">
        <f>SUMIFS($O$5:$O$328,$A$5:$A$328,A251,$D$5:$D$328,"&lt;="&amp;D251)</f>
        <v/>
      </c>
      <c r="Q251" s="51">
        <f>IF(F251="预算型曲线","总预算归一化","沿用旧指数公式")</f>
        <v/>
      </c>
      <c r="R251" s="51">
        <f>IF(F251="预算型曲线","与当前建议公式一致","需单独复核")</f>
        <v/>
      </c>
    </row>
    <row r="252" ht="22" customHeight="1">
      <c r="A252" s="33">
        <f>'建筑建议逐级'!A252</f>
        <v/>
      </c>
      <c r="B252" s="33">
        <f>'建筑建议逐级'!B252</f>
        <v/>
      </c>
      <c r="C252" s="33">
        <f>'建筑建议逐级'!C252</f>
        <v/>
      </c>
      <c r="D252" s="43">
        <f>'建筑建议逐级'!D252</f>
        <v/>
      </c>
      <c r="E252" s="36">
        <f>'建筑建议逐级'!E252</f>
        <v/>
      </c>
      <c r="F252" s="51">
        <f>IF(OR('建筑建议逐级'!I252&gt;0,'建筑建议逐级'!R252&gt;0,'建筑建议逐级'!S252&gt;0),"预算型曲线","旧指数公式")</f>
        <v/>
      </c>
      <c r="G252" s="50">
        <f>'建筑建议逐级'!H252</f>
        <v/>
      </c>
      <c r="H252" s="36">
        <f>'建筑建议逐级'!M252</f>
        <v/>
      </c>
      <c r="I252" s="35">
        <f>H252/3600</f>
        <v/>
      </c>
      <c r="J252" s="35">
        <f>H252/'参数与公式'!$B$21</f>
        <v/>
      </c>
      <c r="K252" s="35">
        <f>SUMIFS($J$5:$J$328,$A$5:$A$328,A252,$D$5:$D$328,"&lt;="&amp;D252)</f>
        <v/>
      </c>
      <c r="L252" s="50">
        <f>'建筑建议逐级'!Q252</f>
        <v/>
      </c>
      <c r="M252" s="36">
        <f>'建筑建议逐级'!X252</f>
        <v/>
      </c>
      <c r="N252" s="36">
        <f>SUMIFS($M$5:$M$328,$A$5:$A$328,A252,$D$5:$D$328,"&lt;="&amp;D252)</f>
        <v/>
      </c>
      <c r="O252" s="36">
        <f>'建筑建议逐级'!Y252</f>
        <v/>
      </c>
      <c r="P252" s="36">
        <f>SUMIFS($O$5:$O$328,$A$5:$A$328,A252,$D$5:$D$328,"&lt;="&amp;D252)</f>
        <v/>
      </c>
      <c r="Q252" s="51">
        <f>IF(F252="预算型曲线","总预算归一化","沿用旧指数公式")</f>
        <v/>
      </c>
      <c r="R252" s="51">
        <f>IF(F252="预算型曲线","与当前建议公式一致","需单独复核")</f>
        <v/>
      </c>
    </row>
    <row r="253" ht="22" customHeight="1">
      <c r="A253" s="33">
        <f>'建筑建议逐级'!A253</f>
        <v/>
      </c>
      <c r="B253" s="33">
        <f>'建筑建议逐级'!B253</f>
        <v/>
      </c>
      <c r="C253" s="33">
        <f>'建筑建议逐级'!C253</f>
        <v/>
      </c>
      <c r="D253" s="43">
        <f>'建筑建议逐级'!D253</f>
        <v/>
      </c>
      <c r="E253" s="36">
        <f>'建筑建议逐级'!E253</f>
        <v/>
      </c>
      <c r="F253" s="51">
        <f>IF(OR('建筑建议逐级'!I253&gt;0,'建筑建议逐级'!R253&gt;0,'建筑建议逐级'!S253&gt;0),"预算型曲线","旧指数公式")</f>
        <v/>
      </c>
      <c r="G253" s="50">
        <f>'建筑建议逐级'!H253</f>
        <v/>
      </c>
      <c r="H253" s="36">
        <f>'建筑建议逐级'!M253</f>
        <v/>
      </c>
      <c r="I253" s="35">
        <f>H253/3600</f>
        <v/>
      </c>
      <c r="J253" s="35">
        <f>H253/'参数与公式'!$B$21</f>
        <v/>
      </c>
      <c r="K253" s="35">
        <f>SUMIFS($J$5:$J$328,$A$5:$A$328,A253,$D$5:$D$328,"&lt;="&amp;D253)</f>
        <v/>
      </c>
      <c r="L253" s="50">
        <f>'建筑建议逐级'!Q253</f>
        <v/>
      </c>
      <c r="M253" s="36">
        <f>'建筑建议逐级'!X253</f>
        <v/>
      </c>
      <c r="N253" s="36">
        <f>SUMIFS($M$5:$M$328,$A$5:$A$328,A253,$D$5:$D$328,"&lt;="&amp;D253)</f>
        <v/>
      </c>
      <c r="O253" s="36">
        <f>'建筑建议逐级'!Y253</f>
        <v/>
      </c>
      <c r="P253" s="36">
        <f>SUMIFS($O$5:$O$328,$A$5:$A$328,A253,$D$5:$D$328,"&lt;="&amp;D253)</f>
        <v/>
      </c>
      <c r="Q253" s="51">
        <f>IF(F253="预算型曲线","总预算归一化","沿用旧指数公式")</f>
        <v/>
      </c>
      <c r="R253" s="51">
        <f>IF(F253="预算型曲线","与当前建议公式一致","需单独复核")</f>
        <v/>
      </c>
    </row>
    <row r="254" ht="22" customHeight="1">
      <c r="A254" s="33">
        <f>'建筑建议逐级'!A254</f>
        <v/>
      </c>
      <c r="B254" s="33">
        <f>'建筑建议逐级'!B254</f>
        <v/>
      </c>
      <c r="C254" s="33">
        <f>'建筑建议逐级'!C254</f>
        <v/>
      </c>
      <c r="D254" s="43">
        <f>'建筑建议逐级'!D254</f>
        <v/>
      </c>
      <c r="E254" s="36">
        <f>'建筑建议逐级'!E254</f>
        <v/>
      </c>
      <c r="F254" s="51">
        <f>IF(OR('建筑建议逐级'!I254&gt;0,'建筑建议逐级'!R254&gt;0,'建筑建议逐级'!S254&gt;0),"预算型曲线","旧指数公式")</f>
        <v/>
      </c>
      <c r="G254" s="50">
        <f>'建筑建议逐级'!H254</f>
        <v/>
      </c>
      <c r="H254" s="36">
        <f>'建筑建议逐级'!M254</f>
        <v/>
      </c>
      <c r="I254" s="35">
        <f>H254/3600</f>
        <v/>
      </c>
      <c r="J254" s="35">
        <f>H254/'参数与公式'!$B$21</f>
        <v/>
      </c>
      <c r="K254" s="35">
        <f>SUMIFS($J$5:$J$328,$A$5:$A$328,A254,$D$5:$D$328,"&lt;="&amp;D254)</f>
        <v/>
      </c>
      <c r="L254" s="50">
        <f>'建筑建议逐级'!Q254</f>
        <v/>
      </c>
      <c r="M254" s="36">
        <f>'建筑建议逐级'!X254</f>
        <v/>
      </c>
      <c r="N254" s="36">
        <f>SUMIFS($M$5:$M$328,$A$5:$A$328,A254,$D$5:$D$328,"&lt;="&amp;D254)</f>
        <v/>
      </c>
      <c r="O254" s="36">
        <f>'建筑建议逐级'!Y254</f>
        <v/>
      </c>
      <c r="P254" s="36">
        <f>SUMIFS($O$5:$O$328,$A$5:$A$328,A254,$D$5:$D$328,"&lt;="&amp;D254)</f>
        <v/>
      </c>
      <c r="Q254" s="51">
        <f>IF(F254="预算型曲线","总预算归一化","沿用旧指数公式")</f>
        <v/>
      </c>
      <c r="R254" s="51">
        <f>IF(F254="预算型曲线","与当前建议公式一致","需单独复核")</f>
        <v/>
      </c>
    </row>
    <row r="255" ht="22" customHeight="1">
      <c r="A255" s="33">
        <f>'建筑建议逐级'!A255</f>
        <v/>
      </c>
      <c r="B255" s="33">
        <f>'建筑建议逐级'!B255</f>
        <v/>
      </c>
      <c r="C255" s="33">
        <f>'建筑建议逐级'!C255</f>
        <v/>
      </c>
      <c r="D255" s="43">
        <f>'建筑建议逐级'!D255</f>
        <v/>
      </c>
      <c r="E255" s="36">
        <f>'建筑建议逐级'!E255</f>
        <v/>
      </c>
      <c r="F255" s="51">
        <f>IF(OR('建筑建议逐级'!I255&gt;0,'建筑建议逐级'!R255&gt;0,'建筑建议逐级'!S255&gt;0),"预算型曲线","旧指数公式")</f>
        <v/>
      </c>
      <c r="G255" s="50">
        <f>'建筑建议逐级'!H255</f>
        <v/>
      </c>
      <c r="H255" s="36">
        <f>'建筑建议逐级'!M255</f>
        <v/>
      </c>
      <c r="I255" s="35">
        <f>H255/3600</f>
        <v/>
      </c>
      <c r="J255" s="35">
        <f>H255/'参数与公式'!$B$21</f>
        <v/>
      </c>
      <c r="K255" s="35">
        <f>SUMIFS($J$5:$J$328,$A$5:$A$328,A255,$D$5:$D$328,"&lt;="&amp;D255)</f>
        <v/>
      </c>
      <c r="L255" s="50">
        <f>'建筑建议逐级'!Q255</f>
        <v/>
      </c>
      <c r="M255" s="36">
        <f>'建筑建议逐级'!X255</f>
        <v/>
      </c>
      <c r="N255" s="36">
        <f>SUMIFS($M$5:$M$328,$A$5:$A$328,A255,$D$5:$D$328,"&lt;="&amp;D255)</f>
        <v/>
      </c>
      <c r="O255" s="36">
        <f>'建筑建议逐级'!Y255</f>
        <v/>
      </c>
      <c r="P255" s="36">
        <f>SUMIFS($O$5:$O$328,$A$5:$A$328,A255,$D$5:$D$328,"&lt;="&amp;D255)</f>
        <v/>
      </c>
      <c r="Q255" s="51">
        <f>IF(F255="预算型曲线","总预算归一化","沿用旧指数公式")</f>
        <v/>
      </c>
      <c r="R255" s="51">
        <f>IF(F255="预算型曲线","与当前建议公式一致","需单独复核")</f>
        <v/>
      </c>
    </row>
    <row r="256" ht="22" customHeight="1">
      <c r="A256" s="33">
        <f>'建筑建议逐级'!A256</f>
        <v/>
      </c>
      <c r="B256" s="33">
        <f>'建筑建议逐级'!B256</f>
        <v/>
      </c>
      <c r="C256" s="33">
        <f>'建筑建议逐级'!C256</f>
        <v/>
      </c>
      <c r="D256" s="43">
        <f>'建筑建议逐级'!D256</f>
        <v/>
      </c>
      <c r="E256" s="36">
        <f>'建筑建议逐级'!E256</f>
        <v/>
      </c>
      <c r="F256" s="51">
        <f>IF(OR('建筑建议逐级'!I256&gt;0,'建筑建议逐级'!R256&gt;0,'建筑建议逐级'!S256&gt;0),"预算型曲线","旧指数公式")</f>
        <v/>
      </c>
      <c r="G256" s="50">
        <f>'建筑建议逐级'!H256</f>
        <v/>
      </c>
      <c r="H256" s="36">
        <f>'建筑建议逐级'!M256</f>
        <v/>
      </c>
      <c r="I256" s="35">
        <f>H256/3600</f>
        <v/>
      </c>
      <c r="J256" s="35">
        <f>H256/'参数与公式'!$B$21</f>
        <v/>
      </c>
      <c r="K256" s="35">
        <f>SUMIFS($J$5:$J$328,$A$5:$A$328,A256,$D$5:$D$328,"&lt;="&amp;D256)</f>
        <v/>
      </c>
      <c r="L256" s="50">
        <f>'建筑建议逐级'!Q256</f>
        <v/>
      </c>
      <c r="M256" s="36">
        <f>'建筑建议逐级'!X256</f>
        <v/>
      </c>
      <c r="N256" s="36">
        <f>SUMIFS($M$5:$M$328,$A$5:$A$328,A256,$D$5:$D$328,"&lt;="&amp;D256)</f>
        <v/>
      </c>
      <c r="O256" s="36">
        <f>'建筑建议逐级'!Y256</f>
        <v/>
      </c>
      <c r="P256" s="36">
        <f>SUMIFS($O$5:$O$328,$A$5:$A$328,A256,$D$5:$D$328,"&lt;="&amp;D256)</f>
        <v/>
      </c>
      <c r="Q256" s="51">
        <f>IF(F256="预算型曲线","总预算归一化","沿用旧指数公式")</f>
        <v/>
      </c>
      <c r="R256" s="51">
        <f>IF(F256="预算型曲线","与当前建议公式一致","需单独复核")</f>
        <v/>
      </c>
    </row>
    <row r="257" ht="22" customHeight="1">
      <c r="A257" s="33">
        <f>'建筑建议逐级'!A257</f>
        <v/>
      </c>
      <c r="B257" s="33">
        <f>'建筑建议逐级'!B257</f>
        <v/>
      </c>
      <c r="C257" s="33">
        <f>'建筑建议逐级'!C257</f>
        <v/>
      </c>
      <c r="D257" s="43">
        <f>'建筑建议逐级'!D257</f>
        <v/>
      </c>
      <c r="E257" s="36">
        <f>'建筑建议逐级'!E257</f>
        <v/>
      </c>
      <c r="F257" s="51">
        <f>IF(OR('建筑建议逐级'!I257&gt;0,'建筑建议逐级'!R257&gt;0,'建筑建议逐级'!S257&gt;0),"预算型曲线","旧指数公式")</f>
        <v/>
      </c>
      <c r="G257" s="50">
        <f>'建筑建议逐级'!H257</f>
        <v/>
      </c>
      <c r="H257" s="36">
        <f>'建筑建议逐级'!M257</f>
        <v/>
      </c>
      <c r="I257" s="35">
        <f>H257/3600</f>
        <v/>
      </c>
      <c r="J257" s="35">
        <f>H257/'参数与公式'!$B$21</f>
        <v/>
      </c>
      <c r="K257" s="35">
        <f>SUMIFS($J$5:$J$328,$A$5:$A$328,A257,$D$5:$D$328,"&lt;="&amp;D257)</f>
        <v/>
      </c>
      <c r="L257" s="50">
        <f>'建筑建议逐级'!Q257</f>
        <v/>
      </c>
      <c r="M257" s="36">
        <f>'建筑建议逐级'!X257</f>
        <v/>
      </c>
      <c r="N257" s="36">
        <f>SUMIFS($M$5:$M$328,$A$5:$A$328,A257,$D$5:$D$328,"&lt;="&amp;D257)</f>
        <v/>
      </c>
      <c r="O257" s="36">
        <f>'建筑建议逐级'!Y257</f>
        <v/>
      </c>
      <c r="P257" s="36">
        <f>SUMIFS($O$5:$O$328,$A$5:$A$328,A257,$D$5:$D$328,"&lt;="&amp;D257)</f>
        <v/>
      </c>
      <c r="Q257" s="51">
        <f>IF(F257="预算型曲线","总预算归一化","沿用旧指数公式")</f>
        <v/>
      </c>
      <c r="R257" s="51">
        <f>IF(F257="预算型曲线","与当前建议公式一致","需单独复核")</f>
        <v/>
      </c>
    </row>
    <row r="258" ht="22" customHeight="1">
      <c r="A258" s="33">
        <f>'建筑建议逐级'!A258</f>
        <v/>
      </c>
      <c r="B258" s="33">
        <f>'建筑建议逐级'!B258</f>
        <v/>
      </c>
      <c r="C258" s="33">
        <f>'建筑建议逐级'!C258</f>
        <v/>
      </c>
      <c r="D258" s="43">
        <f>'建筑建议逐级'!D258</f>
        <v/>
      </c>
      <c r="E258" s="36">
        <f>'建筑建议逐级'!E258</f>
        <v/>
      </c>
      <c r="F258" s="51">
        <f>IF(OR('建筑建议逐级'!I258&gt;0,'建筑建议逐级'!R258&gt;0,'建筑建议逐级'!S258&gt;0),"预算型曲线","旧指数公式")</f>
        <v/>
      </c>
      <c r="G258" s="50">
        <f>'建筑建议逐级'!H258</f>
        <v/>
      </c>
      <c r="H258" s="36">
        <f>'建筑建议逐级'!M258</f>
        <v/>
      </c>
      <c r="I258" s="35">
        <f>H258/3600</f>
        <v/>
      </c>
      <c r="J258" s="35">
        <f>H258/'参数与公式'!$B$21</f>
        <v/>
      </c>
      <c r="K258" s="35">
        <f>SUMIFS($J$5:$J$328,$A$5:$A$328,A258,$D$5:$D$328,"&lt;="&amp;D258)</f>
        <v/>
      </c>
      <c r="L258" s="50">
        <f>'建筑建议逐级'!Q258</f>
        <v/>
      </c>
      <c r="M258" s="36">
        <f>'建筑建议逐级'!X258</f>
        <v/>
      </c>
      <c r="N258" s="36">
        <f>SUMIFS($M$5:$M$328,$A$5:$A$328,A258,$D$5:$D$328,"&lt;="&amp;D258)</f>
        <v/>
      </c>
      <c r="O258" s="36">
        <f>'建筑建议逐级'!Y258</f>
        <v/>
      </c>
      <c r="P258" s="36">
        <f>SUMIFS($O$5:$O$328,$A$5:$A$328,A258,$D$5:$D$328,"&lt;="&amp;D258)</f>
        <v/>
      </c>
      <c r="Q258" s="51">
        <f>IF(F258="预算型曲线","总预算归一化","沿用旧指数公式")</f>
        <v/>
      </c>
      <c r="R258" s="51">
        <f>IF(F258="预算型曲线","与当前建议公式一致","需单独复核")</f>
        <v/>
      </c>
    </row>
    <row r="259" ht="22" customHeight="1">
      <c r="A259" s="33">
        <f>'建筑建议逐级'!A259</f>
        <v/>
      </c>
      <c r="B259" s="33">
        <f>'建筑建议逐级'!B259</f>
        <v/>
      </c>
      <c r="C259" s="33">
        <f>'建筑建议逐级'!C259</f>
        <v/>
      </c>
      <c r="D259" s="43">
        <f>'建筑建议逐级'!D259</f>
        <v/>
      </c>
      <c r="E259" s="36">
        <f>'建筑建议逐级'!E259</f>
        <v/>
      </c>
      <c r="F259" s="51">
        <f>IF(OR('建筑建议逐级'!I259&gt;0,'建筑建议逐级'!R259&gt;0,'建筑建议逐级'!S259&gt;0),"预算型曲线","旧指数公式")</f>
        <v/>
      </c>
      <c r="G259" s="50">
        <f>'建筑建议逐级'!H259</f>
        <v/>
      </c>
      <c r="H259" s="36">
        <f>'建筑建议逐级'!M259</f>
        <v/>
      </c>
      <c r="I259" s="35">
        <f>H259/3600</f>
        <v/>
      </c>
      <c r="J259" s="35">
        <f>H259/'参数与公式'!$B$21</f>
        <v/>
      </c>
      <c r="K259" s="35">
        <f>SUMIFS($J$5:$J$328,$A$5:$A$328,A259,$D$5:$D$328,"&lt;="&amp;D259)</f>
        <v/>
      </c>
      <c r="L259" s="50">
        <f>'建筑建议逐级'!Q259</f>
        <v/>
      </c>
      <c r="M259" s="36">
        <f>'建筑建议逐级'!X259</f>
        <v/>
      </c>
      <c r="N259" s="36">
        <f>SUMIFS($M$5:$M$328,$A$5:$A$328,A259,$D$5:$D$328,"&lt;="&amp;D259)</f>
        <v/>
      </c>
      <c r="O259" s="36">
        <f>'建筑建议逐级'!Y259</f>
        <v/>
      </c>
      <c r="P259" s="36">
        <f>SUMIFS($O$5:$O$328,$A$5:$A$328,A259,$D$5:$D$328,"&lt;="&amp;D259)</f>
        <v/>
      </c>
      <c r="Q259" s="51">
        <f>IF(F259="预算型曲线","总预算归一化","沿用旧指数公式")</f>
        <v/>
      </c>
      <c r="R259" s="51">
        <f>IF(F259="预算型曲线","与当前建议公式一致","需单独复核")</f>
        <v/>
      </c>
    </row>
    <row r="260" ht="22" customHeight="1">
      <c r="A260" s="33">
        <f>'建筑建议逐级'!A260</f>
        <v/>
      </c>
      <c r="B260" s="33">
        <f>'建筑建议逐级'!B260</f>
        <v/>
      </c>
      <c r="C260" s="33">
        <f>'建筑建议逐级'!C260</f>
        <v/>
      </c>
      <c r="D260" s="43">
        <f>'建筑建议逐级'!D260</f>
        <v/>
      </c>
      <c r="E260" s="36">
        <f>'建筑建议逐级'!E260</f>
        <v/>
      </c>
      <c r="F260" s="51">
        <f>IF(OR('建筑建议逐级'!I260&gt;0,'建筑建议逐级'!R260&gt;0,'建筑建议逐级'!S260&gt;0),"预算型曲线","旧指数公式")</f>
        <v/>
      </c>
      <c r="G260" s="50">
        <f>'建筑建议逐级'!H260</f>
        <v/>
      </c>
      <c r="H260" s="36">
        <f>'建筑建议逐级'!M260</f>
        <v/>
      </c>
      <c r="I260" s="35">
        <f>H260/3600</f>
        <v/>
      </c>
      <c r="J260" s="35">
        <f>H260/'参数与公式'!$B$21</f>
        <v/>
      </c>
      <c r="K260" s="35">
        <f>SUMIFS($J$5:$J$328,$A$5:$A$328,A260,$D$5:$D$328,"&lt;="&amp;D260)</f>
        <v/>
      </c>
      <c r="L260" s="50">
        <f>'建筑建议逐级'!Q260</f>
        <v/>
      </c>
      <c r="M260" s="36">
        <f>'建筑建议逐级'!X260</f>
        <v/>
      </c>
      <c r="N260" s="36">
        <f>SUMIFS($M$5:$M$328,$A$5:$A$328,A260,$D$5:$D$328,"&lt;="&amp;D260)</f>
        <v/>
      </c>
      <c r="O260" s="36">
        <f>'建筑建议逐级'!Y260</f>
        <v/>
      </c>
      <c r="P260" s="36">
        <f>SUMIFS($O$5:$O$328,$A$5:$A$328,A260,$D$5:$D$328,"&lt;="&amp;D260)</f>
        <v/>
      </c>
      <c r="Q260" s="51">
        <f>IF(F260="预算型曲线","总预算归一化","沿用旧指数公式")</f>
        <v/>
      </c>
      <c r="R260" s="51">
        <f>IF(F260="预算型曲线","与当前建议公式一致","需单独复核")</f>
        <v/>
      </c>
    </row>
    <row r="261" ht="22" customHeight="1">
      <c r="A261" s="33">
        <f>'建筑建议逐级'!A261</f>
        <v/>
      </c>
      <c r="B261" s="33">
        <f>'建筑建议逐级'!B261</f>
        <v/>
      </c>
      <c r="C261" s="33">
        <f>'建筑建议逐级'!C261</f>
        <v/>
      </c>
      <c r="D261" s="43">
        <f>'建筑建议逐级'!D261</f>
        <v/>
      </c>
      <c r="E261" s="36">
        <f>'建筑建议逐级'!E261</f>
        <v/>
      </c>
      <c r="F261" s="51">
        <f>IF(OR('建筑建议逐级'!I261&gt;0,'建筑建议逐级'!R261&gt;0,'建筑建议逐级'!S261&gt;0),"预算型曲线","旧指数公式")</f>
        <v/>
      </c>
      <c r="G261" s="50">
        <f>'建筑建议逐级'!H261</f>
        <v/>
      </c>
      <c r="H261" s="36">
        <f>'建筑建议逐级'!M261</f>
        <v/>
      </c>
      <c r="I261" s="35">
        <f>H261/3600</f>
        <v/>
      </c>
      <c r="J261" s="35">
        <f>H261/'参数与公式'!$B$21</f>
        <v/>
      </c>
      <c r="K261" s="35">
        <f>SUMIFS($J$5:$J$328,$A$5:$A$328,A261,$D$5:$D$328,"&lt;="&amp;D261)</f>
        <v/>
      </c>
      <c r="L261" s="50">
        <f>'建筑建议逐级'!Q261</f>
        <v/>
      </c>
      <c r="M261" s="36">
        <f>'建筑建议逐级'!X261</f>
        <v/>
      </c>
      <c r="N261" s="36">
        <f>SUMIFS($M$5:$M$328,$A$5:$A$328,A261,$D$5:$D$328,"&lt;="&amp;D261)</f>
        <v/>
      </c>
      <c r="O261" s="36">
        <f>'建筑建议逐级'!Y261</f>
        <v/>
      </c>
      <c r="P261" s="36">
        <f>SUMIFS($O$5:$O$328,$A$5:$A$328,A261,$D$5:$D$328,"&lt;="&amp;D261)</f>
        <v/>
      </c>
      <c r="Q261" s="51">
        <f>IF(F261="预算型曲线","总预算归一化","沿用旧指数公式")</f>
        <v/>
      </c>
      <c r="R261" s="51">
        <f>IF(F261="预算型曲线","与当前建议公式一致","需单独复核")</f>
        <v/>
      </c>
    </row>
    <row r="262" ht="22" customHeight="1">
      <c r="A262" s="33">
        <f>'建筑建议逐级'!A262</f>
        <v/>
      </c>
      <c r="B262" s="33">
        <f>'建筑建议逐级'!B262</f>
        <v/>
      </c>
      <c r="C262" s="33">
        <f>'建筑建议逐级'!C262</f>
        <v/>
      </c>
      <c r="D262" s="43">
        <f>'建筑建议逐级'!D262</f>
        <v/>
      </c>
      <c r="E262" s="36">
        <f>'建筑建议逐级'!E262</f>
        <v/>
      </c>
      <c r="F262" s="51">
        <f>IF(OR('建筑建议逐级'!I262&gt;0,'建筑建议逐级'!R262&gt;0,'建筑建议逐级'!S262&gt;0),"预算型曲线","旧指数公式")</f>
        <v/>
      </c>
      <c r="G262" s="50">
        <f>'建筑建议逐级'!H262</f>
        <v/>
      </c>
      <c r="H262" s="36">
        <f>'建筑建议逐级'!M262</f>
        <v/>
      </c>
      <c r="I262" s="35">
        <f>H262/3600</f>
        <v/>
      </c>
      <c r="J262" s="35">
        <f>H262/'参数与公式'!$B$21</f>
        <v/>
      </c>
      <c r="K262" s="35">
        <f>SUMIFS($J$5:$J$328,$A$5:$A$328,A262,$D$5:$D$328,"&lt;="&amp;D262)</f>
        <v/>
      </c>
      <c r="L262" s="50">
        <f>'建筑建议逐级'!Q262</f>
        <v/>
      </c>
      <c r="M262" s="36">
        <f>'建筑建议逐级'!X262</f>
        <v/>
      </c>
      <c r="N262" s="36">
        <f>SUMIFS($M$5:$M$328,$A$5:$A$328,A262,$D$5:$D$328,"&lt;="&amp;D262)</f>
        <v/>
      </c>
      <c r="O262" s="36">
        <f>'建筑建议逐级'!Y262</f>
        <v/>
      </c>
      <c r="P262" s="36">
        <f>SUMIFS($O$5:$O$328,$A$5:$A$328,A262,$D$5:$D$328,"&lt;="&amp;D262)</f>
        <v/>
      </c>
      <c r="Q262" s="51">
        <f>IF(F262="预算型曲线","总预算归一化","沿用旧指数公式")</f>
        <v/>
      </c>
      <c r="R262" s="51">
        <f>IF(F262="预算型曲线","与当前建议公式一致","需单独复核")</f>
        <v/>
      </c>
    </row>
    <row r="263" ht="22" customHeight="1">
      <c r="A263" s="33">
        <f>'建筑建议逐级'!A263</f>
        <v/>
      </c>
      <c r="B263" s="33">
        <f>'建筑建议逐级'!B263</f>
        <v/>
      </c>
      <c r="C263" s="33">
        <f>'建筑建议逐级'!C263</f>
        <v/>
      </c>
      <c r="D263" s="43">
        <f>'建筑建议逐级'!D263</f>
        <v/>
      </c>
      <c r="E263" s="36">
        <f>'建筑建议逐级'!E263</f>
        <v/>
      </c>
      <c r="F263" s="51">
        <f>IF(OR('建筑建议逐级'!I263&gt;0,'建筑建议逐级'!R263&gt;0,'建筑建议逐级'!S263&gt;0),"预算型曲线","旧指数公式")</f>
        <v/>
      </c>
      <c r="G263" s="50">
        <f>'建筑建议逐级'!H263</f>
        <v/>
      </c>
      <c r="H263" s="36">
        <f>'建筑建议逐级'!M263</f>
        <v/>
      </c>
      <c r="I263" s="35">
        <f>H263/3600</f>
        <v/>
      </c>
      <c r="J263" s="35">
        <f>H263/'参数与公式'!$B$21</f>
        <v/>
      </c>
      <c r="K263" s="35">
        <f>SUMIFS($J$5:$J$328,$A$5:$A$328,A263,$D$5:$D$328,"&lt;="&amp;D263)</f>
        <v/>
      </c>
      <c r="L263" s="50">
        <f>'建筑建议逐级'!Q263</f>
        <v/>
      </c>
      <c r="M263" s="36">
        <f>'建筑建议逐级'!X263</f>
        <v/>
      </c>
      <c r="N263" s="36">
        <f>SUMIFS($M$5:$M$328,$A$5:$A$328,A263,$D$5:$D$328,"&lt;="&amp;D263)</f>
        <v/>
      </c>
      <c r="O263" s="36">
        <f>'建筑建议逐级'!Y263</f>
        <v/>
      </c>
      <c r="P263" s="36">
        <f>SUMIFS($O$5:$O$328,$A$5:$A$328,A263,$D$5:$D$328,"&lt;="&amp;D263)</f>
        <v/>
      </c>
      <c r="Q263" s="51">
        <f>IF(F263="预算型曲线","总预算归一化","沿用旧指数公式")</f>
        <v/>
      </c>
      <c r="R263" s="51">
        <f>IF(F263="预算型曲线","与当前建议公式一致","需单独复核")</f>
        <v/>
      </c>
    </row>
    <row r="264" ht="22" customHeight="1">
      <c r="A264" s="33">
        <f>'建筑建议逐级'!A264</f>
        <v/>
      </c>
      <c r="B264" s="33">
        <f>'建筑建议逐级'!B264</f>
        <v/>
      </c>
      <c r="C264" s="33">
        <f>'建筑建议逐级'!C264</f>
        <v/>
      </c>
      <c r="D264" s="43">
        <f>'建筑建议逐级'!D264</f>
        <v/>
      </c>
      <c r="E264" s="36">
        <f>'建筑建议逐级'!E264</f>
        <v/>
      </c>
      <c r="F264" s="51">
        <f>IF(OR('建筑建议逐级'!I264&gt;0,'建筑建议逐级'!R264&gt;0,'建筑建议逐级'!S264&gt;0),"预算型曲线","旧指数公式")</f>
        <v/>
      </c>
      <c r="G264" s="50">
        <f>'建筑建议逐级'!H264</f>
        <v/>
      </c>
      <c r="H264" s="36">
        <f>'建筑建议逐级'!M264</f>
        <v/>
      </c>
      <c r="I264" s="35">
        <f>H264/3600</f>
        <v/>
      </c>
      <c r="J264" s="35">
        <f>H264/'参数与公式'!$B$21</f>
        <v/>
      </c>
      <c r="K264" s="35">
        <f>SUMIFS($J$5:$J$328,$A$5:$A$328,A264,$D$5:$D$328,"&lt;="&amp;D264)</f>
        <v/>
      </c>
      <c r="L264" s="50">
        <f>'建筑建议逐级'!Q264</f>
        <v/>
      </c>
      <c r="M264" s="36">
        <f>'建筑建议逐级'!X264</f>
        <v/>
      </c>
      <c r="N264" s="36">
        <f>SUMIFS($M$5:$M$328,$A$5:$A$328,A264,$D$5:$D$328,"&lt;="&amp;D264)</f>
        <v/>
      </c>
      <c r="O264" s="36">
        <f>'建筑建议逐级'!Y264</f>
        <v/>
      </c>
      <c r="P264" s="36">
        <f>SUMIFS($O$5:$O$328,$A$5:$A$328,A264,$D$5:$D$328,"&lt;="&amp;D264)</f>
        <v/>
      </c>
      <c r="Q264" s="51">
        <f>IF(F264="预算型曲线","总预算归一化","沿用旧指数公式")</f>
        <v/>
      </c>
      <c r="R264" s="51">
        <f>IF(F264="预算型曲线","与当前建议公式一致","需单独复核")</f>
        <v/>
      </c>
    </row>
    <row r="265" ht="22" customHeight="1">
      <c r="A265" s="33">
        <f>'建筑建议逐级'!A265</f>
        <v/>
      </c>
      <c r="B265" s="33">
        <f>'建筑建议逐级'!B265</f>
        <v/>
      </c>
      <c r="C265" s="33">
        <f>'建筑建议逐级'!C265</f>
        <v/>
      </c>
      <c r="D265" s="43">
        <f>'建筑建议逐级'!D265</f>
        <v/>
      </c>
      <c r="E265" s="36">
        <f>'建筑建议逐级'!E265</f>
        <v/>
      </c>
      <c r="F265" s="51">
        <f>IF(OR('建筑建议逐级'!I265&gt;0,'建筑建议逐级'!R265&gt;0,'建筑建议逐级'!S265&gt;0),"预算型曲线","旧指数公式")</f>
        <v/>
      </c>
      <c r="G265" s="50">
        <f>'建筑建议逐级'!H265</f>
        <v/>
      </c>
      <c r="H265" s="36">
        <f>'建筑建议逐级'!M265</f>
        <v/>
      </c>
      <c r="I265" s="35">
        <f>H265/3600</f>
        <v/>
      </c>
      <c r="J265" s="35">
        <f>H265/'参数与公式'!$B$21</f>
        <v/>
      </c>
      <c r="K265" s="35">
        <f>SUMIFS($J$5:$J$328,$A$5:$A$328,A265,$D$5:$D$328,"&lt;="&amp;D265)</f>
        <v/>
      </c>
      <c r="L265" s="50">
        <f>'建筑建议逐级'!Q265</f>
        <v/>
      </c>
      <c r="M265" s="36">
        <f>'建筑建议逐级'!X265</f>
        <v/>
      </c>
      <c r="N265" s="36">
        <f>SUMIFS($M$5:$M$328,$A$5:$A$328,A265,$D$5:$D$328,"&lt;="&amp;D265)</f>
        <v/>
      </c>
      <c r="O265" s="36">
        <f>'建筑建议逐级'!Y265</f>
        <v/>
      </c>
      <c r="P265" s="36">
        <f>SUMIFS($O$5:$O$328,$A$5:$A$328,A265,$D$5:$D$328,"&lt;="&amp;D265)</f>
        <v/>
      </c>
      <c r="Q265" s="51">
        <f>IF(F265="预算型曲线","总预算归一化","沿用旧指数公式")</f>
        <v/>
      </c>
      <c r="R265" s="51">
        <f>IF(F265="预算型曲线","与当前建议公式一致","需单独复核")</f>
        <v/>
      </c>
    </row>
    <row r="266" ht="22" customHeight="1">
      <c r="A266" s="33">
        <f>'建筑建议逐级'!A266</f>
        <v/>
      </c>
      <c r="B266" s="33">
        <f>'建筑建议逐级'!B266</f>
        <v/>
      </c>
      <c r="C266" s="33">
        <f>'建筑建议逐级'!C266</f>
        <v/>
      </c>
      <c r="D266" s="43">
        <f>'建筑建议逐级'!D266</f>
        <v/>
      </c>
      <c r="E266" s="36">
        <f>'建筑建议逐级'!E266</f>
        <v/>
      </c>
      <c r="F266" s="51">
        <f>IF(OR('建筑建议逐级'!I266&gt;0,'建筑建议逐级'!R266&gt;0,'建筑建议逐级'!S266&gt;0),"预算型曲线","旧指数公式")</f>
        <v/>
      </c>
      <c r="G266" s="50">
        <f>'建筑建议逐级'!H266</f>
        <v/>
      </c>
      <c r="H266" s="36">
        <f>'建筑建议逐级'!M266</f>
        <v/>
      </c>
      <c r="I266" s="35">
        <f>H266/3600</f>
        <v/>
      </c>
      <c r="J266" s="35">
        <f>H266/'参数与公式'!$B$21</f>
        <v/>
      </c>
      <c r="K266" s="35">
        <f>SUMIFS($J$5:$J$328,$A$5:$A$328,A266,$D$5:$D$328,"&lt;="&amp;D266)</f>
        <v/>
      </c>
      <c r="L266" s="50">
        <f>'建筑建议逐级'!Q266</f>
        <v/>
      </c>
      <c r="M266" s="36">
        <f>'建筑建议逐级'!X266</f>
        <v/>
      </c>
      <c r="N266" s="36">
        <f>SUMIFS($M$5:$M$328,$A$5:$A$328,A266,$D$5:$D$328,"&lt;="&amp;D266)</f>
        <v/>
      </c>
      <c r="O266" s="36">
        <f>'建筑建议逐级'!Y266</f>
        <v/>
      </c>
      <c r="P266" s="36">
        <f>SUMIFS($O$5:$O$328,$A$5:$A$328,A266,$D$5:$D$328,"&lt;="&amp;D266)</f>
        <v/>
      </c>
      <c r="Q266" s="51">
        <f>IF(F266="预算型曲线","总预算归一化","沿用旧指数公式")</f>
        <v/>
      </c>
      <c r="R266" s="51">
        <f>IF(F266="预算型曲线","与当前建议公式一致","需单独复核")</f>
        <v/>
      </c>
    </row>
    <row r="267" ht="22" customHeight="1">
      <c r="A267" s="33">
        <f>'建筑建议逐级'!A267</f>
        <v/>
      </c>
      <c r="B267" s="33">
        <f>'建筑建议逐级'!B267</f>
        <v/>
      </c>
      <c r="C267" s="33">
        <f>'建筑建议逐级'!C267</f>
        <v/>
      </c>
      <c r="D267" s="43">
        <f>'建筑建议逐级'!D267</f>
        <v/>
      </c>
      <c r="E267" s="36">
        <f>'建筑建议逐级'!E267</f>
        <v/>
      </c>
      <c r="F267" s="51">
        <f>IF(OR('建筑建议逐级'!I267&gt;0,'建筑建议逐级'!R267&gt;0,'建筑建议逐级'!S267&gt;0),"预算型曲线","旧指数公式")</f>
        <v/>
      </c>
      <c r="G267" s="50">
        <f>'建筑建议逐级'!H267</f>
        <v/>
      </c>
      <c r="H267" s="36">
        <f>'建筑建议逐级'!M267</f>
        <v/>
      </c>
      <c r="I267" s="35">
        <f>H267/3600</f>
        <v/>
      </c>
      <c r="J267" s="35">
        <f>H267/'参数与公式'!$B$21</f>
        <v/>
      </c>
      <c r="K267" s="35">
        <f>SUMIFS($J$5:$J$328,$A$5:$A$328,A267,$D$5:$D$328,"&lt;="&amp;D267)</f>
        <v/>
      </c>
      <c r="L267" s="50">
        <f>'建筑建议逐级'!Q267</f>
        <v/>
      </c>
      <c r="M267" s="36">
        <f>'建筑建议逐级'!X267</f>
        <v/>
      </c>
      <c r="N267" s="36">
        <f>SUMIFS($M$5:$M$328,$A$5:$A$328,A267,$D$5:$D$328,"&lt;="&amp;D267)</f>
        <v/>
      </c>
      <c r="O267" s="36">
        <f>'建筑建议逐级'!Y267</f>
        <v/>
      </c>
      <c r="P267" s="36">
        <f>SUMIFS($O$5:$O$328,$A$5:$A$328,A267,$D$5:$D$328,"&lt;="&amp;D267)</f>
        <v/>
      </c>
      <c r="Q267" s="51">
        <f>IF(F267="预算型曲线","总预算归一化","沿用旧指数公式")</f>
        <v/>
      </c>
      <c r="R267" s="51">
        <f>IF(F267="预算型曲线","与当前建议公式一致","需单独复核")</f>
        <v/>
      </c>
    </row>
    <row r="268" ht="22" customHeight="1">
      <c r="A268" s="33">
        <f>'建筑建议逐级'!A268</f>
        <v/>
      </c>
      <c r="B268" s="33">
        <f>'建筑建议逐级'!B268</f>
        <v/>
      </c>
      <c r="C268" s="33">
        <f>'建筑建议逐级'!C268</f>
        <v/>
      </c>
      <c r="D268" s="43">
        <f>'建筑建议逐级'!D268</f>
        <v/>
      </c>
      <c r="E268" s="36">
        <f>'建筑建议逐级'!E268</f>
        <v/>
      </c>
      <c r="F268" s="51">
        <f>IF(OR('建筑建议逐级'!I268&gt;0,'建筑建议逐级'!R268&gt;0,'建筑建议逐级'!S268&gt;0),"预算型曲线","旧指数公式")</f>
        <v/>
      </c>
      <c r="G268" s="50">
        <f>'建筑建议逐级'!H268</f>
        <v/>
      </c>
      <c r="H268" s="36">
        <f>'建筑建议逐级'!M268</f>
        <v/>
      </c>
      <c r="I268" s="35">
        <f>H268/3600</f>
        <v/>
      </c>
      <c r="J268" s="35">
        <f>H268/'参数与公式'!$B$21</f>
        <v/>
      </c>
      <c r="K268" s="35">
        <f>SUMIFS($J$5:$J$328,$A$5:$A$328,A268,$D$5:$D$328,"&lt;="&amp;D268)</f>
        <v/>
      </c>
      <c r="L268" s="50">
        <f>'建筑建议逐级'!Q268</f>
        <v/>
      </c>
      <c r="M268" s="36">
        <f>'建筑建议逐级'!X268</f>
        <v/>
      </c>
      <c r="N268" s="36">
        <f>SUMIFS($M$5:$M$328,$A$5:$A$328,A268,$D$5:$D$328,"&lt;="&amp;D268)</f>
        <v/>
      </c>
      <c r="O268" s="36">
        <f>'建筑建议逐级'!Y268</f>
        <v/>
      </c>
      <c r="P268" s="36">
        <f>SUMIFS($O$5:$O$328,$A$5:$A$328,A268,$D$5:$D$328,"&lt;="&amp;D268)</f>
        <v/>
      </c>
      <c r="Q268" s="51">
        <f>IF(F268="预算型曲线","总预算归一化","沿用旧指数公式")</f>
        <v/>
      </c>
      <c r="R268" s="51">
        <f>IF(F268="预算型曲线","与当前建议公式一致","需单独复核")</f>
        <v/>
      </c>
    </row>
    <row r="269" ht="22" customHeight="1">
      <c r="A269" s="33">
        <f>'建筑建议逐级'!A269</f>
        <v/>
      </c>
      <c r="B269" s="33">
        <f>'建筑建议逐级'!B269</f>
        <v/>
      </c>
      <c r="C269" s="33">
        <f>'建筑建议逐级'!C269</f>
        <v/>
      </c>
      <c r="D269" s="43">
        <f>'建筑建议逐级'!D269</f>
        <v/>
      </c>
      <c r="E269" s="36">
        <f>'建筑建议逐级'!E269</f>
        <v/>
      </c>
      <c r="F269" s="51">
        <f>IF(OR('建筑建议逐级'!I269&gt;0,'建筑建议逐级'!R269&gt;0,'建筑建议逐级'!S269&gt;0),"预算型曲线","旧指数公式")</f>
        <v/>
      </c>
      <c r="G269" s="50">
        <f>'建筑建议逐级'!H269</f>
        <v/>
      </c>
      <c r="H269" s="36">
        <f>'建筑建议逐级'!M269</f>
        <v/>
      </c>
      <c r="I269" s="35">
        <f>H269/3600</f>
        <v/>
      </c>
      <c r="J269" s="35">
        <f>H269/'参数与公式'!$B$21</f>
        <v/>
      </c>
      <c r="K269" s="35">
        <f>SUMIFS($J$5:$J$328,$A$5:$A$328,A269,$D$5:$D$328,"&lt;="&amp;D269)</f>
        <v/>
      </c>
      <c r="L269" s="50">
        <f>'建筑建议逐级'!Q269</f>
        <v/>
      </c>
      <c r="M269" s="36">
        <f>'建筑建议逐级'!X269</f>
        <v/>
      </c>
      <c r="N269" s="36">
        <f>SUMIFS($M$5:$M$328,$A$5:$A$328,A269,$D$5:$D$328,"&lt;="&amp;D269)</f>
        <v/>
      </c>
      <c r="O269" s="36">
        <f>'建筑建议逐级'!Y269</f>
        <v/>
      </c>
      <c r="P269" s="36">
        <f>SUMIFS($O$5:$O$328,$A$5:$A$328,A269,$D$5:$D$328,"&lt;="&amp;D269)</f>
        <v/>
      </c>
      <c r="Q269" s="51">
        <f>IF(F269="预算型曲线","总预算归一化","沿用旧指数公式")</f>
        <v/>
      </c>
      <c r="R269" s="51">
        <f>IF(F269="预算型曲线","与当前建议公式一致","需单独复核")</f>
        <v/>
      </c>
    </row>
    <row r="270" ht="22" customHeight="1">
      <c r="A270" s="33">
        <f>'建筑建议逐级'!A270</f>
        <v/>
      </c>
      <c r="B270" s="33">
        <f>'建筑建议逐级'!B270</f>
        <v/>
      </c>
      <c r="C270" s="33">
        <f>'建筑建议逐级'!C270</f>
        <v/>
      </c>
      <c r="D270" s="43">
        <f>'建筑建议逐级'!D270</f>
        <v/>
      </c>
      <c r="E270" s="36">
        <f>'建筑建议逐级'!E270</f>
        <v/>
      </c>
      <c r="F270" s="51">
        <f>IF(OR('建筑建议逐级'!I270&gt;0,'建筑建议逐级'!R270&gt;0,'建筑建议逐级'!S270&gt;0),"预算型曲线","旧指数公式")</f>
        <v/>
      </c>
      <c r="G270" s="50">
        <f>'建筑建议逐级'!H270</f>
        <v/>
      </c>
      <c r="H270" s="36">
        <f>'建筑建议逐级'!M270</f>
        <v/>
      </c>
      <c r="I270" s="35">
        <f>H270/3600</f>
        <v/>
      </c>
      <c r="J270" s="35">
        <f>H270/'参数与公式'!$B$21</f>
        <v/>
      </c>
      <c r="K270" s="35">
        <f>SUMIFS($J$5:$J$328,$A$5:$A$328,A270,$D$5:$D$328,"&lt;="&amp;D270)</f>
        <v/>
      </c>
      <c r="L270" s="50">
        <f>'建筑建议逐级'!Q270</f>
        <v/>
      </c>
      <c r="M270" s="36">
        <f>'建筑建议逐级'!X270</f>
        <v/>
      </c>
      <c r="N270" s="36">
        <f>SUMIFS($M$5:$M$328,$A$5:$A$328,A270,$D$5:$D$328,"&lt;="&amp;D270)</f>
        <v/>
      </c>
      <c r="O270" s="36">
        <f>'建筑建议逐级'!Y270</f>
        <v/>
      </c>
      <c r="P270" s="36">
        <f>SUMIFS($O$5:$O$328,$A$5:$A$328,A270,$D$5:$D$328,"&lt;="&amp;D270)</f>
        <v/>
      </c>
      <c r="Q270" s="51">
        <f>IF(F270="预算型曲线","总预算归一化","沿用旧指数公式")</f>
        <v/>
      </c>
      <c r="R270" s="51">
        <f>IF(F270="预算型曲线","与当前建议公式一致","需单独复核")</f>
        <v/>
      </c>
    </row>
    <row r="271" ht="22" customHeight="1">
      <c r="A271" s="33">
        <f>'建筑建议逐级'!A271</f>
        <v/>
      </c>
      <c r="B271" s="33">
        <f>'建筑建议逐级'!B271</f>
        <v/>
      </c>
      <c r="C271" s="33">
        <f>'建筑建议逐级'!C271</f>
        <v/>
      </c>
      <c r="D271" s="43">
        <f>'建筑建议逐级'!D271</f>
        <v/>
      </c>
      <c r="E271" s="36">
        <f>'建筑建议逐级'!E271</f>
        <v/>
      </c>
      <c r="F271" s="51">
        <f>IF(OR('建筑建议逐级'!I271&gt;0,'建筑建议逐级'!R271&gt;0,'建筑建议逐级'!S271&gt;0),"预算型曲线","旧指数公式")</f>
        <v/>
      </c>
      <c r="G271" s="50">
        <f>'建筑建议逐级'!H271</f>
        <v/>
      </c>
      <c r="H271" s="36">
        <f>'建筑建议逐级'!M271</f>
        <v/>
      </c>
      <c r="I271" s="35">
        <f>H271/3600</f>
        <v/>
      </c>
      <c r="J271" s="35">
        <f>H271/'参数与公式'!$B$21</f>
        <v/>
      </c>
      <c r="K271" s="35">
        <f>SUMIFS($J$5:$J$328,$A$5:$A$328,A271,$D$5:$D$328,"&lt;="&amp;D271)</f>
        <v/>
      </c>
      <c r="L271" s="50">
        <f>'建筑建议逐级'!Q271</f>
        <v/>
      </c>
      <c r="M271" s="36">
        <f>'建筑建议逐级'!X271</f>
        <v/>
      </c>
      <c r="N271" s="36">
        <f>SUMIFS($M$5:$M$328,$A$5:$A$328,A271,$D$5:$D$328,"&lt;="&amp;D271)</f>
        <v/>
      </c>
      <c r="O271" s="36">
        <f>'建筑建议逐级'!Y271</f>
        <v/>
      </c>
      <c r="P271" s="36">
        <f>SUMIFS($O$5:$O$328,$A$5:$A$328,A271,$D$5:$D$328,"&lt;="&amp;D271)</f>
        <v/>
      </c>
      <c r="Q271" s="51">
        <f>IF(F271="预算型曲线","总预算归一化","沿用旧指数公式")</f>
        <v/>
      </c>
      <c r="R271" s="51">
        <f>IF(F271="预算型曲线","与当前建议公式一致","需单独复核")</f>
        <v/>
      </c>
    </row>
    <row r="272" ht="22" customHeight="1">
      <c r="A272" s="33">
        <f>'建筑建议逐级'!A272</f>
        <v/>
      </c>
      <c r="B272" s="33">
        <f>'建筑建议逐级'!B272</f>
        <v/>
      </c>
      <c r="C272" s="33">
        <f>'建筑建议逐级'!C272</f>
        <v/>
      </c>
      <c r="D272" s="43">
        <f>'建筑建议逐级'!D272</f>
        <v/>
      </c>
      <c r="E272" s="36">
        <f>'建筑建议逐级'!E272</f>
        <v/>
      </c>
      <c r="F272" s="51">
        <f>IF(OR('建筑建议逐级'!I272&gt;0,'建筑建议逐级'!R272&gt;0,'建筑建议逐级'!S272&gt;0),"预算型曲线","旧指数公式")</f>
        <v/>
      </c>
      <c r="G272" s="50">
        <f>'建筑建议逐级'!H272</f>
        <v/>
      </c>
      <c r="H272" s="36">
        <f>'建筑建议逐级'!M272</f>
        <v/>
      </c>
      <c r="I272" s="35">
        <f>H272/3600</f>
        <v/>
      </c>
      <c r="J272" s="35">
        <f>H272/'参数与公式'!$B$21</f>
        <v/>
      </c>
      <c r="K272" s="35">
        <f>SUMIFS($J$5:$J$328,$A$5:$A$328,A272,$D$5:$D$328,"&lt;="&amp;D272)</f>
        <v/>
      </c>
      <c r="L272" s="50">
        <f>'建筑建议逐级'!Q272</f>
        <v/>
      </c>
      <c r="M272" s="36">
        <f>'建筑建议逐级'!X272</f>
        <v/>
      </c>
      <c r="N272" s="36">
        <f>SUMIFS($M$5:$M$328,$A$5:$A$328,A272,$D$5:$D$328,"&lt;="&amp;D272)</f>
        <v/>
      </c>
      <c r="O272" s="36">
        <f>'建筑建议逐级'!Y272</f>
        <v/>
      </c>
      <c r="P272" s="36">
        <f>SUMIFS($O$5:$O$328,$A$5:$A$328,A272,$D$5:$D$328,"&lt;="&amp;D272)</f>
        <v/>
      </c>
      <c r="Q272" s="51">
        <f>IF(F272="预算型曲线","总预算归一化","沿用旧指数公式")</f>
        <v/>
      </c>
      <c r="R272" s="51">
        <f>IF(F272="预算型曲线","与当前建议公式一致","需单独复核")</f>
        <v/>
      </c>
    </row>
    <row r="273" ht="22" customHeight="1">
      <c r="A273" s="33">
        <f>'建筑建议逐级'!A273</f>
        <v/>
      </c>
      <c r="B273" s="33">
        <f>'建筑建议逐级'!B273</f>
        <v/>
      </c>
      <c r="C273" s="33">
        <f>'建筑建议逐级'!C273</f>
        <v/>
      </c>
      <c r="D273" s="43">
        <f>'建筑建议逐级'!D273</f>
        <v/>
      </c>
      <c r="E273" s="36">
        <f>'建筑建议逐级'!E273</f>
        <v/>
      </c>
      <c r="F273" s="51">
        <f>IF(OR('建筑建议逐级'!I273&gt;0,'建筑建议逐级'!R273&gt;0,'建筑建议逐级'!S273&gt;0),"预算型曲线","旧指数公式")</f>
        <v/>
      </c>
      <c r="G273" s="50">
        <f>'建筑建议逐级'!H273</f>
        <v/>
      </c>
      <c r="H273" s="36">
        <f>'建筑建议逐级'!M273</f>
        <v/>
      </c>
      <c r="I273" s="35">
        <f>H273/3600</f>
        <v/>
      </c>
      <c r="J273" s="35">
        <f>H273/'参数与公式'!$B$21</f>
        <v/>
      </c>
      <c r="K273" s="35">
        <f>SUMIFS($J$5:$J$328,$A$5:$A$328,A273,$D$5:$D$328,"&lt;="&amp;D273)</f>
        <v/>
      </c>
      <c r="L273" s="50">
        <f>'建筑建议逐级'!Q273</f>
        <v/>
      </c>
      <c r="M273" s="36">
        <f>'建筑建议逐级'!X273</f>
        <v/>
      </c>
      <c r="N273" s="36">
        <f>SUMIFS($M$5:$M$328,$A$5:$A$328,A273,$D$5:$D$328,"&lt;="&amp;D273)</f>
        <v/>
      </c>
      <c r="O273" s="36">
        <f>'建筑建议逐级'!Y273</f>
        <v/>
      </c>
      <c r="P273" s="36">
        <f>SUMIFS($O$5:$O$328,$A$5:$A$328,A273,$D$5:$D$328,"&lt;="&amp;D273)</f>
        <v/>
      </c>
      <c r="Q273" s="51">
        <f>IF(F273="预算型曲线","总预算归一化","沿用旧指数公式")</f>
        <v/>
      </c>
      <c r="R273" s="51">
        <f>IF(F273="预算型曲线","与当前建议公式一致","需单独复核")</f>
        <v/>
      </c>
    </row>
    <row r="274" ht="22" customHeight="1">
      <c r="A274" s="33">
        <f>'建筑建议逐级'!A274</f>
        <v/>
      </c>
      <c r="B274" s="33">
        <f>'建筑建议逐级'!B274</f>
        <v/>
      </c>
      <c r="C274" s="33">
        <f>'建筑建议逐级'!C274</f>
        <v/>
      </c>
      <c r="D274" s="43">
        <f>'建筑建议逐级'!D274</f>
        <v/>
      </c>
      <c r="E274" s="36">
        <f>'建筑建议逐级'!E274</f>
        <v/>
      </c>
      <c r="F274" s="51">
        <f>IF(OR('建筑建议逐级'!I274&gt;0,'建筑建议逐级'!R274&gt;0,'建筑建议逐级'!S274&gt;0),"预算型曲线","旧指数公式")</f>
        <v/>
      </c>
      <c r="G274" s="50">
        <f>'建筑建议逐级'!H274</f>
        <v/>
      </c>
      <c r="H274" s="36">
        <f>'建筑建议逐级'!M274</f>
        <v/>
      </c>
      <c r="I274" s="35">
        <f>H274/3600</f>
        <v/>
      </c>
      <c r="J274" s="35">
        <f>H274/'参数与公式'!$B$21</f>
        <v/>
      </c>
      <c r="K274" s="35">
        <f>SUMIFS($J$5:$J$328,$A$5:$A$328,A274,$D$5:$D$328,"&lt;="&amp;D274)</f>
        <v/>
      </c>
      <c r="L274" s="50">
        <f>'建筑建议逐级'!Q274</f>
        <v/>
      </c>
      <c r="M274" s="36">
        <f>'建筑建议逐级'!X274</f>
        <v/>
      </c>
      <c r="N274" s="36">
        <f>SUMIFS($M$5:$M$328,$A$5:$A$328,A274,$D$5:$D$328,"&lt;="&amp;D274)</f>
        <v/>
      </c>
      <c r="O274" s="36">
        <f>'建筑建议逐级'!Y274</f>
        <v/>
      </c>
      <c r="P274" s="36">
        <f>SUMIFS($O$5:$O$328,$A$5:$A$328,A274,$D$5:$D$328,"&lt;="&amp;D274)</f>
        <v/>
      </c>
      <c r="Q274" s="51">
        <f>IF(F274="预算型曲线","总预算归一化","沿用旧指数公式")</f>
        <v/>
      </c>
      <c r="R274" s="51">
        <f>IF(F274="预算型曲线","与当前建议公式一致","需单独复核")</f>
        <v/>
      </c>
    </row>
    <row r="275" ht="22" customHeight="1">
      <c r="A275" s="33">
        <f>'建筑建议逐级'!A275</f>
        <v/>
      </c>
      <c r="B275" s="33">
        <f>'建筑建议逐级'!B275</f>
        <v/>
      </c>
      <c r="C275" s="33">
        <f>'建筑建议逐级'!C275</f>
        <v/>
      </c>
      <c r="D275" s="43">
        <f>'建筑建议逐级'!D275</f>
        <v/>
      </c>
      <c r="E275" s="36">
        <f>'建筑建议逐级'!E275</f>
        <v/>
      </c>
      <c r="F275" s="51">
        <f>IF(OR('建筑建议逐级'!I275&gt;0,'建筑建议逐级'!R275&gt;0,'建筑建议逐级'!S275&gt;0),"预算型曲线","旧指数公式")</f>
        <v/>
      </c>
      <c r="G275" s="50">
        <f>'建筑建议逐级'!H275</f>
        <v/>
      </c>
      <c r="H275" s="36">
        <f>'建筑建议逐级'!M275</f>
        <v/>
      </c>
      <c r="I275" s="35">
        <f>H275/3600</f>
        <v/>
      </c>
      <c r="J275" s="35">
        <f>H275/'参数与公式'!$B$21</f>
        <v/>
      </c>
      <c r="K275" s="35">
        <f>SUMIFS($J$5:$J$328,$A$5:$A$328,A275,$D$5:$D$328,"&lt;="&amp;D275)</f>
        <v/>
      </c>
      <c r="L275" s="50">
        <f>'建筑建议逐级'!Q275</f>
        <v/>
      </c>
      <c r="M275" s="36">
        <f>'建筑建议逐级'!X275</f>
        <v/>
      </c>
      <c r="N275" s="36">
        <f>SUMIFS($M$5:$M$328,$A$5:$A$328,A275,$D$5:$D$328,"&lt;="&amp;D275)</f>
        <v/>
      </c>
      <c r="O275" s="36">
        <f>'建筑建议逐级'!Y275</f>
        <v/>
      </c>
      <c r="P275" s="36">
        <f>SUMIFS($O$5:$O$328,$A$5:$A$328,A275,$D$5:$D$328,"&lt;="&amp;D275)</f>
        <v/>
      </c>
      <c r="Q275" s="51">
        <f>IF(F275="预算型曲线","总预算归一化","沿用旧指数公式")</f>
        <v/>
      </c>
      <c r="R275" s="51">
        <f>IF(F275="预算型曲线","与当前建议公式一致","需单独复核")</f>
        <v/>
      </c>
    </row>
    <row r="276" ht="22" customHeight="1">
      <c r="A276" s="33">
        <f>'建筑建议逐级'!A276</f>
        <v/>
      </c>
      <c r="B276" s="33">
        <f>'建筑建议逐级'!B276</f>
        <v/>
      </c>
      <c r="C276" s="33">
        <f>'建筑建议逐级'!C276</f>
        <v/>
      </c>
      <c r="D276" s="43">
        <f>'建筑建议逐级'!D276</f>
        <v/>
      </c>
      <c r="E276" s="36">
        <f>'建筑建议逐级'!E276</f>
        <v/>
      </c>
      <c r="F276" s="51">
        <f>IF(OR('建筑建议逐级'!I276&gt;0,'建筑建议逐级'!R276&gt;0,'建筑建议逐级'!S276&gt;0),"预算型曲线","旧指数公式")</f>
        <v/>
      </c>
      <c r="G276" s="50">
        <f>'建筑建议逐级'!H276</f>
        <v/>
      </c>
      <c r="H276" s="36">
        <f>'建筑建议逐级'!M276</f>
        <v/>
      </c>
      <c r="I276" s="35">
        <f>H276/3600</f>
        <v/>
      </c>
      <c r="J276" s="35">
        <f>H276/'参数与公式'!$B$21</f>
        <v/>
      </c>
      <c r="K276" s="35">
        <f>SUMIFS($J$5:$J$328,$A$5:$A$328,A276,$D$5:$D$328,"&lt;="&amp;D276)</f>
        <v/>
      </c>
      <c r="L276" s="50">
        <f>'建筑建议逐级'!Q276</f>
        <v/>
      </c>
      <c r="M276" s="36">
        <f>'建筑建议逐级'!X276</f>
        <v/>
      </c>
      <c r="N276" s="36">
        <f>SUMIFS($M$5:$M$328,$A$5:$A$328,A276,$D$5:$D$328,"&lt;="&amp;D276)</f>
        <v/>
      </c>
      <c r="O276" s="36">
        <f>'建筑建议逐级'!Y276</f>
        <v/>
      </c>
      <c r="P276" s="36">
        <f>SUMIFS($O$5:$O$328,$A$5:$A$328,A276,$D$5:$D$328,"&lt;="&amp;D276)</f>
        <v/>
      </c>
      <c r="Q276" s="51">
        <f>IF(F276="预算型曲线","总预算归一化","沿用旧指数公式")</f>
        <v/>
      </c>
      <c r="R276" s="51">
        <f>IF(F276="预算型曲线","与当前建议公式一致","需单独复核")</f>
        <v/>
      </c>
    </row>
    <row r="277" ht="22" customHeight="1">
      <c r="A277" s="33">
        <f>'建筑建议逐级'!A277</f>
        <v/>
      </c>
      <c r="B277" s="33">
        <f>'建筑建议逐级'!B277</f>
        <v/>
      </c>
      <c r="C277" s="33">
        <f>'建筑建议逐级'!C277</f>
        <v/>
      </c>
      <c r="D277" s="43">
        <f>'建筑建议逐级'!D277</f>
        <v/>
      </c>
      <c r="E277" s="36">
        <f>'建筑建议逐级'!E277</f>
        <v/>
      </c>
      <c r="F277" s="51">
        <f>IF(OR('建筑建议逐级'!I277&gt;0,'建筑建议逐级'!R277&gt;0,'建筑建议逐级'!S277&gt;0),"预算型曲线","旧指数公式")</f>
        <v/>
      </c>
      <c r="G277" s="50">
        <f>'建筑建议逐级'!H277</f>
        <v/>
      </c>
      <c r="H277" s="36">
        <f>'建筑建议逐级'!M277</f>
        <v/>
      </c>
      <c r="I277" s="35">
        <f>H277/3600</f>
        <v/>
      </c>
      <c r="J277" s="35">
        <f>H277/'参数与公式'!$B$21</f>
        <v/>
      </c>
      <c r="K277" s="35">
        <f>SUMIFS($J$5:$J$328,$A$5:$A$328,A277,$D$5:$D$328,"&lt;="&amp;D277)</f>
        <v/>
      </c>
      <c r="L277" s="50">
        <f>'建筑建议逐级'!Q277</f>
        <v/>
      </c>
      <c r="M277" s="36">
        <f>'建筑建议逐级'!X277</f>
        <v/>
      </c>
      <c r="N277" s="36">
        <f>SUMIFS($M$5:$M$328,$A$5:$A$328,A277,$D$5:$D$328,"&lt;="&amp;D277)</f>
        <v/>
      </c>
      <c r="O277" s="36">
        <f>'建筑建议逐级'!Y277</f>
        <v/>
      </c>
      <c r="P277" s="36">
        <f>SUMIFS($O$5:$O$328,$A$5:$A$328,A277,$D$5:$D$328,"&lt;="&amp;D277)</f>
        <v/>
      </c>
      <c r="Q277" s="51">
        <f>IF(F277="预算型曲线","总预算归一化","沿用旧指数公式")</f>
        <v/>
      </c>
      <c r="R277" s="51">
        <f>IF(F277="预算型曲线","与当前建议公式一致","需单独复核")</f>
        <v/>
      </c>
    </row>
    <row r="278" ht="22" customHeight="1">
      <c r="A278" s="33">
        <f>'建筑建议逐级'!A278</f>
        <v/>
      </c>
      <c r="B278" s="33">
        <f>'建筑建议逐级'!B278</f>
        <v/>
      </c>
      <c r="C278" s="33">
        <f>'建筑建议逐级'!C278</f>
        <v/>
      </c>
      <c r="D278" s="43">
        <f>'建筑建议逐级'!D278</f>
        <v/>
      </c>
      <c r="E278" s="36">
        <f>'建筑建议逐级'!E278</f>
        <v/>
      </c>
      <c r="F278" s="51">
        <f>IF(OR('建筑建议逐级'!I278&gt;0,'建筑建议逐级'!R278&gt;0,'建筑建议逐级'!S278&gt;0),"预算型曲线","旧指数公式")</f>
        <v/>
      </c>
      <c r="G278" s="50">
        <f>'建筑建议逐级'!H278</f>
        <v/>
      </c>
      <c r="H278" s="36">
        <f>'建筑建议逐级'!M278</f>
        <v/>
      </c>
      <c r="I278" s="35">
        <f>H278/3600</f>
        <v/>
      </c>
      <c r="J278" s="35">
        <f>H278/'参数与公式'!$B$21</f>
        <v/>
      </c>
      <c r="K278" s="35">
        <f>SUMIFS($J$5:$J$328,$A$5:$A$328,A278,$D$5:$D$328,"&lt;="&amp;D278)</f>
        <v/>
      </c>
      <c r="L278" s="50">
        <f>'建筑建议逐级'!Q278</f>
        <v/>
      </c>
      <c r="M278" s="36">
        <f>'建筑建议逐级'!X278</f>
        <v/>
      </c>
      <c r="N278" s="36">
        <f>SUMIFS($M$5:$M$328,$A$5:$A$328,A278,$D$5:$D$328,"&lt;="&amp;D278)</f>
        <v/>
      </c>
      <c r="O278" s="36">
        <f>'建筑建议逐级'!Y278</f>
        <v/>
      </c>
      <c r="P278" s="36">
        <f>SUMIFS($O$5:$O$328,$A$5:$A$328,A278,$D$5:$D$328,"&lt;="&amp;D278)</f>
        <v/>
      </c>
      <c r="Q278" s="51">
        <f>IF(F278="预算型曲线","总预算归一化","沿用旧指数公式")</f>
        <v/>
      </c>
      <c r="R278" s="51">
        <f>IF(F278="预算型曲线","与当前建议公式一致","需单独复核")</f>
        <v/>
      </c>
    </row>
    <row r="279" ht="22" customHeight="1">
      <c r="A279" s="33">
        <f>'建筑建议逐级'!A279</f>
        <v/>
      </c>
      <c r="B279" s="33">
        <f>'建筑建议逐级'!B279</f>
        <v/>
      </c>
      <c r="C279" s="33">
        <f>'建筑建议逐级'!C279</f>
        <v/>
      </c>
      <c r="D279" s="43">
        <f>'建筑建议逐级'!D279</f>
        <v/>
      </c>
      <c r="E279" s="36">
        <f>'建筑建议逐级'!E279</f>
        <v/>
      </c>
      <c r="F279" s="51">
        <f>IF(OR('建筑建议逐级'!I279&gt;0,'建筑建议逐级'!R279&gt;0,'建筑建议逐级'!S279&gt;0),"预算型曲线","旧指数公式")</f>
        <v/>
      </c>
      <c r="G279" s="50">
        <f>'建筑建议逐级'!H279</f>
        <v/>
      </c>
      <c r="H279" s="36">
        <f>'建筑建议逐级'!M279</f>
        <v/>
      </c>
      <c r="I279" s="35">
        <f>H279/3600</f>
        <v/>
      </c>
      <c r="J279" s="35">
        <f>H279/'参数与公式'!$B$21</f>
        <v/>
      </c>
      <c r="K279" s="35">
        <f>SUMIFS($J$5:$J$328,$A$5:$A$328,A279,$D$5:$D$328,"&lt;="&amp;D279)</f>
        <v/>
      </c>
      <c r="L279" s="50">
        <f>'建筑建议逐级'!Q279</f>
        <v/>
      </c>
      <c r="M279" s="36">
        <f>'建筑建议逐级'!X279</f>
        <v/>
      </c>
      <c r="N279" s="36">
        <f>SUMIFS($M$5:$M$328,$A$5:$A$328,A279,$D$5:$D$328,"&lt;="&amp;D279)</f>
        <v/>
      </c>
      <c r="O279" s="36">
        <f>'建筑建议逐级'!Y279</f>
        <v/>
      </c>
      <c r="P279" s="36">
        <f>SUMIFS($O$5:$O$328,$A$5:$A$328,A279,$D$5:$D$328,"&lt;="&amp;D279)</f>
        <v/>
      </c>
      <c r="Q279" s="51">
        <f>IF(F279="预算型曲线","总预算归一化","沿用旧指数公式")</f>
        <v/>
      </c>
      <c r="R279" s="51">
        <f>IF(F279="预算型曲线","与当前建议公式一致","需单独复核")</f>
        <v/>
      </c>
    </row>
    <row r="280" ht="22" customHeight="1">
      <c r="A280" s="33">
        <f>'建筑建议逐级'!A280</f>
        <v/>
      </c>
      <c r="B280" s="33">
        <f>'建筑建议逐级'!B280</f>
        <v/>
      </c>
      <c r="C280" s="33">
        <f>'建筑建议逐级'!C280</f>
        <v/>
      </c>
      <c r="D280" s="43">
        <f>'建筑建议逐级'!D280</f>
        <v/>
      </c>
      <c r="E280" s="36">
        <f>'建筑建议逐级'!E280</f>
        <v/>
      </c>
      <c r="F280" s="51">
        <f>IF(OR('建筑建议逐级'!I280&gt;0,'建筑建议逐级'!R280&gt;0,'建筑建议逐级'!S280&gt;0),"预算型曲线","旧指数公式")</f>
        <v/>
      </c>
      <c r="G280" s="50">
        <f>'建筑建议逐级'!H280</f>
        <v/>
      </c>
      <c r="H280" s="36">
        <f>'建筑建议逐级'!M280</f>
        <v/>
      </c>
      <c r="I280" s="35">
        <f>H280/3600</f>
        <v/>
      </c>
      <c r="J280" s="35">
        <f>H280/'参数与公式'!$B$21</f>
        <v/>
      </c>
      <c r="K280" s="35">
        <f>SUMIFS($J$5:$J$328,$A$5:$A$328,A280,$D$5:$D$328,"&lt;="&amp;D280)</f>
        <v/>
      </c>
      <c r="L280" s="50">
        <f>'建筑建议逐级'!Q280</f>
        <v/>
      </c>
      <c r="M280" s="36">
        <f>'建筑建议逐级'!X280</f>
        <v/>
      </c>
      <c r="N280" s="36">
        <f>SUMIFS($M$5:$M$328,$A$5:$A$328,A280,$D$5:$D$328,"&lt;="&amp;D280)</f>
        <v/>
      </c>
      <c r="O280" s="36">
        <f>'建筑建议逐级'!Y280</f>
        <v/>
      </c>
      <c r="P280" s="36">
        <f>SUMIFS($O$5:$O$328,$A$5:$A$328,A280,$D$5:$D$328,"&lt;="&amp;D280)</f>
        <v/>
      </c>
      <c r="Q280" s="51">
        <f>IF(F280="预算型曲线","总预算归一化","沿用旧指数公式")</f>
        <v/>
      </c>
      <c r="R280" s="51">
        <f>IF(F280="预算型曲线","与当前建议公式一致","需单独复核")</f>
        <v/>
      </c>
    </row>
    <row r="281" ht="22" customHeight="1">
      <c r="A281" s="33">
        <f>'建筑建议逐级'!A281</f>
        <v/>
      </c>
      <c r="B281" s="33">
        <f>'建筑建议逐级'!B281</f>
        <v/>
      </c>
      <c r="C281" s="33">
        <f>'建筑建议逐级'!C281</f>
        <v/>
      </c>
      <c r="D281" s="43">
        <f>'建筑建议逐级'!D281</f>
        <v/>
      </c>
      <c r="E281" s="36">
        <f>'建筑建议逐级'!E281</f>
        <v/>
      </c>
      <c r="F281" s="51">
        <f>IF(OR('建筑建议逐级'!I281&gt;0,'建筑建议逐级'!R281&gt;0,'建筑建议逐级'!S281&gt;0),"预算型曲线","旧指数公式")</f>
        <v/>
      </c>
      <c r="G281" s="50">
        <f>'建筑建议逐级'!H281</f>
        <v/>
      </c>
      <c r="H281" s="36">
        <f>'建筑建议逐级'!M281</f>
        <v/>
      </c>
      <c r="I281" s="35">
        <f>H281/3600</f>
        <v/>
      </c>
      <c r="J281" s="35">
        <f>H281/'参数与公式'!$B$21</f>
        <v/>
      </c>
      <c r="K281" s="35">
        <f>SUMIFS($J$5:$J$328,$A$5:$A$328,A281,$D$5:$D$328,"&lt;="&amp;D281)</f>
        <v/>
      </c>
      <c r="L281" s="50">
        <f>'建筑建议逐级'!Q281</f>
        <v/>
      </c>
      <c r="M281" s="36">
        <f>'建筑建议逐级'!X281</f>
        <v/>
      </c>
      <c r="N281" s="36">
        <f>SUMIFS($M$5:$M$328,$A$5:$A$328,A281,$D$5:$D$328,"&lt;="&amp;D281)</f>
        <v/>
      </c>
      <c r="O281" s="36">
        <f>'建筑建议逐级'!Y281</f>
        <v/>
      </c>
      <c r="P281" s="36">
        <f>SUMIFS($O$5:$O$328,$A$5:$A$328,A281,$D$5:$D$328,"&lt;="&amp;D281)</f>
        <v/>
      </c>
      <c r="Q281" s="51">
        <f>IF(F281="预算型曲线","总预算归一化","沿用旧指数公式")</f>
        <v/>
      </c>
      <c r="R281" s="51">
        <f>IF(F281="预算型曲线","与当前建议公式一致","需单独复核")</f>
        <v/>
      </c>
    </row>
    <row r="282" ht="22" customHeight="1">
      <c r="A282" s="33">
        <f>'建筑建议逐级'!A282</f>
        <v/>
      </c>
      <c r="B282" s="33">
        <f>'建筑建议逐级'!B282</f>
        <v/>
      </c>
      <c r="C282" s="33">
        <f>'建筑建议逐级'!C282</f>
        <v/>
      </c>
      <c r="D282" s="43">
        <f>'建筑建议逐级'!D282</f>
        <v/>
      </c>
      <c r="E282" s="36">
        <f>'建筑建议逐级'!E282</f>
        <v/>
      </c>
      <c r="F282" s="51">
        <f>IF(OR('建筑建议逐级'!I282&gt;0,'建筑建议逐级'!R282&gt;0,'建筑建议逐级'!S282&gt;0),"预算型曲线","旧指数公式")</f>
        <v/>
      </c>
      <c r="G282" s="50">
        <f>'建筑建议逐级'!H282</f>
        <v/>
      </c>
      <c r="H282" s="36">
        <f>'建筑建议逐级'!M282</f>
        <v/>
      </c>
      <c r="I282" s="35">
        <f>H282/3600</f>
        <v/>
      </c>
      <c r="J282" s="35">
        <f>H282/'参数与公式'!$B$21</f>
        <v/>
      </c>
      <c r="K282" s="35">
        <f>SUMIFS($J$5:$J$328,$A$5:$A$328,A282,$D$5:$D$328,"&lt;="&amp;D282)</f>
        <v/>
      </c>
      <c r="L282" s="50">
        <f>'建筑建议逐级'!Q282</f>
        <v/>
      </c>
      <c r="M282" s="36">
        <f>'建筑建议逐级'!X282</f>
        <v/>
      </c>
      <c r="N282" s="36">
        <f>SUMIFS($M$5:$M$328,$A$5:$A$328,A282,$D$5:$D$328,"&lt;="&amp;D282)</f>
        <v/>
      </c>
      <c r="O282" s="36">
        <f>'建筑建议逐级'!Y282</f>
        <v/>
      </c>
      <c r="P282" s="36">
        <f>SUMIFS($O$5:$O$328,$A$5:$A$328,A282,$D$5:$D$328,"&lt;="&amp;D282)</f>
        <v/>
      </c>
      <c r="Q282" s="51">
        <f>IF(F282="预算型曲线","总预算归一化","沿用旧指数公式")</f>
        <v/>
      </c>
      <c r="R282" s="51">
        <f>IF(F282="预算型曲线","与当前建议公式一致","需单独复核")</f>
        <v/>
      </c>
    </row>
    <row r="283" ht="22" customHeight="1">
      <c r="A283" s="33">
        <f>'建筑建议逐级'!A283</f>
        <v/>
      </c>
      <c r="B283" s="33">
        <f>'建筑建议逐级'!B283</f>
        <v/>
      </c>
      <c r="C283" s="33">
        <f>'建筑建议逐级'!C283</f>
        <v/>
      </c>
      <c r="D283" s="43">
        <f>'建筑建议逐级'!D283</f>
        <v/>
      </c>
      <c r="E283" s="36">
        <f>'建筑建议逐级'!E283</f>
        <v/>
      </c>
      <c r="F283" s="51">
        <f>IF(OR('建筑建议逐级'!I283&gt;0,'建筑建议逐级'!R283&gt;0,'建筑建议逐级'!S283&gt;0),"预算型曲线","旧指数公式")</f>
        <v/>
      </c>
      <c r="G283" s="50">
        <f>'建筑建议逐级'!H283</f>
        <v/>
      </c>
      <c r="H283" s="36">
        <f>'建筑建议逐级'!M283</f>
        <v/>
      </c>
      <c r="I283" s="35">
        <f>H283/3600</f>
        <v/>
      </c>
      <c r="J283" s="35">
        <f>H283/'参数与公式'!$B$21</f>
        <v/>
      </c>
      <c r="K283" s="35">
        <f>SUMIFS($J$5:$J$328,$A$5:$A$328,A283,$D$5:$D$328,"&lt;="&amp;D283)</f>
        <v/>
      </c>
      <c r="L283" s="50">
        <f>'建筑建议逐级'!Q283</f>
        <v/>
      </c>
      <c r="M283" s="36">
        <f>'建筑建议逐级'!X283</f>
        <v/>
      </c>
      <c r="N283" s="36">
        <f>SUMIFS($M$5:$M$328,$A$5:$A$328,A283,$D$5:$D$328,"&lt;="&amp;D283)</f>
        <v/>
      </c>
      <c r="O283" s="36">
        <f>'建筑建议逐级'!Y283</f>
        <v/>
      </c>
      <c r="P283" s="36">
        <f>SUMIFS($O$5:$O$328,$A$5:$A$328,A283,$D$5:$D$328,"&lt;="&amp;D283)</f>
        <v/>
      </c>
      <c r="Q283" s="51">
        <f>IF(F283="预算型曲线","总预算归一化","沿用旧指数公式")</f>
        <v/>
      </c>
      <c r="R283" s="51">
        <f>IF(F283="预算型曲线","与当前建议公式一致","需单独复核")</f>
        <v/>
      </c>
    </row>
    <row r="284" ht="22" customHeight="1">
      <c r="A284" s="33">
        <f>'建筑建议逐级'!A284</f>
        <v/>
      </c>
      <c r="B284" s="33">
        <f>'建筑建议逐级'!B284</f>
        <v/>
      </c>
      <c r="C284" s="33">
        <f>'建筑建议逐级'!C284</f>
        <v/>
      </c>
      <c r="D284" s="43">
        <f>'建筑建议逐级'!D284</f>
        <v/>
      </c>
      <c r="E284" s="36">
        <f>'建筑建议逐级'!E284</f>
        <v/>
      </c>
      <c r="F284" s="51">
        <f>IF(OR('建筑建议逐级'!I284&gt;0,'建筑建议逐级'!R284&gt;0,'建筑建议逐级'!S284&gt;0),"预算型曲线","旧指数公式")</f>
        <v/>
      </c>
      <c r="G284" s="50">
        <f>'建筑建议逐级'!H284</f>
        <v/>
      </c>
      <c r="H284" s="36">
        <f>'建筑建议逐级'!M284</f>
        <v/>
      </c>
      <c r="I284" s="35">
        <f>H284/3600</f>
        <v/>
      </c>
      <c r="J284" s="35">
        <f>H284/'参数与公式'!$B$21</f>
        <v/>
      </c>
      <c r="K284" s="35">
        <f>SUMIFS($J$5:$J$328,$A$5:$A$328,A284,$D$5:$D$328,"&lt;="&amp;D284)</f>
        <v/>
      </c>
      <c r="L284" s="50">
        <f>'建筑建议逐级'!Q284</f>
        <v/>
      </c>
      <c r="M284" s="36">
        <f>'建筑建议逐级'!X284</f>
        <v/>
      </c>
      <c r="N284" s="36">
        <f>SUMIFS($M$5:$M$328,$A$5:$A$328,A284,$D$5:$D$328,"&lt;="&amp;D284)</f>
        <v/>
      </c>
      <c r="O284" s="36">
        <f>'建筑建议逐级'!Y284</f>
        <v/>
      </c>
      <c r="P284" s="36">
        <f>SUMIFS($O$5:$O$328,$A$5:$A$328,A284,$D$5:$D$328,"&lt;="&amp;D284)</f>
        <v/>
      </c>
      <c r="Q284" s="51">
        <f>IF(F284="预算型曲线","总预算归一化","沿用旧指数公式")</f>
        <v/>
      </c>
      <c r="R284" s="51">
        <f>IF(F284="预算型曲线","与当前建议公式一致","需单独复核")</f>
        <v/>
      </c>
    </row>
    <row r="285" ht="22" customHeight="1">
      <c r="A285" s="33">
        <f>'建筑建议逐级'!A285</f>
        <v/>
      </c>
      <c r="B285" s="33">
        <f>'建筑建议逐级'!B285</f>
        <v/>
      </c>
      <c r="C285" s="33">
        <f>'建筑建议逐级'!C285</f>
        <v/>
      </c>
      <c r="D285" s="43">
        <f>'建筑建议逐级'!D285</f>
        <v/>
      </c>
      <c r="E285" s="36">
        <f>'建筑建议逐级'!E285</f>
        <v/>
      </c>
      <c r="F285" s="51">
        <f>IF(OR('建筑建议逐级'!I285&gt;0,'建筑建议逐级'!R285&gt;0,'建筑建议逐级'!S285&gt;0),"预算型曲线","旧指数公式")</f>
        <v/>
      </c>
      <c r="G285" s="50">
        <f>'建筑建议逐级'!H285</f>
        <v/>
      </c>
      <c r="H285" s="36">
        <f>'建筑建议逐级'!M285</f>
        <v/>
      </c>
      <c r="I285" s="35">
        <f>H285/3600</f>
        <v/>
      </c>
      <c r="J285" s="35">
        <f>H285/'参数与公式'!$B$21</f>
        <v/>
      </c>
      <c r="K285" s="35">
        <f>SUMIFS($J$5:$J$328,$A$5:$A$328,A285,$D$5:$D$328,"&lt;="&amp;D285)</f>
        <v/>
      </c>
      <c r="L285" s="50">
        <f>'建筑建议逐级'!Q285</f>
        <v/>
      </c>
      <c r="M285" s="36">
        <f>'建筑建议逐级'!X285</f>
        <v/>
      </c>
      <c r="N285" s="36">
        <f>SUMIFS($M$5:$M$328,$A$5:$A$328,A285,$D$5:$D$328,"&lt;="&amp;D285)</f>
        <v/>
      </c>
      <c r="O285" s="36">
        <f>'建筑建议逐级'!Y285</f>
        <v/>
      </c>
      <c r="P285" s="36">
        <f>SUMIFS($O$5:$O$328,$A$5:$A$328,A285,$D$5:$D$328,"&lt;="&amp;D285)</f>
        <v/>
      </c>
      <c r="Q285" s="51">
        <f>IF(F285="预算型曲线","总预算归一化","沿用旧指数公式")</f>
        <v/>
      </c>
      <c r="R285" s="51">
        <f>IF(F285="预算型曲线","与当前建议公式一致","需单独复核")</f>
        <v/>
      </c>
    </row>
    <row r="286" ht="22" customHeight="1">
      <c r="A286" s="33">
        <f>'建筑建议逐级'!A286</f>
        <v/>
      </c>
      <c r="B286" s="33">
        <f>'建筑建议逐级'!B286</f>
        <v/>
      </c>
      <c r="C286" s="33">
        <f>'建筑建议逐级'!C286</f>
        <v/>
      </c>
      <c r="D286" s="43">
        <f>'建筑建议逐级'!D286</f>
        <v/>
      </c>
      <c r="E286" s="36">
        <f>'建筑建议逐级'!E286</f>
        <v/>
      </c>
      <c r="F286" s="51">
        <f>IF(OR('建筑建议逐级'!I286&gt;0,'建筑建议逐级'!R286&gt;0,'建筑建议逐级'!S286&gt;0),"预算型曲线","旧指数公式")</f>
        <v/>
      </c>
      <c r="G286" s="50">
        <f>'建筑建议逐级'!H286</f>
        <v/>
      </c>
      <c r="H286" s="36">
        <f>'建筑建议逐级'!M286</f>
        <v/>
      </c>
      <c r="I286" s="35">
        <f>H286/3600</f>
        <v/>
      </c>
      <c r="J286" s="35">
        <f>H286/'参数与公式'!$B$21</f>
        <v/>
      </c>
      <c r="K286" s="35">
        <f>SUMIFS($J$5:$J$328,$A$5:$A$328,A286,$D$5:$D$328,"&lt;="&amp;D286)</f>
        <v/>
      </c>
      <c r="L286" s="50">
        <f>'建筑建议逐级'!Q286</f>
        <v/>
      </c>
      <c r="M286" s="36">
        <f>'建筑建议逐级'!X286</f>
        <v/>
      </c>
      <c r="N286" s="36">
        <f>SUMIFS($M$5:$M$328,$A$5:$A$328,A286,$D$5:$D$328,"&lt;="&amp;D286)</f>
        <v/>
      </c>
      <c r="O286" s="36">
        <f>'建筑建议逐级'!Y286</f>
        <v/>
      </c>
      <c r="P286" s="36">
        <f>SUMIFS($O$5:$O$328,$A$5:$A$328,A286,$D$5:$D$328,"&lt;="&amp;D286)</f>
        <v/>
      </c>
      <c r="Q286" s="51">
        <f>IF(F286="预算型曲线","总预算归一化","沿用旧指数公式")</f>
        <v/>
      </c>
      <c r="R286" s="51">
        <f>IF(F286="预算型曲线","与当前建议公式一致","需单独复核")</f>
        <v/>
      </c>
    </row>
    <row r="287" ht="22" customHeight="1">
      <c r="A287" s="33">
        <f>'建筑建议逐级'!A287</f>
        <v/>
      </c>
      <c r="B287" s="33">
        <f>'建筑建议逐级'!B287</f>
        <v/>
      </c>
      <c r="C287" s="33">
        <f>'建筑建议逐级'!C287</f>
        <v/>
      </c>
      <c r="D287" s="43">
        <f>'建筑建议逐级'!D287</f>
        <v/>
      </c>
      <c r="E287" s="36">
        <f>'建筑建议逐级'!E287</f>
        <v/>
      </c>
      <c r="F287" s="51">
        <f>IF(OR('建筑建议逐级'!I287&gt;0,'建筑建议逐级'!R287&gt;0,'建筑建议逐级'!S287&gt;0),"预算型曲线","旧指数公式")</f>
        <v/>
      </c>
      <c r="G287" s="50">
        <f>'建筑建议逐级'!H287</f>
        <v/>
      </c>
      <c r="H287" s="36">
        <f>'建筑建议逐级'!M287</f>
        <v/>
      </c>
      <c r="I287" s="35">
        <f>H287/3600</f>
        <v/>
      </c>
      <c r="J287" s="35">
        <f>H287/'参数与公式'!$B$21</f>
        <v/>
      </c>
      <c r="K287" s="35">
        <f>SUMIFS($J$5:$J$328,$A$5:$A$328,A287,$D$5:$D$328,"&lt;="&amp;D287)</f>
        <v/>
      </c>
      <c r="L287" s="50">
        <f>'建筑建议逐级'!Q287</f>
        <v/>
      </c>
      <c r="M287" s="36">
        <f>'建筑建议逐级'!X287</f>
        <v/>
      </c>
      <c r="N287" s="36">
        <f>SUMIFS($M$5:$M$328,$A$5:$A$328,A287,$D$5:$D$328,"&lt;="&amp;D287)</f>
        <v/>
      </c>
      <c r="O287" s="36">
        <f>'建筑建议逐级'!Y287</f>
        <v/>
      </c>
      <c r="P287" s="36">
        <f>SUMIFS($O$5:$O$328,$A$5:$A$328,A287,$D$5:$D$328,"&lt;="&amp;D287)</f>
        <v/>
      </c>
      <c r="Q287" s="51">
        <f>IF(F287="预算型曲线","总预算归一化","沿用旧指数公式")</f>
        <v/>
      </c>
      <c r="R287" s="51">
        <f>IF(F287="预算型曲线","与当前建议公式一致","需单独复核")</f>
        <v/>
      </c>
    </row>
    <row r="288" ht="22" customHeight="1">
      <c r="A288" s="33">
        <f>'建筑建议逐级'!A288</f>
        <v/>
      </c>
      <c r="B288" s="33">
        <f>'建筑建议逐级'!B288</f>
        <v/>
      </c>
      <c r="C288" s="33">
        <f>'建筑建议逐级'!C288</f>
        <v/>
      </c>
      <c r="D288" s="43">
        <f>'建筑建议逐级'!D288</f>
        <v/>
      </c>
      <c r="E288" s="36">
        <f>'建筑建议逐级'!E288</f>
        <v/>
      </c>
      <c r="F288" s="51">
        <f>IF(OR('建筑建议逐级'!I288&gt;0,'建筑建议逐级'!R288&gt;0,'建筑建议逐级'!S288&gt;0),"预算型曲线","旧指数公式")</f>
        <v/>
      </c>
      <c r="G288" s="50">
        <f>'建筑建议逐级'!H288</f>
        <v/>
      </c>
      <c r="H288" s="36">
        <f>'建筑建议逐级'!M288</f>
        <v/>
      </c>
      <c r="I288" s="35">
        <f>H288/3600</f>
        <v/>
      </c>
      <c r="J288" s="35">
        <f>H288/'参数与公式'!$B$21</f>
        <v/>
      </c>
      <c r="K288" s="35">
        <f>SUMIFS($J$5:$J$328,$A$5:$A$328,A288,$D$5:$D$328,"&lt;="&amp;D288)</f>
        <v/>
      </c>
      <c r="L288" s="50">
        <f>'建筑建议逐级'!Q288</f>
        <v/>
      </c>
      <c r="M288" s="36">
        <f>'建筑建议逐级'!X288</f>
        <v/>
      </c>
      <c r="N288" s="36">
        <f>SUMIFS($M$5:$M$328,$A$5:$A$328,A288,$D$5:$D$328,"&lt;="&amp;D288)</f>
        <v/>
      </c>
      <c r="O288" s="36">
        <f>'建筑建议逐级'!Y288</f>
        <v/>
      </c>
      <c r="P288" s="36">
        <f>SUMIFS($O$5:$O$328,$A$5:$A$328,A288,$D$5:$D$328,"&lt;="&amp;D288)</f>
        <v/>
      </c>
      <c r="Q288" s="51">
        <f>IF(F288="预算型曲线","总预算归一化","沿用旧指数公式")</f>
        <v/>
      </c>
      <c r="R288" s="51">
        <f>IF(F288="预算型曲线","与当前建议公式一致","需单独复核")</f>
        <v/>
      </c>
    </row>
    <row r="289" ht="22" customHeight="1">
      <c r="A289" s="33">
        <f>'建筑建议逐级'!A289</f>
        <v/>
      </c>
      <c r="B289" s="33">
        <f>'建筑建议逐级'!B289</f>
        <v/>
      </c>
      <c r="C289" s="33">
        <f>'建筑建议逐级'!C289</f>
        <v/>
      </c>
      <c r="D289" s="43">
        <f>'建筑建议逐级'!D289</f>
        <v/>
      </c>
      <c r="E289" s="36">
        <f>'建筑建议逐级'!E289</f>
        <v/>
      </c>
      <c r="F289" s="51">
        <f>IF(OR('建筑建议逐级'!I289&gt;0,'建筑建议逐级'!R289&gt;0,'建筑建议逐级'!S289&gt;0),"预算型曲线","旧指数公式")</f>
        <v/>
      </c>
      <c r="G289" s="50">
        <f>'建筑建议逐级'!H289</f>
        <v/>
      </c>
      <c r="H289" s="36">
        <f>'建筑建议逐级'!M289</f>
        <v/>
      </c>
      <c r="I289" s="35">
        <f>H289/3600</f>
        <v/>
      </c>
      <c r="J289" s="35">
        <f>H289/'参数与公式'!$B$21</f>
        <v/>
      </c>
      <c r="K289" s="35">
        <f>SUMIFS($J$5:$J$328,$A$5:$A$328,A289,$D$5:$D$328,"&lt;="&amp;D289)</f>
        <v/>
      </c>
      <c r="L289" s="50">
        <f>'建筑建议逐级'!Q289</f>
        <v/>
      </c>
      <c r="M289" s="36">
        <f>'建筑建议逐级'!X289</f>
        <v/>
      </c>
      <c r="N289" s="36">
        <f>SUMIFS($M$5:$M$328,$A$5:$A$328,A289,$D$5:$D$328,"&lt;="&amp;D289)</f>
        <v/>
      </c>
      <c r="O289" s="36">
        <f>'建筑建议逐级'!Y289</f>
        <v/>
      </c>
      <c r="P289" s="36">
        <f>SUMIFS($O$5:$O$328,$A$5:$A$328,A289,$D$5:$D$328,"&lt;="&amp;D289)</f>
        <v/>
      </c>
      <c r="Q289" s="51">
        <f>IF(F289="预算型曲线","总预算归一化","沿用旧指数公式")</f>
        <v/>
      </c>
      <c r="R289" s="51">
        <f>IF(F289="预算型曲线","与当前建议公式一致","需单独复核")</f>
        <v/>
      </c>
    </row>
    <row r="290" ht="22" customHeight="1">
      <c r="A290" s="33">
        <f>'建筑建议逐级'!A290</f>
        <v/>
      </c>
      <c r="B290" s="33">
        <f>'建筑建议逐级'!B290</f>
        <v/>
      </c>
      <c r="C290" s="33">
        <f>'建筑建议逐级'!C290</f>
        <v/>
      </c>
      <c r="D290" s="43">
        <f>'建筑建议逐级'!D290</f>
        <v/>
      </c>
      <c r="E290" s="36">
        <f>'建筑建议逐级'!E290</f>
        <v/>
      </c>
      <c r="F290" s="51">
        <f>IF(OR('建筑建议逐级'!I290&gt;0,'建筑建议逐级'!R290&gt;0,'建筑建议逐级'!S290&gt;0),"预算型曲线","旧指数公式")</f>
        <v/>
      </c>
      <c r="G290" s="50">
        <f>'建筑建议逐级'!H290</f>
        <v/>
      </c>
      <c r="H290" s="36">
        <f>'建筑建议逐级'!M290</f>
        <v/>
      </c>
      <c r="I290" s="35">
        <f>H290/3600</f>
        <v/>
      </c>
      <c r="J290" s="35">
        <f>H290/'参数与公式'!$B$21</f>
        <v/>
      </c>
      <c r="K290" s="35">
        <f>SUMIFS($J$5:$J$328,$A$5:$A$328,A290,$D$5:$D$328,"&lt;="&amp;D290)</f>
        <v/>
      </c>
      <c r="L290" s="50">
        <f>'建筑建议逐级'!Q290</f>
        <v/>
      </c>
      <c r="M290" s="36">
        <f>'建筑建议逐级'!X290</f>
        <v/>
      </c>
      <c r="N290" s="36">
        <f>SUMIFS($M$5:$M$328,$A$5:$A$328,A290,$D$5:$D$328,"&lt;="&amp;D290)</f>
        <v/>
      </c>
      <c r="O290" s="36">
        <f>'建筑建议逐级'!Y290</f>
        <v/>
      </c>
      <c r="P290" s="36">
        <f>SUMIFS($O$5:$O$328,$A$5:$A$328,A290,$D$5:$D$328,"&lt;="&amp;D290)</f>
        <v/>
      </c>
      <c r="Q290" s="51">
        <f>IF(F290="预算型曲线","总预算归一化","沿用旧指数公式")</f>
        <v/>
      </c>
      <c r="R290" s="51">
        <f>IF(F290="预算型曲线","与当前建议公式一致","需单独复核")</f>
        <v/>
      </c>
    </row>
    <row r="291" ht="22" customHeight="1">
      <c r="A291" s="33">
        <f>'建筑建议逐级'!A291</f>
        <v/>
      </c>
      <c r="B291" s="33">
        <f>'建筑建议逐级'!B291</f>
        <v/>
      </c>
      <c r="C291" s="33">
        <f>'建筑建议逐级'!C291</f>
        <v/>
      </c>
      <c r="D291" s="43">
        <f>'建筑建议逐级'!D291</f>
        <v/>
      </c>
      <c r="E291" s="36">
        <f>'建筑建议逐级'!E291</f>
        <v/>
      </c>
      <c r="F291" s="51">
        <f>IF(OR('建筑建议逐级'!I291&gt;0,'建筑建议逐级'!R291&gt;0,'建筑建议逐级'!S291&gt;0),"预算型曲线","旧指数公式")</f>
        <v/>
      </c>
      <c r="G291" s="50">
        <f>'建筑建议逐级'!H291</f>
        <v/>
      </c>
      <c r="H291" s="36">
        <f>'建筑建议逐级'!M291</f>
        <v/>
      </c>
      <c r="I291" s="35">
        <f>H291/3600</f>
        <v/>
      </c>
      <c r="J291" s="35">
        <f>H291/'参数与公式'!$B$21</f>
        <v/>
      </c>
      <c r="K291" s="35">
        <f>SUMIFS($J$5:$J$328,$A$5:$A$328,A291,$D$5:$D$328,"&lt;="&amp;D291)</f>
        <v/>
      </c>
      <c r="L291" s="50">
        <f>'建筑建议逐级'!Q291</f>
        <v/>
      </c>
      <c r="M291" s="36">
        <f>'建筑建议逐级'!X291</f>
        <v/>
      </c>
      <c r="N291" s="36">
        <f>SUMIFS($M$5:$M$328,$A$5:$A$328,A291,$D$5:$D$328,"&lt;="&amp;D291)</f>
        <v/>
      </c>
      <c r="O291" s="36">
        <f>'建筑建议逐级'!Y291</f>
        <v/>
      </c>
      <c r="P291" s="36">
        <f>SUMIFS($O$5:$O$328,$A$5:$A$328,A291,$D$5:$D$328,"&lt;="&amp;D291)</f>
        <v/>
      </c>
      <c r="Q291" s="51">
        <f>IF(F291="预算型曲线","总预算归一化","沿用旧指数公式")</f>
        <v/>
      </c>
      <c r="R291" s="51">
        <f>IF(F291="预算型曲线","与当前建议公式一致","需单独复核")</f>
        <v/>
      </c>
    </row>
    <row r="292" ht="22" customHeight="1">
      <c r="A292" s="33">
        <f>'建筑建议逐级'!A292</f>
        <v/>
      </c>
      <c r="B292" s="33">
        <f>'建筑建议逐级'!B292</f>
        <v/>
      </c>
      <c r="C292" s="33">
        <f>'建筑建议逐级'!C292</f>
        <v/>
      </c>
      <c r="D292" s="43">
        <f>'建筑建议逐级'!D292</f>
        <v/>
      </c>
      <c r="E292" s="36">
        <f>'建筑建议逐级'!E292</f>
        <v/>
      </c>
      <c r="F292" s="51">
        <f>IF(OR('建筑建议逐级'!I292&gt;0,'建筑建议逐级'!R292&gt;0,'建筑建议逐级'!S292&gt;0),"预算型曲线","旧指数公式")</f>
        <v/>
      </c>
      <c r="G292" s="50">
        <f>'建筑建议逐级'!H292</f>
        <v/>
      </c>
      <c r="H292" s="36">
        <f>'建筑建议逐级'!M292</f>
        <v/>
      </c>
      <c r="I292" s="35">
        <f>H292/3600</f>
        <v/>
      </c>
      <c r="J292" s="35">
        <f>H292/'参数与公式'!$B$21</f>
        <v/>
      </c>
      <c r="K292" s="35">
        <f>SUMIFS($J$5:$J$328,$A$5:$A$328,A292,$D$5:$D$328,"&lt;="&amp;D292)</f>
        <v/>
      </c>
      <c r="L292" s="50">
        <f>'建筑建议逐级'!Q292</f>
        <v/>
      </c>
      <c r="M292" s="36">
        <f>'建筑建议逐级'!X292</f>
        <v/>
      </c>
      <c r="N292" s="36">
        <f>SUMIFS($M$5:$M$328,$A$5:$A$328,A292,$D$5:$D$328,"&lt;="&amp;D292)</f>
        <v/>
      </c>
      <c r="O292" s="36">
        <f>'建筑建议逐级'!Y292</f>
        <v/>
      </c>
      <c r="P292" s="36">
        <f>SUMIFS($O$5:$O$328,$A$5:$A$328,A292,$D$5:$D$328,"&lt;="&amp;D292)</f>
        <v/>
      </c>
      <c r="Q292" s="51">
        <f>IF(F292="预算型曲线","总预算归一化","沿用旧指数公式")</f>
        <v/>
      </c>
      <c r="R292" s="51">
        <f>IF(F292="预算型曲线","与当前建议公式一致","需单独复核")</f>
        <v/>
      </c>
    </row>
    <row r="293" ht="22" customHeight="1">
      <c r="A293" s="33">
        <f>'建筑建议逐级'!A293</f>
        <v/>
      </c>
      <c r="B293" s="33">
        <f>'建筑建议逐级'!B293</f>
        <v/>
      </c>
      <c r="C293" s="33">
        <f>'建筑建议逐级'!C293</f>
        <v/>
      </c>
      <c r="D293" s="43">
        <f>'建筑建议逐级'!D293</f>
        <v/>
      </c>
      <c r="E293" s="36">
        <f>'建筑建议逐级'!E293</f>
        <v/>
      </c>
      <c r="F293" s="51">
        <f>IF(OR('建筑建议逐级'!I293&gt;0,'建筑建议逐级'!R293&gt;0,'建筑建议逐级'!S293&gt;0),"预算型曲线","旧指数公式")</f>
        <v/>
      </c>
      <c r="G293" s="50">
        <f>'建筑建议逐级'!H293</f>
        <v/>
      </c>
      <c r="H293" s="36">
        <f>'建筑建议逐级'!M293</f>
        <v/>
      </c>
      <c r="I293" s="35">
        <f>H293/3600</f>
        <v/>
      </c>
      <c r="J293" s="35">
        <f>H293/'参数与公式'!$B$21</f>
        <v/>
      </c>
      <c r="K293" s="35">
        <f>SUMIFS($J$5:$J$328,$A$5:$A$328,A293,$D$5:$D$328,"&lt;="&amp;D293)</f>
        <v/>
      </c>
      <c r="L293" s="50">
        <f>'建筑建议逐级'!Q293</f>
        <v/>
      </c>
      <c r="M293" s="36">
        <f>'建筑建议逐级'!X293</f>
        <v/>
      </c>
      <c r="N293" s="36">
        <f>SUMIFS($M$5:$M$328,$A$5:$A$328,A293,$D$5:$D$328,"&lt;="&amp;D293)</f>
        <v/>
      </c>
      <c r="O293" s="36">
        <f>'建筑建议逐级'!Y293</f>
        <v/>
      </c>
      <c r="P293" s="36">
        <f>SUMIFS($O$5:$O$328,$A$5:$A$328,A293,$D$5:$D$328,"&lt;="&amp;D293)</f>
        <v/>
      </c>
      <c r="Q293" s="51">
        <f>IF(F293="预算型曲线","总预算归一化","沿用旧指数公式")</f>
        <v/>
      </c>
      <c r="R293" s="51">
        <f>IF(F293="预算型曲线","与当前建议公式一致","需单独复核")</f>
        <v/>
      </c>
    </row>
    <row r="294" ht="22" customHeight="1">
      <c r="A294" s="33">
        <f>'建筑建议逐级'!A294</f>
        <v/>
      </c>
      <c r="B294" s="33">
        <f>'建筑建议逐级'!B294</f>
        <v/>
      </c>
      <c r="C294" s="33">
        <f>'建筑建议逐级'!C294</f>
        <v/>
      </c>
      <c r="D294" s="43">
        <f>'建筑建议逐级'!D294</f>
        <v/>
      </c>
      <c r="E294" s="36">
        <f>'建筑建议逐级'!E294</f>
        <v/>
      </c>
      <c r="F294" s="51">
        <f>IF(OR('建筑建议逐级'!I294&gt;0,'建筑建议逐级'!R294&gt;0,'建筑建议逐级'!S294&gt;0),"预算型曲线","旧指数公式")</f>
        <v/>
      </c>
      <c r="G294" s="50">
        <f>'建筑建议逐级'!H294</f>
        <v/>
      </c>
      <c r="H294" s="36">
        <f>'建筑建议逐级'!M294</f>
        <v/>
      </c>
      <c r="I294" s="35">
        <f>H294/3600</f>
        <v/>
      </c>
      <c r="J294" s="35">
        <f>H294/'参数与公式'!$B$21</f>
        <v/>
      </c>
      <c r="K294" s="35">
        <f>SUMIFS($J$5:$J$328,$A$5:$A$328,A294,$D$5:$D$328,"&lt;="&amp;D294)</f>
        <v/>
      </c>
      <c r="L294" s="50">
        <f>'建筑建议逐级'!Q294</f>
        <v/>
      </c>
      <c r="M294" s="36">
        <f>'建筑建议逐级'!X294</f>
        <v/>
      </c>
      <c r="N294" s="36">
        <f>SUMIFS($M$5:$M$328,$A$5:$A$328,A294,$D$5:$D$328,"&lt;="&amp;D294)</f>
        <v/>
      </c>
      <c r="O294" s="36">
        <f>'建筑建议逐级'!Y294</f>
        <v/>
      </c>
      <c r="P294" s="36">
        <f>SUMIFS($O$5:$O$328,$A$5:$A$328,A294,$D$5:$D$328,"&lt;="&amp;D294)</f>
        <v/>
      </c>
      <c r="Q294" s="51">
        <f>IF(F294="预算型曲线","总预算归一化","沿用旧指数公式")</f>
        <v/>
      </c>
      <c r="R294" s="51">
        <f>IF(F294="预算型曲线","与当前建议公式一致","需单独复核")</f>
        <v/>
      </c>
    </row>
    <row r="295" ht="22" customHeight="1">
      <c r="A295" s="33">
        <f>'建筑建议逐级'!A295</f>
        <v/>
      </c>
      <c r="B295" s="33">
        <f>'建筑建议逐级'!B295</f>
        <v/>
      </c>
      <c r="C295" s="33">
        <f>'建筑建议逐级'!C295</f>
        <v/>
      </c>
      <c r="D295" s="43">
        <f>'建筑建议逐级'!D295</f>
        <v/>
      </c>
      <c r="E295" s="36">
        <f>'建筑建议逐级'!E295</f>
        <v/>
      </c>
      <c r="F295" s="51">
        <f>IF(OR('建筑建议逐级'!I295&gt;0,'建筑建议逐级'!R295&gt;0,'建筑建议逐级'!S295&gt;0),"预算型曲线","旧指数公式")</f>
        <v/>
      </c>
      <c r="G295" s="50">
        <f>'建筑建议逐级'!H295</f>
        <v/>
      </c>
      <c r="H295" s="36">
        <f>'建筑建议逐级'!M295</f>
        <v/>
      </c>
      <c r="I295" s="35">
        <f>H295/3600</f>
        <v/>
      </c>
      <c r="J295" s="35">
        <f>H295/'参数与公式'!$B$21</f>
        <v/>
      </c>
      <c r="K295" s="35">
        <f>SUMIFS($J$5:$J$328,$A$5:$A$328,A295,$D$5:$D$328,"&lt;="&amp;D295)</f>
        <v/>
      </c>
      <c r="L295" s="50">
        <f>'建筑建议逐级'!Q295</f>
        <v/>
      </c>
      <c r="M295" s="36">
        <f>'建筑建议逐级'!X295</f>
        <v/>
      </c>
      <c r="N295" s="36">
        <f>SUMIFS($M$5:$M$328,$A$5:$A$328,A295,$D$5:$D$328,"&lt;="&amp;D295)</f>
        <v/>
      </c>
      <c r="O295" s="36">
        <f>'建筑建议逐级'!Y295</f>
        <v/>
      </c>
      <c r="P295" s="36">
        <f>SUMIFS($O$5:$O$328,$A$5:$A$328,A295,$D$5:$D$328,"&lt;="&amp;D295)</f>
        <v/>
      </c>
      <c r="Q295" s="51">
        <f>IF(F295="预算型曲线","总预算归一化","沿用旧指数公式")</f>
        <v/>
      </c>
      <c r="R295" s="51">
        <f>IF(F295="预算型曲线","与当前建议公式一致","需单独复核")</f>
        <v/>
      </c>
    </row>
    <row r="296" ht="22" customHeight="1">
      <c r="A296" s="33">
        <f>'建筑建议逐级'!A296</f>
        <v/>
      </c>
      <c r="B296" s="33">
        <f>'建筑建议逐级'!B296</f>
        <v/>
      </c>
      <c r="C296" s="33">
        <f>'建筑建议逐级'!C296</f>
        <v/>
      </c>
      <c r="D296" s="43">
        <f>'建筑建议逐级'!D296</f>
        <v/>
      </c>
      <c r="E296" s="36">
        <f>'建筑建议逐级'!E296</f>
        <v/>
      </c>
      <c r="F296" s="51">
        <f>IF(OR('建筑建议逐级'!I296&gt;0,'建筑建议逐级'!R296&gt;0,'建筑建议逐级'!S296&gt;0),"预算型曲线","旧指数公式")</f>
        <v/>
      </c>
      <c r="G296" s="50">
        <f>'建筑建议逐级'!H296</f>
        <v/>
      </c>
      <c r="H296" s="36">
        <f>'建筑建议逐级'!M296</f>
        <v/>
      </c>
      <c r="I296" s="35">
        <f>H296/3600</f>
        <v/>
      </c>
      <c r="J296" s="35">
        <f>H296/'参数与公式'!$B$21</f>
        <v/>
      </c>
      <c r="K296" s="35">
        <f>SUMIFS($J$5:$J$328,$A$5:$A$328,A296,$D$5:$D$328,"&lt;="&amp;D296)</f>
        <v/>
      </c>
      <c r="L296" s="50">
        <f>'建筑建议逐级'!Q296</f>
        <v/>
      </c>
      <c r="M296" s="36">
        <f>'建筑建议逐级'!X296</f>
        <v/>
      </c>
      <c r="N296" s="36">
        <f>SUMIFS($M$5:$M$328,$A$5:$A$328,A296,$D$5:$D$328,"&lt;="&amp;D296)</f>
        <v/>
      </c>
      <c r="O296" s="36">
        <f>'建筑建议逐级'!Y296</f>
        <v/>
      </c>
      <c r="P296" s="36">
        <f>SUMIFS($O$5:$O$328,$A$5:$A$328,A296,$D$5:$D$328,"&lt;="&amp;D296)</f>
        <v/>
      </c>
      <c r="Q296" s="51">
        <f>IF(F296="预算型曲线","总预算归一化","沿用旧指数公式")</f>
        <v/>
      </c>
      <c r="R296" s="51">
        <f>IF(F296="预算型曲线","与当前建议公式一致","需单独复核")</f>
        <v/>
      </c>
    </row>
    <row r="297" ht="22" customHeight="1">
      <c r="A297" s="33">
        <f>'建筑建议逐级'!A297</f>
        <v/>
      </c>
      <c r="B297" s="33">
        <f>'建筑建议逐级'!B297</f>
        <v/>
      </c>
      <c r="C297" s="33">
        <f>'建筑建议逐级'!C297</f>
        <v/>
      </c>
      <c r="D297" s="43">
        <f>'建筑建议逐级'!D297</f>
        <v/>
      </c>
      <c r="E297" s="36">
        <f>'建筑建议逐级'!E297</f>
        <v/>
      </c>
      <c r="F297" s="51">
        <f>IF(OR('建筑建议逐级'!I297&gt;0,'建筑建议逐级'!R297&gt;0,'建筑建议逐级'!S297&gt;0),"预算型曲线","旧指数公式")</f>
        <v/>
      </c>
      <c r="G297" s="50">
        <f>'建筑建议逐级'!H297</f>
        <v/>
      </c>
      <c r="H297" s="36">
        <f>'建筑建议逐级'!M297</f>
        <v/>
      </c>
      <c r="I297" s="35">
        <f>H297/3600</f>
        <v/>
      </c>
      <c r="J297" s="35">
        <f>H297/'参数与公式'!$B$21</f>
        <v/>
      </c>
      <c r="K297" s="35">
        <f>SUMIFS($J$5:$J$328,$A$5:$A$328,A297,$D$5:$D$328,"&lt;="&amp;D297)</f>
        <v/>
      </c>
      <c r="L297" s="50">
        <f>'建筑建议逐级'!Q297</f>
        <v/>
      </c>
      <c r="M297" s="36">
        <f>'建筑建议逐级'!X297</f>
        <v/>
      </c>
      <c r="N297" s="36">
        <f>SUMIFS($M$5:$M$328,$A$5:$A$328,A297,$D$5:$D$328,"&lt;="&amp;D297)</f>
        <v/>
      </c>
      <c r="O297" s="36">
        <f>'建筑建议逐级'!Y297</f>
        <v/>
      </c>
      <c r="P297" s="36">
        <f>SUMIFS($O$5:$O$328,$A$5:$A$328,A297,$D$5:$D$328,"&lt;="&amp;D297)</f>
        <v/>
      </c>
      <c r="Q297" s="51">
        <f>IF(F297="预算型曲线","总预算归一化","沿用旧指数公式")</f>
        <v/>
      </c>
      <c r="R297" s="51">
        <f>IF(F297="预算型曲线","与当前建议公式一致","需单独复核")</f>
        <v/>
      </c>
    </row>
    <row r="298" ht="22" customHeight="1">
      <c r="A298" s="33">
        <f>'建筑建议逐级'!A298</f>
        <v/>
      </c>
      <c r="B298" s="33">
        <f>'建筑建议逐级'!B298</f>
        <v/>
      </c>
      <c r="C298" s="33">
        <f>'建筑建议逐级'!C298</f>
        <v/>
      </c>
      <c r="D298" s="43">
        <f>'建筑建议逐级'!D298</f>
        <v/>
      </c>
      <c r="E298" s="36">
        <f>'建筑建议逐级'!E298</f>
        <v/>
      </c>
      <c r="F298" s="51">
        <f>IF(OR('建筑建议逐级'!I298&gt;0,'建筑建议逐级'!R298&gt;0,'建筑建议逐级'!S298&gt;0),"预算型曲线","旧指数公式")</f>
        <v/>
      </c>
      <c r="G298" s="50">
        <f>'建筑建议逐级'!H298</f>
        <v/>
      </c>
      <c r="H298" s="36">
        <f>'建筑建议逐级'!M298</f>
        <v/>
      </c>
      <c r="I298" s="35">
        <f>H298/3600</f>
        <v/>
      </c>
      <c r="J298" s="35">
        <f>H298/'参数与公式'!$B$21</f>
        <v/>
      </c>
      <c r="K298" s="35">
        <f>SUMIFS($J$5:$J$328,$A$5:$A$328,A298,$D$5:$D$328,"&lt;="&amp;D298)</f>
        <v/>
      </c>
      <c r="L298" s="50">
        <f>'建筑建议逐级'!Q298</f>
        <v/>
      </c>
      <c r="M298" s="36">
        <f>'建筑建议逐级'!X298</f>
        <v/>
      </c>
      <c r="N298" s="36">
        <f>SUMIFS($M$5:$M$328,$A$5:$A$328,A298,$D$5:$D$328,"&lt;="&amp;D298)</f>
        <v/>
      </c>
      <c r="O298" s="36">
        <f>'建筑建议逐级'!Y298</f>
        <v/>
      </c>
      <c r="P298" s="36">
        <f>SUMIFS($O$5:$O$328,$A$5:$A$328,A298,$D$5:$D$328,"&lt;="&amp;D298)</f>
        <v/>
      </c>
      <c r="Q298" s="51">
        <f>IF(F298="预算型曲线","总预算归一化","沿用旧指数公式")</f>
        <v/>
      </c>
      <c r="R298" s="51">
        <f>IF(F298="预算型曲线","与当前建议公式一致","需单独复核")</f>
        <v/>
      </c>
    </row>
    <row r="299" ht="22" customHeight="1">
      <c r="A299" s="33">
        <f>'建筑建议逐级'!A299</f>
        <v/>
      </c>
      <c r="B299" s="33">
        <f>'建筑建议逐级'!B299</f>
        <v/>
      </c>
      <c r="C299" s="33">
        <f>'建筑建议逐级'!C299</f>
        <v/>
      </c>
      <c r="D299" s="43">
        <f>'建筑建议逐级'!D299</f>
        <v/>
      </c>
      <c r="E299" s="36">
        <f>'建筑建议逐级'!E299</f>
        <v/>
      </c>
      <c r="F299" s="51">
        <f>IF(OR('建筑建议逐级'!I299&gt;0,'建筑建议逐级'!R299&gt;0,'建筑建议逐级'!S299&gt;0),"预算型曲线","旧指数公式")</f>
        <v/>
      </c>
      <c r="G299" s="50">
        <f>'建筑建议逐级'!H299</f>
        <v/>
      </c>
      <c r="H299" s="36">
        <f>'建筑建议逐级'!M299</f>
        <v/>
      </c>
      <c r="I299" s="35">
        <f>H299/3600</f>
        <v/>
      </c>
      <c r="J299" s="35">
        <f>H299/'参数与公式'!$B$21</f>
        <v/>
      </c>
      <c r="K299" s="35">
        <f>SUMIFS($J$5:$J$328,$A$5:$A$328,A299,$D$5:$D$328,"&lt;="&amp;D299)</f>
        <v/>
      </c>
      <c r="L299" s="50">
        <f>'建筑建议逐级'!Q299</f>
        <v/>
      </c>
      <c r="M299" s="36">
        <f>'建筑建议逐级'!X299</f>
        <v/>
      </c>
      <c r="N299" s="36">
        <f>SUMIFS($M$5:$M$328,$A$5:$A$328,A299,$D$5:$D$328,"&lt;="&amp;D299)</f>
        <v/>
      </c>
      <c r="O299" s="36">
        <f>'建筑建议逐级'!Y299</f>
        <v/>
      </c>
      <c r="P299" s="36">
        <f>SUMIFS($O$5:$O$328,$A$5:$A$328,A299,$D$5:$D$328,"&lt;="&amp;D299)</f>
        <v/>
      </c>
      <c r="Q299" s="51">
        <f>IF(F299="预算型曲线","总预算归一化","沿用旧指数公式")</f>
        <v/>
      </c>
      <c r="R299" s="51">
        <f>IF(F299="预算型曲线","与当前建议公式一致","需单独复核")</f>
        <v/>
      </c>
    </row>
    <row r="300" ht="22" customHeight="1">
      <c r="A300" s="33">
        <f>'建筑建议逐级'!A300</f>
        <v/>
      </c>
      <c r="B300" s="33">
        <f>'建筑建议逐级'!B300</f>
        <v/>
      </c>
      <c r="C300" s="33">
        <f>'建筑建议逐级'!C300</f>
        <v/>
      </c>
      <c r="D300" s="43">
        <f>'建筑建议逐级'!D300</f>
        <v/>
      </c>
      <c r="E300" s="36">
        <f>'建筑建议逐级'!E300</f>
        <v/>
      </c>
      <c r="F300" s="51">
        <f>IF(OR('建筑建议逐级'!I300&gt;0,'建筑建议逐级'!R300&gt;0,'建筑建议逐级'!S300&gt;0),"预算型曲线","旧指数公式")</f>
        <v/>
      </c>
      <c r="G300" s="50">
        <f>'建筑建议逐级'!H300</f>
        <v/>
      </c>
      <c r="H300" s="36">
        <f>'建筑建议逐级'!M300</f>
        <v/>
      </c>
      <c r="I300" s="35">
        <f>H300/3600</f>
        <v/>
      </c>
      <c r="J300" s="35">
        <f>H300/'参数与公式'!$B$21</f>
        <v/>
      </c>
      <c r="K300" s="35">
        <f>SUMIFS($J$5:$J$328,$A$5:$A$328,A300,$D$5:$D$328,"&lt;="&amp;D300)</f>
        <v/>
      </c>
      <c r="L300" s="50">
        <f>'建筑建议逐级'!Q300</f>
        <v/>
      </c>
      <c r="M300" s="36">
        <f>'建筑建议逐级'!X300</f>
        <v/>
      </c>
      <c r="N300" s="36">
        <f>SUMIFS($M$5:$M$328,$A$5:$A$328,A300,$D$5:$D$328,"&lt;="&amp;D300)</f>
        <v/>
      </c>
      <c r="O300" s="36">
        <f>'建筑建议逐级'!Y300</f>
        <v/>
      </c>
      <c r="P300" s="36">
        <f>SUMIFS($O$5:$O$328,$A$5:$A$328,A300,$D$5:$D$328,"&lt;="&amp;D300)</f>
        <v/>
      </c>
      <c r="Q300" s="51">
        <f>IF(F300="预算型曲线","总预算归一化","沿用旧指数公式")</f>
        <v/>
      </c>
      <c r="R300" s="51">
        <f>IF(F300="预算型曲线","与当前建议公式一致","需单独复核")</f>
        <v/>
      </c>
    </row>
    <row r="301" ht="22" customHeight="1">
      <c r="A301" s="33">
        <f>'建筑建议逐级'!A301</f>
        <v/>
      </c>
      <c r="B301" s="33">
        <f>'建筑建议逐级'!B301</f>
        <v/>
      </c>
      <c r="C301" s="33">
        <f>'建筑建议逐级'!C301</f>
        <v/>
      </c>
      <c r="D301" s="43">
        <f>'建筑建议逐级'!D301</f>
        <v/>
      </c>
      <c r="E301" s="36">
        <f>'建筑建议逐级'!E301</f>
        <v/>
      </c>
      <c r="F301" s="51">
        <f>IF(OR('建筑建议逐级'!I301&gt;0,'建筑建议逐级'!R301&gt;0,'建筑建议逐级'!S301&gt;0),"预算型曲线","旧指数公式")</f>
        <v/>
      </c>
      <c r="G301" s="50">
        <f>'建筑建议逐级'!H301</f>
        <v/>
      </c>
      <c r="H301" s="36">
        <f>'建筑建议逐级'!M301</f>
        <v/>
      </c>
      <c r="I301" s="35">
        <f>H301/3600</f>
        <v/>
      </c>
      <c r="J301" s="35">
        <f>H301/'参数与公式'!$B$21</f>
        <v/>
      </c>
      <c r="K301" s="35">
        <f>SUMIFS($J$5:$J$328,$A$5:$A$328,A301,$D$5:$D$328,"&lt;="&amp;D301)</f>
        <v/>
      </c>
      <c r="L301" s="50">
        <f>'建筑建议逐级'!Q301</f>
        <v/>
      </c>
      <c r="M301" s="36">
        <f>'建筑建议逐级'!X301</f>
        <v/>
      </c>
      <c r="N301" s="36">
        <f>SUMIFS($M$5:$M$328,$A$5:$A$328,A301,$D$5:$D$328,"&lt;="&amp;D301)</f>
        <v/>
      </c>
      <c r="O301" s="36">
        <f>'建筑建议逐级'!Y301</f>
        <v/>
      </c>
      <c r="P301" s="36">
        <f>SUMIFS($O$5:$O$328,$A$5:$A$328,A301,$D$5:$D$328,"&lt;="&amp;D301)</f>
        <v/>
      </c>
      <c r="Q301" s="51">
        <f>IF(F301="预算型曲线","总预算归一化","沿用旧指数公式")</f>
        <v/>
      </c>
      <c r="R301" s="51">
        <f>IF(F301="预算型曲线","与当前建议公式一致","需单独复核")</f>
        <v/>
      </c>
    </row>
    <row r="302" ht="22" customHeight="1">
      <c r="A302" s="33">
        <f>'建筑建议逐级'!A302</f>
        <v/>
      </c>
      <c r="B302" s="33">
        <f>'建筑建议逐级'!B302</f>
        <v/>
      </c>
      <c r="C302" s="33">
        <f>'建筑建议逐级'!C302</f>
        <v/>
      </c>
      <c r="D302" s="43">
        <f>'建筑建议逐级'!D302</f>
        <v/>
      </c>
      <c r="E302" s="36">
        <f>'建筑建议逐级'!E302</f>
        <v/>
      </c>
      <c r="F302" s="51">
        <f>IF(OR('建筑建议逐级'!I302&gt;0,'建筑建议逐级'!R302&gt;0,'建筑建议逐级'!S302&gt;0),"预算型曲线","旧指数公式")</f>
        <v/>
      </c>
      <c r="G302" s="50">
        <f>'建筑建议逐级'!H302</f>
        <v/>
      </c>
      <c r="H302" s="36">
        <f>'建筑建议逐级'!M302</f>
        <v/>
      </c>
      <c r="I302" s="35">
        <f>H302/3600</f>
        <v/>
      </c>
      <c r="J302" s="35">
        <f>H302/'参数与公式'!$B$21</f>
        <v/>
      </c>
      <c r="K302" s="35">
        <f>SUMIFS($J$5:$J$328,$A$5:$A$328,A302,$D$5:$D$328,"&lt;="&amp;D302)</f>
        <v/>
      </c>
      <c r="L302" s="50">
        <f>'建筑建议逐级'!Q302</f>
        <v/>
      </c>
      <c r="M302" s="36">
        <f>'建筑建议逐级'!X302</f>
        <v/>
      </c>
      <c r="N302" s="36">
        <f>SUMIFS($M$5:$M$328,$A$5:$A$328,A302,$D$5:$D$328,"&lt;="&amp;D302)</f>
        <v/>
      </c>
      <c r="O302" s="36">
        <f>'建筑建议逐级'!Y302</f>
        <v/>
      </c>
      <c r="P302" s="36">
        <f>SUMIFS($O$5:$O$328,$A$5:$A$328,A302,$D$5:$D$328,"&lt;="&amp;D302)</f>
        <v/>
      </c>
      <c r="Q302" s="51">
        <f>IF(F302="预算型曲线","总预算归一化","沿用旧指数公式")</f>
        <v/>
      </c>
      <c r="R302" s="51">
        <f>IF(F302="预算型曲线","与当前建议公式一致","需单独复核")</f>
        <v/>
      </c>
    </row>
    <row r="303" ht="22" customHeight="1">
      <c r="A303" s="33">
        <f>'建筑建议逐级'!A303</f>
        <v/>
      </c>
      <c r="B303" s="33">
        <f>'建筑建议逐级'!B303</f>
        <v/>
      </c>
      <c r="C303" s="33">
        <f>'建筑建议逐级'!C303</f>
        <v/>
      </c>
      <c r="D303" s="43">
        <f>'建筑建议逐级'!D303</f>
        <v/>
      </c>
      <c r="E303" s="36">
        <f>'建筑建议逐级'!E303</f>
        <v/>
      </c>
      <c r="F303" s="51">
        <f>IF(OR('建筑建议逐级'!I303&gt;0,'建筑建议逐级'!R303&gt;0,'建筑建议逐级'!S303&gt;0),"预算型曲线","旧指数公式")</f>
        <v/>
      </c>
      <c r="G303" s="50">
        <f>'建筑建议逐级'!H303</f>
        <v/>
      </c>
      <c r="H303" s="36">
        <f>'建筑建议逐级'!M303</f>
        <v/>
      </c>
      <c r="I303" s="35">
        <f>H303/3600</f>
        <v/>
      </c>
      <c r="J303" s="35">
        <f>H303/'参数与公式'!$B$21</f>
        <v/>
      </c>
      <c r="K303" s="35">
        <f>SUMIFS($J$5:$J$328,$A$5:$A$328,A303,$D$5:$D$328,"&lt;="&amp;D303)</f>
        <v/>
      </c>
      <c r="L303" s="50">
        <f>'建筑建议逐级'!Q303</f>
        <v/>
      </c>
      <c r="M303" s="36">
        <f>'建筑建议逐级'!X303</f>
        <v/>
      </c>
      <c r="N303" s="36">
        <f>SUMIFS($M$5:$M$328,$A$5:$A$328,A303,$D$5:$D$328,"&lt;="&amp;D303)</f>
        <v/>
      </c>
      <c r="O303" s="36">
        <f>'建筑建议逐级'!Y303</f>
        <v/>
      </c>
      <c r="P303" s="36">
        <f>SUMIFS($O$5:$O$328,$A$5:$A$328,A303,$D$5:$D$328,"&lt;="&amp;D303)</f>
        <v/>
      </c>
      <c r="Q303" s="51">
        <f>IF(F303="预算型曲线","总预算归一化","沿用旧指数公式")</f>
        <v/>
      </c>
      <c r="R303" s="51">
        <f>IF(F303="预算型曲线","与当前建议公式一致","需单独复核")</f>
        <v/>
      </c>
    </row>
    <row r="304" ht="22" customHeight="1">
      <c r="A304" s="33">
        <f>'建筑建议逐级'!A304</f>
        <v/>
      </c>
      <c r="B304" s="33">
        <f>'建筑建议逐级'!B304</f>
        <v/>
      </c>
      <c r="C304" s="33">
        <f>'建筑建议逐级'!C304</f>
        <v/>
      </c>
      <c r="D304" s="43">
        <f>'建筑建议逐级'!D304</f>
        <v/>
      </c>
      <c r="E304" s="36">
        <f>'建筑建议逐级'!E304</f>
        <v/>
      </c>
      <c r="F304" s="51">
        <f>IF(OR('建筑建议逐级'!I304&gt;0,'建筑建议逐级'!R304&gt;0,'建筑建议逐级'!S304&gt;0),"预算型曲线","旧指数公式")</f>
        <v/>
      </c>
      <c r="G304" s="50">
        <f>'建筑建议逐级'!H304</f>
        <v/>
      </c>
      <c r="H304" s="36">
        <f>'建筑建议逐级'!M304</f>
        <v/>
      </c>
      <c r="I304" s="35">
        <f>H304/3600</f>
        <v/>
      </c>
      <c r="J304" s="35">
        <f>H304/'参数与公式'!$B$21</f>
        <v/>
      </c>
      <c r="K304" s="35">
        <f>SUMIFS($J$5:$J$328,$A$5:$A$328,A304,$D$5:$D$328,"&lt;="&amp;D304)</f>
        <v/>
      </c>
      <c r="L304" s="50">
        <f>'建筑建议逐级'!Q304</f>
        <v/>
      </c>
      <c r="M304" s="36">
        <f>'建筑建议逐级'!X304</f>
        <v/>
      </c>
      <c r="N304" s="36">
        <f>SUMIFS($M$5:$M$328,$A$5:$A$328,A304,$D$5:$D$328,"&lt;="&amp;D304)</f>
        <v/>
      </c>
      <c r="O304" s="36">
        <f>'建筑建议逐级'!Y304</f>
        <v/>
      </c>
      <c r="P304" s="36">
        <f>SUMIFS($O$5:$O$328,$A$5:$A$328,A304,$D$5:$D$328,"&lt;="&amp;D304)</f>
        <v/>
      </c>
      <c r="Q304" s="51">
        <f>IF(F304="预算型曲线","总预算归一化","沿用旧指数公式")</f>
        <v/>
      </c>
      <c r="R304" s="51">
        <f>IF(F304="预算型曲线","与当前建议公式一致","需单独复核")</f>
        <v/>
      </c>
    </row>
    <row r="305" ht="22" customHeight="1">
      <c r="A305" s="33">
        <f>'建筑建议逐级'!A305</f>
        <v/>
      </c>
      <c r="B305" s="33">
        <f>'建筑建议逐级'!B305</f>
        <v/>
      </c>
      <c r="C305" s="33">
        <f>'建筑建议逐级'!C305</f>
        <v/>
      </c>
      <c r="D305" s="43">
        <f>'建筑建议逐级'!D305</f>
        <v/>
      </c>
      <c r="E305" s="36">
        <f>'建筑建议逐级'!E305</f>
        <v/>
      </c>
      <c r="F305" s="51">
        <f>IF(OR('建筑建议逐级'!I305&gt;0,'建筑建议逐级'!R305&gt;0,'建筑建议逐级'!S305&gt;0),"预算型曲线","旧指数公式")</f>
        <v/>
      </c>
      <c r="G305" s="50">
        <f>'建筑建议逐级'!H305</f>
        <v/>
      </c>
      <c r="H305" s="36">
        <f>'建筑建议逐级'!M305</f>
        <v/>
      </c>
      <c r="I305" s="35">
        <f>H305/3600</f>
        <v/>
      </c>
      <c r="J305" s="35">
        <f>H305/'参数与公式'!$B$21</f>
        <v/>
      </c>
      <c r="K305" s="35">
        <f>SUMIFS($J$5:$J$328,$A$5:$A$328,A305,$D$5:$D$328,"&lt;="&amp;D305)</f>
        <v/>
      </c>
      <c r="L305" s="50">
        <f>'建筑建议逐级'!Q305</f>
        <v/>
      </c>
      <c r="M305" s="36">
        <f>'建筑建议逐级'!X305</f>
        <v/>
      </c>
      <c r="N305" s="36">
        <f>SUMIFS($M$5:$M$328,$A$5:$A$328,A305,$D$5:$D$328,"&lt;="&amp;D305)</f>
        <v/>
      </c>
      <c r="O305" s="36">
        <f>'建筑建议逐级'!Y305</f>
        <v/>
      </c>
      <c r="P305" s="36">
        <f>SUMIFS($O$5:$O$328,$A$5:$A$328,A305,$D$5:$D$328,"&lt;="&amp;D305)</f>
        <v/>
      </c>
      <c r="Q305" s="51">
        <f>IF(F305="预算型曲线","总预算归一化","沿用旧指数公式")</f>
        <v/>
      </c>
      <c r="R305" s="51">
        <f>IF(F305="预算型曲线","与当前建议公式一致","需单独复核")</f>
        <v/>
      </c>
    </row>
    <row r="306" ht="22" customHeight="1">
      <c r="A306" s="33">
        <f>'建筑建议逐级'!A306</f>
        <v/>
      </c>
      <c r="B306" s="33">
        <f>'建筑建议逐级'!B306</f>
        <v/>
      </c>
      <c r="C306" s="33">
        <f>'建筑建议逐级'!C306</f>
        <v/>
      </c>
      <c r="D306" s="43">
        <f>'建筑建议逐级'!D306</f>
        <v/>
      </c>
      <c r="E306" s="36">
        <f>'建筑建议逐级'!E306</f>
        <v/>
      </c>
      <c r="F306" s="51">
        <f>IF(OR('建筑建议逐级'!I306&gt;0,'建筑建议逐级'!R306&gt;0,'建筑建议逐级'!S306&gt;0),"预算型曲线","旧指数公式")</f>
        <v/>
      </c>
      <c r="G306" s="50">
        <f>'建筑建议逐级'!H306</f>
        <v/>
      </c>
      <c r="H306" s="36">
        <f>'建筑建议逐级'!M306</f>
        <v/>
      </c>
      <c r="I306" s="35">
        <f>H306/3600</f>
        <v/>
      </c>
      <c r="J306" s="35">
        <f>H306/'参数与公式'!$B$21</f>
        <v/>
      </c>
      <c r="K306" s="35">
        <f>SUMIFS($J$5:$J$328,$A$5:$A$328,A306,$D$5:$D$328,"&lt;="&amp;D306)</f>
        <v/>
      </c>
      <c r="L306" s="50">
        <f>'建筑建议逐级'!Q306</f>
        <v/>
      </c>
      <c r="M306" s="36">
        <f>'建筑建议逐级'!X306</f>
        <v/>
      </c>
      <c r="N306" s="36">
        <f>SUMIFS($M$5:$M$328,$A$5:$A$328,A306,$D$5:$D$328,"&lt;="&amp;D306)</f>
        <v/>
      </c>
      <c r="O306" s="36">
        <f>'建筑建议逐级'!Y306</f>
        <v/>
      </c>
      <c r="P306" s="36">
        <f>SUMIFS($O$5:$O$328,$A$5:$A$328,A306,$D$5:$D$328,"&lt;="&amp;D306)</f>
        <v/>
      </c>
      <c r="Q306" s="51">
        <f>IF(F306="预算型曲线","总预算归一化","沿用旧指数公式")</f>
        <v/>
      </c>
      <c r="R306" s="51">
        <f>IF(F306="预算型曲线","与当前建议公式一致","需单独复核")</f>
        <v/>
      </c>
    </row>
    <row r="307" ht="22" customHeight="1">
      <c r="A307" s="33">
        <f>'建筑建议逐级'!A307</f>
        <v/>
      </c>
      <c r="B307" s="33">
        <f>'建筑建议逐级'!B307</f>
        <v/>
      </c>
      <c r="C307" s="33">
        <f>'建筑建议逐级'!C307</f>
        <v/>
      </c>
      <c r="D307" s="43">
        <f>'建筑建议逐级'!D307</f>
        <v/>
      </c>
      <c r="E307" s="36">
        <f>'建筑建议逐级'!E307</f>
        <v/>
      </c>
      <c r="F307" s="51">
        <f>IF(OR('建筑建议逐级'!I307&gt;0,'建筑建议逐级'!R307&gt;0,'建筑建议逐级'!S307&gt;0),"预算型曲线","旧指数公式")</f>
        <v/>
      </c>
      <c r="G307" s="50">
        <f>'建筑建议逐级'!H307</f>
        <v/>
      </c>
      <c r="H307" s="36">
        <f>'建筑建议逐级'!M307</f>
        <v/>
      </c>
      <c r="I307" s="35">
        <f>H307/3600</f>
        <v/>
      </c>
      <c r="J307" s="35">
        <f>H307/'参数与公式'!$B$21</f>
        <v/>
      </c>
      <c r="K307" s="35">
        <f>SUMIFS($J$5:$J$328,$A$5:$A$328,A307,$D$5:$D$328,"&lt;="&amp;D307)</f>
        <v/>
      </c>
      <c r="L307" s="50">
        <f>'建筑建议逐级'!Q307</f>
        <v/>
      </c>
      <c r="M307" s="36">
        <f>'建筑建议逐级'!X307</f>
        <v/>
      </c>
      <c r="N307" s="36">
        <f>SUMIFS($M$5:$M$328,$A$5:$A$328,A307,$D$5:$D$328,"&lt;="&amp;D307)</f>
        <v/>
      </c>
      <c r="O307" s="36">
        <f>'建筑建议逐级'!Y307</f>
        <v/>
      </c>
      <c r="P307" s="36">
        <f>SUMIFS($O$5:$O$328,$A$5:$A$328,A307,$D$5:$D$328,"&lt;="&amp;D307)</f>
        <v/>
      </c>
      <c r="Q307" s="51">
        <f>IF(F307="预算型曲线","总预算归一化","沿用旧指数公式")</f>
        <v/>
      </c>
      <c r="R307" s="51">
        <f>IF(F307="预算型曲线","与当前建议公式一致","需单独复核")</f>
        <v/>
      </c>
    </row>
    <row r="308" ht="22" customHeight="1">
      <c r="A308" s="33">
        <f>'建筑建议逐级'!A308</f>
        <v/>
      </c>
      <c r="B308" s="33">
        <f>'建筑建议逐级'!B308</f>
        <v/>
      </c>
      <c r="C308" s="33">
        <f>'建筑建议逐级'!C308</f>
        <v/>
      </c>
      <c r="D308" s="43">
        <f>'建筑建议逐级'!D308</f>
        <v/>
      </c>
      <c r="E308" s="36">
        <f>'建筑建议逐级'!E308</f>
        <v/>
      </c>
      <c r="F308" s="51">
        <f>IF(OR('建筑建议逐级'!I308&gt;0,'建筑建议逐级'!R308&gt;0,'建筑建议逐级'!S308&gt;0),"预算型曲线","旧指数公式")</f>
        <v/>
      </c>
      <c r="G308" s="50">
        <f>'建筑建议逐级'!H308</f>
        <v/>
      </c>
      <c r="H308" s="36">
        <f>'建筑建议逐级'!M308</f>
        <v/>
      </c>
      <c r="I308" s="35">
        <f>H308/3600</f>
        <v/>
      </c>
      <c r="J308" s="35">
        <f>H308/'参数与公式'!$B$21</f>
        <v/>
      </c>
      <c r="K308" s="35">
        <f>SUMIFS($J$5:$J$328,$A$5:$A$328,A308,$D$5:$D$328,"&lt;="&amp;D308)</f>
        <v/>
      </c>
      <c r="L308" s="50">
        <f>'建筑建议逐级'!Q308</f>
        <v/>
      </c>
      <c r="M308" s="36">
        <f>'建筑建议逐级'!X308</f>
        <v/>
      </c>
      <c r="N308" s="36">
        <f>SUMIFS($M$5:$M$328,$A$5:$A$328,A308,$D$5:$D$328,"&lt;="&amp;D308)</f>
        <v/>
      </c>
      <c r="O308" s="36">
        <f>'建筑建议逐级'!Y308</f>
        <v/>
      </c>
      <c r="P308" s="36">
        <f>SUMIFS($O$5:$O$328,$A$5:$A$328,A308,$D$5:$D$328,"&lt;="&amp;D308)</f>
        <v/>
      </c>
      <c r="Q308" s="51">
        <f>IF(F308="预算型曲线","总预算归一化","沿用旧指数公式")</f>
        <v/>
      </c>
      <c r="R308" s="51">
        <f>IF(F308="预算型曲线","与当前建议公式一致","需单独复核")</f>
        <v/>
      </c>
    </row>
    <row r="309" ht="22" customHeight="1">
      <c r="A309" s="33">
        <f>'建筑建议逐级'!A309</f>
        <v/>
      </c>
      <c r="B309" s="33">
        <f>'建筑建议逐级'!B309</f>
        <v/>
      </c>
      <c r="C309" s="33">
        <f>'建筑建议逐级'!C309</f>
        <v/>
      </c>
      <c r="D309" s="43">
        <f>'建筑建议逐级'!D309</f>
        <v/>
      </c>
      <c r="E309" s="36">
        <f>'建筑建议逐级'!E309</f>
        <v/>
      </c>
      <c r="F309" s="51">
        <f>IF(OR('建筑建议逐级'!I309&gt;0,'建筑建议逐级'!R309&gt;0,'建筑建议逐级'!S309&gt;0),"预算型曲线","旧指数公式")</f>
        <v/>
      </c>
      <c r="G309" s="50">
        <f>'建筑建议逐级'!H309</f>
        <v/>
      </c>
      <c r="H309" s="36">
        <f>'建筑建议逐级'!M309</f>
        <v/>
      </c>
      <c r="I309" s="35">
        <f>H309/3600</f>
        <v/>
      </c>
      <c r="J309" s="35">
        <f>H309/'参数与公式'!$B$21</f>
        <v/>
      </c>
      <c r="K309" s="35">
        <f>SUMIFS($J$5:$J$328,$A$5:$A$328,A309,$D$5:$D$328,"&lt;="&amp;D309)</f>
        <v/>
      </c>
      <c r="L309" s="50">
        <f>'建筑建议逐级'!Q309</f>
        <v/>
      </c>
      <c r="M309" s="36">
        <f>'建筑建议逐级'!X309</f>
        <v/>
      </c>
      <c r="N309" s="36">
        <f>SUMIFS($M$5:$M$328,$A$5:$A$328,A309,$D$5:$D$328,"&lt;="&amp;D309)</f>
        <v/>
      </c>
      <c r="O309" s="36">
        <f>'建筑建议逐级'!Y309</f>
        <v/>
      </c>
      <c r="P309" s="36">
        <f>SUMIFS($O$5:$O$328,$A$5:$A$328,A309,$D$5:$D$328,"&lt;="&amp;D309)</f>
        <v/>
      </c>
      <c r="Q309" s="51">
        <f>IF(F309="预算型曲线","总预算归一化","沿用旧指数公式")</f>
        <v/>
      </c>
      <c r="R309" s="51">
        <f>IF(F309="预算型曲线","与当前建议公式一致","需单独复核")</f>
        <v/>
      </c>
    </row>
    <row r="310" ht="22" customHeight="1">
      <c r="A310" s="33">
        <f>'建筑建议逐级'!A310</f>
        <v/>
      </c>
      <c r="B310" s="33">
        <f>'建筑建议逐级'!B310</f>
        <v/>
      </c>
      <c r="C310" s="33">
        <f>'建筑建议逐级'!C310</f>
        <v/>
      </c>
      <c r="D310" s="43">
        <f>'建筑建议逐级'!D310</f>
        <v/>
      </c>
      <c r="E310" s="36">
        <f>'建筑建议逐级'!E310</f>
        <v/>
      </c>
      <c r="F310" s="51">
        <f>IF(OR('建筑建议逐级'!I310&gt;0,'建筑建议逐级'!R310&gt;0,'建筑建议逐级'!S310&gt;0),"预算型曲线","旧指数公式")</f>
        <v/>
      </c>
      <c r="G310" s="50">
        <f>'建筑建议逐级'!H310</f>
        <v/>
      </c>
      <c r="H310" s="36">
        <f>'建筑建议逐级'!M310</f>
        <v/>
      </c>
      <c r="I310" s="35">
        <f>H310/3600</f>
        <v/>
      </c>
      <c r="J310" s="35">
        <f>H310/'参数与公式'!$B$21</f>
        <v/>
      </c>
      <c r="K310" s="35">
        <f>SUMIFS($J$5:$J$328,$A$5:$A$328,A310,$D$5:$D$328,"&lt;="&amp;D310)</f>
        <v/>
      </c>
      <c r="L310" s="50">
        <f>'建筑建议逐级'!Q310</f>
        <v/>
      </c>
      <c r="M310" s="36">
        <f>'建筑建议逐级'!X310</f>
        <v/>
      </c>
      <c r="N310" s="36">
        <f>SUMIFS($M$5:$M$328,$A$5:$A$328,A310,$D$5:$D$328,"&lt;="&amp;D310)</f>
        <v/>
      </c>
      <c r="O310" s="36">
        <f>'建筑建议逐级'!Y310</f>
        <v/>
      </c>
      <c r="P310" s="36">
        <f>SUMIFS($O$5:$O$328,$A$5:$A$328,A310,$D$5:$D$328,"&lt;="&amp;D310)</f>
        <v/>
      </c>
      <c r="Q310" s="51">
        <f>IF(F310="预算型曲线","总预算归一化","沿用旧指数公式")</f>
        <v/>
      </c>
      <c r="R310" s="51">
        <f>IF(F310="预算型曲线","与当前建议公式一致","需单独复核")</f>
        <v/>
      </c>
    </row>
    <row r="311" ht="22" customHeight="1">
      <c r="A311" s="33">
        <f>'建筑建议逐级'!A311</f>
        <v/>
      </c>
      <c r="B311" s="33">
        <f>'建筑建议逐级'!B311</f>
        <v/>
      </c>
      <c r="C311" s="33">
        <f>'建筑建议逐级'!C311</f>
        <v/>
      </c>
      <c r="D311" s="43">
        <f>'建筑建议逐级'!D311</f>
        <v/>
      </c>
      <c r="E311" s="36">
        <f>'建筑建议逐级'!E311</f>
        <v/>
      </c>
      <c r="F311" s="51">
        <f>IF(OR('建筑建议逐级'!I311&gt;0,'建筑建议逐级'!R311&gt;0,'建筑建议逐级'!S311&gt;0),"预算型曲线","旧指数公式")</f>
        <v/>
      </c>
      <c r="G311" s="50">
        <f>'建筑建议逐级'!H311</f>
        <v/>
      </c>
      <c r="H311" s="36">
        <f>'建筑建议逐级'!M311</f>
        <v/>
      </c>
      <c r="I311" s="35">
        <f>H311/3600</f>
        <v/>
      </c>
      <c r="J311" s="35">
        <f>H311/'参数与公式'!$B$21</f>
        <v/>
      </c>
      <c r="K311" s="35">
        <f>SUMIFS($J$5:$J$328,$A$5:$A$328,A311,$D$5:$D$328,"&lt;="&amp;D311)</f>
        <v/>
      </c>
      <c r="L311" s="50">
        <f>'建筑建议逐级'!Q311</f>
        <v/>
      </c>
      <c r="M311" s="36">
        <f>'建筑建议逐级'!X311</f>
        <v/>
      </c>
      <c r="N311" s="36">
        <f>SUMIFS($M$5:$M$328,$A$5:$A$328,A311,$D$5:$D$328,"&lt;="&amp;D311)</f>
        <v/>
      </c>
      <c r="O311" s="36">
        <f>'建筑建议逐级'!Y311</f>
        <v/>
      </c>
      <c r="P311" s="36">
        <f>SUMIFS($O$5:$O$328,$A$5:$A$328,A311,$D$5:$D$328,"&lt;="&amp;D311)</f>
        <v/>
      </c>
      <c r="Q311" s="51">
        <f>IF(F311="预算型曲线","总预算归一化","沿用旧指数公式")</f>
        <v/>
      </c>
      <c r="R311" s="51">
        <f>IF(F311="预算型曲线","与当前建议公式一致","需单独复核")</f>
        <v/>
      </c>
    </row>
    <row r="312" ht="22" customHeight="1">
      <c r="A312" s="33">
        <f>'建筑建议逐级'!A312</f>
        <v/>
      </c>
      <c r="B312" s="33">
        <f>'建筑建议逐级'!B312</f>
        <v/>
      </c>
      <c r="C312" s="33">
        <f>'建筑建议逐级'!C312</f>
        <v/>
      </c>
      <c r="D312" s="43">
        <f>'建筑建议逐级'!D312</f>
        <v/>
      </c>
      <c r="E312" s="36">
        <f>'建筑建议逐级'!E312</f>
        <v/>
      </c>
      <c r="F312" s="51">
        <f>IF(OR('建筑建议逐级'!I312&gt;0,'建筑建议逐级'!R312&gt;0,'建筑建议逐级'!S312&gt;0),"预算型曲线","旧指数公式")</f>
        <v/>
      </c>
      <c r="G312" s="50">
        <f>'建筑建议逐级'!H312</f>
        <v/>
      </c>
      <c r="H312" s="36">
        <f>'建筑建议逐级'!M312</f>
        <v/>
      </c>
      <c r="I312" s="35">
        <f>H312/3600</f>
        <v/>
      </c>
      <c r="J312" s="35">
        <f>H312/'参数与公式'!$B$21</f>
        <v/>
      </c>
      <c r="K312" s="35">
        <f>SUMIFS($J$5:$J$328,$A$5:$A$328,A312,$D$5:$D$328,"&lt;="&amp;D312)</f>
        <v/>
      </c>
      <c r="L312" s="50">
        <f>'建筑建议逐级'!Q312</f>
        <v/>
      </c>
      <c r="M312" s="36">
        <f>'建筑建议逐级'!X312</f>
        <v/>
      </c>
      <c r="N312" s="36">
        <f>SUMIFS($M$5:$M$328,$A$5:$A$328,A312,$D$5:$D$328,"&lt;="&amp;D312)</f>
        <v/>
      </c>
      <c r="O312" s="36">
        <f>'建筑建议逐级'!Y312</f>
        <v/>
      </c>
      <c r="P312" s="36">
        <f>SUMIFS($O$5:$O$328,$A$5:$A$328,A312,$D$5:$D$328,"&lt;="&amp;D312)</f>
        <v/>
      </c>
      <c r="Q312" s="51">
        <f>IF(F312="预算型曲线","总预算归一化","沿用旧指数公式")</f>
        <v/>
      </c>
      <c r="R312" s="51">
        <f>IF(F312="预算型曲线","与当前建议公式一致","需单独复核")</f>
        <v/>
      </c>
    </row>
    <row r="313" ht="22" customHeight="1">
      <c r="A313" s="33">
        <f>'建筑建议逐级'!A313</f>
        <v/>
      </c>
      <c r="B313" s="33">
        <f>'建筑建议逐级'!B313</f>
        <v/>
      </c>
      <c r="C313" s="33">
        <f>'建筑建议逐级'!C313</f>
        <v/>
      </c>
      <c r="D313" s="43">
        <f>'建筑建议逐级'!D313</f>
        <v/>
      </c>
      <c r="E313" s="36">
        <f>'建筑建议逐级'!E313</f>
        <v/>
      </c>
      <c r="F313" s="51">
        <f>IF(OR('建筑建议逐级'!I313&gt;0,'建筑建议逐级'!R313&gt;0,'建筑建议逐级'!S313&gt;0),"预算型曲线","旧指数公式")</f>
        <v/>
      </c>
      <c r="G313" s="50">
        <f>'建筑建议逐级'!H313</f>
        <v/>
      </c>
      <c r="H313" s="36">
        <f>'建筑建议逐级'!M313</f>
        <v/>
      </c>
      <c r="I313" s="35">
        <f>H313/3600</f>
        <v/>
      </c>
      <c r="J313" s="35">
        <f>H313/'参数与公式'!$B$21</f>
        <v/>
      </c>
      <c r="K313" s="35">
        <f>SUMIFS($J$5:$J$328,$A$5:$A$328,A313,$D$5:$D$328,"&lt;="&amp;D313)</f>
        <v/>
      </c>
      <c r="L313" s="50">
        <f>'建筑建议逐级'!Q313</f>
        <v/>
      </c>
      <c r="M313" s="36">
        <f>'建筑建议逐级'!X313</f>
        <v/>
      </c>
      <c r="N313" s="36">
        <f>SUMIFS($M$5:$M$328,$A$5:$A$328,A313,$D$5:$D$328,"&lt;="&amp;D313)</f>
        <v/>
      </c>
      <c r="O313" s="36">
        <f>'建筑建议逐级'!Y313</f>
        <v/>
      </c>
      <c r="P313" s="36">
        <f>SUMIFS($O$5:$O$328,$A$5:$A$328,A313,$D$5:$D$328,"&lt;="&amp;D313)</f>
        <v/>
      </c>
      <c r="Q313" s="51">
        <f>IF(F313="预算型曲线","总预算归一化","沿用旧指数公式")</f>
        <v/>
      </c>
      <c r="R313" s="51">
        <f>IF(F313="预算型曲线","与当前建议公式一致","需单独复核")</f>
        <v/>
      </c>
    </row>
    <row r="314" ht="22" customHeight="1">
      <c r="A314" s="33">
        <f>'建筑建议逐级'!A314</f>
        <v/>
      </c>
      <c r="B314" s="33">
        <f>'建筑建议逐级'!B314</f>
        <v/>
      </c>
      <c r="C314" s="33">
        <f>'建筑建议逐级'!C314</f>
        <v/>
      </c>
      <c r="D314" s="43">
        <f>'建筑建议逐级'!D314</f>
        <v/>
      </c>
      <c r="E314" s="36">
        <f>'建筑建议逐级'!E314</f>
        <v/>
      </c>
      <c r="F314" s="51">
        <f>IF(OR('建筑建议逐级'!I314&gt;0,'建筑建议逐级'!R314&gt;0,'建筑建议逐级'!S314&gt;0),"预算型曲线","旧指数公式")</f>
        <v/>
      </c>
      <c r="G314" s="50">
        <f>'建筑建议逐级'!H314</f>
        <v/>
      </c>
      <c r="H314" s="36">
        <f>'建筑建议逐级'!M314</f>
        <v/>
      </c>
      <c r="I314" s="35">
        <f>H314/3600</f>
        <v/>
      </c>
      <c r="J314" s="35">
        <f>H314/'参数与公式'!$B$21</f>
        <v/>
      </c>
      <c r="K314" s="35">
        <f>SUMIFS($J$5:$J$328,$A$5:$A$328,A314,$D$5:$D$328,"&lt;="&amp;D314)</f>
        <v/>
      </c>
      <c r="L314" s="50">
        <f>'建筑建议逐级'!Q314</f>
        <v/>
      </c>
      <c r="M314" s="36">
        <f>'建筑建议逐级'!X314</f>
        <v/>
      </c>
      <c r="N314" s="36">
        <f>SUMIFS($M$5:$M$328,$A$5:$A$328,A314,$D$5:$D$328,"&lt;="&amp;D314)</f>
        <v/>
      </c>
      <c r="O314" s="36">
        <f>'建筑建议逐级'!Y314</f>
        <v/>
      </c>
      <c r="P314" s="36">
        <f>SUMIFS($O$5:$O$328,$A$5:$A$328,A314,$D$5:$D$328,"&lt;="&amp;D314)</f>
        <v/>
      </c>
      <c r="Q314" s="51">
        <f>IF(F314="预算型曲线","总预算归一化","沿用旧指数公式")</f>
        <v/>
      </c>
      <c r="R314" s="51">
        <f>IF(F314="预算型曲线","与当前建议公式一致","需单独复核")</f>
        <v/>
      </c>
    </row>
    <row r="315" ht="22" customHeight="1">
      <c r="A315" s="33">
        <f>'建筑建议逐级'!A315</f>
        <v/>
      </c>
      <c r="B315" s="33">
        <f>'建筑建议逐级'!B315</f>
        <v/>
      </c>
      <c r="C315" s="33">
        <f>'建筑建议逐级'!C315</f>
        <v/>
      </c>
      <c r="D315" s="43">
        <f>'建筑建议逐级'!D315</f>
        <v/>
      </c>
      <c r="E315" s="36">
        <f>'建筑建议逐级'!E315</f>
        <v/>
      </c>
      <c r="F315" s="51">
        <f>IF(OR('建筑建议逐级'!I315&gt;0,'建筑建议逐级'!R315&gt;0,'建筑建议逐级'!S315&gt;0),"预算型曲线","旧指数公式")</f>
        <v/>
      </c>
      <c r="G315" s="50">
        <f>'建筑建议逐级'!H315</f>
        <v/>
      </c>
      <c r="H315" s="36">
        <f>'建筑建议逐级'!M315</f>
        <v/>
      </c>
      <c r="I315" s="35">
        <f>H315/3600</f>
        <v/>
      </c>
      <c r="J315" s="35">
        <f>H315/'参数与公式'!$B$21</f>
        <v/>
      </c>
      <c r="K315" s="35">
        <f>SUMIFS($J$5:$J$328,$A$5:$A$328,A315,$D$5:$D$328,"&lt;="&amp;D315)</f>
        <v/>
      </c>
      <c r="L315" s="50">
        <f>'建筑建议逐级'!Q315</f>
        <v/>
      </c>
      <c r="M315" s="36">
        <f>'建筑建议逐级'!X315</f>
        <v/>
      </c>
      <c r="N315" s="36">
        <f>SUMIFS($M$5:$M$328,$A$5:$A$328,A315,$D$5:$D$328,"&lt;="&amp;D315)</f>
        <v/>
      </c>
      <c r="O315" s="36">
        <f>'建筑建议逐级'!Y315</f>
        <v/>
      </c>
      <c r="P315" s="36">
        <f>SUMIFS($O$5:$O$328,$A$5:$A$328,A315,$D$5:$D$328,"&lt;="&amp;D315)</f>
        <v/>
      </c>
      <c r="Q315" s="51">
        <f>IF(F315="预算型曲线","总预算归一化","沿用旧指数公式")</f>
        <v/>
      </c>
      <c r="R315" s="51">
        <f>IF(F315="预算型曲线","与当前建议公式一致","需单独复核")</f>
        <v/>
      </c>
    </row>
    <row r="316" ht="22" customHeight="1">
      <c r="A316" s="33">
        <f>'建筑建议逐级'!A316</f>
        <v/>
      </c>
      <c r="B316" s="33">
        <f>'建筑建议逐级'!B316</f>
        <v/>
      </c>
      <c r="C316" s="33">
        <f>'建筑建议逐级'!C316</f>
        <v/>
      </c>
      <c r="D316" s="43">
        <f>'建筑建议逐级'!D316</f>
        <v/>
      </c>
      <c r="E316" s="36">
        <f>'建筑建议逐级'!E316</f>
        <v/>
      </c>
      <c r="F316" s="51">
        <f>IF(OR('建筑建议逐级'!I316&gt;0,'建筑建议逐级'!R316&gt;0,'建筑建议逐级'!S316&gt;0),"预算型曲线","旧指数公式")</f>
        <v/>
      </c>
      <c r="G316" s="50">
        <f>'建筑建议逐级'!H316</f>
        <v/>
      </c>
      <c r="H316" s="36">
        <f>'建筑建议逐级'!M316</f>
        <v/>
      </c>
      <c r="I316" s="35">
        <f>H316/3600</f>
        <v/>
      </c>
      <c r="J316" s="35">
        <f>H316/'参数与公式'!$B$21</f>
        <v/>
      </c>
      <c r="K316" s="35">
        <f>SUMIFS($J$5:$J$328,$A$5:$A$328,A316,$D$5:$D$328,"&lt;="&amp;D316)</f>
        <v/>
      </c>
      <c r="L316" s="50">
        <f>'建筑建议逐级'!Q316</f>
        <v/>
      </c>
      <c r="M316" s="36">
        <f>'建筑建议逐级'!X316</f>
        <v/>
      </c>
      <c r="N316" s="36">
        <f>SUMIFS($M$5:$M$328,$A$5:$A$328,A316,$D$5:$D$328,"&lt;="&amp;D316)</f>
        <v/>
      </c>
      <c r="O316" s="36">
        <f>'建筑建议逐级'!Y316</f>
        <v/>
      </c>
      <c r="P316" s="36">
        <f>SUMIFS($O$5:$O$328,$A$5:$A$328,A316,$D$5:$D$328,"&lt;="&amp;D316)</f>
        <v/>
      </c>
      <c r="Q316" s="51">
        <f>IF(F316="预算型曲线","总预算归一化","沿用旧指数公式")</f>
        <v/>
      </c>
      <c r="R316" s="51">
        <f>IF(F316="预算型曲线","与当前建议公式一致","需单独复核")</f>
        <v/>
      </c>
    </row>
    <row r="317" ht="22" customHeight="1">
      <c r="A317" s="33">
        <f>'建筑建议逐级'!A317</f>
        <v/>
      </c>
      <c r="B317" s="33">
        <f>'建筑建议逐级'!B317</f>
        <v/>
      </c>
      <c r="C317" s="33">
        <f>'建筑建议逐级'!C317</f>
        <v/>
      </c>
      <c r="D317" s="43">
        <f>'建筑建议逐级'!D317</f>
        <v/>
      </c>
      <c r="E317" s="36">
        <f>'建筑建议逐级'!E317</f>
        <v/>
      </c>
      <c r="F317" s="51">
        <f>IF(OR('建筑建议逐级'!I317&gt;0,'建筑建议逐级'!R317&gt;0,'建筑建议逐级'!S317&gt;0),"预算型曲线","旧指数公式")</f>
        <v/>
      </c>
      <c r="G317" s="50">
        <f>'建筑建议逐级'!H317</f>
        <v/>
      </c>
      <c r="H317" s="36">
        <f>'建筑建议逐级'!M317</f>
        <v/>
      </c>
      <c r="I317" s="35">
        <f>H317/3600</f>
        <v/>
      </c>
      <c r="J317" s="35">
        <f>H317/'参数与公式'!$B$21</f>
        <v/>
      </c>
      <c r="K317" s="35">
        <f>SUMIFS($J$5:$J$328,$A$5:$A$328,A317,$D$5:$D$328,"&lt;="&amp;D317)</f>
        <v/>
      </c>
      <c r="L317" s="50">
        <f>'建筑建议逐级'!Q317</f>
        <v/>
      </c>
      <c r="M317" s="36">
        <f>'建筑建议逐级'!X317</f>
        <v/>
      </c>
      <c r="N317" s="36">
        <f>SUMIFS($M$5:$M$328,$A$5:$A$328,A317,$D$5:$D$328,"&lt;="&amp;D317)</f>
        <v/>
      </c>
      <c r="O317" s="36">
        <f>'建筑建议逐级'!Y317</f>
        <v/>
      </c>
      <c r="P317" s="36">
        <f>SUMIFS($O$5:$O$328,$A$5:$A$328,A317,$D$5:$D$328,"&lt;="&amp;D317)</f>
        <v/>
      </c>
      <c r="Q317" s="51">
        <f>IF(F317="预算型曲线","总预算归一化","沿用旧指数公式")</f>
        <v/>
      </c>
      <c r="R317" s="51">
        <f>IF(F317="预算型曲线","与当前建议公式一致","需单独复核")</f>
        <v/>
      </c>
    </row>
    <row r="318" ht="22" customHeight="1">
      <c r="A318" s="33">
        <f>'建筑建议逐级'!A318</f>
        <v/>
      </c>
      <c r="B318" s="33">
        <f>'建筑建议逐级'!B318</f>
        <v/>
      </c>
      <c r="C318" s="33">
        <f>'建筑建议逐级'!C318</f>
        <v/>
      </c>
      <c r="D318" s="43">
        <f>'建筑建议逐级'!D318</f>
        <v/>
      </c>
      <c r="E318" s="36">
        <f>'建筑建议逐级'!E318</f>
        <v/>
      </c>
      <c r="F318" s="51">
        <f>IF(OR('建筑建议逐级'!I318&gt;0,'建筑建议逐级'!R318&gt;0,'建筑建议逐级'!S318&gt;0),"预算型曲线","旧指数公式")</f>
        <v/>
      </c>
      <c r="G318" s="50">
        <f>'建筑建议逐级'!H318</f>
        <v/>
      </c>
      <c r="H318" s="36">
        <f>'建筑建议逐级'!M318</f>
        <v/>
      </c>
      <c r="I318" s="35">
        <f>H318/3600</f>
        <v/>
      </c>
      <c r="J318" s="35">
        <f>H318/'参数与公式'!$B$21</f>
        <v/>
      </c>
      <c r="K318" s="35">
        <f>SUMIFS($J$5:$J$328,$A$5:$A$328,A318,$D$5:$D$328,"&lt;="&amp;D318)</f>
        <v/>
      </c>
      <c r="L318" s="50">
        <f>'建筑建议逐级'!Q318</f>
        <v/>
      </c>
      <c r="M318" s="36">
        <f>'建筑建议逐级'!X318</f>
        <v/>
      </c>
      <c r="N318" s="36">
        <f>SUMIFS($M$5:$M$328,$A$5:$A$328,A318,$D$5:$D$328,"&lt;="&amp;D318)</f>
        <v/>
      </c>
      <c r="O318" s="36">
        <f>'建筑建议逐级'!Y318</f>
        <v/>
      </c>
      <c r="P318" s="36">
        <f>SUMIFS($O$5:$O$328,$A$5:$A$328,A318,$D$5:$D$328,"&lt;="&amp;D318)</f>
        <v/>
      </c>
      <c r="Q318" s="51">
        <f>IF(F318="预算型曲线","总预算归一化","沿用旧指数公式")</f>
        <v/>
      </c>
      <c r="R318" s="51">
        <f>IF(F318="预算型曲线","与当前建议公式一致","需单独复核")</f>
        <v/>
      </c>
    </row>
    <row r="319" ht="22" customHeight="1">
      <c r="A319" s="33">
        <f>'建筑建议逐级'!A319</f>
        <v/>
      </c>
      <c r="B319" s="33">
        <f>'建筑建议逐级'!B319</f>
        <v/>
      </c>
      <c r="C319" s="33">
        <f>'建筑建议逐级'!C319</f>
        <v/>
      </c>
      <c r="D319" s="43">
        <f>'建筑建议逐级'!D319</f>
        <v/>
      </c>
      <c r="E319" s="36">
        <f>'建筑建议逐级'!E319</f>
        <v/>
      </c>
      <c r="F319" s="51">
        <f>IF(OR('建筑建议逐级'!I319&gt;0,'建筑建议逐级'!R319&gt;0,'建筑建议逐级'!S319&gt;0),"预算型曲线","旧指数公式")</f>
        <v/>
      </c>
      <c r="G319" s="50">
        <f>'建筑建议逐级'!H319</f>
        <v/>
      </c>
      <c r="H319" s="36">
        <f>'建筑建议逐级'!M319</f>
        <v/>
      </c>
      <c r="I319" s="35">
        <f>H319/3600</f>
        <v/>
      </c>
      <c r="J319" s="35">
        <f>H319/'参数与公式'!$B$21</f>
        <v/>
      </c>
      <c r="K319" s="35">
        <f>SUMIFS($J$5:$J$328,$A$5:$A$328,A319,$D$5:$D$328,"&lt;="&amp;D319)</f>
        <v/>
      </c>
      <c r="L319" s="50">
        <f>'建筑建议逐级'!Q319</f>
        <v/>
      </c>
      <c r="M319" s="36">
        <f>'建筑建议逐级'!X319</f>
        <v/>
      </c>
      <c r="N319" s="36">
        <f>SUMIFS($M$5:$M$328,$A$5:$A$328,A319,$D$5:$D$328,"&lt;="&amp;D319)</f>
        <v/>
      </c>
      <c r="O319" s="36">
        <f>'建筑建议逐级'!Y319</f>
        <v/>
      </c>
      <c r="P319" s="36">
        <f>SUMIFS($O$5:$O$328,$A$5:$A$328,A319,$D$5:$D$328,"&lt;="&amp;D319)</f>
        <v/>
      </c>
      <c r="Q319" s="51">
        <f>IF(F319="预算型曲线","总预算归一化","沿用旧指数公式")</f>
        <v/>
      </c>
      <c r="R319" s="51">
        <f>IF(F319="预算型曲线","与当前建议公式一致","需单独复核")</f>
        <v/>
      </c>
    </row>
    <row r="320" ht="22" customHeight="1">
      <c r="A320" s="33">
        <f>'建筑建议逐级'!A320</f>
        <v/>
      </c>
      <c r="B320" s="33">
        <f>'建筑建议逐级'!B320</f>
        <v/>
      </c>
      <c r="C320" s="33">
        <f>'建筑建议逐级'!C320</f>
        <v/>
      </c>
      <c r="D320" s="43">
        <f>'建筑建议逐级'!D320</f>
        <v/>
      </c>
      <c r="E320" s="36">
        <f>'建筑建议逐级'!E320</f>
        <v/>
      </c>
      <c r="F320" s="51">
        <f>IF(OR('建筑建议逐级'!I320&gt;0,'建筑建议逐级'!R320&gt;0,'建筑建议逐级'!S320&gt;0),"预算型曲线","旧指数公式")</f>
        <v/>
      </c>
      <c r="G320" s="50">
        <f>'建筑建议逐级'!H320</f>
        <v/>
      </c>
      <c r="H320" s="36">
        <f>'建筑建议逐级'!M320</f>
        <v/>
      </c>
      <c r="I320" s="35">
        <f>H320/3600</f>
        <v/>
      </c>
      <c r="J320" s="35">
        <f>H320/'参数与公式'!$B$21</f>
        <v/>
      </c>
      <c r="K320" s="35">
        <f>SUMIFS($J$5:$J$328,$A$5:$A$328,A320,$D$5:$D$328,"&lt;="&amp;D320)</f>
        <v/>
      </c>
      <c r="L320" s="50">
        <f>'建筑建议逐级'!Q320</f>
        <v/>
      </c>
      <c r="M320" s="36">
        <f>'建筑建议逐级'!X320</f>
        <v/>
      </c>
      <c r="N320" s="36">
        <f>SUMIFS($M$5:$M$328,$A$5:$A$328,A320,$D$5:$D$328,"&lt;="&amp;D320)</f>
        <v/>
      </c>
      <c r="O320" s="36">
        <f>'建筑建议逐级'!Y320</f>
        <v/>
      </c>
      <c r="P320" s="36">
        <f>SUMIFS($O$5:$O$328,$A$5:$A$328,A320,$D$5:$D$328,"&lt;="&amp;D320)</f>
        <v/>
      </c>
      <c r="Q320" s="51">
        <f>IF(F320="预算型曲线","总预算归一化","沿用旧指数公式")</f>
        <v/>
      </c>
      <c r="R320" s="51">
        <f>IF(F320="预算型曲线","与当前建议公式一致","需单独复核")</f>
        <v/>
      </c>
    </row>
    <row r="321" ht="22" customHeight="1">
      <c r="A321" s="33">
        <f>'建筑建议逐级'!A321</f>
        <v/>
      </c>
      <c r="B321" s="33">
        <f>'建筑建议逐级'!B321</f>
        <v/>
      </c>
      <c r="C321" s="33">
        <f>'建筑建议逐级'!C321</f>
        <v/>
      </c>
      <c r="D321" s="43">
        <f>'建筑建议逐级'!D321</f>
        <v/>
      </c>
      <c r="E321" s="36">
        <f>'建筑建议逐级'!E321</f>
        <v/>
      </c>
      <c r="F321" s="51">
        <f>IF(OR('建筑建议逐级'!I321&gt;0,'建筑建议逐级'!R321&gt;0,'建筑建议逐级'!S321&gt;0),"预算型曲线","旧指数公式")</f>
        <v/>
      </c>
      <c r="G321" s="50">
        <f>'建筑建议逐级'!H321</f>
        <v/>
      </c>
      <c r="H321" s="36">
        <f>'建筑建议逐级'!M321</f>
        <v/>
      </c>
      <c r="I321" s="35">
        <f>H321/3600</f>
        <v/>
      </c>
      <c r="J321" s="35">
        <f>H321/'参数与公式'!$B$21</f>
        <v/>
      </c>
      <c r="K321" s="35">
        <f>SUMIFS($J$5:$J$328,$A$5:$A$328,A321,$D$5:$D$328,"&lt;="&amp;D321)</f>
        <v/>
      </c>
      <c r="L321" s="50">
        <f>'建筑建议逐级'!Q321</f>
        <v/>
      </c>
      <c r="M321" s="36">
        <f>'建筑建议逐级'!X321</f>
        <v/>
      </c>
      <c r="N321" s="36">
        <f>SUMIFS($M$5:$M$328,$A$5:$A$328,A321,$D$5:$D$328,"&lt;="&amp;D321)</f>
        <v/>
      </c>
      <c r="O321" s="36">
        <f>'建筑建议逐级'!Y321</f>
        <v/>
      </c>
      <c r="P321" s="36">
        <f>SUMIFS($O$5:$O$328,$A$5:$A$328,A321,$D$5:$D$328,"&lt;="&amp;D321)</f>
        <v/>
      </c>
      <c r="Q321" s="51">
        <f>IF(F321="预算型曲线","总预算归一化","沿用旧指数公式")</f>
        <v/>
      </c>
      <c r="R321" s="51">
        <f>IF(F321="预算型曲线","与当前建议公式一致","需单独复核")</f>
        <v/>
      </c>
    </row>
    <row r="322" ht="22" customHeight="1">
      <c r="A322" s="33">
        <f>'建筑建议逐级'!A322</f>
        <v/>
      </c>
      <c r="B322" s="33">
        <f>'建筑建议逐级'!B322</f>
        <v/>
      </c>
      <c r="C322" s="33">
        <f>'建筑建议逐级'!C322</f>
        <v/>
      </c>
      <c r="D322" s="43">
        <f>'建筑建议逐级'!D322</f>
        <v/>
      </c>
      <c r="E322" s="36">
        <f>'建筑建议逐级'!E322</f>
        <v/>
      </c>
      <c r="F322" s="51">
        <f>IF(OR('建筑建议逐级'!I322&gt;0,'建筑建议逐级'!R322&gt;0,'建筑建议逐级'!S322&gt;0),"预算型曲线","旧指数公式")</f>
        <v/>
      </c>
      <c r="G322" s="50">
        <f>'建筑建议逐级'!H322</f>
        <v/>
      </c>
      <c r="H322" s="36">
        <f>'建筑建议逐级'!M322</f>
        <v/>
      </c>
      <c r="I322" s="35">
        <f>H322/3600</f>
        <v/>
      </c>
      <c r="J322" s="35">
        <f>H322/'参数与公式'!$B$21</f>
        <v/>
      </c>
      <c r="K322" s="35">
        <f>SUMIFS($J$5:$J$328,$A$5:$A$328,A322,$D$5:$D$328,"&lt;="&amp;D322)</f>
        <v/>
      </c>
      <c r="L322" s="50">
        <f>'建筑建议逐级'!Q322</f>
        <v/>
      </c>
      <c r="M322" s="36">
        <f>'建筑建议逐级'!X322</f>
        <v/>
      </c>
      <c r="N322" s="36">
        <f>SUMIFS($M$5:$M$328,$A$5:$A$328,A322,$D$5:$D$328,"&lt;="&amp;D322)</f>
        <v/>
      </c>
      <c r="O322" s="36">
        <f>'建筑建议逐级'!Y322</f>
        <v/>
      </c>
      <c r="P322" s="36">
        <f>SUMIFS($O$5:$O$328,$A$5:$A$328,A322,$D$5:$D$328,"&lt;="&amp;D322)</f>
        <v/>
      </c>
      <c r="Q322" s="51">
        <f>IF(F322="预算型曲线","总预算归一化","沿用旧指数公式")</f>
        <v/>
      </c>
      <c r="R322" s="51">
        <f>IF(F322="预算型曲线","与当前建议公式一致","需单独复核")</f>
        <v/>
      </c>
    </row>
    <row r="323" ht="22" customHeight="1">
      <c r="A323" s="33">
        <f>'建筑建议逐级'!A323</f>
        <v/>
      </c>
      <c r="B323" s="33">
        <f>'建筑建议逐级'!B323</f>
        <v/>
      </c>
      <c r="C323" s="33">
        <f>'建筑建议逐级'!C323</f>
        <v/>
      </c>
      <c r="D323" s="43">
        <f>'建筑建议逐级'!D323</f>
        <v/>
      </c>
      <c r="E323" s="36">
        <f>'建筑建议逐级'!E323</f>
        <v/>
      </c>
      <c r="F323" s="51">
        <f>IF(OR('建筑建议逐级'!I323&gt;0,'建筑建议逐级'!R323&gt;0,'建筑建议逐级'!S323&gt;0),"预算型曲线","旧指数公式")</f>
        <v/>
      </c>
      <c r="G323" s="50">
        <f>'建筑建议逐级'!H323</f>
        <v/>
      </c>
      <c r="H323" s="36">
        <f>'建筑建议逐级'!M323</f>
        <v/>
      </c>
      <c r="I323" s="35">
        <f>H323/3600</f>
        <v/>
      </c>
      <c r="J323" s="35">
        <f>H323/'参数与公式'!$B$21</f>
        <v/>
      </c>
      <c r="K323" s="35">
        <f>SUMIFS($J$5:$J$328,$A$5:$A$328,A323,$D$5:$D$328,"&lt;="&amp;D323)</f>
        <v/>
      </c>
      <c r="L323" s="50">
        <f>'建筑建议逐级'!Q323</f>
        <v/>
      </c>
      <c r="M323" s="36">
        <f>'建筑建议逐级'!X323</f>
        <v/>
      </c>
      <c r="N323" s="36">
        <f>SUMIFS($M$5:$M$328,$A$5:$A$328,A323,$D$5:$D$328,"&lt;="&amp;D323)</f>
        <v/>
      </c>
      <c r="O323" s="36">
        <f>'建筑建议逐级'!Y323</f>
        <v/>
      </c>
      <c r="P323" s="36">
        <f>SUMIFS($O$5:$O$328,$A$5:$A$328,A323,$D$5:$D$328,"&lt;="&amp;D323)</f>
        <v/>
      </c>
      <c r="Q323" s="51">
        <f>IF(F323="预算型曲线","总预算归一化","沿用旧指数公式")</f>
        <v/>
      </c>
      <c r="R323" s="51">
        <f>IF(F323="预算型曲线","与当前建议公式一致","需单独复核")</f>
        <v/>
      </c>
    </row>
    <row r="324" ht="22" customHeight="1">
      <c r="A324" s="33">
        <f>'建筑建议逐级'!A324</f>
        <v/>
      </c>
      <c r="B324" s="33">
        <f>'建筑建议逐级'!B324</f>
        <v/>
      </c>
      <c r="C324" s="33">
        <f>'建筑建议逐级'!C324</f>
        <v/>
      </c>
      <c r="D324" s="43">
        <f>'建筑建议逐级'!D324</f>
        <v/>
      </c>
      <c r="E324" s="36">
        <f>'建筑建议逐级'!E324</f>
        <v/>
      </c>
      <c r="F324" s="51">
        <f>IF(OR('建筑建议逐级'!I324&gt;0,'建筑建议逐级'!R324&gt;0,'建筑建议逐级'!S324&gt;0),"预算型曲线","旧指数公式")</f>
        <v/>
      </c>
      <c r="G324" s="50">
        <f>'建筑建议逐级'!H324</f>
        <v/>
      </c>
      <c r="H324" s="36">
        <f>'建筑建议逐级'!M324</f>
        <v/>
      </c>
      <c r="I324" s="35">
        <f>H324/3600</f>
        <v/>
      </c>
      <c r="J324" s="35">
        <f>H324/'参数与公式'!$B$21</f>
        <v/>
      </c>
      <c r="K324" s="35">
        <f>SUMIFS($J$5:$J$328,$A$5:$A$328,A324,$D$5:$D$328,"&lt;="&amp;D324)</f>
        <v/>
      </c>
      <c r="L324" s="50">
        <f>'建筑建议逐级'!Q324</f>
        <v/>
      </c>
      <c r="M324" s="36">
        <f>'建筑建议逐级'!X324</f>
        <v/>
      </c>
      <c r="N324" s="36">
        <f>SUMIFS($M$5:$M$328,$A$5:$A$328,A324,$D$5:$D$328,"&lt;="&amp;D324)</f>
        <v/>
      </c>
      <c r="O324" s="36">
        <f>'建筑建议逐级'!Y324</f>
        <v/>
      </c>
      <c r="P324" s="36">
        <f>SUMIFS($O$5:$O$328,$A$5:$A$328,A324,$D$5:$D$328,"&lt;="&amp;D324)</f>
        <v/>
      </c>
      <c r="Q324" s="51">
        <f>IF(F324="预算型曲线","总预算归一化","沿用旧指数公式")</f>
        <v/>
      </c>
      <c r="R324" s="51">
        <f>IF(F324="预算型曲线","与当前建议公式一致","需单独复核")</f>
        <v/>
      </c>
    </row>
    <row r="325" ht="22" customHeight="1">
      <c r="A325" s="33">
        <f>'建筑建议逐级'!A325</f>
        <v/>
      </c>
      <c r="B325" s="33">
        <f>'建筑建议逐级'!B325</f>
        <v/>
      </c>
      <c r="C325" s="33">
        <f>'建筑建议逐级'!C325</f>
        <v/>
      </c>
      <c r="D325" s="43">
        <f>'建筑建议逐级'!D325</f>
        <v/>
      </c>
      <c r="E325" s="36">
        <f>'建筑建议逐级'!E325</f>
        <v/>
      </c>
      <c r="F325" s="51">
        <f>IF(OR('建筑建议逐级'!I325&gt;0,'建筑建议逐级'!R325&gt;0,'建筑建议逐级'!S325&gt;0),"预算型曲线","旧指数公式")</f>
        <v/>
      </c>
      <c r="G325" s="50">
        <f>'建筑建议逐级'!H325</f>
        <v/>
      </c>
      <c r="H325" s="36">
        <f>'建筑建议逐级'!M325</f>
        <v/>
      </c>
      <c r="I325" s="35">
        <f>H325/3600</f>
        <v/>
      </c>
      <c r="J325" s="35">
        <f>H325/'参数与公式'!$B$21</f>
        <v/>
      </c>
      <c r="K325" s="35">
        <f>SUMIFS($J$5:$J$328,$A$5:$A$328,A325,$D$5:$D$328,"&lt;="&amp;D325)</f>
        <v/>
      </c>
      <c r="L325" s="50">
        <f>'建筑建议逐级'!Q325</f>
        <v/>
      </c>
      <c r="M325" s="36">
        <f>'建筑建议逐级'!X325</f>
        <v/>
      </c>
      <c r="N325" s="36">
        <f>SUMIFS($M$5:$M$328,$A$5:$A$328,A325,$D$5:$D$328,"&lt;="&amp;D325)</f>
        <v/>
      </c>
      <c r="O325" s="36">
        <f>'建筑建议逐级'!Y325</f>
        <v/>
      </c>
      <c r="P325" s="36">
        <f>SUMIFS($O$5:$O$328,$A$5:$A$328,A325,$D$5:$D$328,"&lt;="&amp;D325)</f>
        <v/>
      </c>
      <c r="Q325" s="51">
        <f>IF(F325="预算型曲线","总预算归一化","沿用旧指数公式")</f>
        <v/>
      </c>
      <c r="R325" s="51">
        <f>IF(F325="预算型曲线","与当前建议公式一致","需单独复核")</f>
        <v/>
      </c>
    </row>
    <row r="326" ht="22" customHeight="1">
      <c r="A326" s="33">
        <f>'建筑建议逐级'!A326</f>
        <v/>
      </c>
      <c r="B326" s="33">
        <f>'建筑建议逐级'!B326</f>
        <v/>
      </c>
      <c r="C326" s="33">
        <f>'建筑建议逐级'!C326</f>
        <v/>
      </c>
      <c r="D326" s="43">
        <f>'建筑建议逐级'!D326</f>
        <v/>
      </c>
      <c r="E326" s="36">
        <f>'建筑建议逐级'!E326</f>
        <v/>
      </c>
      <c r="F326" s="51">
        <f>IF(OR('建筑建议逐级'!I326&gt;0,'建筑建议逐级'!R326&gt;0,'建筑建议逐级'!S326&gt;0),"预算型曲线","旧指数公式")</f>
        <v/>
      </c>
      <c r="G326" s="50">
        <f>'建筑建议逐级'!H326</f>
        <v/>
      </c>
      <c r="H326" s="36">
        <f>'建筑建议逐级'!M326</f>
        <v/>
      </c>
      <c r="I326" s="35">
        <f>H326/3600</f>
        <v/>
      </c>
      <c r="J326" s="35">
        <f>H326/'参数与公式'!$B$21</f>
        <v/>
      </c>
      <c r="K326" s="35">
        <f>SUMIFS($J$5:$J$328,$A$5:$A$328,A326,$D$5:$D$328,"&lt;="&amp;D326)</f>
        <v/>
      </c>
      <c r="L326" s="50">
        <f>'建筑建议逐级'!Q326</f>
        <v/>
      </c>
      <c r="M326" s="36">
        <f>'建筑建议逐级'!X326</f>
        <v/>
      </c>
      <c r="N326" s="36">
        <f>SUMIFS($M$5:$M$328,$A$5:$A$328,A326,$D$5:$D$328,"&lt;="&amp;D326)</f>
        <v/>
      </c>
      <c r="O326" s="36">
        <f>'建筑建议逐级'!Y326</f>
        <v/>
      </c>
      <c r="P326" s="36">
        <f>SUMIFS($O$5:$O$328,$A$5:$A$328,A326,$D$5:$D$328,"&lt;="&amp;D326)</f>
        <v/>
      </c>
      <c r="Q326" s="51">
        <f>IF(F326="预算型曲线","总预算归一化","沿用旧指数公式")</f>
        <v/>
      </c>
      <c r="R326" s="51">
        <f>IF(F326="预算型曲线","与当前建议公式一致","需单独复核")</f>
        <v/>
      </c>
    </row>
    <row r="327" ht="22" customHeight="1">
      <c r="A327" s="33">
        <f>'建筑建议逐级'!A327</f>
        <v/>
      </c>
      <c r="B327" s="33">
        <f>'建筑建议逐级'!B327</f>
        <v/>
      </c>
      <c r="C327" s="33">
        <f>'建筑建议逐级'!C327</f>
        <v/>
      </c>
      <c r="D327" s="43">
        <f>'建筑建议逐级'!D327</f>
        <v/>
      </c>
      <c r="E327" s="36">
        <f>'建筑建议逐级'!E327</f>
        <v/>
      </c>
      <c r="F327" s="51">
        <f>IF(OR('建筑建议逐级'!I327&gt;0,'建筑建议逐级'!R327&gt;0,'建筑建议逐级'!S327&gt;0),"预算型曲线","旧指数公式")</f>
        <v/>
      </c>
      <c r="G327" s="50">
        <f>'建筑建议逐级'!H327</f>
        <v/>
      </c>
      <c r="H327" s="36">
        <f>'建筑建议逐级'!M327</f>
        <v/>
      </c>
      <c r="I327" s="35">
        <f>H327/3600</f>
        <v/>
      </c>
      <c r="J327" s="35">
        <f>H327/'参数与公式'!$B$21</f>
        <v/>
      </c>
      <c r="K327" s="35">
        <f>SUMIFS($J$5:$J$328,$A$5:$A$328,A327,$D$5:$D$328,"&lt;="&amp;D327)</f>
        <v/>
      </c>
      <c r="L327" s="50">
        <f>'建筑建议逐级'!Q327</f>
        <v/>
      </c>
      <c r="M327" s="36">
        <f>'建筑建议逐级'!X327</f>
        <v/>
      </c>
      <c r="N327" s="36">
        <f>SUMIFS($M$5:$M$328,$A$5:$A$328,A327,$D$5:$D$328,"&lt;="&amp;D327)</f>
        <v/>
      </c>
      <c r="O327" s="36">
        <f>'建筑建议逐级'!Y327</f>
        <v/>
      </c>
      <c r="P327" s="36">
        <f>SUMIFS($O$5:$O$328,$A$5:$A$328,A327,$D$5:$D$328,"&lt;="&amp;D327)</f>
        <v/>
      </c>
      <c r="Q327" s="51">
        <f>IF(F327="预算型曲线","总预算归一化","沿用旧指数公式")</f>
        <v/>
      </c>
      <c r="R327" s="51">
        <f>IF(F327="预算型曲线","与当前建议公式一致","需单独复核")</f>
        <v/>
      </c>
    </row>
    <row r="328" ht="22" customHeight="1">
      <c r="A328" s="33">
        <f>'建筑建议逐级'!A328</f>
        <v/>
      </c>
      <c r="B328" s="33">
        <f>'建筑建议逐级'!B328</f>
        <v/>
      </c>
      <c r="C328" s="33">
        <f>'建筑建议逐级'!C328</f>
        <v/>
      </c>
      <c r="D328" s="43">
        <f>'建筑建议逐级'!D328</f>
        <v/>
      </c>
      <c r="E328" s="36">
        <f>'建筑建议逐级'!E328</f>
        <v/>
      </c>
      <c r="F328" s="51">
        <f>IF(OR('建筑建议逐级'!I328&gt;0,'建筑建议逐级'!R328&gt;0,'建筑建议逐级'!S328&gt;0),"预算型曲线","旧指数公式")</f>
        <v/>
      </c>
      <c r="G328" s="50">
        <f>'建筑建议逐级'!H328</f>
        <v/>
      </c>
      <c r="H328" s="36">
        <f>'建筑建议逐级'!M328</f>
        <v/>
      </c>
      <c r="I328" s="35">
        <f>H328/3600</f>
        <v/>
      </c>
      <c r="J328" s="35">
        <f>H328/'参数与公式'!$B$21</f>
        <v/>
      </c>
      <c r="K328" s="35">
        <f>SUMIFS($J$5:$J$328,$A$5:$A$328,A328,$D$5:$D$328,"&lt;="&amp;D328)</f>
        <v/>
      </c>
      <c r="L328" s="50">
        <f>'建筑建议逐级'!Q328</f>
        <v/>
      </c>
      <c r="M328" s="36">
        <f>'建筑建议逐级'!X328</f>
        <v/>
      </c>
      <c r="N328" s="36">
        <f>SUMIFS($M$5:$M$328,$A$5:$A$328,A328,$D$5:$D$328,"&lt;="&amp;D328)</f>
        <v/>
      </c>
      <c r="O328" s="36">
        <f>'建筑建议逐级'!Y328</f>
        <v/>
      </c>
      <c r="P328" s="36">
        <f>SUMIFS($O$5:$O$328,$A$5:$A$328,A328,$D$5:$D$328,"&lt;="&amp;D328)</f>
        <v/>
      </c>
      <c r="Q328" s="51">
        <f>IF(F328="预算型曲线","总预算归一化","沿用旧指数公式")</f>
        <v/>
      </c>
      <c r="R328" s="51">
        <f>IF(F328="预算型曲线","与当前建议公式一致","需单独复核")</f>
        <v/>
      </c>
    </row>
  </sheetData>
  <autoFilter ref="A4:R328"/>
  <mergeCells count="2">
    <mergeCell ref="A2:R2"/>
    <mergeCell ref="A1:R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U6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2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62" customWidth="1" min="21" max="21"/>
  </cols>
  <sheetData>
    <row r="1" ht="28" customHeight="1">
      <c r="A1" s="1" t="inlineStr">
        <is>
          <t>科技当前逐级统计｜个人科技与帮会科技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30" t="n"/>
    </row>
    <row r="2" ht="42" customHeight="1">
      <c r="A2" s="31" t="inlineStr">
        <is>
          <t>个人科技按新的全等级预算曲线统计，侦查术展开至200级；帮会科技仍为即时完成，时间记为0秒，资源成本引用帮会逐级明细。累计值按科技Key和升级至等级自动汇总。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30" t="n"/>
    </row>
    <row r="4" ht="42" customHeight="1">
      <c r="A4" s="5" t="inlineStr">
        <is>
          <t>科技类型</t>
        </is>
      </c>
      <c r="B4" s="5" t="inlineStr">
        <is>
          <t>科技Key</t>
        </is>
      </c>
      <c r="C4" s="5" t="inlineStr">
        <is>
          <t>科技</t>
        </is>
      </c>
      <c r="D4" s="5" t="inlineStr">
        <is>
          <t>分类</t>
        </is>
      </c>
      <c r="E4" s="5" t="inlineStr">
        <is>
          <t>兵种</t>
        </is>
      </c>
      <c r="F4" s="5" t="inlineStr">
        <is>
          <t>当前等级</t>
        </is>
      </c>
      <c r="G4" s="5" t="inlineStr">
        <is>
          <t>升级至等级</t>
        </is>
      </c>
      <c r="H4" s="5" t="inlineStr">
        <is>
          <t>最高等级</t>
        </is>
      </c>
      <c r="I4" s="5" t="inlineStr">
        <is>
          <t>升级模式</t>
        </is>
      </c>
      <c r="J4" s="5" t="inlineStr">
        <is>
          <t>本级时间(s)</t>
        </is>
      </c>
      <c r="K4" s="5" t="inlineStr">
        <is>
          <t>本级时间(h)</t>
        </is>
      </c>
      <c r="L4" s="5" t="inlineStr">
        <is>
          <t>累计时间(h)</t>
        </is>
      </c>
      <c r="M4" s="5" t="inlineStr">
        <is>
          <t>本级银两</t>
        </is>
      </c>
      <c r="N4" s="5" t="inlineStr">
        <is>
          <t>累计银两</t>
        </is>
      </c>
      <c r="O4" s="5" t="inlineStr">
        <is>
          <t>本级粮食</t>
        </is>
      </c>
      <c r="P4" s="5" t="inlineStr">
        <is>
          <t>累计粮食</t>
        </is>
      </c>
      <c r="Q4" s="5" t="inlineStr">
        <is>
          <t>本级金条</t>
        </is>
      </c>
      <c r="R4" s="5" t="inlineStr">
        <is>
          <t>累计金条</t>
        </is>
      </c>
      <c r="S4" s="5" t="inlineStr">
        <is>
          <t>本级红宝石</t>
        </is>
      </c>
      <c r="T4" s="5" t="inlineStr">
        <is>
          <t>累计红宝石</t>
        </is>
      </c>
      <c r="U4" s="5" t="inlineStr">
        <is>
          <t>公式/来源说明</t>
        </is>
      </c>
    </row>
    <row r="5">
      <c r="A5" s="33" t="inlineStr">
        <is>
          <t>个人技术</t>
        </is>
      </c>
      <c r="B5" s="33">
        <f>'个人技术逐级'!A5</f>
        <v/>
      </c>
      <c r="C5" s="33">
        <f>'个人技术逐级'!B5</f>
        <v/>
      </c>
      <c r="D5" s="33">
        <f>'个人技术逐级'!C5</f>
        <v/>
      </c>
      <c r="E5">
        <f>'个人技术逐级'!D5</f>
        <v/>
      </c>
      <c r="F5" s="54">
        <f>'个人技术逐级'!E5</f>
        <v/>
      </c>
      <c r="G5" s="55">
        <f>'个人技术逐级'!F5</f>
        <v/>
      </c>
      <c r="H5" s="56">
        <f>'个人技术逐级'!G5</f>
        <v/>
      </c>
      <c r="I5" s="52" t="inlineStr">
        <is>
          <t>个人技术计时升级</t>
        </is>
      </c>
      <c r="J5" s="57">
        <f>'个人技术逐级'!M5</f>
        <v/>
      </c>
      <c r="K5" s="35">
        <f>J5/3600</f>
        <v/>
      </c>
      <c r="L5" s="35">
        <f>SUMIFS($K$5:$K$692,$A$5:$A$692,A5,$B$5:$B$692,B5,$F$5:$F$692,"&lt;="&amp;F5)</f>
        <v/>
      </c>
      <c r="M5" s="58">
        <f>'个人技术逐级'!N5</f>
        <v/>
      </c>
      <c r="N5" s="58">
        <f>SUMIFS($M$5:$M$692,$A$5:$A$692,A5,$B$5:$B$692,B5,$F$5:$F$692,"&lt;="&amp;F5)</f>
        <v/>
      </c>
      <c r="O5" s="58">
        <f>0</f>
        <v/>
      </c>
      <c r="P5" s="58">
        <f>SUMIFS($O$5:$O$692,$A$5:$A$692,A5,$B$5:$B$692,B5,$F$5:$F$692,"&lt;="&amp;F5)</f>
        <v/>
      </c>
      <c r="Q5" s="58">
        <f>0</f>
        <v/>
      </c>
      <c r="R5" s="58">
        <f>SUMIFS($Q$5:$Q$692,$A$5:$A$692,A5,$B$5:$B$692,B5,$F$5:$F$692,"&lt;="&amp;F5)</f>
        <v/>
      </c>
      <c r="S5" s="58">
        <f>0</f>
        <v/>
      </c>
      <c r="T5" s="58">
        <f>SUMIFS($S$5:$S$692,$A$5:$A$692,A5,$B$5:$B$692,B5,$F$5:$F$692,"&lt;="&amp;F5)</f>
        <v/>
      </c>
      <c r="U5" s="52">
        <f>'个人技术逐级'!O5</f>
        <v/>
      </c>
    </row>
    <row r="6">
      <c r="A6" s="33" t="inlineStr">
        <is>
          <t>个人技术</t>
        </is>
      </c>
      <c r="B6" s="33">
        <f>'个人技术逐级'!A6</f>
        <v/>
      </c>
      <c r="C6" s="33">
        <f>'个人技术逐级'!B6</f>
        <v/>
      </c>
      <c r="D6" s="33">
        <f>'个人技术逐级'!C6</f>
        <v/>
      </c>
      <c r="E6">
        <f>'个人技术逐级'!D6</f>
        <v/>
      </c>
      <c r="F6" s="54">
        <f>'个人技术逐级'!E6</f>
        <v/>
      </c>
      <c r="G6" s="55">
        <f>'个人技术逐级'!F6</f>
        <v/>
      </c>
      <c r="H6" s="56">
        <f>'个人技术逐级'!G6</f>
        <v/>
      </c>
      <c r="I6" s="52" t="inlineStr">
        <is>
          <t>个人技术计时升级</t>
        </is>
      </c>
      <c r="J6" s="57">
        <f>'个人技术逐级'!M6</f>
        <v/>
      </c>
      <c r="K6" s="35">
        <f>J6/3600</f>
        <v/>
      </c>
      <c r="L6" s="35">
        <f>SUMIFS($K$5:$K$692,$A$5:$A$692,A6,$B$5:$B$692,B6,$F$5:$F$692,"&lt;="&amp;F6)</f>
        <v/>
      </c>
      <c r="M6" s="58">
        <f>'个人技术逐级'!N6</f>
        <v/>
      </c>
      <c r="N6" s="58">
        <f>SUMIFS($M$5:$M$692,$A$5:$A$692,A6,$B$5:$B$692,B6,$F$5:$F$692,"&lt;="&amp;F6)</f>
        <v/>
      </c>
      <c r="O6" s="58">
        <f>0</f>
        <v/>
      </c>
      <c r="P6" s="58">
        <f>SUMIFS($O$5:$O$692,$A$5:$A$692,A6,$B$5:$B$692,B6,$F$5:$F$692,"&lt;="&amp;F6)</f>
        <v/>
      </c>
      <c r="Q6" s="58">
        <f>0</f>
        <v/>
      </c>
      <c r="R6" s="58">
        <f>SUMIFS($Q$5:$Q$692,$A$5:$A$692,A6,$B$5:$B$692,B6,$F$5:$F$692,"&lt;="&amp;F6)</f>
        <v/>
      </c>
      <c r="S6" s="58">
        <f>0</f>
        <v/>
      </c>
      <c r="T6" s="58">
        <f>SUMIFS($S$5:$S$692,$A$5:$A$692,A6,$B$5:$B$692,B6,$F$5:$F$692,"&lt;="&amp;F6)</f>
        <v/>
      </c>
      <c r="U6" s="52">
        <f>'个人技术逐级'!O6</f>
        <v/>
      </c>
    </row>
    <row r="7">
      <c r="A7" s="33" t="inlineStr">
        <is>
          <t>个人技术</t>
        </is>
      </c>
      <c r="B7" s="33">
        <f>'个人技术逐级'!A7</f>
        <v/>
      </c>
      <c r="C7" s="33">
        <f>'个人技术逐级'!B7</f>
        <v/>
      </c>
      <c r="D7" s="33">
        <f>'个人技术逐级'!C7</f>
        <v/>
      </c>
      <c r="E7">
        <f>'个人技术逐级'!D7</f>
        <v/>
      </c>
      <c r="F7" s="54">
        <f>'个人技术逐级'!E7</f>
        <v/>
      </c>
      <c r="G7" s="55">
        <f>'个人技术逐级'!F7</f>
        <v/>
      </c>
      <c r="H7" s="56">
        <f>'个人技术逐级'!G7</f>
        <v/>
      </c>
      <c r="I7" s="52" t="inlineStr">
        <is>
          <t>个人技术计时升级</t>
        </is>
      </c>
      <c r="J7" s="57">
        <f>'个人技术逐级'!M7</f>
        <v/>
      </c>
      <c r="K7" s="35">
        <f>J7/3600</f>
        <v/>
      </c>
      <c r="L7" s="35">
        <f>SUMIFS($K$5:$K$692,$A$5:$A$692,A7,$B$5:$B$692,B7,$F$5:$F$692,"&lt;="&amp;F7)</f>
        <v/>
      </c>
      <c r="M7" s="58">
        <f>'个人技术逐级'!N7</f>
        <v/>
      </c>
      <c r="N7" s="58">
        <f>SUMIFS($M$5:$M$692,$A$5:$A$692,A7,$B$5:$B$692,B7,$F$5:$F$692,"&lt;="&amp;F7)</f>
        <v/>
      </c>
      <c r="O7" s="58">
        <f>0</f>
        <v/>
      </c>
      <c r="P7" s="58">
        <f>SUMIFS($O$5:$O$692,$A$5:$A$692,A7,$B$5:$B$692,B7,$F$5:$F$692,"&lt;="&amp;F7)</f>
        <v/>
      </c>
      <c r="Q7" s="58">
        <f>0</f>
        <v/>
      </c>
      <c r="R7" s="58">
        <f>SUMIFS($Q$5:$Q$692,$A$5:$A$692,A7,$B$5:$B$692,B7,$F$5:$F$692,"&lt;="&amp;F7)</f>
        <v/>
      </c>
      <c r="S7" s="58">
        <f>0</f>
        <v/>
      </c>
      <c r="T7" s="58">
        <f>SUMIFS($S$5:$S$692,$A$5:$A$692,A7,$B$5:$B$692,B7,$F$5:$F$692,"&lt;="&amp;F7)</f>
        <v/>
      </c>
      <c r="U7" s="52">
        <f>'个人技术逐级'!O7</f>
        <v/>
      </c>
    </row>
    <row r="8">
      <c r="A8" s="33" t="inlineStr">
        <is>
          <t>个人技术</t>
        </is>
      </c>
      <c r="B8" s="33">
        <f>'个人技术逐级'!A8</f>
        <v/>
      </c>
      <c r="C8" s="33">
        <f>'个人技术逐级'!B8</f>
        <v/>
      </c>
      <c r="D8" s="33">
        <f>'个人技术逐级'!C8</f>
        <v/>
      </c>
      <c r="E8">
        <f>'个人技术逐级'!D8</f>
        <v/>
      </c>
      <c r="F8" s="54">
        <f>'个人技术逐级'!E8</f>
        <v/>
      </c>
      <c r="G8" s="55">
        <f>'个人技术逐级'!F8</f>
        <v/>
      </c>
      <c r="H8" s="56">
        <f>'个人技术逐级'!G8</f>
        <v/>
      </c>
      <c r="I8" s="52" t="inlineStr">
        <is>
          <t>个人技术计时升级</t>
        </is>
      </c>
      <c r="J8" s="57">
        <f>'个人技术逐级'!M8</f>
        <v/>
      </c>
      <c r="K8" s="35">
        <f>J8/3600</f>
        <v/>
      </c>
      <c r="L8" s="35">
        <f>SUMIFS($K$5:$K$692,$A$5:$A$692,A8,$B$5:$B$692,B8,$F$5:$F$692,"&lt;="&amp;F8)</f>
        <v/>
      </c>
      <c r="M8" s="58">
        <f>'个人技术逐级'!N8</f>
        <v/>
      </c>
      <c r="N8" s="58">
        <f>SUMIFS($M$5:$M$692,$A$5:$A$692,A8,$B$5:$B$692,B8,$F$5:$F$692,"&lt;="&amp;F8)</f>
        <v/>
      </c>
      <c r="O8" s="58">
        <f>0</f>
        <v/>
      </c>
      <c r="P8" s="58">
        <f>SUMIFS($O$5:$O$692,$A$5:$A$692,A8,$B$5:$B$692,B8,$F$5:$F$692,"&lt;="&amp;F8)</f>
        <v/>
      </c>
      <c r="Q8" s="58">
        <f>0</f>
        <v/>
      </c>
      <c r="R8" s="58">
        <f>SUMIFS($Q$5:$Q$692,$A$5:$A$692,A8,$B$5:$B$692,B8,$F$5:$F$692,"&lt;="&amp;F8)</f>
        <v/>
      </c>
      <c r="S8" s="58">
        <f>0</f>
        <v/>
      </c>
      <c r="T8" s="58">
        <f>SUMIFS($S$5:$S$692,$A$5:$A$692,A8,$B$5:$B$692,B8,$F$5:$F$692,"&lt;="&amp;F8)</f>
        <v/>
      </c>
      <c r="U8" s="52">
        <f>'个人技术逐级'!O8</f>
        <v/>
      </c>
    </row>
    <row r="9">
      <c r="A9" s="33" t="inlineStr">
        <is>
          <t>个人技术</t>
        </is>
      </c>
      <c r="B9" s="33">
        <f>'个人技术逐级'!A9</f>
        <v/>
      </c>
      <c r="C9" s="33">
        <f>'个人技术逐级'!B9</f>
        <v/>
      </c>
      <c r="D9" s="33">
        <f>'个人技术逐级'!C9</f>
        <v/>
      </c>
      <c r="E9">
        <f>'个人技术逐级'!D9</f>
        <v/>
      </c>
      <c r="F9" s="54">
        <f>'个人技术逐级'!E9</f>
        <v/>
      </c>
      <c r="G9" s="55">
        <f>'个人技术逐级'!F9</f>
        <v/>
      </c>
      <c r="H9" s="56">
        <f>'个人技术逐级'!G9</f>
        <v/>
      </c>
      <c r="I9" s="52" t="inlineStr">
        <is>
          <t>个人技术计时升级</t>
        </is>
      </c>
      <c r="J9" s="57">
        <f>'个人技术逐级'!M9</f>
        <v/>
      </c>
      <c r="K9" s="35">
        <f>J9/3600</f>
        <v/>
      </c>
      <c r="L9" s="35">
        <f>SUMIFS($K$5:$K$692,$A$5:$A$692,A9,$B$5:$B$692,B9,$F$5:$F$692,"&lt;="&amp;F9)</f>
        <v/>
      </c>
      <c r="M9" s="58">
        <f>'个人技术逐级'!N9</f>
        <v/>
      </c>
      <c r="N9" s="58">
        <f>SUMIFS($M$5:$M$692,$A$5:$A$692,A9,$B$5:$B$692,B9,$F$5:$F$692,"&lt;="&amp;F9)</f>
        <v/>
      </c>
      <c r="O9" s="58">
        <f>0</f>
        <v/>
      </c>
      <c r="P9" s="58">
        <f>SUMIFS($O$5:$O$692,$A$5:$A$692,A9,$B$5:$B$692,B9,$F$5:$F$692,"&lt;="&amp;F9)</f>
        <v/>
      </c>
      <c r="Q9" s="58">
        <f>0</f>
        <v/>
      </c>
      <c r="R9" s="58">
        <f>SUMIFS($Q$5:$Q$692,$A$5:$A$692,A9,$B$5:$B$692,B9,$F$5:$F$692,"&lt;="&amp;F9)</f>
        <v/>
      </c>
      <c r="S9" s="58">
        <f>0</f>
        <v/>
      </c>
      <c r="T9" s="58">
        <f>SUMIFS($S$5:$S$692,$A$5:$A$692,A9,$B$5:$B$692,B9,$F$5:$F$692,"&lt;="&amp;F9)</f>
        <v/>
      </c>
      <c r="U9" s="52">
        <f>'个人技术逐级'!O9</f>
        <v/>
      </c>
    </row>
    <row r="10">
      <c r="A10" s="33" t="inlineStr">
        <is>
          <t>个人技术</t>
        </is>
      </c>
      <c r="B10" s="33">
        <f>'个人技术逐级'!A10</f>
        <v/>
      </c>
      <c r="C10" s="33">
        <f>'个人技术逐级'!B10</f>
        <v/>
      </c>
      <c r="D10" s="33">
        <f>'个人技术逐级'!C10</f>
        <v/>
      </c>
      <c r="E10">
        <f>'个人技术逐级'!D10</f>
        <v/>
      </c>
      <c r="F10" s="54">
        <f>'个人技术逐级'!E10</f>
        <v/>
      </c>
      <c r="G10" s="55">
        <f>'个人技术逐级'!F10</f>
        <v/>
      </c>
      <c r="H10" s="56">
        <f>'个人技术逐级'!G10</f>
        <v/>
      </c>
      <c r="I10" s="52" t="inlineStr">
        <is>
          <t>个人技术计时升级</t>
        </is>
      </c>
      <c r="J10" s="57">
        <f>'个人技术逐级'!M10</f>
        <v/>
      </c>
      <c r="K10" s="35">
        <f>J10/3600</f>
        <v/>
      </c>
      <c r="L10" s="35">
        <f>SUMIFS($K$5:$K$692,$A$5:$A$692,A10,$B$5:$B$692,B10,$F$5:$F$692,"&lt;="&amp;F10)</f>
        <v/>
      </c>
      <c r="M10" s="58">
        <f>'个人技术逐级'!N10</f>
        <v/>
      </c>
      <c r="N10" s="58">
        <f>SUMIFS($M$5:$M$692,$A$5:$A$692,A10,$B$5:$B$692,B10,$F$5:$F$692,"&lt;="&amp;F10)</f>
        <v/>
      </c>
      <c r="O10" s="58">
        <f>0</f>
        <v/>
      </c>
      <c r="P10" s="58">
        <f>SUMIFS($O$5:$O$692,$A$5:$A$692,A10,$B$5:$B$692,B10,$F$5:$F$692,"&lt;="&amp;F10)</f>
        <v/>
      </c>
      <c r="Q10" s="58">
        <f>0</f>
        <v/>
      </c>
      <c r="R10" s="58">
        <f>SUMIFS($Q$5:$Q$692,$A$5:$A$692,A10,$B$5:$B$692,B10,$F$5:$F$692,"&lt;="&amp;F10)</f>
        <v/>
      </c>
      <c r="S10" s="58">
        <f>0</f>
        <v/>
      </c>
      <c r="T10" s="58">
        <f>SUMIFS($S$5:$S$692,$A$5:$A$692,A10,$B$5:$B$692,B10,$F$5:$F$692,"&lt;="&amp;F10)</f>
        <v/>
      </c>
      <c r="U10" s="52">
        <f>'个人技术逐级'!O10</f>
        <v/>
      </c>
    </row>
    <row r="11">
      <c r="A11" s="33" t="inlineStr">
        <is>
          <t>个人技术</t>
        </is>
      </c>
      <c r="B11" s="33">
        <f>'个人技术逐级'!A11</f>
        <v/>
      </c>
      <c r="C11" s="33">
        <f>'个人技术逐级'!B11</f>
        <v/>
      </c>
      <c r="D11" s="33">
        <f>'个人技术逐级'!C11</f>
        <v/>
      </c>
      <c r="E11">
        <f>'个人技术逐级'!D11</f>
        <v/>
      </c>
      <c r="F11" s="54">
        <f>'个人技术逐级'!E11</f>
        <v/>
      </c>
      <c r="G11" s="55">
        <f>'个人技术逐级'!F11</f>
        <v/>
      </c>
      <c r="H11" s="56">
        <f>'个人技术逐级'!G11</f>
        <v/>
      </c>
      <c r="I11" s="52" t="inlineStr">
        <is>
          <t>个人技术计时升级</t>
        </is>
      </c>
      <c r="J11" s="57">
        <f>'个人技术逐级'!M11</f>
        <v/>
      </c>
      <c r="K11" s="35">
        <f>J11/3600</f>
        <v/>
      </c>
      <c r="L11" s="35">
        <f>SUMIFS($K$5:$K$692,$A$5:$A$692,A11,$B$5:$B$692,B11,$F$5:$F$692,"&lt;="&amp;F11)</f>
        <v/>
      </c>
      <c r="M11" s="58">
        <f>'个人技术逐级'!N11</f>
        <v/>
      </c>
      <c r="N11" s="58">
        <f>SUMIFS($M$5:$M$692,$A$5:$A$692,A11,$B$5:$B$692,B11,$F$5:$F$692,"&lt;="&amp;F11)</f>
        <v/>
      </c>
      <c r="O11" s="58">
        <f>0</f>
        <v/>
      </c>
      <c r="P11" s="58">
        <f>SUMIFS($O$5:$O$692,$A$5:$A$692,A11,$B$5:$B$692,B11,$F$5:$F$692,"&lt;="&amp;F11)</f>
        <v/>
      </c>
      <c r="Q11" s="58">
        <f>0</f>
        <v/>
      </c>
      <c r="R11" s="58">
        <f>SUMIFS($Q$5:$Q$692,$A$5:$A$692,A11,$B$5:$B$692,B11,$F$5:$F$692,"&lt;="&amp;F11)</f>
        <v/>
      </c>
      <c r="S11" s="58">
        <f>0</f>
        <v/>
      </c>
      <c r="T11" s="58">
        <f>SUMIFS($S$5:$S$692,$A$5:$A$692,A11,$B$5:$B$692,B11,$F$5:$F$692,"&lt;="&amp;F11)</f>
        <v/>
      </c>
      <c r="U11" s="52">
        <f>'个人技术逐级'!O11</f>
        <v/>
      </c>
    </row>
    <row r="12">
      <c r="A12" s="33" t="inlineStr">
        <is>
          <t>个人技术</t>
        </is>
      </c>
      <c r="B12" s="33">
        <f>'个人技术逐级'!A12</f>
        <v/>
      </c>
      <c r="C12" s="33">
        <f>'个人技术逐级'!B12</f>
        <v/>
      </c>
      <c r="D12" s="33">
        <f>'个人技术逐级'!C12</f>
        <v/>
      </c>
      <c r="E12">
        <f>'个人技术逐级'!D12</f>
        <v/>
      </c>
      <c r="F12" s="54">
        <f>'个人技术逐级'!E12</f>
        <v/>
      </c>
      <c r="G12" s="55">
        <f>'个人技术逐级'!F12</f>
        <v/>
      </c>
      <c r="H12" s="56">
        <f>'个人技术逐级'!G12</f>
        <v/>
      </c>
      <c r="I12" s="52" t="inlineStr">
        <is>
          <t>个人技术计时升级</t>
        </is>
      </c>
      <c r="J12" s="57">
        <f>'个人技术逐级'!M12</f>
        <v/>
      </c>
      <c r="K12" s="35">
        <f>J12/3600</f>
        <v/>
      </c>
      <c r="L12" s="35">
        <f>SUMIFS($K$5:$K$692,$A$5:$A$692,A12,$B$5:$B$692,B12,$F$5:$F$692,"&lt;="&amp;F12)</f>
        <v/>
      </c>
      <c r="M12" s="58">
        <f>'个人技术逐级'!N12</f>
        <v/>
      </c>
      <c r="N12" s="58">
        <f>SUMIFS($M$5:$M$692,$A$5:$A$692,A12,$B$5:$B$692,B12,$F$5:$F$692,"&lt;="&amp;F12)</f>
        <v/>
      </c>
      <c r="O12" s="58">
        <f>0</f>
        <v/>
      </c>
      <c r="P12" s="58">
        <f>SUMIFS($O$5:$O$692,$A$5:$A$692,A12,$B$5:$B$692,B12,$F$5:$F$692,"&lt;="&amp;F12)</f>
        <v/>
      </c>
      <c r="Q12" s="58">
        <f>0</f>
        <v/>
      </c>
      <c r="R12" s="58">
        <f>SUMIFS($Q$5:$Q$692,$A$5:$A$692,A12,$B$5:$B$692,B12,$F$5:$F$692,"&lt;="&amp;F12)</f>
        <v/>
      </c>
      <c r="S12" s="58">
        <f>0</f>
        <v/>
      </c>
      <c r="T12" s="58">
        <f>SUMIFS($S$5:$S$692,$A$5:$A$692,A12,$B$5:$B$692,B12,$F$5:$F$692,"&lt;="&amp;F12)</f>
        <v/>
      </c>
      <c r="U12" s="52">
        <f>'个人技术逐级'!O12</f>
        <v/>
      </c>
    </row>
    <row r="13">
      <c r="A13" s="33" t="inlineStr">
        <is>
          <t>个人技术</t>
        </is>
      </c>
      <c r="B13" s="33">
        <f>'个人技术逐级'!A13</f>
        <v/>
      </c>
      <c r="C13" s="33">
        <f>'个人技术逐级'!B13</f>
        <v/>
      </c>
      <c r="D13" s="33">
        <f>'个人技术逐级'!C13</f>
        <v/>
      </c>
      <c r="E13">
        <f>'个人技术逐级'!D13</f>
        <v/>
      </c>
      <c r="F13" s="54">
        <f>'个人技术逐级'!E13</f>
        <v/>
      </c>
      <c r="G13" s="55">
        <f>'个人技术逐级'!F13</f>
        <v/>
      </c>
      <c r="H13" s="56">
        <f>'个人技术逐级'!G13</f>
        <v/>
      </c>
      <c r="I13" s="52" t="inlineStr">
        <is>
          <t>个人技术计时升级</t>
        </is>
      </c>
      <c r="J13" s="57">
        <f>'个人技术逐级'!M13</f>
        <v/>
      </c>
      <c r="K13" s="35">
        <f>J13/3600</f>
        <v/>
      </c>
      <c r="L13" s="35">
        <f>SUMIFS($K$5:$K$692,$A$5:$A$692,A13,$B$5:$B$692,B13,$F$5:$F$692,"&lt;="&amp;F13)</f>
        <v/>
      </c>
      <c r="M13" s="58">
        <f>'个人技术逐级'!N13</f>
        <v/>
      </c>
      <c r="N13" s="58">
        <f>SUMIFS($M$5:$M$692,$A$5:$A$692,A13,$B$5:$B$692,B13,$F$5:$F$692,"&lt;="&amp;F13)</f>
        <v/>
      </c>
      <c r="O13" s="58">
        <f>0</f>
        <v/>
      </c>
      <c r="P13" s="58">
        <f>SUMIFS($O$5:$O$692,$A$5:$A$692,A13,$B$5:$B$692,B13,$F$5:$F$692,"&lt;="&amp;F13)</f>
        <v/>
      </c>
      <c r="Q13" s="58">
        <f>0</f>
        <v/>
      </c>
      <c r="R13" s="58">
        <f>SUMIFS($Q$5:$Q$692,$A$5:$A$692,A13,$B$5:$B$692,B13,$F$5:$F$692,"&lt;="&amp;F13)</f>
        <v/>
      </c>
      <c r="S13" s="58">
        <f>0</f>
        <v/>
      </c>
      <c r="T13" s="58">
        <f>SUMIFS($S$5:$S$692,$A$5:$A$692,A13,$B$5:$B$692,B13,$F$5:$F$692,"&lt;="&amp;F13)</f>
        <v/>
      </c>
      <c r="U13" s="52">
        <f>'个人技术逐级'!O13</f>
        <v/>
      </c>
    </row>
    <row r="14">
      <c r="A14" s="33" t="inlineStr">
        <is>
          <t>个人技术</t>
        </is>
      </c>
      <c r="B14" s="33">
        <f>'个人技术逐级'!A14</f>
        <v/>
      </c>
      <c r="C14" s="33">
        <f>'个人技术逐级'!B14</f>
        <v/>
      </c>
      <c r="D14" s="33">
        <f>'个人技术逐级'!C14</f>
        <v/>
      </c>
      <c r="E14">
        <f>'个人技术逐级'!D14</f>
        <v/>
      </c>
      <c r="F14" s="54">
        <f>'个人技术逐级'!E14</f>
        <v/>
      </c>
      <c r="G14" s="55">
        <f>'个人技术逐级'!F14</f>
        <v/>
      </c>
      <c r="H14" s="56">
        <f>'个人技术逐级'!G14</f>
        <v/>
      </c>
      <c r="I14" s="52" t="inlineStr">
        <is>
          <t>个人技术计时升级</t>
        </is>
      </c>
      <c r="J14" s="57">
        <f>'个人技术逐级'!M14</f>
        <v/>
      </c>
      <c r="K14" s="35">
        <f>J14/3600</f>
        <v/>
      </c>
      <c r="L14" s="35">
        <f>SUMIFS($K$5:$K$692,$A$5:$A$692,A14,$B$5:$B$692,B14,$F$5:$F$692,"&lt;="&amp;F14)</f>
        <v/>
      </c>
      <c r="M14" s="58">
        <f>'个人技术逐级'!N14</f>
        <v/>
      </c>
      <c r="N14" s="58">
        <f>SUMIFS($M$5:$M$692,$A$5:$A$692,A14,$B$5:$B$692,B14,$F$5:$F$692,"&lt;="&amp;F14)</f>
        <v/>
      </c>
      <c r="O14" s="58">
        <f>0</f>
        <v/>
      </c>
      <c r="P14" s="58">
        <f>SUMIFS($O$5:$O$692,$A$5:$A$692,A14,$B$5:$B$692,B14,$F$5:$F$692,"&lt;="&amp;F14)</f>
        <v/>
      </c>
      <c r="Q14" s="58">
        <f>0</f>
        <v/>
      </c>
      <c r="R14" s="58">
        <f>SUMIFS($Q$5:$Q$692,$A$5:$A$692,A14,$B$5:$B$692,B14,$F$5:$F$692,"&lt;="&amp;F14)</f>
        <v/>
      </c>
      <c r="S14" s="58">
        <f>0</f>
        <v/>
      </c>
      <c r="T14" s="58">
        <f>SUMIFS($S$5:$S$692,$A$5:$A$692,A14,$B$5:$B$692,B14,$F$5:$F$692,"&lt;="&amp;F14)</f>
        <v/>
      </c>
      <c r="U14" s="52">
        <f>'个人技术逐级'!O14</f>
        <v/>
      </c>
    </row>
    <row r="15">
      <c r="A15" s="33" t="inlineStr">
        <is>
          <t>个人技术</t>
        </is>
      </c>
      <c r="B15" s="33">
        <f>'个人技术逐级'!A15</f>
        <v/>
      </c>
      <c r="C15" s="33">
        <f>'个人技术逐级'!B15</f>
        <v/>
      </c>
      <c r="D15" s="33">
        <f>'个人技术逐级'!C15</f>
        <v/>
      </c>
      <c r="E15">
        <f>'个人技术逐级'!D15</f>
        <v/>
      </c>
      <c r="F15" s="54">
        <f>'个人技术逐级'!E15</f>
        <v/>
      </c>
      <c r="G15" s="55">
        <f>'个人技术逐级'!F15</f>
        <v/>
      </c>
      <c r="H15" s="56">
        <f>'个人技术逐级'!G15</f>
        <v/>
      </c>
      <c r="I15" s="52" t="inlineStr">
        <is>
          <t>个人技术计时升级</t>
        </is>
      </c>
      <c r="J15" s="57">
        <f>'个人技术逐级'!M15</f>
        <v/>
      </c>
      <c r="K15" s="35">
        <f>J15/3600</f>
        <v/>
      </c>
      <c r="L15" s="35">
        <f>SUMIFS($K$5:$K$692,$A$5:$A$692,A15,$B$5:$B$692,B15,$F$5:$F$692,"&lt;="&amp;F15)</f>
        <v/>
      </c>
      <c r="M15" s="58">
        <f>'个人技术逐级'!N15</f>
        <v/>
      </c>
      <c r="N15" s="58">
        <f>SUMIFS($M$5:$M$692,$A$5:$A$692,A15,$B$5:$B$692,B15,$F$5:$F$692,"&lt;="&amp;F15)</f>
        <v/>
      </c>
      <c r="O15" s="58">
        <f>0</f>
        <v/>
      </c>
      <c r="P15" s="58">
        <f>SUMIFS($O$5:$O$692,$A$5:$A$692,A15,$B$5:$B$692,B15,$F$5:$F$692,"&lt;="&amp;F15)</f>
        <v/>
      </c>
      <c r="Q15" s="58">
        <f>0</f>
        <v/>
      </c>
      <c r="R15" s="58">
        <f>SUMIFS($Q$5:$Q$692,$A$5:$A$692,A15,$B$5:$B$692,B15,$F$5:$F$692,"&lt;="&amp;F15)</f>
        <v/>
      </c>
      <c r="S15" s="58">
        <f>0</f>
        <v/>
      </c>
      <c r="T15" s="58">
        <f>SUMIFS($S$5:$S$692,$A$5:$A$692,A15,$B$5:$B$692,B15,$F$5:$F$692,"&lt;="&amp;F15)</f>
        <v/>
      </c>
      <c r="U15" s="52">
        <f>'个人技术逐级'!O15</f>
        <v/>
      </c>
    </row>
    <row r="16">
      <c r="A16" s="33" t="inlineStr">
        <is>
          <t>个人技术</t>
        </is>
      </c>
      <c r="B16" s="33">
        <f>'个人技术逐级'!A16</f>
        <v/>
      </c>
      <c r="C16" s="33">
        <f>'个人技术逐级'!B16</f>
        <v/>
      </c>
      <c r="D16" s="33">
        <f>'个人技术逐级'!C16</f>
        <v/>
      </c>
      <c r="E16">
        <f>'个人技术逐级'!D16</f>
        <v/>
      </c>
      <c r="F16" s="54">
        <f>'个人技术逐级'!E16</f>
        <v/>
      </c>
      <c r="G16" s="55">
        <f>'个人技术逐级'!F16</f>
        <v/>
      </c>
      <c r="H16" s="56">
        <f>'个人技术逐级'!G16</f>
        <v/>
      </c>
      <c r="I16" s="52" t="inlineStr">
        <is>
          <t>个人技术计时升级</t>
        </is>
      </c>
      <c r="J16" s="57">
        <f>'个人技术逐级'!M16</f>
        <v/>
      </c>
      <c r="K16" s="35">
        <f>J16/3600</f>
        <v/>
      </c>
      <c r="L16" s="35">
        <f>SUMIFS($K$5:$K$692,$A$5:$A$692,A16,$B$5:$B$692,B16,$F$5:$F$692,"&lt;="&amp;F16)</f>
        <v/>
      </c>
      <c r="M16" s="58">
        <f>'个人技术逐级'!N16</f>
        <v/>
      </c>
      <c r="N16" s="58">
        <f>SUMIFS($M$5:$M$692,$A$5:$A$692,A16,$B$5:$B$692,B16,$F$5:$F$692,"&lt;="&amp;F16)</f>
        <v/>
      </c>
      <c r="O16" s="58">
        <f>0</f>
        <v/>
      </c>
      <c r="P16" s="58">
        <f>SUMIFS($O$5:$O$692,$A$5:$A$692,A16,$B$5:$B$692,B16,$F$5:$F$692,"&lt;="&amp;F16)</f>
        <v/>
      </c>
      <c r="Q16" s="58">
        <f>0</f>
        <v/>
      </c>
      <c r="R16" s="58">
        <f>SUMIFS($Q$5:$Q$692,$A$5:$A$692,A16,$B$5:$B$692,B16,$F$5:$F$692,"&lt;="&amp;F16)</f>
        <v/>
      </c>
      <c r="S16" s="58">
        <f>0</f>
        <v/>
      </c>
      <c r="T16" s="58">
        <f>SUMIFS($S$5:$S$692,$A$5:$A$692,A16,$B$5:$B$692,B16,$F$5:$F$692,"&lt;="&amp;F16)</f>
        <v/>
      </c>
      <c r="U16" s="52">
        <f>'个人技术逐级'!O16</f>
        <v/>
      </c>
    </row>
    <row r="17">
      <c r="A17" s="33" t="inlineStr">
        <is>
          <t>个人技术</t>
        </is>
      </c>
      <c r="B17" s="33">
        <f>'个人技术逐级'!A17</f>
        <v/>
      </c>
      <c r="C17" s="33">
        <f>'个人技术逐级'!B17</f>
        <v/>
      </c>
      <c r="D17" s="33">
        <f>'个人技术逐级'!C17</f>
        <v/>
      </c>
      <c r="E17">
        <f>'个人技术逐级'!D17</f>
        <v/>
      </c>
      <c r="F17" s="54">
        <f>'个人技术逐级'!E17</f>
        <v/>
      </c>
      <c r="G17" s="55">
        <f>'个人技术逐级'!F17</f>
        <v/>
      </c>
      <c r="H17" s="56">
        <f>'个人技术逐级'!G17</f>
        <v/>
      </c>
      <c r="I17" s="52" t="inlineStr">
        <is>
          <t>个人技术计时升级</t>
        </is>
      </c>
      <c r="J17" s="57">
        <f>'个人技术逐级'!M17</f>
        <v/>
      </c>
      <c r="K17" s="35">
        <f>J17/3600</f>
        <v/>
      </c>
      <c r="L17" s="35">
        <f>SUMIFS($K$5:$K$692,$A$5:$A$692,A17,$B$5:$B$692,B17,$F$5:$F$692,"&lt;="&amp;F17)</f>
        <v/>
      </c>
      <c r="M17" s="58">
        <f>'个人技术逐级'!N17</f>
        <v/>
      </c>
      <c r="N17" s="58">
        <f>SUMIFS($M$5:$M$692,$A$5:$A$692,A17,$B$5:$B$692,B17,$F$5:$F$692,"&lt;="&amp;F17)</f>
        <v/>
      </c>
      <c r="O17" s="58">
        <f>0</f>
        <v/>
      </c>
      <c r="P17" s="58">
        <f>SUMIFS($O$5:$O$692,$A$5:$A$692,A17,$B$5:$B$692,B17,$F$5:$F$692,"&lt;="&amp;F17)</f>
        <v/>
      </c>
      <c r="Q17" s="58">
        <f>0</f>
        <v/>
      </c>
      <c r="R17" s="58">
        <f>SUMIFS($Q$5:$Q$692,$A$5:$A$692,A17,$B$5:$B$692,B17,$F$5:$F$692,"&lt;="&amp;F17)</f>
        <v/>
      </c>
      <c r="S17" s="58">
        <f>0</f>
        <v/>
      </c>
      <c r="T17" s="58">
        <f>SUMIFS($S$5:$S$692,$A$5:$A$692,A17,$B$5:$B$692,B17,$F$5:$F$692,"&lt;="&amp;F17)</f>
        <v/>
      </c>
      <c r="U17" s="52">
        <f>'个人技术逐级'!O17</f>
        <v/>
      </c>
    </row>
    <row r="18">
      <c r="A18" s="33" t="inlineStr">
        <is>
          <t>个人技术</t>
        </is>
      </c>
      <c r="B18" s="33">
        <f>'个人技术逐级'!A18</f>
        <v/>
      </c>
      <c r="C18" s="33">
        <f>'个人技术逐级'!B18</f>
        <v/>
      </c>
      <c r="D18" s="33">
        <f>'个人技术逐级'!C18</f>
        <v/>
      </c>
      <c r="E18">
        <f>'个人技术逐级'!D18</f>
        <v/>
      </c>
      <c r="F18" s="54">
        <f>'个人技术逐级'!E18</f>
        <v/>
      </c>
      <c r="G18" s="55">
        <f>'个人技术逐级'!F18</f>
        <v/>
      </c>
      <c r="H18" s="56">
        <f>'个人技术逐级'!G18</f>
        <v/>
      </c>
      <c r="I18" s="52" t="inlineStr">
        <is>
          <t>个人技术计时升级</t>
        </is>
      </c>
      <c r="J18" s="57">
        <f>'个人技术逐级'!M18</f>
        <v/>
      </c>
      <c r="K18" s="35">
        <f>J18/3600</f>
        <v/>
      </c>
      <c r="L18" s="35">
        <f>SUMIFS($K$5:$K$692,$A$5:$A$692,A18,$B$5:$B$692,B18,$F$5:$F$692,"&lt;="&amp;F18)</f>
        <v/>
      </c>
      <c r="M18" s="58">
        <f>'个人技术逐级'!N18</f>
        <v/>
      </c>
      <c r="N18" s="58">
        <f>SUMIFS($M$5:$M$692,$A$5:$A$692,A18,$B$5:$B$692,B18,$F$5:$F$692,"&lt;="&amp;F18)</f>
        <v/>
      </c>
      <c r="O18" s="58">
        <f>0</f>
        <v/>
      </c>
      <c r="P18" s="58">
        <f>SUMIFS($O$5:$O$692,$A$5:$A$692,A18,$B$5:$B$692,B18,$F$5:$F$692,"&lt;="&amp;F18)</f>
        <v/>
      </c>
      <c r="Q18" s="58">
        <f>0</f>
        <v/>
      </c>
      <c r="R18" s="58">
        <f>SUMIFS($Q$5:$Q$692,$A$5:$A$692,A18,$B$5:$B$692,B18,$F$5:$F$692,"&lt;="&amp;F18)</f>
        <v/>
      </c>
      <c r="S18" s="58">
        <f>0</f>
        <v/>
      </c>
      <c r="T18" s="58">
        <f>SUMIFS($S$5:$S$692,$A$5:$A$692,A18,$B$5:$B$692,B18,$F$5:$F$692,"&lt;="&amp;F18)</f>
        <v/>
      </c>
      <c r="U18" s="52">
        <f>'个人技术逐级'!O18</f>
        <v/>
      </c>
    </row>
    <row r="19">
      <c r="A19" s="33" t="inlineStr">
        <is>
          <t>个人技术</t>
        </is>
      </c>
      <c r="B19" s="33">
        <f>'个人技术逐级'!A19</f>
        <v/>
      </c>
      <c r="C19" s="33">
        <f>'个人技术逐级'!B19</f>
        <v/>
      </c>
      <c r="D19" s="33">
        <f>'个人技术逐级'!C19</f>
        <v/>
      </c>
      <c r="E19">
        <f>'个人技术逐级'!D19</f>
        <v/>
      </c>
      <c r="F19" s="54">
        <f>'个人技术逐级'!E19</f>
        <v/>
      </c>
      <c r="G19" s="55">
        <f>'个人技术逐级'!F19</f>
        <v/>
      </c>
      <c r="H19" s="56">
        <f>'个人技术逐级'!G19</f>
        <v/>
      </c>
      <c r="I19" s="52" t="inlineStr">
        <is>
          <t>个人技术计时升级</t>
        </is>
      </c>
      <c r="J19" s="57">
        <f>'个人技术逐级'!M19</f>
        <v/>
      </c>
      <c r="K19" s="35">
        <f>J19/3600</f>
        <v/>
      </c>
      <c r="L19" s="35">
        <f>SUMIFS($K$5:$K$692,$A$5:$A$692,A19,$B$5:$B$692,B19,$F$5:$F$692,"&lt;="&amp;F19)</f>
        <v/>
      </c>
      <c r="M19" s="58">
        <f>'个人技术逐级'!N19</f>
        <v/>
      </c>
      <c r="N19" s="58">
        <f>SUMIFS($M$5:$M$692,$A$5:$A$692,A19,$B$5:$B$692,B19,$F$5:$F$692,"&lt;="&amp;F19)</f>
        <v/>
      </c>
      <c r="O19" s="58">
        <f>0</f>
        <v/>
      </c>
      <c r="P19" s="58">
        <f>SUMIFS($O$5:$O$692,$A$5:$A$692,A19,$B$5:$B$692,B19,$F$5:$F$692,"&lt;="&amp;F19)</f>
        <v/>
      </c>
      <c r="Q19" s="58">
        <f>0</f>
        <v/>
      </c>
      <c r="R19" s="58">
        <f>SUMIFS($Q$5:$Q$692,$A$5:$A$692,A19,$B$5:$B$692,B19,$F$5:$F$692,"&lt;="&amp;F19)</f>
        <v/>
      </c>
      <c r="S19" s="58">
        <f>0</f>
        <v/>
      </c>
      <c r="T19" s="58">
        <f>SUMIFS($S$5:$S$692,$A$5:$A$692,A19,$B$5:$B$692,B19,$F$5:$F$692,"&lt;="&amp;F19)</f>
        <v/>
      </c>
      <c r="U19" s="52">
        <f>'个人技术逐级'!O19</f>
        <v/>
      </c>
    </row>
    <row r="20">
      <c r="A20" s="33" t="inlineStr">
        <is>
          <t>个人技术</t>
        </is>
      </c>
      <c r="B20" s="33">
        <f>'个人技术逐级'!A20</f>
        <v/>
      </c>
      <c r="C20" s="33">
        <f>'个人技术逐级'!B20</f>
        <v/>
      </c>
      <c r="D20" s="33">
        <f>'个人技术逐级'!C20</f>
        <v/>
      </c>
      <c r="E20">
        <f>'个人技术逐级'!D20</f>
        <v/>
      </c>
      <c r="F20" s="54">
        <f>'个人技术逐级'!E20</f>
        <v/>
      </c>
      <c r="G20" s="55">
        <f>'个人技术逐级'!F20</f>
        <v/>
      </c>
      <c r="H20" s="56">
        <f>'个人技术逐级'!G20</f>
        <v/>
      </c>
      <c r="I20" s="52" t="inlineStr">
        <is>
          <t>个人技术计时升级</t>
        </is>
      </c>
      <c r="J20" s="57">
        <f>'个人技术逐级'!M20</f>
        <v/>
      </c>
      <c r="K20" s="35">
        <f>J20/3600</f>
        <v/>
      </c>
      <c r="L20" s="35">
        <f>SUMIFS($K$5:$K$692,$A$5:$A$692,A20,$B$5:$B$692,B20,$F$5:$F$692,"&lt;="&amp;F20)</f>
        <v/>
      </c>
      <c r="M20" s="58">
        <f>'个人技术逐级'!N20</f>
        <v/>
      </c>
      <c r="N20" s="58">
        <f>SUMIFS($M$5:$M$692,$A$5:$A$692,A20,$B$5:$B$692,B20,$F$5:$F$692,"&lt;="&amp;F20)</f>
        <v/>
      </c>
      <c r="O20" s="58">
        <f>0</f>
        <v/>
      </c>
      <c r="P20" s="58">
        <f>SUMIFS($O$5:$O$692,$A$5:$A$692,A20,$B$5:$B$692,B20,$F$5:$F$692,"&lt;="&amp;F20)</f>
        <v/>
      </c>
      <c r="Q20" s="58">
        <f>0</f>
        <v/>
      </c>
      <c r="R20" s="58">
        <f>SUMIFS($Q$5:$Q$692,$A$5:$A$692,A20,$B$5:$B$692,B20,$F$5:$F$692,"&lt;="&amp;F20)</f>
        <v/>
      </c>
      <c r="S20" s="58">
        <f>0</f>
        <v/>
      </c>
      <c r="T20" s="58">
        <f>SUMIFS($S$5:$S$692,$A$5:$A$692,A20,$B$5:$B$692,B20,$F$5:$F$692,"&lt;="&amp;F20)</f>
        <v/>
      </c>
      <c r="U20" s="52">
        <f>'个人技术逐级'!O20</f>
        <v/>
      </c>
    </row>
    <row r="21">
      <c r="A21" s="33" t="inlineStr">
        <is>
          <t>个人技术</t>
        </is>
      </c>
      <c r="B21" s="33">
        <f>'个人技术逐级'!A21</f>
        <v/>
      </c>
      <c r="C21" s="33">
        <f>'个人技术逐级'!B21</f>
        <v/>
      </c>
      <c r="D21" s="33">
        <f>'个人技术逐级'!C21</f>
        <v/>
      </c>
      <c r="E21">
        <f>'个人技术逐级'!D21</f>
        <v/>
      </c>
      <c r="F21" s="54">
        <f>'个人技术逐级'!E21</f>
        <v/>
      </c>
      <c r="G21" s="55">
        <f>'个人技术逐级'!F21</f>
        <v/>
      </c>
      <c r="H21" s="56">
        <f>'个人技术逐级'!G21</f>
        <v/>
      </c>
      <c r="I21" s="52" t="inlineStr">
        <is>
          <t>个人技术计时升级</t>
        </is>
      </c>
      <c r="J21" s="57">
        <f>'个人技术逐级'!M21</f>
        <v/>
      </c>
      <c r="K21" s="35">
        <f>J21/3600</f>
        <v/>
      </c>
      <c r="L21" s="35">
        <f>SUMIFS($K$5:$K$692,$A$5:$A$692,A21,$B$5:$B$692,B21,$F$5:$F$692,"&lt;="&amp;F21)</f>
        <v/>
      </c>
      <c r="M21" s="58">
        <f>'个人技术逐级'!N21</f>
        <v/>
      </c>
      <c r="N21" s="58">
        <f>SUMIFS($M$5:$M$692,$A$5:$A$692,A21,$B$5:$B$692,B21,$F$5:$F$692,"&lt;="&amp;F21)</f>
        <v/>
      </c>
      <c r="O21" s="58">
        <f>0</f>
        <v/>
      </c>
      <c r="P21" s="58">
        <f>SUMIFS($O$5:$O$692,$A$5:$A$692,A21,$B$5:$B$692,B21,$F$5:$F$692,"&lt;="&amp;F21)</f>
        <v/>
      </c>
      <c r="Q21" s="58">
        <f>0</f>
        <v/>
      </c>
      <c r="R21" s="58">
        <f>SUMIFS($Q$5:$Q$692,$A$5:$A$692,A21,$B$5:$B$692,B21,$F$5:$F$692,"&lt;="&amp;F21)</f>
        <v/>
      </c>
      <c r="S21" s="58">
        <f>0</f>
        <v/>
      </c>
      <c r="T21" s="58">
        <f>SUMIFS($S$5:$S$692,$A$5:$A$692,A21,$B$5:$B$692,B21,$F$5:$F$692,"&lt;="&amp;F21)</f>
        <v/>
      </c>
      <c r="U21" s="52">
        <f>'个人技术逐级'!O21</f>
        <v/>
      </c>
    </row>
    <row r="22">
      <c r="A22" s="33" t="inlineStr">
        <is>
          <t>个人技术</t>
        </is>
      </c>
      <c r="B22" s="33">
        <f>'个人技术逐级'!A22</f>
        <v/>
      </c>
      <c r="C22" s="33">
        <f>'个人技术逐级'!B22</f>
        <v/>
      </c>
      <c r="D22" s="33">
        <f>'个人技术逐级'!C22</f>
        <v/>
      </c>
      <c r="E22">
        <f>'个人技术逐级'!D22</f>
        <v/>
      </c>
      <c r="F22" s="54">
        <f>'个人技术逐级'!E22</f>
        <v/>
      </c>
      <c r="G22" s="55">
        <f>'个人技术逐级'!F22</f>
        <v/>
      </c>
      <c r="H22" s="56">
        <f>'个人技术逐级'!G22</f>
        <v/>
      </c>
      <c r="I22" s="52" t="inlineStr">
        <is>
          <t>个人技术计时升级</t>
        </is>
      </c>
      <c r="J22" s="57">
        <f>'个人技术逐级'!M22</f>
        <v/>
      </c>
      <c r="K22" s="35">
        <f>J22/3600</f>
        <v/>
      </c>
      <c r="L22" s="35">
        <f>SUMIFS($K$5:$K$692,$A$5:$A$692,A22,$B$5:$B$692,B22,$F$5:$F$692,"&lt;="&amp;F22)</f>
        <v/>
      </c>
      <c r="M22" s="58">
        <f>'个人技术逐级'!N22</f>
        <v/>
      </c>
      <c r="N22" s="58">
        <f>SUMIFS($M$5:$M$692,$A$5:$A$692,A22,$B$5:$B$692,B22,$F$5:$F$692,"&lt;="&amp;F22)</f>
        <v/>
      </c>
      <c r="O22" s="58">
        <f>0</f>
        <v/>
      </c>
      <c r="P22" s="58">
        <f>SUMIFS($O$5:$O$692,$A$5:$A$692,A22,$B$5:$B$692,B22,$F$5:$F$692,"&lt;="&amp;F22)</f>
        <v/>
      </c>
      <c r="Q22" s="58">
        <f>0</f>
        <v/>
      </c>
      <c r="R22" s="58">
        <f>SUMIFS($Q$5:$Q$692,$A$5:$A$692,A22,$B$5:$B$692,B22,$F$5:$F$692,"&lt;="&amp;F22)</f>
        <v/>
      </c>
      <c r="S22" s="58">
        <f>0</f>
        <v/>
      </c>
      <c r="T22" s="58">
        <f>SUMIFS($S$5:$S$692,$A$5:$A$692,A22,$B$5:$B$692,B22,$F$5:$F$692,"&lt;="&amp;F22)</f>
        <v/>
      </c>
      <c r="U22" s="52">
        <f>'个人技术逐级'!O22</f>
        <v/>
      </c>
    </row>
    <row r="23">
      <c r="A23" s="33" t="inlineStr">
        <is>
          <t>个人技术</t>
        </is>
      </c>
      <c r="B23" s="33">
        <f>'个人技术逐级'!A23</f>
        <v/>
      </c>
      <c r="C23" s="33">
        <f>'个人技术逐级'!B23</f>
        <v/>
      </c>
      <c r="D23" s="33">
        <f>'个人技术逐级'!C23</f>
        <v/>
      </c>
      <c r="E23">
        <f>'个人技术逐级'!D23</f>
        <v/>
      </c>
      <c r="F23" s="54">
        <f>'个人技术逐级'!E23</f>
        <v/>
      </c>
      <c r="G23" s="55">
        <f>'个人技术逐级'!F23</f>
        <v/>
      </c>
      <c r="H23" s="56">
        <f>'个人技术逐级'!G23</f>
        <v/>
      </c>
      <c r="I23" s="52" t="inlineStr">
        <is>
          <t>个人技术计时升级</t>
        </is>
      </c>
      <c r="J23" s="57">
        <f>'个人技术逐级'!M23</f>
        <v/>
      </c>
      <c r="K23" s="35">
        <f>J23/3600</f>
        <v/>
      </c>
      <c r="L23" s="35">
        <f>SUMIFS($K$5:$K$692,$A$5:$A$692,A23,$B$5:$B$692,B23,$F$5:$F$692,"&lt;="&amp;F23)</f>
        <v/>
      </c>
      <c r="M23" s="58">
        <f>'个人技术逐级'!N23</f>
        <v/>
      </c>
      <c r="N23" s="58">
        <f>SUMIFS($M$5:$M$692,$A$5:$A$692,A23,$B$5:$B$692,B23,$F$5:$F$692,"&lt;="&amp;F23)</f>
        <v/>
      </c>
      <c r="O23" s="58">
        <f>0</f>
        <v/>
      </c>
      <c r="P23" s="58">
        <f>SUMIFS($O$5:$O$692,$A$5:$A$692,A23,$B$5:$B$692,B23,$F$5:$F$692,"&lt;="&amp;F23)</f>
        <v/>
      </c>
      <c r="Q23" s="58">
        <f>0</f>
        <v/>
      </c>
      <c r="R23" s="58">
        <f>SUMIFS($Q$5:$Q$692,$A$5:$A$692,A23,$B$5:$B$692,B23,$F$5:$F$692,"&lt;="&amp;F23)</f>
        <v/>
      </c>
      <c r="S23" s="58">
        <f>0</f>
        <v/>
      </c>
      <c r="T23" s="58">
        <f>SUMIFS($S$5:$S$692,$A$5:$A$692,A23,$B$5:$B$692,B23,$F$5:$F$692,"&lt;="&amp;F23)</f>
        <v/>
      </c>
      <c r="U23" s="52">
        <f>'个人技术逐级'!O23</f>
        <v/>
      </c>
    </row>
    <row r="24">
      <c r="A24" s="33" t="inlineStr">
        <is>
          <t>个人技术</t>
        </is>
      </c>
      <c r="B24" s="33">
        <f>'个人技术逐级'!A24</f>
        <v/>
      </c>
      <c r="C24" s="33">
        <f>'个人技术逐级'!B24</f>
        <v/>
      </c>
      <c r="D24" s="33">
        <f>'个人技术逐级'!C24</f>
        <v/>
      </c>
      <c r="E24">
        <f>'个人技术逐级'!D24</f>
        <v/>
      </c>
      <c r="F24" s="54">
        <f>'个人技术逐级'!E24</f>
        <v/>
      </c>
      <c r="G24" s="55">
        <f>'个人技术逐级'!F24</f>
        <v/>
      </c>
      <c r="H24" s="56">
        <f>'个人技术逐级'!G24</f>
        <v/>
      </c>
      <c r="I24" s="52" t="inlineStr">
        <is>
          <t>个人技术计时升级</t>
        </is>
      </c>
      <c r="J24" s="57">
        <f>'个人技术逐级'!M24</f>
        <v/>
      </c>
      <c r="K24" s="35">
        <f>J24/3600</f>
        <v/>
      </c>
      <c r="L24" s="35">
        <f>SUMIFS($K$5:$K$692,$A$5:$A$692,A24,$B$5:$B$692,B24,$F$5:$F$692,"&lt;="&amp;F24)</f>
        <v/>
      </c>
      <c r="M24" s="58">
        <f>'个人技术逐级'!N24</f>
        <v/>
      </c>
      <c r="N24" s="58">
        <f>SUMIFS($M$5:$M$692,$A$5:$A$692,A24,$B$5:$B$692,B24,$F$5:$F$692,"&lt;="&amp;F24)</f>
        <v/>
      </c>
      <c r="O24" s="58">
        <f>0</f>
        <v/>
      </c>
      <c r="P24" s="58">
        <f>SUMIFS($O$5:$O$692,$A$5:$A$692,A24,$B$5:$B$692,B24,$F$5:$F$692,"&lt;="&amp;F24)</f>
        <v/>
      </c>
      <c r="Q24" s="58">
        <f>0</f>
        <v/>
      </c>
      <c r="R24" s="58">
        <f>SUMIFS($Q$5:$Q$692,$A$5:$A$692,A24,$B$5:$B$692,B24,$F$5:$F$692,"&lt;="&amp;F24)</f>
        <v/>
      </c>
      <c r="S24" s="58">
        <f>0</f>
        <v/>
      </c>
      <c r="T24" s="58">
        <f>SUMIFS($S$5:$S$692,$A$5:$A$692,A24,$B$5:$B$692,B24,$F$5:$F$692,"&lt;="&amp;F24)</f>
        <v/>
      </c>
      <c r="U24" s="52">
        <f>'个人技术逐级'!O24</f>
        <v/>
      </c>
    </row>
    <row r="25">
      <c r="A25" s="33" t="inlineStr">
        <is>
          <t>个人技术</t>
        </is>
      </c>
      <c r="B25" s="33">
        <f>'个人技术逐级'!A25</f>
        <v/>
      </c>
      <c r="C25" s="33">
        <f>'个人技术逐级'!B25</f>
        <v/>
      </c>
      <c r="D25" s="33">
        <f>'个人技术逐级'!C25</f>
        <v/>
      </c>
      <c r="E25">
        <f>'个人技术逐级'!D25</f>
        <v/>
      </c>
      <c r="F25" s="54">
        <f>'个人技术逐级'!E25</f>
        <v/>
      </c>
      <c r="G25" s="55">
        <f>'个人技术逐级'!F25</f>
        <v/>
      </c>
      <c r="H25" s="56">
        <f>'个人技术逐级'!G25</f>
        <v/>
      </c>
      <c r="I25" s="52" t="inlineStr">
        <is>
          <t>个人技术计时升级</t>
        </is>
      </c>
      <c r="J25" s="57">
        <f>'个人技术逐级'!M25</f>
        <v/>
      </c>
      <c r="K25" s="35">
        <f>J25/3600</f>
        <v/>
      </c>
      <c r="L25" s="35">
        <f>SUMIFS($K$5:$K$692,$A$5:$A$692,A25,$B$5:$B$692,B25,$F$5:$F$692,"&lt;="&amp;F25)</f>
        <v/>
      </c>
      <c r="M25" s="58">
        <f>'个人技术逐级'!N25</f>
        <v/>
      </c>
      <c r="N25" s="58">
        <f>SUMIFS($M$5:$M$692,$A$5:$A$692,A25,$B$5:$B$692,B25,$F$5:$F$692,"&lt;="&amp;F25)</f>
        <v/>
      </c>
      <c r="O25" s="58">
        <f>0</f>
        <v/>
      </c>
      <c r="P25" s="58">
        <f>SUMIFS($O$5:$O$692,$A$5:$A$692,A25,$B$5:$B$692,B25,$F$5:$F$692,"&lt;="&amp;F25)</f>
        <v/>
      </c>
      <c r="Q25" s="58">
        <f>0</f>
        <v/>
      </c>
      <c r="R25" s="58">
        <f>SUMIFS($Q$5:$Q$692,$A$5:$A$692,A25,$B$5:$B$692,B25,$F$5:$F$692,"&lt;="&amp;F25)</f>
        <v/>
      </c>
      <c r="S25" s="58">
        <f>0</f>
        <v/>
      </c>
      <c r="T25" s="58">
        <f>SUMIFS($S$5:$S$692,$A$5:$A$692,A25,$B$5:$B$692,B25,$F$5:$F$692,"&lt;="&amp;F25)</f>
        <v/>
      </c>
      <c r="U25" s="52">
        <f>'个人技术逐级'!O25</f>
        <v/>
      </c>
    </row>
    <row r="26">
      <c r="A26" s="33" t="inlineStr">
        <is>
          <t>个人技术</t>
        </is>
      </c>
      <c r="B26" s="33">
        <f>'个人技术逐级'!A26</f>
        <v/>
      </c>
      <c r="C26" s="33">
        <f>'个人技术逐级'!B26</f>
        <v/>
      </c>
      <c r="D26" s="33">
        <f>'个人技术逐级'!C26</f>
        <v/>
      </c>
      <c r="E26">
        <f>'个人技术逐级'!D26</f>
        <v/>
      </c>
      <c r="F26" s="54">
        <f>'个人技术逐级'!E26</f>
        <v/>
      </c>
      <c r="G26" s="55">
        <f>'个人技术逐级'!F26</f>
        <v/>
      </c>
      <c r="H26" s="56">
        <f>'个人技术逐级'!G26</f>
        <v/>
      </c>
      <c r="I26" s="52" t="inlineStr">
        <is>
          <t>个人技术计时升级</t>
        </is>
      </c>
      <c r="J26" s="57">
        <f>'个人技术逐级'!M26</f>
        <v/>
      </c>
      <c r="K26" s="35">
        <f>J26/3600</f>
        <v/>
      </c>
      <c r="L26" s="35">
        <f>SUMIFS($K$5:$K$692,$A$5:$A$692,A26,$B$5:$B$692,B26,$F$5:$F$692,"&lt;="&amp;F26)</f>
        <v/>
      </c>
      <c r="M26" s="58">
        <f>'个人技术逐级'!N26</f>
        <v/>
      </c>
      <c r="N26" s="58">
        <f>SUMIFS($M$5:$M$692,$A$5:$A$692,A26,$B$5:$B$692,B26,$F$5:$F$692,"&lt;="&amp;F26)</f>
        <v/>
      </c>
      <c r="O26" s="58">
        <f>0</f>
        <v/>
      </c>
      <c r="P26" s="58">
        <f>SUMIFS($O$5:$O$692,$A$5:$A$692,A26,$B$5:$B$692,B26,$F$5:$F$692,"&lt;="&amp;F26)</f>
        <v/>
      </c>
      <c r="Q26" s="58">
        <f>0</f>
        <v/>
      </c>
      <c r="R26" s="58">
        <f>SUMIFS($Q$5:$Q$692,$A$5:$A$692,A26,$B$5:$B$692,B26,$F$5:$F$692,"&lt;="&amp;F26)</f>
        <v/>
      </c>
      <c r="S26" s="58">
        <f>0</f>
        <v/>
      </c>
      <c r="T26" s="58">
        <f>SUMIFS($S$5:$S$692,$A$5:$A$692,A26,$B$5:$B$692,B26,$F$5:$F$692,"&lt;="&amp;F26)</f>
        <v/>
      </c>
      <c r="U26" s="52">
        <f>'个人技术逐级'!O26</f>
        <v/>
      </c>
    </row>
    <row r="27">
      <c r="A27" s="33" t="inlineStr">
        <is>
          <t>个人技术</t>
        </is>
      </c>
      <c r="B27" s="33">
        <f>'个人技术逐级'!A27</f>
        <v/>
      </c>
      <c r="C27" s="33">
        <f>'个人技术逐级'!B27</f>
        <v/>
      </c>
      <c r="D27" s="33">
        <f>'个人技术逐级'!C27</f>
        <v/>
      </c>
      <c r="E27">
        <f>'个人技术逐级'!D27</f>
        <v/>
      </c>
      <c r="F27" s="54">
        <f>'个人技术逐级'!E27</f>
        <v/>
      </c>
      <c r="G27" s="55">
        <f>'个人技术逐级'!F27</f>
        <v/>
      </c>
      <c r="H27" s="56">
        <f>'个人技术逐级'!G27</f>
        <v/>
      </c>
      <c r="I27" s="52" t="inlineStr">
        <is>
          <t>个人技术计时升级</t>
        </is>
      </c>
      <c r="J27" s="57">
        <f>'个人技术逐级'!M27</f>
        <v/>
      </c>
      <c r="K27" s="35">
        <f>J27/3600</f>
        <v/>
      </c>
      <c r="L27" s="35">
        <f>SUMIFS($K$5:$K$692,$A$5:$A$692,A27,$B$5:$B$692,B27,$F$5:$F$692,"&lt;="&amp;F27)</f>
        <v/>
      </c>
      <c r="M27" s="58">
        <f>'个人技术逐级'!N27</f>
        <v/>
      </c>
      <c r="N27" s="58">
        <f>SUMIFS($M$5:$M$692,$A$5:$A$692,A27,$B$5:$B$692,B27,$F$5:$F$692,"&lt;="&amp;F27)</f>
        <v/>
      </c>
      <c r="O27" s="58">
        <f>0</f>
        <v/>
      </c>
      <c r="P27" s="58">
        <f>SUMIFS($O$5:$O$692,$A$5:$A$692,A27,$B$5:$B$692,B27,$F$5:$F$692,"&lt;="&amp;F27)</f>
        <v/>
      </c>
      <c r="Q27" s="58">
        <f>0</f>
        <v/>
      </c>
      <c r="R27" s="58">
        <f>SUMIFS($Q$5:$Q$692,$A$5:$A$692,A27,$B$5:$B$692,B27,$F$5:$F$692,"&lt;="&amp;F27)</f>
        <v/>
      </c>
      <c r="S27" s="58">
        <f>0</f>
        <v/>
      </c>
      <c r="T27" s="58">
        <f>SUMIFS($S$5:$S$692,$A$5:$A$692,A27,$B$5:$B$692,B27,$F$5:$F$692,"&lt;="&amp;F27)</f>
        <v/>
      </c>
      <c r="U27" s="52">
        <f>'个人技术逐级'!O27</f>
        <v/>
      </c>
    </row>
    <row r="28">
      <c r="A28" s="33" t="inlineStr">
        <is>
          <t>个人技术</t>
        </is>
      </c>
      <c r="B28" s="33">
        <f>'个人技术逐级'!A28</f>
        <v/>
      </c>
      <c r="C28" s="33">
        <f>'个人技术逐级'!B28</f>
        <v/>
      </c>
      <c r="D28" s="33">
        <f>'个人技术逐级'!C28</f>
        <v/>
      </c>
      <c r="E28">
        <f>'个人技术逐级'!D28</f>
        <v/>
      </c>
      <c r="F28" s="54">
        <f>'个人技术逐级'!E28</f>
        <v/>
      </c>
      <c r="G28" s="55">
        <f>'个人技术逐级'!F28</f>
        <v/>
      </c>
      <c r="H28" s="56">
        <f>'个人技术逐级'!G28</f>
        <v/>
      </c>
      <c r="I28" s="52" t="inlineStr">
        <is>
          <t>个人技术计时升级</t>
        </is>
      </c>
      <c r="J28" s="57">
        <f>'个人技术逐级'!M28</f>
        <v/>
      </c>
      <c r="K28" s="35">
        <f>J28/3600</f>
        <v/>
      </c>
      <c r="L28" s="35">
        <f>SUMIFS($K$5:$K$692,$A$5:$A$692,A28,$B$5:$B$692,B28,$F$5:$F$692,"&lt;="&amp;F28)</f>
        <v/>
      </c>
      <c r="M28" s="58">
        <f>'个人技术逐级'!N28</f>
        <v/>
      </c>
      <c r="N28" s="58">
        <f>SUMIFS($M$5:$M$692,$A$5:$A$692,A28,$B$5:$B$692,B28,$F$5:$F$692,"&lt;="&amp;F28)</f>
        <v/>
      </c>
      <c r="O28" s="58">
        <f>0</f>
        <v/>
      </c>
      <c r="P28" s="58">
        <f>SUMIFS($O$5:$O$692,$A$5:$A$692,A28,$B$5:$B$692,B28,$F$5:$F$692,"&lt;="&amp;F28)</f>
        <v/>
      </c>
      <c r="Q28" s="58">
        <f>0</f>
        <v/>
      </c>
      <c r="R28" s="58">
        <f>SUMIFS($Q$5:$Q$692,$A$5:$A$692,A28,$B$5:$B$692,B28,$F$5:$F$692,"&lt;="&amp;F28)</f>
        <v/>
      </c>
      <c r="S28" s="58">
        <f>0</f>
        <v/>
      </c>
      <c r="T28" s="58">
        <f>SUMIFS($S$5:$S$692,$A$5:$A$692,A28,$B$5:$B$692,B28,$F$5:$F$692,"&lt;="&amp;F28)</f>
        <v/>
      </c>
      <c r="U28" s="52">
        <f>'个人技术逐级'!O28</f>
        <v/>
      </c>
    </row>
    <row r="29">
      <c r="A29" s="33" t="inlineStr">
        <is>
          <t>个人技术</t>
        </is>
      </c>
      <c r="B29" s="33">
        <f>'个人技术逐级'!A29</f>
        <v/>
      </c>
      <c r="C29" s="33">
        <f>'个人技术逐级'!B29</f>
        <v/>
      </c>
      <c r="D29" s="33">
        <f>'个人技术逐级'!C29</f>
        <v/>
      </c>
      <c r="E29">
        <f>'个人技术逐级'!D29</f>
        <v/>
      </c>
      <c r="F29" s="54">
        <f>'个人技术逐级'!E29</f>
        <v/>
      </c>
      <c r="G29" s="55">
        <f>'个人技术逐级'!F29</f>
        <v/>
      </c>
      <c r="H29" s="56">
        <f>'个人技术逐级'!G29</f>
        <v/>
      </c>
      <c r="I29" s="52" t="inlineStr">
        <is>
          <t>个人技术计时升级</t>
        </is>
      </c>
      <c r="J29" s="57">
        <f>'个人技术逐级'!M29</f>
        <v/>
      </c>
      <c r="K29" s="35">
        <f>J29/3600</f>
        <v/>
      </c>
      <c r="L29" s="35">
        <f>SUMIFS($K$5:$K$692,$A$5:$A$692,A29,$B$5:$B$692,B29,$F$5:$F$692,"&lt;="&amp;F29)</f>
        <v/>
      </c>
      <c r="M29" s="58">
        <f>'个人技术逐级'!N29</f>
        <v/>
      </c>
      <c r="N29" s="58">
        <f>SUMIFS($M$5:$M$692,$A$5:$A$692,A29,$B$5:$B$692,B29,$F$5:$F$692,"&lt;="&amp;F29)</f>
        <v/>
      </c>
      <c r="O29" s="58">
        <f>0</f>
        <v/>
      </c>
      <c r="P29" s="58">
        <f>SUMIFS($O$5:$O$692,$A$5:$A$692,A29,$B$5:$B$692,B29,$F$5:$F$692,"&lt;="&amp;F29)</f>
        <v/>
      </c>
      <c r="Q29" s="58">
        <f>0</f>
        <v/>
      </c>
      <c r="R29" s="58">
        <f>SUMIFS($Q$5:$Q$692,$A$5:$A$692,A29,$B$5:$B$692,B29,$F$5:$F$692,"&lt;="&amp;F29)</f>
        <v/>
      </c>
      <c r="S29" s="58">
        <f>0</f>
        <v/>
      </c>
      <c r="T29" s="58">
        <f>SUMIFS($S$5:$S$692,$A$5:$A$692,A29,$B$5:$B$692,B29,$F$5:$F$692,"&lt;="&amp;F29)</f>
        <v/>
      </c>
      <c r="U29" s="52">
        <f>'个人技术逐级'!O29</f>
        <v/>
      </c>
    </row>
    <row r="30">
      <c r="A30" s="33" t="inlineStr">
        <is>
          <t>个人技术</t>
        </is>
      </c>
      <c r="B30" s="33">
        <f>'个人技术逐级'!A30</f>
        <v/>
      </c>
      <c r="C30" s="33">
        <f>'个人技术逐级'!B30</f>
        <v/>
      </c>
      <c r="D30" s="33">
        <f>'个人技术逐级'!C30</f>
        <v/>
      </c>
      <c r="E30">
        <f>'个人技术逐级'!D30</f>
        <v/>
      </c>
      <c r="F30" s="54">
        <f>'个人技术逐级'!E30</f>
        <v/>
      </c>
      <c r="G30" s="55">
        <f>'个人技术逐级'!F30</f>
        <v/>
      </c>
      <c r="H30" s="56">
        <f>'个人技术逐级'!G30</f>
        <v/>
      </c>
      <c r="I30" s="52" t="inlineStr">
        <is>
          <t>个人技术计时升级</t>
        </is>
      </c>
      <c r="J30" s="57">
        <f>'个人技术逐级'!M30</f>
        <v/>
      </c>
      <c r="K30" s="35">
        <f>J30/3600</f>
        <v/>
      </c>
      <c r="L30" s="35">
        <f>SUMIFS($K$5:$K$692,$A$5:$A$692,A30,$B$5:$B$692,B30,$F$5:$F$692,"&lt;="&amp;F30)</f>
        <v/>
      </c>
      <c r="M30" s="58">
        <f>'个人技术逐级'!N30</f>
        <v/>
      </c>
      <c r="N30" s="58">
        <f>SUMIFS($M$5:$M$692,$A$5:$A$692,A30,$B$5:$B$692,B30,$F$5:$F$692,"&lt;="&amp;F30)</f>
        <v/>
      </c>
      <c r="O30" s="58">
        <f>0</f>
        <v/>
      </c>
      <c r="P30" s="58">
        <f>SUMIFS($O$5:$O$692,$A$5:$A$692,A30,$B$5:$B$692,B30,$F$5:$F$692,"&lt;="&amp;F30)</f>
        <v/>
      </c>
      <c r="Q30" s="58">
        <f>0</f>
        <v/>
      </c>
      <c r="R30" s="58">
        <f>SUMIFS($Q$5:$Q$692,$A$5:$A$692,A30,$B$5:$B$692,B30,$F$5:$F$692,"&lt;="&amp;F30)</f>
        <v/>
      </c>
      <c r="S30" s="58">
        <f>0</f>
        <v/>
      </c>
      <c r="T30" s="58">
        <f>SUMIFS($S$5:$S$692,$A$5:$A$692,A30,$B$5:$B$692,B30,$F$5:$F$692,"&lt;="&amp;F30)</f>
        <v/>
      </c>
      <c r="U30" s="52">
        <f>'个人技术逐级'!O30</f>
        <v/>
      </c>
    </row>
    <row r="31">
      <c r="A31" s="33" t="inlineStr">
        <is>
          <t>个人技术</t>
        </is>
      </c>
      <c r="B31" s="33">
        <f>'个人技术逐级'!A31</f>
        <v/>
      </c>
      <c r="C31" s="33">
        <f>'个人技术逐级'!B31</f>
        <v/>
      </c>
      <c r="D31" s="33">
        <f>'个人技术逐级'!C31</f>
        <v/>
      </c>
      <c r="E31">
        <f>'个人技术逐级'!D31</f>
        <v/>
      </c>
      <c r="F31" s="54">
        <f>'个人技术逐级'!E31</f>
        <v/>
      </c>
      <c r="G31" s="55">
        <f>'个人技术逐级'!F31</f>
        <v/>
      </c>
      <c r="H31" s="56">
        <f>'个人技术逐级'!G31</f>
        <v/>
      </c>
      <c r="I31" s="52" t="inlineStr">
        <is>
          <t>个人技术计时升级</t>
        </is>
      </c>
      <c r="J31" s="57">
        <f>'个人技术逐级'!M31</f>
        <v/>
      </c>
      <c r="K31" s="35">
        <f>J31/3600</f>
        <v/>
      </c>
      <c r="L31" s="35">
        <f>SUMIFS($K$5:$K$692,$A$5:$A$692,A31,$B$5:$B$692,B31,$F$5:$F$692,"&lt;="&amp;F31)</f>
        <v/>
      </c>
      <c r="M31" s="58">
        <f>'个人技术逐级'!N31</f>
        <v/>
      </c>
      <c r="N31" s="58">
        <f>SUMIFS($M$5:$M$692,$A$5:$A$692,A31,$B$5:$B$692,B31,$F$5:$F$692,"&lt;="&amp;F31)</f>
        <v/>
      </c>
      <c r="O31" s="58">
        <f>0</f>
        <v/>
      </c>
      <c r="P31" s="58">
        <f>SUMIFS($O$5:$O$692,$A$5:$A$692,A31,$B$5:$B$692,B31,$F$5:$F$692,"&lt;="&amp;F31)</f>
        <v/>
      </c>
      <c r="Q31" s="58">
        <f>0</f>
        <v/>
      </c>
      <c r="R31" s="58">
        <f>SUMIFS($Q$5:$Q$692,$A$5:$A$692,A31,$B$5:$B$692,B31,$F$5:$F$692,"&lt;="&amp;F31)</f>
        <v/>
      </c>
      <c r="S31" s="58">
        <f>0</f>
        <v/>
      </c>
      <c r="T31" s="58">
        <f>SUMIFS($S$5:$S$692,$A$5:$A$692,A31,$B$5:$B$692,B31,$F$5:$F$692,"&lt;="&amp;F31)</f>
        <v/>
      </c>
      <c r="U31" s="52">
        <f>'个人技术逐级'!O31</f>
        <v/>
      </c>
    </row>
    <row r="32">
      <c r="A32" s="33" t="inlineStr">
        <is>
          <t>个人技术</t>
        </is>
      </c>
      <c r="B32" s="33">
        <f>'个人技术逐级'!A32</f>
        <v/>
      </c>
      <c r="C32" s="33">
        <f>'个人技术逐级'!B32</f>
        <v/>
      </c>
      <c r="D32" s="33">
        <f>'个人技术逐级'!C32</f>
        <v/>
      </c>
      <c r="E32">
        <f>'个人技术逐级'!D32</f>
        <v/>
      </c>
      <c r="F32" s="54">
        <f>'个人技术逐级'!E32</f>
        <v/>
      </c>
      <c r="G32" s="55">
        <f>'个人技术逐级'!F32</f>
        <v/>
      </c>
      <c r="H32" s="56">
        <f>'个人技术逐级'!G32</f>
        <v/>
      </c>
      <c r="I32" s="52" t="inlineStr">
        <is>
          <t>个人技术计时升级</t>
        </is>
      </c>
      <c r="J32" s="57">
        <f>'个人技术逐级'!M32</f>
        <v/>
      </c>
      <c r="K32" s="35">
        <f>J32/3600</f>
        <v/>
      </c>
      <c r="L32" s="35">
        <f>SUMIFS($K$5:$K$692,$A$5:$A$692,A32,$B$5:$B$692,B32,$F$5:$F$692,"&lt;="&amp;F32)</f>
        <v/>
      </c>
      <c r="M32" s="58">
        <f>'个人技术逐级'!N32</f>
        <v/>
      </c>
      <c r="N32" s="58">
        <f>SUMIFS($M$5:$M$692,$A$5:$A$692,A32,$B$5:$B$692,B32,$F$5:$F$692,"&lt;="&amp;F32)</f>
        <v/>
      </c>
      <c r="O32" s="58">
        <f>0</f>
        <v/>
      </c>
      <c r="P32" s="58">
        <f>SUMIFS($O$5:$O$692,$A$5:$A$692,A32,$B$5:$B$692,B32,$F$5:$F$692,"&lt;="&amp;F32)</f>
        <v/>
      </c>
      <c r="Q32" s="58">
        <f>0</f>
        <v/>
      </c>
      <c r="R32" s="58">
        <f>SUMIFS($Q$5:$Q$692,$A$5:$A$692,A32,$B$5:$B$692,B32,$F$5:$F$692,"&lt;="&amp;F32)</f>
        <v/>
      </c>
      <c r="S32" s="58">
        <f>0</f>
        <v/>
      </c>
      <c r="T32" s="58">
        <f>SUMIFS($S$5:$S$692,$A$5:$A$692,A32,$B$5:$B$692,B32,$F$5:$F$692,"&lt;="&amp;F32)</f>
        <v/>
      </c>
      <c r="U32" s="52">
        <f>'个人技术逐级'!O32</f>
        <v/>
      </c>
    </row>
    <row r="33">
      <c r="A33" s="33" t="inlineStr">
        <is>
          <t>个人技术</t>
        </is>
      </c>
      <c r="B33" s="33">
        <f>'个人技术逐级'!A33</f>
        <v/>
      </c>
      <c r="C33" s="33">
        <f>'个人技术逐级'!B33</f>
        <v/>
      </c>
      <c r="D33" s="33">
        <f>'个人技术逐级'!C33</f>
        <v/>
      </c>
      <c r="E33">
        <f>'个人技术逐级'!D33</f>
        <v/>
      </c>
      <c r="F33" s="54">
        <f>'个人技术逐级'!E33</f>
        <v/>
      </c>
      <c r="G33" s="55">
        <f>'个人技术逐级'!F33</f>
        <v/>
      </c>
      <c r="H33" s="56">
        <f>'个人技术逐级'!G33</f>
        <v/>
      </c>
      <c r="I33" s="52" t="inlineStr">
        <is>
          <t>个人技术计时升级</t>
        </is>
      </c>
      <c r="J33" s="57">
        <f>'个人技术逐级'!M33</f>
        <v/>
      </c>
      <c r="K33" s="35">
        <f>J33/3600</f>
        <v/>
      </c>
      <c r="L33" s="35">
        <f>SUMIFS($K$5:$K$692,$A$5:$A$692,A33,$B$5:$B$692,B33,$F$5:$F$692,"&lt;="&amp;F33)</f>
        <v/>
      </c>
      <c r="M33" s="58">
        <f>'个人技术逐级'!N33</f>
        <v/>
      </c>
      <c r="N33" s="58">
        <f>SUMIFS($M$5:$M$692,$A$5:$A$692,A33,$B$5:$B$692,B33,$F$5:$F$692,"&lt;="&amp;F33)</f>
        <v/>
      </c>
      <c r="O33" s="58">
        <f>0</f>
        <v/>
      </c>
      <c r="P33" s="58">
        <f>SUMIFS($O$5:$O$692,$A$5:$A$692,A33,$B$5:$B$692,B33,$F$5:$F$692,"&lt;="&amp;F33)</f>
        <v/>
      </c>
      <c r="Q33" s="58">
        <f>0</f>
        <v/>
      </c>
      <c r="R33" s="58">
        <f>SUMIFS($Q$5:$Q$692,$A$5:$A$692,A33,$B$5:$B$692,B33,$F$5:$F$692,"&lt;="&amp;F33)</f>
        <v/>
      </c>
      <c r="S33" s="58">
        <f>0</f>
        <v/>
      </c>
      <c r="T33" s="58">
        <f>SUMIFS($S$5:$S$692,$A$5:$A$692,A33,$B$5:$B$692,B33,$F$5:$F$692,"&lt;="&amp;F33)</f>
        <v/>
      </c>
      <c r="U33" s="52">
        <f>'个人技术逐级'!O33</f>
        <v/>
      </c>
    </row>
    <row r="34">
      <c r="A34" s="33" t="inlineStr">
        <is>
          <t>个人技术</t>
        </is>
      </c>
      <c r="B34" s="33">
        <f>'个人技术逐级'!A34</f>
        <v/>
      </c>
      <c r="C34" s="33">
        <f>'个人技术逐级'!B34</f>
        <v/>
      </c>
      <c r="D34" s="33">
        <f>'个人技术逐级'!C34</f>
        <v/>
      </c>
      <c r="E34">
        <f>'个人技术逐级'!D34</f>
        <v/>
      </c>
      <c r="F34" s="54">
        <f>'个人技术逐级'!E34</f>
        <v/>
      </c>
      <c r="G34" s="55">
        <f>'个人技术逐级'!F34</f>
        <v/>
      </c>
      <c r="H34" s="56">
        <f>'个人技术逐级'!G34</f>
        <v/>
      </c>
      <c r="I34" s="52" t="inlineStr">
        <is>
          <t>个人技术计时升级</t>
        </is>
      </c>
      <c r="J34" s="57">
        <f>'个人技术逐级'!M34</f>
        <v/>
      </c>
      <c r="K34" s="35">
        <f>J34/3600</f>
        <v/>
      </c>
      <c r="L34" s="35">
        <f>SUMIFS($K$5:$K$692,$A$5:$A$692,A34,$B$5:$B$692,B34,$F$5:$F$692,"&lt;="&amp;F34)</f>
        <v/>
      </c>
      <c r="M34" s="58">
        <f>'个人技术逐级'!N34</f>
        <v/>
      </c>
      <c r="N34" s="58">
        <f>SUMIFS($M$5:$M$692,$A$5:$A$692,A34,$B$5:$B$692,B34,$F$5:$F$692,"&lt;="&amp;F34)</f>
        <v/>
      </c>
      <c r="O34" s="58">
        <f>0</f>
        <v/>
      </c>
      <c r="P34" s="58">
        <f>SUMIFS($O$5:$O$692,$A$5:$A$692,A34,$B$5:$B$692,B34,$F$5:$F$692,"&lt;="&amp;F34)</f>
        <v/>
      </c>
      <c r="Q34" s="58">
        <f>0</f>
        <v/>
      </c>
      <c r="R34" s="58">
        <f>SUMIFS($Q$5:$Q$692,$A$5:$A$692,A34,$B$5:$B$692,B34,$F$5:$F$692,"&lt;="&amp;F34)</f>
        <v/>
      </c>
      <c r="S34" s="58">
        <f>0</f>
        <v/>
      </c>
      <c r="T34" s="58">
        <f>SUMIFS($S$5:$S$692,$A$5:$A$692,A34,$B$5:$B$692,B34,$F$5:$F$692,"&lt;="&amp;F34)</f>
        <v/>
      </c>
      <c r="U34" s="52">
        <f>'个人技术逐级'!O34</f>
        <v/>
      </c>
    </row>
    <row r="35">
      <c r="A35" s="33" t="inlineStr">
        <is>
          <t>个人技术</t>
        </is>
      </c>
      <c r="B35" s="33">
        <f>'个人技术逐级'!A35</f>
        <v/>
      </c>
      <c r="C35" s="33">
        <f>'个人技术逐级'!B35</f>
        <v/>
      </c>
      <c r="D35" s="33">
        <f>'个人技术逐级'!C35</f>
        <v/>
      </c>
      <c r="E35">
        <f>'个人技术逐级'!D35</f>
        <v/>
      </c>
      <c r="F35" s="54">
        <f>'个人技术逐级'!E35</f>
        <v/>
      </c>
      <c r="G35" s="55">
        <f>'个人技术逐级'!F35</f>
        <v/>
      </c>
      <c r="H35" s="56">
        <f>'个人技术逐级'!G35</f>
        <v/>
      </c>
      <c r="I35" s="52" t="inlineStr">
        <is>
          <t>个人技术计时升级</t>
        </is>
      </c>
      <c r="J35" s="57">
        <f>'个人技术逐级'!M35</f>
        <v/>
      </c>
      <c r="K35" s="35">
        <f>J35/3600</f>
        <v/>
      </c>
      <c r="L35" s="35">
        <f>SUMIFS($K$5:$K$692,$A$5:$A$692,A35,$B$5:$B$692,B35,$F$5:$F$692,"&lt;="&amp;F35)</f>
        <v/>
      </c>
      <c r="M35" s="58">
        <f>'个人技术逐级'!N35</f>
        <v/>
      </c>
      <c r="N35" s="58">
        <f>SUMIFS($M$5:$M$692,$A$5:$A$692,A35,$B$5:$B$692,B35,$F$5:$F$692,"&lt;="&amp;F35)</f>
        <v/>
      </c>
      <c r="O35" s="58">
        <f>0</f>
        <v/>
      </c>
      <c r="P35" s="58">
        <f>SUMIFS($O$5:$O$692,$A$5:$A$692,A35,$B$5:$B$692,B35,$F$5:$F$692,"&lt;="&amp;F35)</f>
        <v/>
      </c>
      <c r="Q35" s="58">
        <f>0</f>
        <v/>
      </c>
      <c r="R35" s="58">
        <f>SUMIFS($Q$5:$Q$692,$A$5:$A$692,A35,$B$5:$B$692,B35,$F$5:$F$692,"&lt;="&amp;F35)</f>
        <v/>
      </c>
      <c r="S35" s="58">
        <f>0</f>
        <v/>
      </c>
      <c r="T35" s="58">
        <f>SUMIFS($S$5:$S$692,$A$5:$A$692,A35,$B$5:$B$692,B35,$F$5:$F$692,"&lt;="&amp;F35)</f>
        <v/>
      </c>
      <c r="U35" s="52">
        <f>'个人技术逐级'!O35</f>
        <v/>
      </c>
    </row>
    <row r="36">
      <c r="A36" s="33" t="inlineStr">
        <is>
          <t>个人技术</t>
        </is>
      </c>
      <c r="B36" s="33">
        <f>'个人技术逐级'!A36</f>
        <v/>
      </c>
      <c r="C36" s="33">
        <f>'个人技术逐级'!B36</f>
        <v/>
      </c>
      <c r="D36" s="33">
        <f>'个人技术逐级'!C36</f>
        <v/>
      </c>
      <c r="E36">
        <f>'个人技术逐级'!D36</f>
        <v/>
      </c>
      <c r="F36" s="54">
        <f>'个人技术逐级'!E36</f>
        <v/>
      </c>
      <c r="G36" s="55">
        <f>'个人技术逐级'!F36</f>
        <v/>
      </c>
      <c r="H36" s="56">
        <f>'个人技术逐级'!G36</f>
        <v/>
      </c>
      <c r="I36" s="52" t="inlineStr">
        <is>
          <t>个人技术计时升级</t>
        </is>
      </c>
      <c r="J36" s="57">
        <f>'个人技术逐级'!M36</f>
        <v/>
      </c>
      <c r="K36" s="35">
        <f>J36/3600</f>
        <v/>
      </c>
      <c r="L36" s="35">
        <f>SUMIFS($K$5:$K$692,$A$5:$A$692,A36,$B$5:$B$692,B36,$F$5:$F$692,"&lt;="&amp;F36)</f>
        <v/>
      </c>
      <c r="M36" s="58">
        <f>'个人技术逐级'!N36</f>
        <v/>
      </c>
      <c r="N36" s="58">
        <f>SUMIFS($M$5:$M$692,$A$5:$A$692,A36,$B$5:$B$692,B36,$F$5:$F$692,"&lt;="&amp;F36)</f>
        <v/>
      </c>
      <c r="O36" s="58">
        <f>0</f>
        <v/>
      </c>
      <c r="P36" s="58">
        <f>SUMIFS($O$5:$O$692,$A$5:$A$692,A36,$B$5:$B$692,B36,$F$5:$F$692,"&lt;="&amp;F36)</f>
        <v/>
      </c>
      <c r="Q36" s="58">
        <f>0</f>
        <v/>
      </c>
      <c r="R36" s="58">
        <f>SUMIFS($Q$5:$Q$692,$A$5:$A$692,A36,$B$5:$B$692,B36,$F$5:$F$692,"&lt;="&amp;F36)</f>
        <v/>
      </c>
      <c r="S36" s="58">
        <f>0</f>
        <v/>
      </c>
      <c r="T36" s="58">
        <f>SUMIFS($S$5:$S$692,$A$5:$A$692,A36,$B$5:$B$692,B36,$F$5:$F$692,"&lt;="&amp;F36)</f>
        <v/>
      </c>
      <c r="U36" s="52">
        <f>'个人技术逐级'!O36</f>
        <v/>
      </c>
    </row>
    <row r="37">
      <c r="A37" s="33" t="inlineStr">
        <is>
          <t>个人技术</t>
        </is>
      </c>
      <c r="B37" s="33">
        <f>'个人技术逐级'!A37</f>
        <v/>
      </c>
      <c r="C37" s="33">
        <f>'个人技术逐级'!B37</f>
        <v/>
      </c>
      <c r="D37" s="33">
        <f>'个人技术逐级'!C37</f>
        <v/>
      </c>
      <c r="E37">
        <f>'个人技术逐级'!D37</f>
        <v/>
      </c>
      <c r="F37" s="54">
        <f>'个人技术逐级'!E37</f>
        <v/>
      </c>
      <c r="G37" s="55">
        <f>'个人技术逐级'!F37</f>
        <v/>
      </c>
      <c r="H37" s="56">
        <f>'个人技术逐级'!G37</f>
        <v/>
      </c>
      <c r="I37" s="52" t="inlineStr">
        <is>
          <t>个人技术计时升级</t>
        </is>
      </c>
      <c r="J37" s="57">
        <f>'个人技术逐级'!M37</f>
        <v/>
      </c>
      <c r="K37" s="35">
        <f>J37/3600</f>
        <v/>
      </c>
      <c r="L37" s="35">
        <f>SUMIFS($K$5:$K$692,$A$5:$A$692,A37,$B$5:$B$692,B37,$F$5:$F$692,"&lt;="&amp;F37)</f>
        <v/>
      </c>
      <c r="M37" s="58">
        <f>'个人技术逐级'!N37</f>
        <v/>
      </c>
      <c r="N37" s="58">
        <f>SUMIFS($M$5:$M$692,$A$5:$A$692,A37,$B$5:$B$692,B37,$F$5:$F$692,"&lt;="&amp;F37)</f>
        <v/>
      </c>
      <c r="O37" s="58">
        <f>0</f>
        <v/>
      </c>
      <c r="P37" s="58">
        <f>SUMIFS($O$5:$O$692,$A$5:$A$692,A37,$B$5:$B$692,B37,$F$5:$F$692,"&lt;="&amp;F37)</f>
        <v/>
      </c>
      <c r="Q37" s="58">
        <f>0</f>
        <v/>
      </c>
      <c r="R37" s="58">
        <f>SUMIFS($Q$5:$Q$692,$A$5:$A$692,A37,$B$5:$B$692,B37,$F$5:$F$692,"&lt;="&amp;F37)</f>
        <v/>
      </c>
      <c r="S37" s="58">
        <f>0</f>
        <v/>
      </c>
      <c r="T37" s="58">
        <f>SUMIFS($S$5:$S$692,$A$5:$A$692,A37,$B$5:$B$692,B37,$F$5:$F$692,"&lt;="&amp;F37)</f>
        <v/>
      </c>
      <c r="U37" s="52">
        <f>'个人技术逐级'!O37</f>
        <v/>
      </c>
    </row>
    <row r="38">
      <c r="A38" s="33" t="inlineStr">
        <is>
          <t>个人技术</t>
        </is>
      </c>
      <c r="B38" s="33">
        <f>'个人技术逐级'!A38</f>
        <v/>
      </c>
      <c r="C38" s="33">
        <f>'个人技术逐级'!B38</f>
        <v/>
      </c>
      <c r="D38" s="33">
        <f>'个人技术逐级'!C38</f>
        <v/>
      </c>
      <c r="E38">
        <f>'个人技术逐级'!D38</f>
        <v/>
      </c>
      <c r="F38" s="54">
        <f>'个人技术逐级'!E38</f>
        <v/>
      </c>
      <c r="G38" s="55">
        <f>'个人技术逐级'!F38</f>
        <v/>
      </c>
      <c r="H38" s="56">
        <f>'个人技术逐级'!G38</f>
        <v/>
      </c>
      <c r="I38" s="52" t="inlineStr">
        <is>
          <t>个人技术计时升级</t>
        </is>
      </c>
      <c r="J38" s="57">
        <f>'个人技术逐级'!M38</f>
        <v/>
      </c>
      <c r="K38" s="35">
        <f>J38/3600</f>
        <v/>
      </c>
      <c r="L38" s="35">
        <f>SUMIFS($K$5:$K$692,$A$5:$A$692,A38,$B$5:$B$692,B38,$F$5:$F$692,"&lt;="&amp;F38)</f>
        <v/>
      </c>
      <c r="M38" s="58">
        <f>'个人技术逐级'!N38</f>
        <v/>
      </c>
      <c r="N38" s="58">
        <f>SUMIFS($M$5:$M$692,$A$5:$A$692,A38,$B$5:$B$692,B38,$F$5:$F$692,"&lt;="&amp;F38)</f>
        <v/>
      </c>
      <c r="O38" s="58">
        <f>0</f>
        <v/>
      </c>
      <c r="P38" s="58">
        <f>SUMIFS($O$5:$O$692,$A$5:$A$692,A38,$B$5:$B$692,B38,$F$5:$F$692,"&lt;="&amp;F38)</f>
        <v/>
      </c>
      <c r="Q38" s="58">
        <f>0</f>
        <v/>
      </c>
      <c r="R38" s="58">
        <f>SUMIFS($Q$5:$Q$692,$A$5:$A$692,A38,$B$5:$B$692,B38,$F$5:$F$692,"&lt;="&amp;F38)</f>
        <v/>
      </c>
      <c r="S38" s="58">
        <f>0</f>
        <v/>
      </c>
      <c r="T38" s="58">
        <f>SUMIFS($S$5:$S$692,$A$5:$A$692,A38,$B$5:$B$692,B38,$F$5:$F$692,"&lt;="&amp;F38)</f>
        <v/>
      </c>
      <c r="U38" s="52">
        <f>'个人技术逐级'!O38</f>
        <v/>
      </c>
    </row>
    <row r="39">
      <c r="A39" s="33" t="inlineStr">
        <is>
          <t>个人技术</t>
        </is>
      </c>
      <c r="B39" s="33">
        <f>'个人技术逐级'!A39</f>
        <v/>
      </c>
      <c r="C39" s="33">
        <f>'个人技术逐级'!B39</f>
        <v/>
      </c>
      <c r="D39" s="33">
        <f>'个人技术逐级'!C39</f>
        <v/>
      </c>
      <c r="E39">
        <f>'个人技术逐级'!D39</f>
        <v/>
      </c>
      <c r="F39" s="54">
        <f>'个人技术逐级'!E39</f>
        <v/>
      </c>
      <c r="G39" s="55">
        <f>'个人技术逐级'!F39</f>
        <v/>
      </c>
      <c r="H39" s="56">
        <f>'个人技术逐级'!G39</f>
        <v/>
      </c>
      <c r="I39" s="52" t="inlineStr">
        <is>
          <t>个人技术计时升级</t>
        </is>
      </c>
      <c r="J39" s="57">
        <f>'个人技术逐级'!M39</f>
        <v/>
      </c>
      <c r="K39" s="35">
        <f>J39/3600</f>
        <v/>
      </c>
      <c r="L39" s="35">
        <f>SUMIFS($K$5:$K$692,$A$5:$A$692,A39,$B$5:$B$692,B39,$F$5:$F$692,"&lt;="&amp;F39)</f>
        <v/>
      </c>
      <c r="M39" s="58">
        <f>'个人技术逐级'!N39</f>
        <v/>
      </c>
      <c r="N39" s="58">
        <f>SUMIFS($M$5:$M$692,$A$5:$A$692,A39,$B$5:$B$692,B39,$F$5:$F$692,"&lt;="&amp;F39)</f>
        <v/>
      </c>
      <c r="O39" s="58">
        <f>0</f>
        <v/>
      </c>
      <c r="P39" s="58">
        <f>SUMIFS($O$5:$O$692,$A$5:$A$692,A39,$B$5:$B$692,B39,$F$5:$F$692,"&lt;="&amp;F39)</f>
        <v/>
      </c>
      <c r="Q39" s="58">
        <f>0</f>
        <v/>
      </c>
      <c r="R39" s="58">
        <f>SUMIFS($Q$5:$Q$692,$A$5:$A$692,A39,$B$5:$B$692,B39,$F$5:$F$692,"&lt;="&amp;F39)</f>
        <v/>
      </c>
      <c r="S39" s="58">
        <f>0</f>
        <v/>
      </c>
      <c r="T39" s="58">
        <f>SUMIFS($S$5:$S$692,$A$5:$A$692,A39,$B$5:$B$692,B39,$F$5:$F$692,"&lt;="&amp;F39)</f>
        <v/>
      </c>
      <c r="U39" s="52">
        <f>'个人技术逐级'!O39</f>
        <v/>
      </c>
    </row>
    <row r="40">
      <c r="A40" s="33" t="inlineStr">
        <is>
          <t>个人技术</t>
        </is>
      </c>
      <c r="B40" s="33">
        <f>'个人技术逐级'!A40</f>
        <v/>
      </c>
      <c r="C40" s="33">
        <f>'个人技术逐级'!B40</f>
        <v/>
      </c>
      <c r="D40" s="33">
        <f>'个人技术逐级'!C40</f>
        <v/>
      </c>
      <c r="E40">
        <f>'个人技术逐级'!D40</f>
        <v/>
      </c>
      <c r="F40" s="54">
        <f>'个人技术逐级'!E40</f>
        <v/>
      </c>
      <c r="G40" s="55">
        <f>'个人技术逐级'!F40</f>
        <v/>
      </c>
      <c r="H40" s="56">
        <f>'个人技术逐级'!G40</f>
        <v/>
      </c>
      <c r="I40" s="52" t="inlineStr">
        <is>
          <t>个人技术计时升级</t>
        </is>
      </c>
      <c r="J40" s="57">
        <f>'个人技术逐级'!M40</f>
        <v/>
      </c>
      <c r="K40" s="35">
        <f>J40/3600</f>
        <v/>
      </c>
      <c r="L40" s="35">
        <f>SUMIFS($K$5:$K$692,$A$5:$A$692,A40,$B$5:$B$692,B40,$F$5:$F$692,"&lt;="&amp;F40)</f>
        <v/>
      </c>
      <c r="M40" s="58">
        <f>'个人技术逐级'!N40</f>
        <v/>
      </c>
      <c r="N40" s="58">
        <f>SUMIFS($M$5:$M$692,$A$5:$A$692,A40,$B$5:$B$692,B40,$F$5:$F$692,"&lt;="&amp;F40)</f>
        <v/>
      </c>
      <c r="O40" s="58">
        <f>0</f>
        <v/>
      </c>
      <c r="P40" s="58">
        <f>SUMIFS($O$5:$O$692,$A$5:$A$692,A40,$B$5:$B$692,B40,$F$5:$F$692,"&lt;="&amp;F40)</f>
        <v/>
      </c>
      <c r="Q40" s="58">
        <f>0</f>
        <v/>
      </c>
      <c r="R40" s="58">
        <f>SUMIFS($Q$5:$Q$692,$A$5:$A$692,A40,$B$5:$B$692,B40,$F$5:$F$692,"&lt;="&amp;F40)</f>
        <v/>
      </c>
      <c r="S40" s="58">
        <f>0</f>
        <v/>
      </c>
      <c r="T40" s="58">
        <f>SUMIFS($S$5:$S$692,$A$5:$A$692,A40,$B$5:$B$692,B40,$F$5:$F$692,"&lt;="&amp;F40)</f>
        <v/>
      </c>
      <c r="U40" s="52">
        <f>'个人技术逐级'!O40</f>
        <v/>
      </c>
    </row>
    <row r="41">
      <c r="A41" s="33" t="inlineStr">
        <is>
          <t>个人技术</t>
        </is>
      </c>
      <c r="B41" s="33">
        <f>'个人技术逐级'!A41</f>
        <v/>
      </c>
      <c r="C41" s="33">
        <f>'个人技术逐级'!B41</f>
        <v/>
      </c>
      <c r="D41" s="33">
        <f>'个人技术逐级'!C41</f>
        <v/>
      </c>
      <c r="E41">
        <f>'个人技术逐级'!D41</f>
        <v/>
      </c>
      <c r="F41" s="54">
        <f>'个人技术逐级'!E41</f>
        <v/>
      </c>
      <c r="G41" s="55">
        <f>'个人技术逐级'!F41</f>
        <v/>
      </c>
      <c r="H41" s="56">
        <f>'个人技术逐级'!G41</f>
        <v/>
      </c>
      <c r="I41" s="52" t="inlineStr">
        <is>
          <t>个人技术计时升级</t>
        </is>
      </c>
      <c r="J41" s="57">
        <f>'个人技术逐级'!M41</f>
        <v/>
      </c>
      <c r="K41" s="35">
        <f>J41/3600</f>
        <v/>
      </c>
      <c r="L41" s="35">
        <f>SUMIFS($K$5:$K$692,$A$5:$A$692,A41,$B$5:$B$692,B41,$F$5:$F$692,"&lt;="&amp;F41)</f>
        <v/>
      </c>
      <c r="M41" s="58">
        <f>'个人技术逐级'!N41</f>
        <v/>
      </c>
      <c r="N41" s="58">
        <f>SUMIFS($M$5:$M$692,$A$5:$A$692,A41,$B$5:$B$692,B41,$F$5:$F$692,"&lt;="&amp;F41)</f>
        <v/>
      </c>
      <c r="O41" s="58">
        <f>0</f>
        <v/>
      </c>
      <c r="P41" s="58">
        <f>SUMIFS($O$5:$O$692,$A$5:$A$692,A41,$B$5:$B$692,B41,$F$5:$F$692,"&lt;="&amp;F41)</f>
        <v/>
      </c>
      <c r="Q41" s="58">
        <f>0</f>
        <v/>
      </c>
      <c r="R41" s="58">
        <f>SUMIFS($Q$5:$Q$692,$A$5:$A$692,A41,$B$5:$B$692,B41,$F$5:$F$692,"&lt;="&amp;F41)</f>
        <v/>
      </c>
      <c r="S41" s="58">
        <f>0</f>
        <v/>
      </c>
      <c r="T41" s="58">
        <f>SUMIFS($S$5:$S$692,$A$5:$A$692,A41,$B$5:$B$692,B41,$F$5:$F$692,"&lt;="&amp;F41)</f>
        <v/>
      </c>
      <c r="U41" s="52">
        <f>'个人技术逐级'!O41</f>
        <v/>
      </c>
    </row>
    <row r="42">
      <c r="A42" s="33" t="inlineStr">
        <is>
          <t>个人技术</t>
        </is>
      </c>
      <c r="B42" s="33">
        <f>'个人技术逐级'!A42</f>
        <v/>
      </c>
      <c r="C42" s="33">
        <f>'个人技术逐级'!B42</f>
        <v/>
      </c>
      <c r="D42" s="33">
        <f>'个人技术逐级'!C42</f>
        <v/>
      </c>
      <c r="E42">
        <f>'个人技术逐级'!D42</f>
        <v/>
      </c>
      <c r="F42" s="54">
        <f>'个人技术逐级'!E42</f>
        <v/>
      </c>
      <c r="G42" s="55">
        <f>'个人技术逐级'!F42</f>
        <v/>
      </c>
      <c r="H42" s="56">
        <f>'个人技术逐级'!G42</f>
        <v/>
      </c>
      <c r="I42" s="52" t="inlineStr">
        <is>
          <t>个人技术计时升级</t>
        </is>
      </c>
      <c r="J42" s="57">
        <f>'个人技术逐级'!M42</f>
        <v/>
      </c>
      <c r="K42" s="35">
        <f>J42/3600</f>
        <v/>
      </c>
      <c r="L42" s="35">
        <f>SUMIFS($K$5:$K$692,$A$5:$A$692,A42,$B$5:$B$692,B42,$F$5:$F$692,"&lt;="&amp;F42)</f>
        <v/>
      </c>
      <c r="M42" s="58">
        <f>'个人技术逐级'!N42</f>
        <v/>
      </c>
      <c r="N42" s="58">
        <f>SUMIFS($M$5:$M$692,$A$5:$A$692,A42,$B$5:$B$692,B42,$F$5:$F$692,"&lt;="&amp;F42)</f>
        <v/>
      </c>
      <c r="O42" s="58">
        <f>0</f>
        <v/>
      </c>
      <c r="P42" s="58">
        <f>SUMIFS($O$5:$O$692,$A$5:$A$692,A42,$B$5:$B$692,B42,$F$5:$F$692,"&lt;="&amp;F42)</f>
        <v/>
      </c>
      <c r="Q42" s="58">
        <f>0</f>
        <v/>
      </c>
      <c r="R42" s="58">
        <f>SUMIFS($Q$5:$Q$692,$A$5:$A$692,A42,$B$5:$B$692,B42,$F$5:$F$692,"&lt;="&amp;F42)</f>
        <v/>
      </c>
      <c r="S42" s="58">
        <f>0</f>
        <v/>
      </c>
      <c r="T42" s="58">
        <f>SUMIFS($S$5:$S$692,$A$5:$A$692,A42,$B$5:$B$692,B42,$F$5:$F$692,"&lt;="&amp;F42)</f>
        <v/>
      </c>
      <c r="U42" s="52">
        <f>'个人技术逐级'!O42</f>
        <v/>
      </c>
    </row>
    <row r="43">
      <c r="A43" s="33" t="inlineStr">
        <is>
          <t>个人技术</t>
        </is>
      </c>
      <c r="B43" s="33">
        <f>'个人技术逐级'!A43</f>
        <v/>
      </c>
      <c r="C43" s="33">
        <f>'个人技术逐级'!B43</f>
        <v/>
      </c>
      <c r="D43" s="33">
        <f>'个人技术逐级'!C43</f>
        <v/>
      </c>
      <c r="E43">
        <f>'个人技术逐级'!D43</f>
        <v/>
      </c>
      <c r="F43" s="54">
        <f>'个人技术逐级'!E43</f>
        <v/>
      </c>
      <c r="G43" s="55">
        <f>'个人技术逐级'!F43</f>
        <v/>
      </c>
      <c r="H43" s="56">
        <f>'个人技术逐级'!G43</f>
        <v/>
      </c>
      <c r="I43" s="52" t="inlineStr">
        <is>
          <t>个人技术计时升级</t>
        </is>
      </c>
      <c r="J43" s="57">
        <f>'个人技术逐级'!M43</f>
        <v/>
      </c>
      <c r="K43" s="35">
        <f>J43/3600</f>
        <v/>
      </c>
      <c r="L43" s="35">
        <f>SUMIFS($K$5:$K$692,$A$5:$A$692,A43,$B$5:$B$692,B43,$F$5:$F$692,"&lt;="&amp;F43)</f>
        <v/>
      </c>
      <c r="M43" s="58">
        <f>'个人技术逐级'!N43</f>
        <v/>
      </c>
      <c r="N43" s="58">
        <f>SUMIFS($M$5:$M$692,$A$5:$A$692,A43,$B$5:$B$692,B43,$F$5:$F$692,"&lt;="&amp;F43)</f>
        <v/>
      </c>
      <c r="O43" s="58">
        <f>0</f>
        <v/>
      </c>
      <c r="P43" s="58">
        <f>SUMIFS($O$5:$O$692,$A$5:$A$692,A43,$B$5:$B$692,B43,$F$5:$F$692,"&lt;="&amp;F43)</f>
        <v/>
      </c>
      <c r="Q43" s="58">
        <f>0</f>
        <v/>
      </c>
      <c r="R43" s="58">
        <f>SUMIFS($Q$5:$Q$692,$A$5:$A$692,A43,$B$5:$B$692,B43,$F$5:$F$692,"&lt;="&amp;F43)</f>
        <v/>
      </c>
      <c r="S43" s="58">
        <f>0</f>
        <v/>
      </c>
      <c r="T43" s="58">
        <f>SUMIFS($S$5:$S$692,$A$5:$A$692,A43,$B$5:$B$692,B43,$F$5:$F$692,"&lt;="&amp;F43)</f>
        <v/>
      </c>
      <c r="U43" s="52">
        <f>'个人技术逐级'!O43</f>
        <v/>
      </c>
    </row>
    <row r="44">
      <c r="A44" s="33" t="inlineStr">
        <is>
          <t>个人技术</t>
        </is>
      </c>
      <c r="B44" s="33">
        <f>'个人技术逐级'!A44</f>
        <v/>
      </c>
      <c r="C44" s="33">
        <f>'个人技术逐级'!B44</f>
        <v/>
      </c>
      <c r="D44" s="33">
        <f>'个人技术逐级'!C44</f>
        <v/>
      </c>
      <c r="E44">
        <f>'个人技术逐级'!D44</f>
        <v/>
      </c>
      <c r="F44" s="54">
        <f>'个人技术逐级'!E44</f>
        <v/>
      </c>
      <c r="G44" s="55">
        <f>'个人技术逐级'!F44</f>
        <v/>
      </c>
      <c r="H44" s="56">
        <f>'个人技术逐级'!G44</f>
        <v/>
      </c>
      <c r="I44" s="52" t="inlineStr">
        <is>
          <t>个人技术计时升级</t>
        </is>
      </c>
      <c r="J44" s="57">
        <f>'个人技术逐级'!M44</f>
        <v/>
      </c>
      <c r="K44" s="35">
        <f>J44/3600</f>
        <v/>
      </c>
      <c r="L44" s="35">
        <f>SUMIFS($K$5:$K$692,$A$5:$A$692,A44,$B$5:$B$692,B44,$F$5:$F$692,"&lt;="&amp;F44)</f>
        <v/>
      </c>
      <c r="M44" s="58">
        <f>'个人技术逐级'!N44</f>
        <v/>
      </c>
      <c r="N44" s="58">
        <f>SUMIFS($M$5:$M$692,$A$5:$A$692,A44,$B$5:$B$692,B44,$F$5:$F$692,"&lt;="&amp;F44)</f>
        <v/>
      </c>
      <c r="O44" s="58">
        <f>0</f>
        <v/>
      </c>
      <c r="P44" s="58">
        <f>SUMIFS($O$5:$O$692,$A$5:$A$692,A44,$B$5:$B$692,B44,$F$5:$F$692,"&lt;="&amp;F44)</f>
        <v/>
      </c>
      <c r="Q44" s="58">
        <f>0</f>
        <v/>
      </c>
      <c r="R44" s="58">
        <f>SUMIFS($Q$5:$Q$692,$A$5:$A$692,A44,$B$5:$B$692,B44,$F$5:$F$692,"&lt;="&amp;F44)</f>
        <v/>
      </c>
      <c r="S44" s="58">
        <f>0</f>
        <v/>
      </c>
      <c r="T44" s="58">
        <f>SUMIFS($S$5:$S$692,$A$5:$A$692,A44,$B$5:$B$692,B44,$F$5:$F$692,"&lt;="&amp;F44)</f>
        <v/>
      </c>
      <c r="U44" s="52">
        <f>'个人技术逐级'!O44</f>
        <v/>
      </c>
    </row>
    <row r="45">
      <c r="A45" s="33" t="inlineStr">
        <is>
          <t>个人技术</t>
        </is>
      </c>
      <c r="B45" s="33">
        <f>'个人技术逐级'!A45</f>
        <v/>
      </c>
      <c r="C45" s="33">
        <f>'个人技术逐级'!B45</f>
        <v/>
      </c>
      <c r="D45" s="33">
        <f>'个人技术逐级'!C45</f>
        <v/>
      </c>
      <c r="E45">
        <f>'个人技术逐级'!D45</f>
        <v/>
      </c>
      <c r="F45" s="54">
        <f>'个人技术逐级'!E45</f>
        <v/>
      </c>
      <c r="G45" s="55">
        <f>'个人技术逐级'!F45</f>
        <v/>
      </c>
      <c r="H45" s="56">
        <f>'个人技术逐级'!G45</f>
        <v/>
      </c>
      <c r="I45" s="52" t="inlineStr">
        <is>
          <t>个人技术计时升级</t>
        </is>
      </c>
      <c r="J45" s="57">
        <f>'个人技术逐级'!M45</f>
        <v/>
      </c>
      <c r="K45" s="35">
        <f>J45/3600</f>
        <v/>
      </c>
      <c r="L45" s="35">
        <f>SUMIFS($K$5:$K$692,$A$5:$A$692,A45,$B$5:$B$692,B45,$F$5:$F$692,"&lt;="&amp;F45)</f>
        <v/>
      </c>
      <c r="M45" s="58">
        <f>'个人技术逐级'!N45</f>
        <v/>
      </c>
      <c r="N45" s="58">
        <f>SUMIFS($M$5:$M$692,$A$5:$A$692,A45,$B$5:$B$692,B45,$F$5:$F$692,"&lt;="&amp;F45)</f>
        <v/>
      </c>
      <c r="O45" s="58">
        <f>0</f>
        <v/>
      </c>
      <c r="P45" s="58">
        <f>SUMIFS($O$5:$O$692,$A$5:$A$692,A45,$B$5:$B$692,B45,$F$5:$F$692,"&lt;="&amp;F45)</f>
        <v/>
      </c>
      <c r="Q45" s="58">
        <f>0</f>
        <v/>
      </c>
      <c r="R45" s="58">
        <f>SUMIFS($Q$5:$Q$692,$A$5:$A$692,A45,$B$5:$B$692,B45,$F$5:$F$692,"&lt;="&amp;F45)</f>
        <v/>
      </c>
      <c r="S45" s="58">
        <f>0</f>
        <v/>
      </c>
      <c r="T45" s="58">
        <f>SUMIFS($S$5:$S$692,$A$5:$A$692,A45,$B$5:$B$692,B45,$F$5:$F$692,"&lt;="&amp;F45)</f>
        <v/>
      </c>
      <c r="U45" s="52">
        <f>'个人技术逐级'!O45</f>
        <v/>
      </c>
    </row>
    <row r="46">
      <c r="A46" s="33" t="inlineStr">
        <is>
          <t>个人技术</t>
        </is>
      </c>
      <c r="B46" s="33">
        <f>'个人技术逐级'!A46</f>
        <v/>
      </c>
      <c r="C46" s="33">
        <f>'个人技术逐级'!B46</f>
        <v/>
      </c>
      <c r="D46" s="33">
        <f>'个人技术逐级'!C46</f>
        <v/>
      </c>
      <c r="E46">
        <f>'个人技术逐级'!D46</f>
        <v/>
      </c>
      <c r="F46" s="54">
        <f>'个人技术逐级'!E46</f>
        <v/>
      </c>
      <c r="G46" s="55">
        <f>'个人技术逐级'!F46</f>
        <v/>
      </c>
      <c r="H46" s="56">
        <f>'个人技术逐级'!G46</f>
        <v/>
      </c>
      <c r="I46" s="52" t="inlineStr">
        <is>
          <t>个人技术计时升级</t>
        </is>
      </c>
      <c r="J46" s="57">
        <f>'个人技术逐级'!M46</f>
        <v/>
      </c>
      <c r="K46" s="35">
        <f>J46/3600</f>
        <v/>
      </c>
      <c r="L46" s="35">
        <f>SUMIFS($K$5:$K$692,$A$5:$A$692,A46,$B$5:$B$692,B46,$F$5:$F$692,"&lt;="&amp;F46)</f>
        <v/>
      </c>
      <c r="M46" s="58">
        <f>'个人技术逐级'!N46</f>
        <v/>
      </c>
      <c r="N46" s="58">
        <f>SUMIFS($M$5:$M$692,$A$5:$A$692,A46,$B$5:$B$692,B46,$F$5:$F$692,"&lt;="&amp;F46)</f>
        <v/>
      </c>
      <c r="O46" s="58">
        <f>0</f>
        <v/>
      </c>
      <c r="P46" s="58">
        <f>SUMIFS($O$5:$O$692,$A$5:$A$692,A46,$B$5:$B$692,B46,$F$5:$F$692,"&lt;="&amp;F46)</f>
        <v/>
      </c>
      <c r="Q46" s="58">
        <f>0</f>
        <v/>
      </c>
      <c r="R46" s="58">
        <f>SUMIFS($Q$5:$Q$692,$A$5:$A$692,A46,$B$5:$B$692,B46,$F$5:$F$692,"&lt;="&amp;F46)</f>
        <v/>
      </c>
      <c r="S46" s="58">
        <f>0</f>
        <v/>
      </c>
      <c r="T46" s="58">
        <f>SUMIFS($S$5:$S$692,$A$5:$A$692,A46,$B$5:$B$692,B46,$F$5:$F$692,"&lt;="&amp;F46)</f>
        <v/>
      </c>
      <c r="U46" s="52">
        <f>'个人技术逐级'!O46</f>
        <v/>
      </c>
    </row>
    <row r="47">
      <c r="A47" s="33" t="inlineStr">
        <is>
          <t>个人技术</t>
        </is>
      </c>
      <c r="B47" s="33">
        <f>'个人技术逐级'!A47</f>
        <v/>
      </c>
      <c r="C47" s="33">
        <f>'个人技术逐级'!B47</f>
        <v/>
      </c>
      <c r="D47" s="33">
        <f>'个人技术逐级'!C47</f>
        <v/>
      </c>
      <c r="E47">
        <f>'个人技术逐级'!D47</f>
        <v/>
      </c>
      <c r="F47" s="54">
        <f>'个人技术逐级'!E47</f>
        <v/>
      </c>
      <c r="G47" s="55">
        <f>'个人技术逐级'!F47</f>
        <v/>
      </c>
      <c r="H47" s="56">
        <f>'个人技术逐级'!G47</f>
        <v/>
      </c>
      <c r="I47" s="52" t="inlineStr">
        <is>
          <t>个人技术计时升级</t>
        </is>
      </c>
      <c r="J47" s="57">
        <f>'个人技术逐级'!M47</f>
        <v/>
      </c>
      <c r="K47" s="35">
        <f>J47/3600</f>
        <v/>
      </c>
      <c r="L47" s="35">
        <f>SUMIFS($K$5:$K$692,$A$5:$A$692,A47,$B$5:$B$692,B47,$F$5:$F$692,"&lt;="&amp;F47)</f>
        <v/>
      </c>
      <c r="M47" s="58">
        <f>'个人技术逐级'!N47</f>
        <v/>
      </c>
      <c r="N47" s="58">
        <f>SUMIFS($M$5:$M$692,$A$5:$A$692,A47,$B$5:$B$692,B47,$F$5:$F$692,"&lt;="&amp;F47)</f>
        <v/>
      </c>
      <c r="O47" s="58">
        <f>0</f>
        <v/>
      </c>
      <c r="P47" s="58">
        <f>SUMIFS($O$5:$O$692,$A$5:$A$692,A47,$B$5:$B$692,B47,$F$5:$F$692,"&lt;="&amp;F47)</f>
        <v/>
      </c>
      <c r="Q47" s="58">
        <f>0</f>
        <v/>
      </c>
      <c r="R47" s="58">
        <f>SUMIFS($Q$5:$Q$692,$A$5:$A$692,A47,$B$5:$B$692,B47,$F$5:$F$692,"&lt;="&amp;F47)</f>
        <v/>
      </c>
      <c r="S47" s="58">
        <f>0</f>
        <v/>
      </c>
      <c r="T47" s="58">
        <f>SUMIFS($S$5:$S$692,$A$5:$A$692,A47,$B$5:$B$692,B47,$F$5:$F$692,"&lt;="&amp;F47)</f>
        <v/>
      </c>
      <c r="U47" s="52">
        <f>'个人技术逐级'!O47</f>
        <v/>
      </c>
    </row>
    <row r="48">
      <c r="A48" s="33" t="inlineStr">
        <is>
          <t>个人技术</t>
        </is>
      </c>
      <c r="B48" s="33">
        <f>'个人技术逐级'!A48</f>
        <v/>
      </c>
      <c r="C48" s="33">
        <f>'个人技术逐级'!B48</f>
        <v/>
      </c>
      <c r="D48" s="33">
        <f>'个人技术逐级'!C48</f>
        <v/>
      </c>
      <c r="E48">
        <f>'个人技术逐级'!D48</f>
        <v/>
      </c>
      <c r="F48" s="54">
        <f>'个人技术逐级'!E48</f>
        <v/>
      </c>
      <c r="G48" s="55">
        <f>'个人技术逐级'!F48</f>
        <v/>
      </c>
      <c r="H48" s="56">
        <f>'个人技术逐级'!G48</f>
        <v/>
      </c>
      <c r="I48" s="52" t="inlineStr">
        <is>
          <t>个人技术计时升级</t>
        </is>
      </c>
      <c r="J48" s="57">
        <f>'个人技术逐级'!M48</f>
        <v/>
      </c>
      <c r="K48" s="35">
        <f>J48/3600</f>
        <v/>
      </c>
      <c r="L48" s="35">
        <f>SUMIFS($K$5:$K$692,$A$5:$A$692,A48,$B$5:$B$692,B48,$F$5:$F$692,"&lt;="&amp;F48)</f>
        <v/>
      </c>
      <c r="M48" s="58">
        <f>'个人技术逐级'!N48</f>
        <v/>
      </c>
      <c r="N48" s="58">
        <f>SUMIFS($M$5:$M$692,$A$5:$A$692,A48,$B$5:$B$692,B48,$F$5:$F$692,"&lt;="&amp;F48)</f>
        <v/>
      </c>
      <c r="O48" s="58">
        <f>0</f>
        <v/>
      </c>
      <c r="P48" s="58">
        <f>SUMIFS($O$5:$O$692,$A$5:$A$692,A48,$B$5:$B$692,B48,$F$5:$F$692,"&lt;="&amp;F48)</f>
        <v/>
      </c>
      <c r="Q48" s="58">
        <f>0</f>
        <v/>
      </c>
      <c r="R48" s="58">
        <f>SUMIFS($Q$5:$Q$692,$A$5:$A$692,A48,$B$5:$B$692,B48,$F$5:$F$692,"&lt;="&amp;F48)</f>
        <v/>
      </c>
      <c r="S48" s="58">
        <f>0</f>
        <v/>
      </c>
      <c r="T48" s="58">
        <f>SUMIFS($S$5:$S$692,$A$5:$A$692,A48,$B$5:$B$692,B48,$F$5:$F$692,"&lt;="&amp;F48)</f>
        <v/>
      </c>
      <c r="U48" s="52">
        <f>'个人技术逐级'!O48</f>
        <v/>
      </c>
    </row>
    <row r="49">
      <c r="A49" s="33" t="inlineStr">
        <is>
          <t>个人技术</t>
        </is>
      </c>
      <c r="B49" s="33">
        <f>'个人技术逐级'!A49</f>
        <v/>
      </c>
      <c r="C49" s="33">
        <f>'个人技术逐级'!B49</f>
        <v/>
      </c>
      <c r="D49" s="33">
        <f>'个人技术逐级'!C49</f>
        <v/>
      </c>
      <c r="E49">
        <f>'个人技术逐级'!D49</f>
        <v/>
      </c>
      <c r="F49" s="54">
        <f>'个人技术逐级'!E49</f>
        <v/>
      </c>
      <c r="G49" s="55">
        <f>'个人技术逐级'!F49</f>
        <v/>
      </c>
      <c r="H49" s="56">
        <f>'个人技术逐级'!G49</f>
        <v/>
      </c>
      <c r="I49" s="52" t="inlineStr">
        <is>
          <t>个人技术计时升级</t>
        </is>
      </c>
      <c r="J49" s="57">
        <f>'个人技术逐级'!M49</f>
        <v/>
      </c>
      <c r="K49" s="35">
        <f>J49/3600</f>
        <v/>
      </c>
      <c r="L49" s="35">
        <f>SUMIFS($K$5:$K$692,$A$5:$A$692,A49,$B$5:$B$692,B49,$F$5:$F$692,"&lt;="&amp;F49)</f>
        <v/>
      </c>
      <c r="M49" s="58">
        <f>'个人技术逐级'!N49</f>
        <v/>
      </c>
      <c r="N49" s="58">
        <f>SUMIFS($M$5:$M$692,$A$5:$A$692,A49,$B$5:$B$692,B49,$F$5:$F$692,"&lt;="&amp;F49)</f>
        <v/>
      </c>
      <c r="O49" s="58">
        <f>0</f>
        <v/>
      </c>
      <c r="P49" s="58">
        <f>SUMIFS($O$5:$O$692,$A$5:$A$692,A49,$B$5:$B$692,B49,$F$5:$F$692,"&lt;="&amp;F49)</f>
        <v/>
      </c>
      <c r="Q49" s="58">
        <f>0</f>
        <v/>
      </c>
      <c r="R49" s="58">
        <f>SUMIFS($Q$5:$Q$692,$A$5:$A$692,A49,$B$5:$B$692,B49,$F$5:$F$692,"&lt;="&amp;F49)</f>
        <v/>
      </c>
      <c r="S49" s="58">
        <f>0</f>
        <v/>
      </c>
      <c r="T49" s="58">
        <f>SUMIFS($S$5:$S$692,$A$5:$A$692,A49,$B$5:$B$692,B49,$F$5:$F$692,"&lt;="&amp;F49)</f>
        <v/>
      </c>
      <c r="U49" s="52">
        <f>'个人技术逐级'!O49</f>
        <v/>
      </c>
    </row>
    <row r="50">
      <c r="A50" s="33" t="inlineStr">
        <is>
          <t>个人技术</t>
        </is>
      </c>
      <c r="B50" s="33">
        <f>'个人技术逐级'!A50</f>
        <v/>
      </c>
      <c r="C50" s="33">
        <f>'个人技术逐级'!B50</f>
        <v/>
      </c>
      <c r="D50" s="33">
        <f>'个人技术逐级'!C50</f>
        <v/>
      </c>
      <c r="E50">
        <f>'个人技术逐级'!D50</f>
        <v/>
      </c>
      <c r="F50" s="54">
        <f>'个人技术逐级'!E50</f>
        <v/>
      </c>
      <c r="G50" s="55">
        <f>'个人技术逐级'!F50</f>
        <v/>
      </c>
      <c r="H50" s="56">
        <f>'个人技术逐级'!G50</f>
        <v/>
      </c>
      <c r="I50" s="52" t="inlineStr">
        <is>
          <t>个人技术计时升级</t>
        </is>
      </c>
      <c r="J50" s="57">
        <f>'个人技术逐级'!M50</f>
        <v/>
      </c>
      <c r="K50" s="35">
        <f>J50/3600</f>
        <v/>
      </c>
      <c r="L50" s="35">
        <f>SUMIFS($K$5:$K$692,$A$5:$A$692,A50,$B$5:$B$692,B50,$F$5:$F$692,"&lt;="&amp;F50)</f>
        <v/>
      </c>
      <c r="M50" s="58">
        <f>'个人技术逐级'!N50</f>
        <v/>
      </c>
      <c r="N50" s="58">
        <f>SUMIFS($M$5:$M$692,$A$5:$A$692,A50,$B$5:$B$692,B50,$F$5:$F$692,"&lt;="&amp;F50)</f>
        <v/>
      </c>
      <c r="O50" s="58">
        <f>0</f>
        <v/>
      </c>
      <c r="P50" s="58">
        <f>SUMIFS($O$5:$O$692,$A$5:$A$692,A50,$B$5:$B$692,B50,$F$5:$F$692,"&lt;="&amp;F50)</f>
        <v/>
      </c>
      <c r="Q50" s="58">
        <f>0</f>
        <v/>
      </c>
      <c r="R50" s="58">
        <f>SUMIFS($Q$5:$Q$692,$A$5:$A$692,A50,$B$5:$B$692,B50,$F$5:$F$692,"&lt;="&amp;F50)</f>
        <v/>
      </c>
      <c r="S50" s="58">
        <f>0</f>
        <v/>
      </c>
      <c r="T50" s="58">
        <f>SUMIFS($S$5:$S$692,$A$5:$A$692,A50,$B$5:$B$692,B50,$F$5:$F$692,"&lt;="&amp;F50)</f>
        <v/>
      </c>
      <c r="U50" s="52">
        <f>'个人技术逐级'!O50</f>
        <v/>
      </c>
    </row>
    <row r="51">
      <c r="A51" s="33" t="inlineStr">
        <is>
          <t>个人技术</t>
        </is>
      </c>
      <c r="B51" s="33">
        <f>'个人技术逐级'!A51</f>
        <v/>
      </c>
      <c r="C51" s="33">
        <f>'个人技术逐级'!B51</f>
        <v/>
      </c>
      <c r="D51" s="33">
        <f>'个人技术逐级'!C51</f>
        <v/>
      </c>
      <c r="E51">
        <f>'个人技术逐级'!D51</f>
        <v/>
      </c>
      <c r="F51" s="54">
        <f>'个人技术逐级'!E51</f>
        <v/>
      </c>
      <c r="G51" s="55">
        <f>'个人技术逐级'!F51</f>
        <v/>
      </c>
      <c r="H51" s="56">
        <f>'个人技术逐级'!G51</f>
        <v/>
      </c>
      <c r="I51" s="52" t="inlineStr">
        <is>
          <t>个人技术计时升级</t>
        </is>
      </c>
      <c r="J51" s="57">
        <f>'个人技术逐级'!M51</f>
        <v/>
      </c>
      <c r="K51" s="35">
        <f>J51/3600</f>
        <v/>
      </c>
      <c r="L51" s="35">
        <f>SUMIFS($K$5:$K$692,$A$5:$A$692,A51,$B$5:$B$692,B51,$F$5:$F$692,"&lt;="&amp;F51)</f>
        <v/>
      </c>
      <c r="M51" s="58">
        <f>'个人技术逐级'!N51</f>
        <v/>
      </c>
      <c r="N51" s="58">
        <f>SUMIFS($M$5:$M$692,$A$5:$A$692,A51,$B$5:$B$692,B51,$F$5:$F$692,"&lt;="&amp;F51)</f>
        <v/>
      </c>
      <c r="O51" s="58">
        <f>0</f>
        <v/>
      </c>
      <c r="P51" s="58">
        <f>SUMIFS($O$5:$O$692,$A$5:$A$692,A51,$B$5:$B$692,B51,$F$5:$F$692,"&lt;="&amp;F51)</f>
        <v/>
      </c>
      <c r="Q51" s="58">
        <f>0</f>
        <v/>
      </c>
      <c r="R51" s="58">
        <f>SUMIFS($Q$5:$Q$692,$A$5:$A$692,A51,$B$5:$B$692,B51,$F$5:$F$692,"&lt;="&amp;F51)</f>
        <v/>
      </c>
      <c r="S51" s="58">
        <f>0</f>
        <v/>
      </c>
      <c r="T51" s="58">
        <f>SUMIFS($S$5:$S$692,$A$5:$A$692,A51,$B$5:$B$692,B51,$F$5:$F$692,"&lt;="&amp;F51)</f>
        <v/>
      </c>
      <c r="U51" s="52">
        <f>'个人技术逐级'!O51</f>
        <v/>
      </c>
    </row>
    <row r="52">
      <c r="A52" s="33" t="inlineStr">
        <is>
          <t>个人技术</t>
        </is>
      </c>
      <c r="B52" s="33">
        <f>'个人技术逐级'!A52</f>
        <v/>
      </c>
      <c r="C52" s="33">
        <f>'个人技术逐级'!B52</f>
        <v/>
      </c>
      <c r="D52" s="33">
        <f>'个人技术逐级'!C52</f>
        <v/>
      </c>
      <c r="E52">
        <f>'个人技术逐级'!D52</f>
        <v/>
      </c>
      <c r="F52" s="54">
        <f>'个人技术逐级'!E52</f>
        <v/>
      </c>
      <c r="G52" s="55">
        <f>'个人技术逐级'!F52</f>
        <v/>
      </c>
      <c r="H52" s="56">
        <f>'个人技术逐级'!G52</f>
        <v/>
      </c>
      <c r="I52" s="52" t="inlineStr">
        <is>
          <t>个人技术计时升级</t>
        </is>
      </c>
      <c r="J52" s="57">
        <f>'个人技术逐级'!M52</f>
        <v/>
      </c>
      <c r="K52" s="35">
        <f>J52/3600</f>
        <v/>
      </c>
      <c r="L52" s="35">
        <f>SUMIFS($K$5:$K$692,$A$5:$A$692,A52,$B$5:$B$692,B52,$F$5:$F$692,"&lt;="&amp;F52)</f>
        <v/>
      </c>
      <c r="M52" s="58">
        <f>'个人技术逐级'!N52</f>
        <v/>
      </c>
      <c r="N52" s="58">
        <f>SUMIFS($M$5:$M$692,$A$5:$A$692,A52,$B$5:$B$692,B52,$F$5:$F$692,"&lt;="&amp;F52)</f>
        <v/>
      </c>
      <c r="O52" s="58">
        <f>0</f>
        <v/>
      </c>
      <c r="P52" s="58">
        <f>SUMIFS($O$5:$O$692,$A$5:$A$692,A52,$B$5:$B$692,B52,$F$5:$F$692,"&lt;="&amp;F52)</f>
        <v/>
      </c>
      <c r="Q52" s="58">
        <f>0</f>
        <v/>
      </c>
      <c r="R52" s="58">
        <f>SUMIFS($Q$5:$Q$692,$A$5:$A$692,A52,$B$5:$B$692,B52,$F$5:$F$692,"&lt;="&amp;F52)</f>
        <v/>
      </c>
      <c r="S52" s="58">
        <f>0</f>
        <v/>
      </c>
      <c r="T52" s="58">
        <f>SUMIFS($S$5:$S$692,$A$5:$A$692,A52,$B$5:$B$692,B52,$F$5:$F$692,"&lt;="&amp;F52)</f>
        <v/>
      </c>
      <c r="U52" s="52">
        <f>'个人技术逐级'!O52</f>
        <v/>
      </c>
    </row>
    <row r="53">
      <c r="A53" s="33" t="inlineStr">
        <is>
          <t>个人技术</t>
        </is>
      </c>
      <c r="B53" s="33">
        <f>'个人技术逐级'!A53</f>
        <v/>
      </c>
      <c r="C53" s="33">
        <f>'个人技术逐级'!B53</f>
        <v/>
      </c>
      <c r="D53" s="33">
        <f>'个人技术逐级'!C53</f>
        <v/>
      </c>
      <c r="E53">
        <f>'个人技术逐级'!D53</f>
        <v/>
      </c>
      <c r="F53" s="54">
        <f>'个人技术逐级'!E53</f>
        <v/>
      </c>
      <c r="G53" s="55">
        <f>'个人技术逐级'!F53</f>
        <v/>
      </c>
      <c r="H53" s="56">
        <f>'个人技术逐级'!G53</f>
        <v/>
      </c>
      <c r="I53" s="52" t="inlineStr">
        <is>
          <t>个人技术计时升级</t>
        </is>
      </c>
      <c r="J53" s="57">
        <f>'个人技术逐级'!M53</f>
        <v/>
      </c>
      <c r="K53" s="35">
        <f>J53/3600</f>
        <v/>
      </c>
      <c r="L53" s="35">
        <f>SUMIFS($K$5:$K$692,$A$5:$A$692,A53,$B$5:$B$692,B53,$F$5:$F$692,"&lt;="&amp;F53)</f>
        <v/>
      </c>
      <c r="M53" s="58">
        <f>'个人技术逐级'!N53</f>
        <v/>
      </c>
      <c r="N53" s="58">
        <f>SUMIFS($M$5:$M$692,$A$5:$A$692,A53,$B$5:$B$692,B53,$F$5:$F$692,"&lt;="&amp;F53)</f>
        <v/>
      </c>
      <c r="O53" s="58">
        <f>0</f>
        <v/>
      </c>
      <c r="P53" s="58">
        <f>SUMIFS($O$5:$O$692,$A$5:$A$692,A53,$B$5:$B$692,B53,$F$5:$F$692,"&lt;="&amp;F53)</f>
        <v/>
      </c>
      <c r="Q53" s="58">
        <f>0</f>
        <v/>
      </c>
      <c r="R53" s="58">
        <f>SUMIFS($Q$5:$Q$692,$A$5:$A$692,A53,$B$5:$B$692,B53,$F$5:$F$692,"&lt;="&amp;F53)</f>
        <v/>
      </c>
      <c r="S53" s="58">
        <f>0</f>
        <v/>
      </c>
      <c r="T53" s="58">
        <f>SUMIFS($S$5:$S$692,$A$5:$A$692,A53,$B$5:$B$692,B53,$F$5:$F$692,"&lt;="&amp;F53)</f>
        <v/>
      </c>
      <c r="U53" s="52">
        <f>'个人技术逐级'!O53</f>
        <v/>
      </c>
    </row>
    <row r="54">
      <c r="A54" s="33" t="inlineStr">
        <is>
          <t>个人技术</t>
        </is>
      </c>
      <c r="B54" s="33">
        <f>'个人技术逐级'!A54</f>
        <v/>
      </c>
      <c r="C54" s="33">
        <f>'个人技术逐级'!B54</f>
        <v/>
      </c>
      <c r="D54" s="33">
        <f>'个人技术逐级'!C54</f>
        <v/>
      </c>
      <c r="E54">
        <f>'个人技术逐级'!D54</f>
        <v/>
      </c>
      <c r="F54" s="54">
        <f>'个人技术逐级'!E54</f>
        <v/>
      </c>
      <c r="G54" s="55">
        <f>'个人技术逐级'!F54</f>
        <v/>
      </c>
      <c r="H54" s="56">
        <f>'个人技术逐级'!G54</f>
        <v/>
      </c>
      <c r="I54" s="52" t="inlineStr">
        <is>
          <t>个人技术计时升级</t>
        </is>
      </c>
      <c r="J54" s="57">
        <f>'个人技术逐级'!M54</f>
        <v/>
      </c>
      <c r="K54" s="35">
        <f>J54/3600</f>
        <v/>
      </c>
      <c r="L54" s="35">
        <f>SUMIFS($K$5:$K$692,$A$5:$A$692,A54,$B$5:$B$692,B54,$F$5:$F$692,"&lt;="&amp;F54)</f>
        <v/>
      </c>
      <c r="M54" s="58">
        <f>'个人技术逐级'!N54</f>
        <v/>
      </c>
      <c r="N54" s="58">
        <f>SUMIFS($M$5:$M$692,$A$5:$A$692,A54,$B$5:$B$692,B54,$F$5:$F$692,"&lt;="&amp;F54)</f>
        <v/>
      </c>
      <c r="O54" s="58">
        <f>0</f>
        <v/>
      </c>
      <c r="P54" s="58">
        <f>SUMIFS($O$5:$O$692,$A$5:$A$692,A54,$B$5:$B$692,B54,$F$5:$F$692,"&lt;="&amp;F54)</f>
        <v/>
      </c>
      <c r="Q54" s="58">
        <f>0</f>
        <v/>
      </c>
      <c r="R54" s="58">
        <f>SUMIFS($Q$5:$Q$692,$A$5:$A$692,A54,$B$5:$B$692,B54,$F$5:$F$692,"&lt;="&amp;F54)</f>
        <v/>
      </c>
      <c r="S54" s="58">
        <f>0</f>
        <v/>
      </c>
      <c r="T54" s="58">
        <f>SUMIFS($S$5:$S$692,$A$5:$A$692,A54,$B$5:$B$692,B54,$F$5:$F$692,"&lt;="&amp;F54)</f>
        <v/>
      </c>
      <c r="U54" s="52">
        <f>'个人技术逐级'!O54</f>
        <v/>
      </c>
    </row>
    <row r="55">
      <c r="A55" s="33" t="inlineStr">
        <is>
          <t>个人技术</t>
        </is>
      </c>
      <c r="B55" s="33">
        <f>'个人技术逐级'!A55</f>
        <v/>
      </c>
      <c r="C55" s="33">
        <f>'个人技术逐级'!B55</f>
        <v/>
      </c>
      <c r="D55" s="33">
        <f>'个人技术逐级'!C55</f>
        <v/>
      </c>
      <c r="E55">
        <f>'个人技术逐级'!D55</f>
        <v/>
      </c>
      <c r="F55" s="54">
        <f>'个人技术逐级'!E55</f>
        <v/>
      </c>
      <c r="G55" s="55">
        <f>'个人技术逐级'!F55</f>
        <v/>
      </c>
      <c r="H55" s="56">
        <f>'个人技术逐级'!G55</f>
        <v/>
      </c>
      <c r="I55" s="52" t="inlineStr">
        <is>
          <t>个人技术计时升级</t>
        </is>
      </c>
      <c r="J55" s="57">
        <f>'个人技术逐级'!M55</f>
        <v/>
      </c>
      <c r="K55" s="35">
        <f>J55/3600</f>
        <v/>
      </c>
      <c r="L55" s="35">
        <f>SUMIFS($K$5:$K$692,$A$5:$A$692,A55,$B$5:$B$692,B55,$F$5:$F$692,"&lt;="&amp;F55)</f>
        <v/>
      </c>
      <c r="M55" s="58">
        <f>'个人技术逐级'!N55</f>
        <v/>
      </c>
      <c r="N55" s="58">
        <f>SUMIFS($M$5:$M$692,$A$5:$A$692,A55,$B$5:$B$692,B55,$F$5:$F$692,"&lt;="&amp;F55)</f>
        <v/>
      </c>
      <c r="O55" s="58">
        <f>0</f>
        <v/>
      </c>
      <c r="P55" s="58">
        <f>SUMIFS($O$5:$O$692,$A$5:$A$692,A55,$B$5:$B$692,B55,$F$5:$F$692,"&lt;="&amp;F55)</f>
        <v/>
      </c>
      <c r="Q55" s="58">
        <f>0</f>
        <v/>
      </c>
      <c r="R55" s="58">
        <f>SUMIFS($Q$5:$Q$692,$A$5:$A$692,A55,$B$5:$B$692,B55,$F$5:$F$692,"&lt;="&amp;F55)</f>
        <v/>
      </c>
      <c r="S55" s="58">
        <f>0</f>
        <v/>
      </c>
      <c r="T55" s="58">
        <f>SUMIFS($S$5:$S$692,$A$5:$A$692,A55,$B$5:$B$692,B55,$F$5:$F$692,"&lt;="&amp;F55)</f>
        <v/>
      </c>
      <c r="U55" s="52">
        <f>'个人技术逐级'!O55</f>
        <v/>
      </c>
    </row>
    <row r="56">
      <c r="A56" s="33" t="inlineStr">
        <is>
          <t>个人技术</t>
        </is>
      </c>
      <c r="B56" s="33">
        <f>'个人技术逐级'!A56</f>
        <v/>
      </c>
      <c r="C56" s="33">
        <f>'个人技术逐级'!B56</f>
        <v/>
      </c>
      <c r="D56" s="33">
        <f>'个人技术逐级'!C56</f>
        <v/>
      </c>
      <c r="E56">
        <f>'个人技术逐级'!D56</f>
        <v/>
      </c>
      <c r="F56" s="54">
        <f>'个人技术逐级'!E56</f>
        <v/>
      </c>
      <c r="G56" s="55">
        <f>'个人技术逐级'!F56</f>
        <v/>
      </c>
      <c r="H56" s="56">
        <f>'个人技术逐级'!G56</f>
        <v/>
      </c>
      <c r="I56" s="52" t="inlineStr">
        <is>
          <t>个人技术计时升级</t>
        </is>
      </c>
      <c r="J56" s="57">
        <f>'个人技术逐级'!M56</f>
        <v/>
      </c>
      <c r="K56" s="35">
        <f>J56/3600</f>
        <v/>
      </c>
      <c r="L56" s="35">
        <f>SUMIFS($K$5:$K$692,$A$5:$A$692,A56,$B$5:$B$692,B56,$F$5:$F$692,"&lt;="&amp;F56)</f>
        <v/>
      </c>
      <c r="M56" s="58">
        <f>'个人技术逐级'!N56</f>
        <v/>
      </c>
      <c r="N56" s="58">
        <f>SUMIFS($M$5:$M$692,$A$5:$A$692,A56,$B$5:$B$692,B56,$F$5:$F$692,"&lt;="&amp;F56)</f>
        <v/>
      </c>
      <c r="O56" s="58">
        <f>0</f>
        <v/>
      </c>
      <c r="P56" s="58">
        <f>SUMIFS($O$5:$O$692,$A$5:$A$692,A56,$B$5:$B$692,B56,$F$5:$F$692,"&lt;="&amp;F56)</f>
        <v/>
      </c>
      <c r="Q56" s="58">
        <f>0</f>
        <v/>
      </c>
      <c r="R56" s="58">
        <f>SUMIFS($Q$5:$Q$692,$A$5:$A$692,A56,$B$5:$B$692,B56,$F$5:$F$692,"&lt;="&amp;F56)</f>
        <v/>
      </c>
      <c r="S56" s="58">
        <f>0</f>
        <v/>
      </c>
      <c r="T56" s="58">
        <f>SUMIFS($S$5:$S$692,$A$5:$A$692,A56,$B$5:$B$692,B56,$F$5:$F$692,"&lt;="&amp;F56)</f>
        <v/>
      </c>
      <c r="U56" s="52">
        <f>'个人技术逐级'!O56</f>
        <v/>
      </c>
    </row>
    <row r="57">
      <c r="A57" s="33" t="inlineStr">
        <is>
          <t>个人技术</t>
        </is>
      </c>
      <c r="B57" s="33">
        <f>'个人技术逐级'!A57</f>
        <v/>
      </c>
      <c r="C57" s="33">
        <f>'个人技术逐级'!B57</f>
        <v/>
      </c>
      <c r="D57" s="33">
        <f>'个人技术逐级'!C57</f>
        <v/>
      </c>
      <c r="E57">
        <f>'个人技术逐级'!D57</f>
        <v/>
      </c>
      <c r="F57" s="54">
        <f>'个人技术逐级'!E57</f>
        <v/>
      </c>
      <c r="G57" s="55">
        <f>'个人技术逐级'!F57</f>
        <v/>
      </c>
      <c r="H57" s="56">
        <f>'个人技术逐级'!G57</f>
        <v/>
      </c>
      <c r="I57" s="52" t="inlineStr">
        <is>
          <t>个人技术计时升级</t>
        </is>
      </c>
      <c r="J57" s="57">
        <f>'个人技术逐级'!M57</f>
        <v/>
      </c>
      <c r="K57" s="35">
        <f>J57/3600</f>
        <v/>
      </c>
      <c r="L57" s="35">
        <f>SUMIFS($K$5:$K$692,$A$5:$A$692,A57,$B$5:$B$692,B57,$F$5:$F$692,"&lt;="&amp;F57)</f>
        <v/>
      </c>
      <c r="M57" s="58">
        <f>'个人技术逐级'!N57</f>
        <v/>
      </c>
      <c r="N57" s="58">
        <f>SUMIFS($M$5:$M$692,$A$5:$A$692,A57,$B$5:$B$692,B57,$F$5:$F$692,"&lt;="&amp;F57)</f>
        <v/>
      </c>
      <c r="O57" s="58">
        <f>0</f>
        <v/>
      </c>
      <c r="P57" s="58">
        <f>SUMIFS($O$5:$O$692,$A$5:$A$692,A57,$B$5:$B$692,B57,$F$5:$F$692,"&lt;="&amp;F57)</f>
        <v/>
      </c>
      <c r="Q57" s="58">
        <f>0</f>
        <v/>
      </c>
      <c r="R57" s="58">
        <f>SUMIFS($Q$5:$Q$692,$A$5:$A$692,A57,$B$5:$B$692,B57,$F$5:$F$692,"&lt;="&amp;F57)</f>
        <v/>
      </c>
      <c r="S57" s="58">
        <f>0</f>
        <v/>
      </c>
      <c r="T57" s="58">
        <f>SUMIFS($S$5:$S$692,$A$5:$A$692,A57,$B$5:$B$692,B57,$F$5:$F$692,"&lt;="&amp;F57)</f>
        <v/>
      </c>
      <c r="U57" s="52">
        <f>'个人技术逐级'!O57</f>
        <v/>
      </c>
    </row>
    <row r="58">
      <c r="A58" s="33" t="inlineStr">
        <is>
          <t>个人技术</t>
        </is>
      </c>
      <c r="B58" s="33">
        <f>'个人技术逐级'!A58</f>
        <v/>
      </c>
      <c r="C58" s="33">
        <f>'个人技术逐级'!B58</f>
        <v/>
      </c>
      <c r="D58" s="33">
        <f>'个人技术逐级'!C58</f>
        <v/>
      </c>
      <c r="E58">
        <f>'个人技术逐级'!D58</f>
        <v/>
      </c>
      <c r="F58" s="54">
        <f>'个人技术逐级'!E58</f>
        <v/>
      </c>
      <c r="G58" s="55">
        <f>'个人技术逐级'!F58</f>
        <v/>
      </c>
      <c r="H58" s="56">
        <f>'个人技术逐级'!G58</f>
        <v/>
      </c>
      <c r="I58" s="52" t="inlineStr">
        <is>
          <t>个人技术计时升级</t>
        </is>
      </c>
      <c r="J58" s="57">
        <f>'个人技术逐级'!M58</f>
        <v/>
      </c>
      <c r="K58" s="35">
        <f>J58/3600</f>
        <v/>
      </c>
      <c r="L58" s="35">
        <f>SUMIFS($K$5:$K$692,$A$5:$A$692,A58,$B$5:$B$692,B58,$F$5:$F$692,"&lt;="&amp;F58)</f>
        <v/>
      </c>
      <c r="M58" s="58">
        <f>'个人技术逐级'!N58</f>
        <v/>
      </c>
      <c r="N58" s="58">
        <f>SUMIFS($M$5:$M$692,$A$5:$A$692,A58,$B$5:$B$692,B58,$F$5:$F$692,"&lt;="&amp;F58)</f>
        <v/>
      </c>
      <c r="O58" s="58">
        <f>0</f>
        <v/>
      </c>
      <c r="P58" s="58">
        <f>SUMIFS($O$5:$O$692,$A$5:$A$692,A58,$B$5:$B$692,B58,$F$5:$F$692,"&lt;="&amp;F58)</f>
        <v/>
      </c>
      <c r="Q58" s="58">
        <f>0</f>
        <v/>
      </c>
      <c r="R58" s="58">
        <f>SUMIFS($Q$5:$Q$692,$A$5:$A$692,A58,$B$5:$B$692,B58,$F$5:$F$692,"&lt;="&amp;F58)</f>
        <v/>
      </c>
      <c r="S58" s="58">
        <f>0</f>
        <v/>
      </c>
      <c r="T58" s="58">
        <f>SUMIFS($S$5:$S$692,$A$5:$A$692,A58,$B$5:$B$692,B58,$F$5:$F$692,"&lt;="&amp;F58)</f>
        <v/>
      </c>
      <c r="U58" s="52">
        <f>'个人技术逐级'!O58</f>
        <v/>
      </c>
    </row>
    <row r="59">
      <c r="A59" s="33" t="inlineStr">
        <is>
          <t>个人技术</t>
        </is>
      </c>
      <c r="B59" s="33">
        <f>'个人技术逐级'!A59</f>
        <v/>
      </c>
      <c r="C59" s="33">
        <f>'个人技术逐级'!B59</f>
        <v/>
      </c>
      <c r="D59" s="33">
        <f>'个人技术逐级'!C59</f>
        <v/>
      </c>
      <c r="E59">
        <f>'个人技术逐级'!D59</f>
        <v/>
      </c>
      <c r="F59" s="54">
        <f>'个人技术逐级'!E59</f>
        <v/>
      </c>
      <c r="G59" s="55">
        <f>'个人技术逐级'!F59</f>
        <v/>
      </c>
      <c r="H59" s="56">
        <f>'个人技术逐级'!G59</f>
        <v/>
      </c>
      <c r="I59" s="52" t="inlineStr">
        <is>
          <t>个人技术计时升级</t>
        </is>
      </c>
      <c r="J59" s="57">
        <f>'个人技术逐级'!M59</f>
        <v/>
      </c>
      <c r="K59" s="35">
        <f>J59/3600</f>
        <v/>
      </c>
      <c r="L59" s="35">
        <f>SUMIFS($K$5:$K$692,$A$5:$A$692,A59,$B$5:$B$692,B59,$F$5:$F$692,"&lt;="&amp;F59)</f>
        <v/>
      </c>
      <c r="M59" s="58">
        <f>'个人技术逐级'!N59</f>
        <v/>
      </c>
      <c r="N59" s="58">
        <f>SUMIFS($M$5:$M$692,$A$5:$A$692,A59,$B$5:$B$692,B59,$F$5:$F$692,"&lt;="&amp;F59)</f>
        <v/>
      </c>
      <c r="O59" s="58">
        <f>0</f>
        <v/>
      </c>
      <c r="P59" s="58">
        <f>SUMIFS($O$5:$O$692,$A$5:$A$692,A59,$B$5:$B$692,B59,$F$5:$F$692,"&lt;="&amp;F59)</f>
        <v/>
      </c>
      <c r="Q59" s="58">
        <f>0</f>
        <v/>
      </c>
      <c r="R59" s="58">
        <f>SUMIFS($Q$5:$Q$692,$A$5:$A$692,A59,$B$5:$B$692,B59,$F$5:$F$692,"&lt;="&amp;F59)</f>
        <v/>
      </c>
      <c r="S59" s="58">
        <f>0</f>
        <v/>
      </c>
      <c r="T59" s="58">
        <f>SUMIFS($S$5:$S$692,$A$5:$A$692,A59,$B$5:$B$692,B59,$F$5:$F$692,"&lt;="&amp;F59)</f>
        <v/>
      </c>
      <c r="U59" s="52">
        <f>'个人技术逐级'!O59</f>
        <v/>
      </c>
    </row>
    <row r="60">
      <c r="A60" s="33" t="inlineStr">
        <is>
          <t>个人技术</t>
        </is>
      </c>
      <c r="B60" s="33">
        <f>'个人技术逐级'!A60</f>
        <v/>
      </c>
      <c r="C60" s="33">
        <f>'个人技术逐级'!B60</f>
        <v/>
      </c>
      <c r="D60" s="33">
        <f>'个人技术逐级'!C60</f>
        <v/>
      </c>
      <c r="E60">
        <f>'个人技术逐级'!D60</f>
        <v/>
      </c>
      <c r="F60" s="54">
        <f>'个人技术逐级'!E60</f>
        <v/>
      </c>
      <c r="G60" s="55">
        <f>'个人技术逐级'!F60</f>
        <v/>
      </c>
      <c r="H60" s="56">
        <f>'个人技术逐级'!G60</f>
        <v/>
      </c>
      <c r="I60" s="52" t="inlineStr">
        <is>
          <t>个人技术计时升级</t>
        </is>
      </c>
      <c r="J60" s="57">
        <f>'个人技术逐级'!M60</f>
        <v/>
      </c>
      <c r="K60" s="35">
        <f>J60/3600</f>
        <v/>
      </c>
      <c r="L60" s="35">
        <f>SUMIFS($K$5:$K$692,$A$5:$A$692,A60,$B$5:$B$692,B60,$F$5:$F$692,"&lt;="&amp;F60)</f>
        <v/>
      </c>
      <c r="M60" s="58">
        <f>'个人技术逐级'!N60</f>
        <v/>
      </c>
      <c r="N60" s="58">
        <f>SUMIFS($M$5:$M$692,$A$5:$A$692,A60,$B$5:$B$692,B60,$F$5:$F$692,"&lt;="&amp;F60)</f>
        <v/>
      </c>
      <c r="O60" s="58">
        <f>0</f>
        <v/>
      </c>
      <c r="P60" s="58">
        <f>SUMIFS($O$5:$O$692,$A$5:$A$692,A60,$B$5:$B$692,B60,$F$5:$F$692,"&lt;="&amp;F60)</f>
        <v/>
      </c>
      <c r="Q60" s="58">
        <f>0</f>
        <v/>
      </c>
      <c r="R60" s="58">
        <f>SUMIFS($Q$5:$Q$692,$A$5:$A$692,A60,$B$5:$B$692,B60,$F$5:$F$692,"&lt;="&amp;F60)</f>
        <v/>
      </c>
      <c r="S60" s="58">
        <f>0</f>
        <v/>
      </c>
      <c r="T60" s="58">
        <f>SUMIFS($S$5:$S$692,$A$5:$A$692,A60,$B$5:$B$692,B60,$F$5:$F$692,"&lt;="&amp;F60)</f>
        <v/>
      </c>
      <c r="U60" s="52">
        <f>'个人技术逐级'!O60</f>
        <v/>
      </c>
    </row>
    <row r="61">
      <c r="A61" s="33" t="inlineStr">
        <is>
          <t>个人技术</t>
        </is>
      </c>
      <c r="B61" s="33">
        <f>'个人技术逐级'!A61</f>
        <v/>
      </c>
      <c r="C61" s="33">
        <f>'个人技术逐级'!B61</f>
        <v/>
      </c>
      <c r="D61" s="33">
        <f>'个人技术逐级'!C61</f>
        <v/>
      </c>
      <c r="E61">
        <f>'个人技术逐级'!D61</f>
        <v/>
      </c>
      <c r="F61" s="54">
        <f>'个人技术逐级'!E61</f>
        <v/>
      </c>
      <c r="G61" s="55">
        <f>'个人技术逐级'!F61</f>
        <v/>
      </c>
      <c r="H61" s="56">
        <f>'个人技术逐级'!G61</f>
        <v/>
      </c>
      <c r="I61" s="52" t="inlineStr">
        <is>
          <t>个人技术计时升级</t>
        </is>
      </c>
      <c r="J61" s="57">
        <f>'个人技术逐级'!M61</f>
        <v/>
      </c>
      <c r="K61" s="35">
        <f>J61/3600</f>
        <v/>
      </c>
      <c r="L61" s="35">
        <f>SUMIFS($K$5:$K$692,$A$5:$A$692,A61,$B$5:$B$692,B61,$F$5:$F$692,"&lt;="&amp;F61)</f>
        <v/>
      </c>
      <c r="M61" s="58">
        <f>'个人技术逐级'!N61</f>
        <v/>
      </c>
      <c r="N61" s="58">
        <f>SUMIFS($M$5:$M$692,$A$5:$A$692,A61,$B$5:$B$692,B61,$F$5:$F$692,"&lt;="&amp;F61)</f>
        <v/>
      </c>
      <c r="O61" s="58">
        <f>0</f>
        <v/>
      </c>
      <c r="P61" s="58">
        <f>SUMIFS($O$5:$O$692,$A$5:$A$692,A61,$B$5:$B$692,B61,$F$5:$F$692,"&lt;="&amp;F61)</f>
        <v/>
      </c>
      <c r="Q61" s="58">
        <f>0</f>
        <v/>
      </c>
      <c r="R61" s="58">
        <f>SUMIFS($Q$5:$Q$692,$A$5:$A$692,A61,$B$5:$B$692,B61,$F$5:$F$692,"&lt;="&amp;F61)</f>
        <v/>
      </c>
      <c r="S61" s="58">
        <f>0</f>
        <v/>
      </c>
      <c r="T61" s="58">
        <f>SUMIFS($S$5:$S$692,$A$5:$A$692,A61,$B$5:$B$692,B61,$F$5:$F$692,"&lt;="&amp;F61)</f>
        <v/>
      </c>
      <c r="U61" s="52">
        <f>'个人技术逐级'!O61</f>
        <v/>
      </c>
    </row>
    <row r="62">
      <c r="A62" s="33" t="inlineStr">
        <is>
          <t>个人技术</t>
        </is>
      </c>
      <c r="B62" s="33">
        <f>'个人技术逐级'!A62</f>
        <v/>
      </c>
      <c r="C62" s="33">
        <f>'个人技术逐级'!B62</f>
        <v/>
      </c>
      <c r="D62" s="33">
        <f>'个人技术逐级'!C62</f>
        <v/>
      </c>
      <c r="E62">
        <f>'个人技术逐级'!D62</f>
        <v/>
      </c>
      <c r="F62" s="54">
        <f>'个人技术逐级'!E62</f>
        <v/>
      </c>
      <c r="G62" s="55">
        <f>'个人技术逐级'!F62</f>
        <v/>
      </c>
      <c r="H62" s="56">
        <f>'个人技术逐级'!G62</f>
        <v/>
      </c>
      <c r="I62" s="52" t="inlineStr">
        <is>
          <t>个人技术计时升级</t>
        </is>
      </c>
      <c r="J62" s="57">
        <f>'个人技术逐级'!M62</f>
        <v/>
      </c>
      <c r="K62" s="35">
        <f>J62/3600</f>
        <v/>
      </c>
      <c r="L62" s="35">
        <f>SUMIFS($K$5:$K$692,$A$5:$A$692,A62,$B$5:$B$692,B62,$F$5:$F$692,"&lt;="&amp;F62)</f>
        <v/>
      </c>
      <c r="M62" s="58">
        <f>'个人技术逐级'!N62</f>
        <v/>
      </c>
      <c r="N62" s="58">
        <f>SUMIFS($M$5:$M$692,$A$5:$A$692,A62,$B$5:$B$692,B62,$F$5:$F$692,"&lt;="&amp;F62)</f>
        <v/>
      </c>
      <c r="O62" s="58">
        <f>0</f>
        <v/>
      </c>
      <c r="P62" s="58">
        <f>SUMIFS($O$5:$O$692,$A$5:$A$692,A62,$B$5:$B$692,B62,$F$5:$F$692,"&lt;="&amp;F62)</f>
        <v/>
      </c>
      <c r="Q62" s="58">
        <f>0</f>
        <v/>
      </c>
      <c r="R62" s="58">
        <f>SUMIFS($Q$5:$Q$692,$A$5:$A$692,A62,$B$5:$B$692,B62,$F$5:$F$692,"&lt;="&amp;F62)</f>
        <v/>
      </c>
      <c r="S62" s="58">
        <f>0</f>
        <v/>
      </c>
      <c r="T62" s="58">
        <f>SUMIFS($S$5:$S$692,$A$5:$A$692,A62,$B$5:$B$692,B62,$F$5:$F$692,"&lt;="&amp;F62)</f>
        <v/>
      </c>
      <c r="U62" s="52">
        <f>'个人技术逐级'!O62</f>
        <v/>
      </c>
    </row>
    <row r="63">
      <c r="A63" s="33" t="inlineStr">
        <is>
          <t>个人技术</t>
        </is>
      </c>
      <c r="B63" s="33">
        <f>'个人技术逐级'!A63</f>
        <v/>
      </c>
      <c r="C63" s="33">
        <f>'个人技术逐级'!B63</f>
        <v/>
      </c>
      <c r="D63" s="33">
        <f>'个人技术逐级'!C63</f>
        <v/>
      </c>
      <c r="E63">
        <f>'个人技术逐级'!D63</f>
        <v/>
      </c>
      <c r="F63" s="54">
        <f>'个人技术逐级'!E63</f>
        <v/>
      </c>
      <c r="G63" s="55">
        <f>'个人技术逐级'!F63</f>
        <v/>
      </c>
      <c r="H63" s="56">
        <f>'个人技术逐级'!G63</f>
        <v/>
      </c>
      <c r="I63" s="52" t="inlineStr">
        <is>
          <t>个人技术计时升级</t>
        </is>
      </c>
      <c r="J63" s="57">
        <f>'个人技术逐级'!M63</f>
        <v/>
      </c>
      <c r="K63" s="35">
        <f>J63/3600</f>
        <v/>
      </c>
      <c r="L63" s="35">
        <f>SUMIFS($K$5:$K$692,$A$5:$A$692,A63,$B$5:$B$692,B63,$F$5:$F$692,"&lt;="&amp;F63)</f>
        <v/>
      </c>
      <c r="M63" s="58">
        <f>'个人技术逐级'!N63</f>
        <v/>
      </c>
      <c r="N63" s="58">
        <f>SUMIFS($M$5:$M$692,$A$5:$A$692,A63,$B$5:$B$692,B63,$F$5:$F$692,"&lt;="&amp;F63)</f>
        <v/>
      </c>
      <c r="O63" s="58">
        <f>0</f>
        <v/>
      </c>
      <c r="P63" s="58">
        <f>SUMIFS($O$5:$O$692,$A$5:$A$692,A63,$B$5:$B$692,B63,$F$5:$F$692,"&lt;="&amp;F63)</f>
        <v/>
      </c>
      <c r="Q63" s="58">
        <f>0</f>
        <v/>
      </c>
      <c r="R63" s="58">
        <f>SUMIFS($Q$5:$Q$692,$A$5:$A$692,A63,$B$5:$B$692,B63,$F$5:$F$692,"&lt;="&amp;F63)</f>
        <v/>
      </c>
      <c r="S63" s="58">
        <f>0</f>
        <v/>
      </c>
      <c r="T63" s="58">
        <f>SUMIFS($S$5:$S$692,$A$5:$A$692,A63,$B$5:$B$692,B63,$F$5:$F$692,"&lt;="&amp;F63)</f>
        <v/>
      </c>
      <c r="U63" s="52">
        <f>'个人技术逐级'!O63</f>
        <v/>
      </c>
    </row>
    <row r="64">
      <c r="A64" s="33" t="inlineStr">
        <is>
          <t>个人技术</t>
        </is>
      </c>
      <c r="B64" s="33">
        <f>'个人技术逐级'!A64</f>
        <v/>
      </c>
      <c r="C64" s="33">
        <f>'个人技术逐级'!B64</f>
        <v/>
      </c>
      <c r="D64" s="33">
        <f>'个人技术逐级'!C64</f>
        <v/>
      </c>
      <c r="E64">
        <f>'个人技术逐级'!D64</f>
        <v/>
      </c>
      <c r="F64" s="54">
        <f>'个人技术逐级'!E64</f>
        <v/>
      </c>
      <c r="G64" s="55">
        <f>'个人技术逐级'!F64</f>
        <v/>
      </c>
      <c r="H64" s="56">
        <f>'个人技术逐级'!G64</f>
        <v/>
      </c>
      <c r="I64" s="52" t="inlineStr">
        <is>
          <t>个人技术计时升级</t>
        </is>
      </c>
      <c r="J64" s="57">
        <f>'个人技术逐级'!M64</f>
        <v/>
      </c>
      <c r="K64" s="35">
        <f>J64/3600</f>
        <v/>
      </c>
      <c r="L64" s="35">
        <f>SUMIFS($K$5:$K$692,$A$5:$A$692,A64,$B$5:$B$692,B64,$F$5:$F$692,"&lt;="&amp;F64)</f>
        <v/>
      </c>
      <c r="M64" s="58">
        <f>'个人技术逐级'!N64</f>
        <v/>
      </c>
      <c r="N64" s="58">
        <f>SUMIFS($M$5:$M$692,$A$5:$A$692,A64,$B$5:$B$692,B64,$F$5:$F$692,"&lt;="&amp;F64)</f>
        <v/>
      </c>
      <c r="O64" s="58">
        <f>0</f>
        <v/>
      </c>
      <c r="P64" s="58">
        <f>SUMIFS($O$5:$O$692,$A$5:$A$692,A64,$B$5:$B$692,B64,$F$5:$F$692,"&lt;="&amp;F64)</f>
        <v/>
      </c>
      <c r="Q64" s="58">
        <f>0</f>
        <v/>
      </c>
      <c r="R64" s="58">
        <f>SUMIFS($Q$5:$Q$692,$A$5:$A$692,A64,$B$5:$B$692,B64,$F$5:$F$692,"&lt;="&amp;F64)</f>
        <v/>
      </c>
      <c r="S64" s="58">
        <f>0</f>
        <v/>
      </c>
      <c r="T64" s="58">
        <f>SUMIFS($S$5:$S$692,$A$5:$A$692,A64,$B$5:$B$692,B64,$F$5:$F$692,"&lt;="&amp;F64)</f>
        <v/>
      </c>
      <c r="U64" s="52">
        <f>'个人技术逐级'!O64</f>
        <v/>
      </c>
    </row>
    <row r="65">
      <c r="A65" s="33" t="inlineStr">
        <is>
          <t>个人技术</t>
        </is>
      </c>
      <c r="B65" s="33">
        <f>'个人技术逐级'!A65</f>
        <v/>
      </c>
      <c r="C65" s="33">
        <f>'个人技术逐级'!B65</f>
        <v/>
      </c>
      <c r="D65" s="33">
        <f>'个人技术逐级'!C65</f>
        <v/>
      </c>
      <c r="E65">
        <f>'个人技术逐级'!D65</f>
        <v/>
      </c>
      <c r="F65" s="54">
        <f>'个人技术逐级'!E65</f>
        <v/>
      </c>
      <c r="G65" s="55">
        <f>'个人技术逐级'!F65</f>
        <v/>
      </c>
      <c r="H65" s="56">
        <f>'个人技术逐级'!G65</f>
        <v/>
      </c>
      <c r="I65" s="52" t="inlineStr">
        <is>
          <t>个人技术计时升级</t>
        </is>
      </c>
      <c r="J65" s="57">
        <f>'个人技术逐级'!M65</f>
        <v/>
      </c>
      <c r="K65" s="35">
        <f>J65/3600</f>
        <v/>
      </c>
      <c r="L65" s="35">
        <f>SUMIFS($K$5:$K$692,$A$5:$A$692,A65,$B$5:$B$692,B65,$F$5:$F$692,"&lt;="&amp;F65)</f>
        <v/>
      </c>
      <c r="M65" s="58">
        <f>'个人技术逐级'!N65</f>
        <v/>
      </c>
      <c r="N65" s="58">
        <f>SUMIFS($M$5:$M$692,$A$5:$A$692,A65,$B$5:$B$692,B65,$F$5:$F$692,"&lt;="&amp;F65)</f>
        <v/>
      </c>
      <c r="O65" s="58">
        <f>0</f>
        <v/>
      </c>
      <c r="P65" s="58">
        <f>SUMIFS($O$5:$O$692,$A$5:$A$692,A65,$B$5:$B$692,B65,$F$5:$F$692,"&lt;="&amp;F65)</f>
        <v/>
      </c>
      <c r="Q65" s="58">
        <f>0</f>
        <v/>
      </c>
      <c r="R65" s="58">
        <f>SUMIFS($Q$5:$Q$692,$A$5:$A$692,A65,$B$5:$B$692,B65,$F$5:$F$692,"&lt;="&amp;F65)</f>
        <v/>
      </c>
      <c r="S65" s="58">
        <f>0</f>
        <v/>
      </c>
      <c r="T65" s="58">
        <f>SUMIFS($S$5:$S$692,$A$5:$A$692,A65,$B$5:$B$692,B65,$F$5:$F$692,"&lt;="&amp;F65)</f>
        <v/>
      </c>
      <c r="U65" s="52">
        <f>'个人技术逐级'!O65</f>
        <v/>
      </c>
    </row>
    <row r="66">
      <c r="A66" s="33" t="inlineStr">
        <is>
          <t>个人技术</t>
        </is>
      </c>
      <c r="B66" s="33">
        <f>'个人技术逐级'!A66</f>
        <v/>
      </c>
      <c r="C66" s="33">
        <f>'个人技术逐级'!B66</f>
        <v/>
      </c>
      <c r="D66" s="33">
        <f>'个人技术逐级'!C66</f>
        <v/>
      </c>
      <c r="E66">
        <f>'个人技术逐级'!D66</f>
        <v/>
      </c>
      <c r="F66" s="54">
        <f>'个人技术逐级'!E66</f>
        <v/>
      </c>
      <c r="G66" s="55">
        <f>'个人技术逐级'!F66</f>
        <v/>
      </c>
      <c r="H66" s="56">
        <f>'个人技术逐级'!G66</f>
        <v/>
      </c>
      <c r="I66" s="52" t="inlineStr">
        <is>
          <t>个人技术计时升级</t>
        </is>
      </c>
      <c r="J66" s="57">
        <f>'个人技术逐级'!M66</f>
        <v/>
      </c>
      <c r="K66" s="35">
        <f>J66/3600</f>
        <v/>
      </c>
      <c r="L66" s="35">
        <f>SUMIFS($K$5:$K$692,$A$5:$A$692,A66,$B$5:$B$692,B66,$F$5:$F$692,"&lt;="&amp;F66)</f>
        <v/>
      </c>
      <c r="M66" s="58">
        <f>'个人技术逐级'!N66</f>
        <v/>
      </c>
      <c r="N66" s="58">
        <f>SUMIFS($M$5:$M$692,$A$5:$A$692,A66,$B$5:$B$692,B66,$F$5:$F$692,"&lt;="&amp;F66)</f>
        <v/>
      </c>
      <c r="O66" s="58">
        <f>0</f>
        <v/>
      </c>
      <c r="P66" s="58">
        <f>SUMIFS($O$5:$O$692,$A$5:$A$692,A66,$B$5:$B$692,B66,$F$5:$F$692,"&lt;="&amp;F66)</f>
        <v/>
      </c>
      <c r="Q66" s="58">
        <f>0</f>
        <v/>
      </c>
      <c r="R66" s="58">
        <f>SUMIFS($Q$5:$Q$692,$A$5:$A$692,A66,$B$5:$B$692,B66,$F$5:$F$692,"&lt;="&amp;F66)</f>
        <v/>
      </c>
      <c r="S66" s="58">
        <f>0</f>
        <v/>
      </c>
      <c r="T66" s="58">
        <f>SUMIFS($S$5:$S$692,$A$5:$A$692,A66,$B$5:$B$692,B66,$F$5:$F$692,"&lt;="&amp;F66)</f>
        <v/>
      </c>
      <c r="U66" s="52">
        <f>'个人技术逐级'!O66</f>
        <v/>
      </c>
    </row>
    <row r="67">
      <c r="A67" s="33" t="inlineStr">
        <is>
          <t>个人技术</t>
        </is>
      </c>
      <c r="B67" s="33">
        <f>'个人技术逐级'!A67</f>
        <v/>
      </c>
      <c r="C67" s="33">
        <f>'个人技术逐级'!B67</f>
        <v/>
      </c>
      <c r="D67" s="33">
        <f>'个人技术逐级'!C67</f>
        <v/>
      </c>
      <c r="E67">
        <f>'个人技术逐级'!D67</f>
        <v/>
      </c>
      <c r="F67" s="54">
        <f>'个人技术逐级'!E67</f>
        <v/>
      </c>
      <c r="G67" s="55">
        <f>'个人技术逐级'!F67</f>
        <v/>
      </c>
      <c r="H67" s="56">
        <f>'个人技术逐级'!G67</f>
        <v/>
      </c>
      <c r="I67" s="52" t="inlineStr">
        <is>
          <t>个人技术计时升级</t>
        </is>
      </c>
      <c r="J67" s="57">
        <f>'个人技术逐级'!M67</f>
        <v/>
      </c>
      <c r="K67" s="35">
        <f>J67/3600</f>
        <v/>
      </c>
      <c r="L67" s="35">
        <f>SUMIFS($K$5:$K$692,$A$5:$A$692,A67,$B$5:$B$692,B67,$F$5:$F$692,"&lt;="&amp;F67)</f>
        <v/>
      </c>
      <c r="M67" s="58">
        <f>'个人技术逐级'!N67</f>
        <v/>
      </c>
      <c r="N67" s="58">
        <f>SUMIFS($M$5:$M$692,$A$5:$A$692,A67,$B$5:$B$692,B67,$F$5:$F$692,"&lt;="&amp;F67)</f>
        <v/>
      </c>
      <c r="O67" s="58">
        <f>0</f>
        <v/>
      </c>
      <c r="P67" s="58">
        <f>SUMIFS($O$5:$O$692,$A$5:$A$692,A67,$B$5:$B$692,B67,$F$5:$F$692,"&lt;="&amp;F67)</f>
        <v/>
      </c>
      <c r="Q67" s="58">
        <f>0</f>
        <v/>
      </c>
      <c r="R67" s="58">
        <f>SUMIFS($Q$5:$Q$692,$A$5:$A$692,A67,$B$5:$B$692,B67,$F$5:$F$692,"&lt;="&amp;F67)</f>
        <v/>
      </c>
      <c r="S67" s="58">
        <f>0</f>
        <v/>
      </c>
      <c r="T67" s="58">
        <f>SUMIFS($S$5:$S$692,$A$5:$A$692,A67,$B$5:$B$692,B67,$F$5:$F$692,"&lt;="&amp;F67)</f>
        <v/>
      </c>
      <c r="U67" s="52">
        <f>'个人技术逐级'!O67</f>
        <v/>
      </c>
    </row>
    <row r="68">
      <c r="A68" s="33" t="inlineStr">
        <is>
          <t>个人技术</t>
        </is>
      </c>
      <c r="B68" s="33">
        <f>'个人技术逐级'!A68</f>
        <v/>
      </c>
      <c r="C68" s="33">
        <f>'个人技术逐级'!B68</f>
        <v/>
      </c>
      <c r="D68" s="33">
        <f>'个人技术逐级'!C68</f>
        <v/>
      </c>
      <c r="E68">
        <f>'个人技术逐级'!D68</f>
        <v/>
      </c>
      <c r="F68" s="54">
        <f>'个人技术逐级'!E68</f>
        <v/>
      </c>
      <c r="G68" s="55">
        <f>'个人技术逐级'!F68</f>
        <v/>
      </c>
      <c r="H68" s="56">
        <f>'个人技术逐级'!G68</f>
        <v/>
      </c>
      <c r="I68" s="52" t="inlineStr">
        <is>
          <t>个人技术计时升级</t>
        </is>
      </c>
      <c r="J68" s="57">
        <f>'个人技术逐级'!M68</f>
        <v/>
      </c>
      <c r="K68" s="35">
        <f>J68/3600</f>
        <v/>
      </c>
      <c r="L68" s="35">
        <f>SUMIFS($K$5:$K$692,$A$5:$A$692,A68,$B$5:$B$692,B68,$F$5:$F$692,"&lt;="&amp;F68)</f>
        <v/>
      </c>
      <c r="M68" s="58">
        <f>'个人技术逐级'!N68</f>
        <v/>
      </c>
      <c r="N68" s="58">
        <f>SUMIFS($M$5:$M$692,$A$5:$A$692,A68,$B$5:$B$692,B68,$F$5:$F$692,"&lt;="&amp;F68)</f>
        <v/>
      </c>
      <c r="O68" s="58">
        <f>0</f>
        <v/>
      </c>
      <c r="P68" s="58">
        <f>SUMIFS($O$5:$O$692,$A$5:$A$692,A68,$B$5:$B$692,B68,$F$5:$F$692,"&lt;="&amp;F68)</f>
        <v/>
      </c>
      <c r="Q68" s="58">
        <f>0</f>
        <v/>
      </c>
      <c r="R68" s="58">
        <f>SUMIFS($Q$5:$Q$692,$A$5:$A$692,A68,$B$5:$B$692,B68,$F$5:$F$692,"&lt;="&amp;F68)</f>
        <v/>
      </c>
      <c r="S68" s="58">
        <f>0</f>
        <v/>
      </c>
      <c r="T68" s="58">
        <f>SUMIFS($S$5:$S$692,$A$5:$A$692,A68,$B$5:$B$692,B68,$F$5:$F$692,"&lt;="&amp;F68)</f>
        <v/>
      </c>
      <c r="U68" s="52">
        <f>'个人技术逐级'!O68</f>
        <v/>
      </c>
    </row>
    <row r="69">
      <c r="A69" s="33" t="inlineStr">
        <is>
          <t>个人技术</t>
        </is>
      </c>
      <c r="B69" s="33">
        <f>'个人技术逐级'!A69</f>
        <v/>
      </c>
      <c r="C69" s="33">
        <f>'个人技术逐级'!B69</f>
        <v/>
      </c>
      <c r="D69" s="33">
        <f>'个人技术逐级'!C69</f>
        <v/>
      </c>
      <c r="E69">
        <f>'个人技术逐级'!D69</f>
        <v/>
      </c>
      <c r="F69" s="54">
        <f>'个人技术逐级'!E69</f>
        <v/>
      </c>
      <c r="G69" s="55">
        <f>'个人技术逐级'!F69</f>
        <v/>
      </c>
      <c r="H69" s="56">
        <f>'个人技术逐级'!G69</f>
        <v/>
      </c>
      <c r="I69" s="52" t="inlineStr">
        <is>
          <t>个人技术计时升级</t>
        </is>
      </c>
      <c r="J69" s="57">
        <f>'个人技术逐级'!M69</f>
        <v/>
      </c>
      <c r="K69" s="35">
        <f>J69/3600</f>
        <v/>
      </c>
      <c r="L69" s="35">
        <f>SUMIFS($K$5:$K$692,$A$5:$A$692,A69,$B$5:$B$692,B69,$F$5:$F$692,"&lt;="&amp;F69)</f>
        <v/>
      </c>
      <c r="M69" s="58">
        <f>'个人技术逐级'!N69</f>
        <v/>
      </c>
      <c r="N69" s="58">
        <f>SUMIFS($M$5:$M$692,$A$5:$A$692,A69,$B$5:$B$692,B69,$F$5:$F$692,"&lt;="&amp;F69)</f>
        <v/>
      </c>
      <c r="O69" s="58">
        <f>0</f>
        <v/>
      </c>
      <c r="P69" s="58">
        <f>SUMIFS($O$5:$O$692,$A$5:$A$692,A69,$B$5:$B$692,B69,$F$5:$F$692,"&lt;="&amp;F69)</f>
        <v/>
      </c>
      <c r="Q69" s="58">
        <f>0</f>
        <v/>
      </c>
      <c r="R69" s="58">
        <f>SUMIFS($Q$5:$Q$692,$A$5:$A$692,A69,$B$5:$B$692,B69,$F$5:$F$692,"&lt;="&amp;F69)</f>
        <v/>
      </c>
      <c r="S69" s="58">
        <f>0</f>
        <v/>
      </c>
      <c r="T69" s="58">
        <f>SUMIFS($S$5:$S$692,$A$5:$A$692,A69,$B$5:$B$692,B69,$F$5:$F$692,"&lt;="&amp;F69)</f>
        <v/>
      </c>
      <c r="U69" s="52">
        <f>'个人技术逐级'!O69</f>
        <v/>
      </c>
    </row>
    <row r="70">
      <c r="A70" s="33" t="inlineStr">
        <is>
          <t>个人技术</t>
        </is>
      </c>
      <c r="B70" s="33">
        <f>'个人技术逐级'!A70</f>
        <v/>
      </c>
      <c r="C70" s="33">
        <f>'个人技术逐级'!B70</f>
        <v/>
      </c>
      <c r="D70" s="33">
        <f>'个人技术逐级'!C70</f>
        <v/>
      </c>
      <c r="E70">
        <f>'个人技术逐级'!D70</f>
        <v/>
      </c>
      <c r="F70" s="54">
        <f>'个人技术逐级'!E70</f>
        <v/>
      </c>
      <c r="G70" s="55">
        <f>'个人技术逐级'!F70</f>
        <v/>
      </c>
      <c r="H70" s="56">
        <f>'个人技术逐级'!G70</f>
        <v/>
      </c>
      <c r="I70" s="52" t="inlineStr">
        <is>
          <t>个人技术计时升级</t>
        </is>
      </c>
      <c r="J70" s="57">
        <f>'个人技术逐级'!M70</f>
        <v/>
      </c>
      <c r="K70" s="35">
        <f>J70/3600</f>
        <v/>
      </c>
      <c r="L70" s="35">
        <f>SUMIFS($K$5:$K$692,$A$5:$A$692,A70,$B$5:$B$692,B70,$F$5:$F$692,"&lt;="&amp;F70)</f>
        <v/>
      </c>
      <c r="M70" s="58">
        <f>'个人技术逐级'!N70</f>
        <v/>
      </c>
      <c r="N70" s="58">
        <f>SUMIFS($M$5:$M$692,$A$5:$A$692,A70,$B$5:$B$692,B70,$F$5:$F$692,"&lt;="&amp;F70)</f>
        <v/>
      </c>
      <c r="O70" s="58">
        <f>0</f>
        <v/>
      </c>
      <c r="P70" s="58">
        <f>SUMIFS($O$5:$O$692,$A$5:$A$692,A70,$B$5:$B$692,B70,$F$5:$F$692,"&lt;="&amp;F70)</f>
        <v/>
      </c>
      <c r="Q70" s="58">
        <f>0</f>
        <v/>
      </c>
      <c r="R70" s="58">
        <f>SUMIFS($Q$5:$Q$692,$A$5:$A$692,A70,$B$5:$B$692,B70,$F$5:$F$692,"&lt;="&amp;F70)</f>
        <v/>
      </c>
      <c r="S70" s="58">
        <f>0</f>
        <v/>
      </c>
      <c r="T70" s="58">
        <f>SUMIFS($S$5:$S$692,$A$5:$A$692,A70,$B$5:$B$692,B70,$F$5:$F$692,"&lt;="&amp;F70)</f>
        <v/>
      </c>
      <c r="U70" s="52">
        <f>'个人技术逐级'!O70</f>
        <v/>
      </c>
    </row>
    <row r="71">
      <c r="A71" s="33" t="inlineStr">
        <is>
          <t>个人技术</t>
        </is>
      </c>
      <c r="B71" s="33">
        <f>'个人技术逐级'!A71</f>
        <v/>
      </c>
      <c r="C71" s="33">
        <f>'个人技术逐级'!B71</f>
        <v/>
      </c>
      <c r="D71" s="33">
        <f>'个人技术逐级'!C71</f>
        <v/>
      </c>
      <c r="E71">
        <f>'个人技术逐级'!D71</f>
        <v/>
      </c>
      <c r="F71" s="54">
        <f>'个人技术逐级'!E71</f>
        <v/>
      </c>
      <c r="G71" s="55">
        <f>'个人技术逐级'!F71</f>
        <v/>
      </c>
      <c r="H71" s="56">
        <f>'个人技术逐级'!G71</f>
        <v/>
      </c>
      <c r="I71" s="52" t="inlineStr">
        <is>
          <t>个人技术计时升级</t>
        </is>
      </c>
      <c r="J71" s="57">
        <f>'个人技术逐级'!M71</f>
        <v/>
      </c>
      <c r="K71" s="35">
        <f>J71/3600</f>
        <v/>
      </c>
      <c r="L71" s="35">
        <f>SUMIFS($K$5:$K$692,$A$5:$A$692,A71,$B$5:$B$692,B71,$F$5:$F$692,"&lt;="&amp;F71)</f>
        <v/>
      </c>
      <c r="M71" s="58">
        <f>'个人技术逐级'!N71</f>
        <v/>
      </c>
      <c r="N71" s="58">
        <f>SUMIFS($M$5:$M$692,$A$5:$A$692,A71,$B$5:$B$692,B71,$F$5:$F$692,"&lt;="&amp;F71)</f>
        <v/>
      </c>
      <c r="O71" s="58">
        <f>0</f>
        <v/>
      </c>
      <c r="P71" s="58">
        <f>SUMIFS($O$5:$O$692,$A$5:$A$692,A71,$B$5:$B$692,B71,$F$5:$F$692,"&lt;="&amp;F71)</f>
        <v/>
      </c>
      <c r="Q71" s="58">
        <f>0</f>
        <v/>
      </c>
      <c r="R71" s="58">
        <f>SUMIFS($Q$5:$Q$692,$A$5:$A$692,A71,$B$5:$B$692,B71,$F$5:$F$692,"&lt;="&amp;F71)</f>
        <v/>
      </c>
      <c r="S71" s="58">
        <f>0</f>
        <v/>
      </c>
      <c r="T71" s="58">
        <f>SUMIFS($S$5:$S$692,$A$5:$A$692,A71,$B$5:$B$692,B71,$F$5:$F$692,"&lt;="&amp;F71)</f>
        <v/>
      </c>
      <c r="U71" s="52">
        <f>'个人技术逐级'!O71</f>
        <v/>
      </c>
    </row>
    <row r="72">
      <c r="A72" s="33" t="inlineStr">
        <is>
          <t>个人技术</t>
        </is>
      </c>
      <c r="B72" s="33">
        <f>'个人技术逐级'!A72</f>
        <v/>
      </c>
      <c r="C72" s="33">
        <f>'个人技术逐级'!B72</f>
        <v/>
      </c>
      <c r="D72" s="33">
        <f>'个人技术逐级'!C72</f>
        <v/>
      </c>
      <c r="E72">
        <f>'个人技术逐级'!D72</f>
        <v/>
      </c>
      <c r="F72" s="54">
        <f>'个人技术逐级'!E72</f>
        <v/>
      </c>
      <c r="G72" s="55">
        <f>'个人技术逐级'!F72</f>
        <v/>
      </c>
      <c r="H72" s="56">
        <f>'个人技术逐级'!G72</f>
        <v/>
      </c>
      <c r="I72" s="52" t="inlineStr">
        <is>
          <t>个人技术计时升级</t>
        </is>
      </c>
      <c r="J72" s="57">
        <f>'个人技术逐级'!M72</f>
        <v/>
      </c>
      <c r="K72" s="35">
        <f>J72/3600</f>
        <v/>
      </c>
      <c r="L72" s="35">
        <f>SUMIFS($K$5:$K$692,$A$5:$A$692,A72,$B$5:$B$692,B72,$F$5:$F$692,"&lt;="&amp;F72)</f>
        <v/>
      </c>
      <c r="M72" s="58">
        <f>'个人技术逐级'!N72</f>
        <v/>
      </c>
      <c r="N72" s="58">
        <f>SUMIFS($M$5:$M$692,$A$5:$A$692,A72,$B$5:$B$692,B72,$F$5:$F$692,"&lt;="&amp;F72)</f>
        <v/>
      </c>
      <c r="O72" s="58">
        <f>0</f>
        <v/>
      </c>
      <c r="P72" s="58">
        <f>SUMIFS($O$5:$O$692,$A$5:$A$692,A72,$B$5:$B$692,B72,$F$5:$F$692,"&lt;="&amp;F72)</f>
        <v/>
      </c>
      <c r="Q72" s="58">
        <f>0</f>
        <v/>
      </c>
      <c r="R72" s="58">
        <f>SUMIFS($Q$5:$Q$692,$A$5:$A$692,A72,$B$5:$B$692,B72,$F$5:$F$692,"&lt;="&amp;F72)</f>
        <v/>
      </c>
      <c r="S72" s="58">
        <f>0</f>
        <v/>
      </c>
      <c r="T72" s="58">
        <f>SUMIFS($S$5:$S$692,$A$5:$A$692,A72,$B$5:$B$692,B72,$F$5:$F$692,"&lt;="&amp;F72)</f>
        <v/>
      </c>
      <c r="U72" s="52">
        <f>'个人技术逐级'!O72</f>
        <v/>
      </c>
    </row>
    <row r="73">
      <c r="A73" s="33" t="inlineStr">
        <is>
          <t>个人技术</t>
        </is>
      </c>
      <c r="B73" s="33">
        <f>'个人技术逐级'!A73</f>
        <v/>
      </c>
      <c r="C73" s="33">
        <f>'个人技术逐级'!B73</f>
        <v/>
      </c>
      <c r="D73" s="33">
        <f>'个人技术逐级'!C73</f>
        <v/>
      </c>
      <c r="E73">
        <f>'个人技术逐级'!D73</f>
        <v/>
      </c>
      <c r="F73" s="54">
        <f>'个人技术逐级'!E73</f>
        <v/>
      </c>
      <c r="G73" s="55">
        <f>'个人技术逐级'!F73</f>
        <v/>
      </c>
      <c r="H73" s="56">
        <f>'个人技术逐级'!G73</f>
        <v/>
      </c>
      <c r="I73" s="52" t="inlineStr">
        <is>
          <t>个人技术计时升级</t>
        </is>
      </c>
      <c r="J73" s="57">
        <f>'个人技术逐级'!M73</f>
        <v/>
      </c>
      <c r="K73" s="35">
        <f>J73/3600</f>
        <v/>
      </c>
      <c r="L73" s="35">
        <f>SUMIFS($K$5:$K$692,$A$5:$A$692,A73,$B$5:$B$692,B73,$F$5:$F$692,"&lt;="&amp;F73)</f>
        <v/>
      </c>
      <c r="M73" s="58">
        <f>'个人技术逐级'!N73</f>
        <v/>
      </c>
      <c r="N73" s="58">
        <f>SUMIFS($M$5:$M$692,$A$5:$A$692,A73,$B$5:$B$692,B73,$F$5:$F$692,"&lt;="&amp;F73)</f>
        <v/>
      </c>
      <c r="O73" s="58">
        <f>0</f>
        <v/>
      </c>
      <c r="P73" s="58">
        <f>SUMIFS($O$5:$O$692,$A$5:$A$692,A73,$B$5:$B$692,B73,$F$5:$F$692,"&lt;="&amp;F73)</f>
        <v/>
      </c>
      <c r="Q73" s="58">
        <f>0</f>
        <v/>
      </c>
      <c r="R73" s="58">
        <f>SUMIFS($Q$5:$Q$692,$A$5:$A$692,A73,$B$5:$B$692,B73,$F$5:$F$692,"&lt;="&amp;F73)</f>
        <v/>
      </c>
      <c r="S73" s="58">
        <f>0</f>
        <v/>
      </c>
      <c r="T73" s="58">
        <f>SUMIFS($S$5:$S$692,$A$5:$A$692,A73,$B$5:$B$692,B73,$F$5:$F$692,"&lt;="&amp;F73)</f>
        <v/>
      </c>
      <c r="U73" s="52">
        <f>'个人技术逐级'!O73</f>
        <v/>
      </c>
    </row>
    <row r="74">
      <c r="A74" s="33" t="inlineStr">
        <is>
          <t>个人技术</t>
        </is>
      </c>
      <c r="B74" s="33">
        <f>'个人技术逐级'!A74</f>
        <v/>
      </c>
      <c r="C74" s="33">
        <f>'个人技术逐级'!B74</f>
        <v/>
      </c>
      <c r="D74" s="33">
        <f>'个人技术逐级'!C74</f>
        <v/>
      </c>
      <c r="E74">
        <f>'个人技术逐级'!D74</f>
        <v/>
      </c>
      <c r="F74" s="54">
        <f>'个人技术逐级'!E74</f>
        <v/>
      </c>
      <c r="G74" s="55">
        <f>'个人技术逐级'!F74</f>
        <v/>
      </c>
      <c r="H74" s="56">
        <f>'个人技术逐级'!G74</f>
        <v/>
      </c>
      <c r="I74" s="52" t="inlineStr">
        <is>
          <t>个人技术计时升级</t>
        </is>
      </c>
      <c r="J74" s="57">
        <f>'个人技术逐级'!M74</f>
        <v/>
      </c>
      <c r="K74" s="35">
        <f>J74/3600</f>
        <v/>
      </c>
      <c r="L74" s="35">
        <f>SUMIFS($K$5:$K$692,$A$5:$A$692,A74,$B$5:$B$692,B74,$F$5:$F$692,"&lt;="&amp;F74)</f>
        <v/>
      </c>
      <c r="M74" s="58">
        <f>'个人技术逐级'!N74</f>
        <v/>
      </c>
      <c r="N74" s="58">
        <f>SUMIFS($M$5:$M$692,$A$5:$A$692,A74,$B$5:$B$692,B74,$F$5:$F$692,"&lt;="&amp;F74)</f>
        <v/>
      </c>
      <c r="O74" s="58">
        <f>0</f>
        <v/>
      </c>
      <c r="P74" s="58">
        <f>SUMIFS($O$5:$O$692,$A$5:$A$692,A74,$B$5:$B$692,B74,$F$5:$F$692,"&lt;="&amp;F74)</f>
        <v/>
      </c>
      <c r="Q74" s="58">
        <f>0</f>
        <v/>
      </c>
      <c r="R74" s="58">
        <f>SUMIFS($Q$5:$Q$692,$A$5:$A$692,A74,$B$5:$B$692,B74,$F$5:$F$692,"&lt;="&amp;F74)</f>
        <v/>
      </c>
      <c r="S74" s="58">
        <f>0</f>
        <v/>
      </c>
      <c r="T74" s="58">
        <f>SUMIFS($S$5:$S$692,$A$5:$A$692,A74,$B$5:$B$692,B74,$F$5:$F$692,"&lt;="&amp;F74)</f>
        <v/>
      </c>
      <c r="U74" s="52">
        <f>'个人技术逐级'!O74</f>
        <v/>
      </c>
    </row>
    <row r="75">
      <c r="A75" s="33" t="inlineStr">
        <is>
          <t>个人技术</t>
        </is>
      </c>
      <c r="B75" s="33">
        <f>'个人技术逐级'!A75</f>
        <v/>
      </c>
      <c r="C75" s="33">
        <f>'个人技术逐级'!B75</f>
        <v/>
      </c>
      <c r="D75" s="33">
        <f>'个人技术逐级'!C75</f>
        <v/>
      </c>
      <c r="E75">
        <f>'个人技术逐级'!D75</f>
        <v/>
      </c>
      <c r="F75" s="54">
        <f>'个人技术逐级'!E75</f>
        <v/>
      </c>
      <c r="G75" s="55">
        <f>'个人技术逐级'!F75</f>
        <v/>
      </c>
      <c r="H75" s="56">
        <f>'个人技术逐级'!G75</f>
        <v/>
      </c>
      <c r="I75" s="52" t="inlineStr">
        <is>
          <t>个人技术计时升级</t>
        </is>
      </c>
      <c r="J75" s="57">
        <f>'个人技术逐级'!M75</f>
        <v/>
      </c>
      <c r="K75" s="35">
        <f>J75/3600</f>
        <v/>
      </c>
      <c r="L75" s="35">
        <f>SUMIFS($K$5:$K$692,$A$5:$A$692,A75,$B$5:$B$692,B75,$F$5:$F$692,"&lt;="&amp;F75)</f>
        <v/>
      </c>
      <c r="M75" s="58">
        <f>'个人技术逐级'!N75</f>
        <v/>
      </c>
      <c r="N75" s="58">
        <f>SUMIFS($M$5:$M$692,$A$5:$A$692,A75,$B$5:$B$692,B75,$F$5:$F$692,"&lt;="&amp;F75)</f>
        <v/>
      </c>
      <c r="O75" s="58">
        <f>0</f>
        <v/>
      </c>
      <c r="P75" s="58">
        <f>SUMIFS($O$5:$O$692,$A$5:$A$692,A75,$B$5:$B$692,B75,$F$5:$F$692,"&lt;="&amp;F75)</f>
        <v/>
      </c>
      <c r="Q75" s="58">
        <f>0</f>
        <v/>
      </c>
      <c r="R75" s="58">
        <f>SUMIFS($Q$5:$Q$692,$A$5:$A$692,A75,$B$5:$B$692,B75,$F$5:$F$692,"&lt;="&amp;F75)</f>
        <v/>
      </c>
      <c r="S75" s="58">
        <f>0</f>
        <v/>
      </c>
      <c r="T75" s="58">
        <f>SUMIFS($S$5:$S$692,$A$5:$A$692,A75,$B$5:$B$692,B75,$F$5:$F$692,"&lt;="&amp;F75)</f>
        <v/>
      </c>
      <c r="U75" s="52">
        <f>'个人技术逐级'!O75</f>
        <v/>
      </c>
    </row>
    <row r="76">
      <c r="A76" s="33" t="inlineStr">
        <is>
          <t>个人技术</t>
        </is>
      </c>
      <c r="B76" s="33">
        <f>'个人技术逐级'!A76</f>
        <v/>
      </c>
      <c r="C76" s="33">
        <f>'个人技术逐级'!B76</f>
        <v/>
      </c>
      <c r="D76" s="33">
        <f>'个人技术逐级'!C76</f>
        <v/>
      </c>
      <c r="E76">
        <f>'个人技术逐级'!D76</f>
        <v/>
      </c>
      <c r="F76" s="54">
        <f>'个人技术逐级'!E76</f>
        <v/>
      </c>
      <c r="G76" s="55">
        <f>'个人技术逐级'!F76</f>
        <v/>
      </c>
      <c r="H76" s="56">
        <f>'个人技术逐级'!G76</f>
        <v/>
      </c>
      <c r="I76" s="52" t="inlineStr">
        <is>
          <t>个人技术计时升级</t>
        </is>
      </c>
      <c r="J76" s="57">
        <f>'个人技术逐级'!M76</f>
        <v/>
      </c>
      <c r="K76" s="35">
        <f>J76/3600</f>
        <v/>
      </c>
      <c r="L76" s="35">
        <f>SUMIFS($K$5:$K$692,$A$5:$A$692,A76,$B$5:$B$692,B76,$F$5:$F$692,"&lt;="&amp;F76)</f>
        <v/>
      </c>
      <c r="M76" s="58">
        <f>'个人技术逐级'!N76</f>
        <v/>
      </c>
      <c r="N76" s="58">
        <f>SUMIFS($M$5:$M$692,$A$5:$A$692,A76,$B$5:$B$692,B76,$F$5:$F$692,"&lt;="&amp;F76)</f>
        <v/>
      </c>
      <c r="O76" s="58">
        <f>0</f>
        <v/>
      </c>
      <c r="P76" s="58">
        <f>SUMIFS($O$5:$O$692,$A$5:$A$692,A76,$B$5:$B$692,B76,$F$5:$F$692,"&lt;="&amp;F76)</f>
        <v/>
      </c>
      <c r="Q76" s="58">
        <f>0</f>
        <v/>
      </c>
      <c r="R76" s="58">
        <f>SUMIFS($Q$5:$Q$692,$A$5:$A$692,A76,$B$5:$B$692,B76,$F$5:$F$692,"&lt;="&amp;F76)</f>
        <v/>
      </c>
      <c r="S76" s="58">
        <f>0</f>
        <v/>
      </c>
      <c r="T76" s="58">
        <f>SUMIFS($S$5:$S$692,$A$5:$A$692,A76,$B$5:$B$692,B76,$F$5:$F$692,"&lt;="&amp;F76)</f>
        <v/>
      </c>
      <c r="U76" s="52">
        <f>'个人技术逐级'!O76</f>
        <v/>
      </c>
    </row>
    <row r="77">
      <c r="A77" s="33" t="inlineStr">
        <is>
          <t>个人技术</t>
        </is>
      </c>
      <c r="B77" s="33">
        <f>'个人技术逐级'!A77</f>
        <v/>
      </c>
      <c r="C77" s="33">
        <f>'个人技术逐级'!B77</f>
        <v/>
      </c>
      <c r="D77" s="33">
        <f>'个人技术逐级'!C77</f>
        <v/>
      </c>
      <c r="E77">
        <f>'个人技术逐级'!D77</f>
        <v/>
      </c>
      <c r="F77" s="54">
        <f>'个人技术逐级'!E77</f>
        <v/>
      </c>
      <c r="G77" s="55">
        <f>'个人技术逐级'!F77</f>
        <v/>
      </c>
      <c r="H77" s="56">
        <f>'个人技术逐级'!G77</f>
        <v/>
      </c>
      <c r="I77" s="52" t="inlineStr">
        <is>
          <t>个人技术计时升级</t>
        </is>
      </c>
      <c r="J77" s="57">
        <f>'个人技术逐级'!M77</f>
        <v/>
      </c>
      <c r="K77" s="35">
        <f>J77/3600</f>
        <v/>
      </c>
      <c r="L77" s="35">
        <f>SUMIFS($K$5:$K$692,$A$5:$A$692,A77,$B$5:$B$692,B77,$F$5:$F$692,"&lt;="&amp;F77)</f>
        <v/>
      </c>
      <c r="M77" s="58">
        <f>'个人技术逐级'!N77</f>
        <v/>
      </c>
      <c r="N77" s="58">
        <f>SUMIFS($M$5:$M$692,$A$5:$A$692,A77,$B$5:$B$692,B77,$F$5:$F$692,"&lt;="&amp;F77)</f>
        <v/>
      </c>
      <c r="O77" s="58">
        <f>0</f>
        <v/>
      </c>
      <c r="P77" s="58">
        <f>SUMIFS($O$5:$O$692,$A$5:$A$692,A77,$B$5:$B$692,B77,$F$5:$F$692,"&lt;="&amp;F77)</f>
        <v/>
      </c>
      <c r="Q77" s="58">
        <f>0</f>
        <v/>
      </c>
      <c r="R77" s="58">
        <f>SUMIFS($Q$5:$Q$692,$A$5:$A$692,A77,$B$5:$B$692,B77,$F$5:$F$692,"&lt;="&amp;F77)</f>
        <v/>
      </c>
      <c r="S77" s="58">
        <f>0</f>
        <v/>
      </c>
      <c r="T77" s="58">
        <f>SUMIFS($S$5:$S$692,$A$5:$A$692,A77,$B$5:$B$692,B77,$F$5:$F$692,"&lt;="&amp;F77)</f>
        <v/>
      </c>
      <c r="U77" s="52">
        <f>'个人技术逐级'!O77</f>
        <v/>
      </c>
    </row>
    <row r="78">
      <c r="A78" s="33" t="inlineStr">
        <is>
          <t>个人技术</t>
        </is>
      </c>
      <c r="B78" s="33">
        <f>'个人技术逐级'!A78</f>
        <v/>
      </c>
      <c r="C78" s="33">
        <f>'个人技术逐级'!B78</f>
        <v/>
      </c>
      <c r="D78" s="33">
        <f>'个人技术逐级'!C78</f>
        <v/>
      </c>
      <c r="E78">
        <f>'个人技术逐级'!D78</f>
        <v/>
      </c>
      <c r="F78" s="54">
        <f>'个人技术逐级'!E78</f>
        <v/>
      </c>
      <c r="G78" s="55">
        <f>'个人技术逐级'!F78</f>
        <v/>
      </c>
      <c r="H78" s="56">
        <f>'个人技术逐级'!G78</f>
        <v/>
      </c>
      <c r="I78" s="52" t="inlineStr">
        <is>
          <t>个人技术计时升级</t>
        </is>
      </c>
      <c r="J78" s="57">
        <f>'个人技术逐级'!M78</f>
        <v/>
      </c>
      <c r="K78" s="35">
        <f>J78/3600</f>
        <v/>
      </c>
      <c r="L78" s="35">
        <f>SUMIFS($K$5:$K$692,$A$5:$A$692,A78,$B$5:$B$692,B78,$F$5:$F$692,"&lt;="&amp;F78)</f>
        <v/>
      </c>
      <c r="M78" s="58">
        <f>'个人技术逐级'!N78</f>
        <v/>
      </c>
      <c r="N78" s="58">
        <f>SUMIFS($M$5:$M$692,$A$5:$A$692,A78,$B$5:$B$692,B78,$F$5:$F$692,"&lt;="&amp;F78)</f>
        <v/>
      </c>
      <c r="O78" s="58">
        <f>0</f>
        <v/>
      </c>
      <c r="P78" s="58">
        <f>SUMIFS($O$5:$O$692,$A$5:$A$692,A78,$B$5:$B$692,B78,$F$5:$F$692,"&lt;="&amp;F78)</f>
        <v/>
      </c>
      <c r="Q78" s="58">
        <f>0</f>
        <v/>
      </c>
      <c r="R78" s="58">
        <f>SUMIFS($Q$5:$Q$692,$A$5:$A$692,A78,$B$5:$B$692,B78,$F$5:$F$692,"&lt;="&amp;F78)</f>
        <v/>
      </c>
      <c r="S78" s="58">
        <f>0</f>
        <v/>
      </c>
      <c r="T78" s="58">
        <f>SUMIFS($S$5:$S$692,$A$5:$A$692,A78,$B$5:$B$692,B78,$F$5:$F$692,"&lt;="&amp;F78)</f>
        <v/>
      </c>
      <c r="U78" s="52">
        <f>'个人技术逐级'!O78</f>
        <v/>
      </c>
    </row>
    <row r="79">
      <c r="A79" s="33" t="inlineStr">
        <is>
          <t>个人技术</t>
        </is>
      </c>
      <c r="B79" s="33">
        <f>'个人技术逐级'!A79</f>
        <v/>
      </c>
      <c r="C79" s="33">
        <f>'个人技术逐级'!B79</f>
        <v/>
      </c>
      <c r="D79" s="33">
        <f>'个人技术逐级'!C79</f>
        <v/>
      </c>
      <c r="E79">
        <f>'个人技术逐级'!D79</f>
        <v/>
      </c>
      <c r="F79" s="54">
        <f>'个人技术逐级'!E79</f>
        <v/>
      </c>
      <c r="G79" s="55">
        <f>'个人技术逐级'!F79</f>
        <v/>
      </c>
      <c r="H79" s="56">
        <f>'个人技术逐级'!G79</f>
        <v/>
      </c>
      <c r="I79" s="52" t="inlineStr">
        <is>
          <t>个人技术计时升级</t>
        </is>
      </c>
      <c r="J79" s="57">
        <f>'个人技术逐级'!M79</f>
        <v/>
      </c>
      <c r="K79" s="35">
        <f>J79/3600</f>
        <v/>
      </c>
      <c r="L79" s="35">
        <f>SUMIFS($K$5:$K$692,$A$5:$A$692,A79,$B$5:$B$692,B79,$F$5:$F$692,"&lt;="&amp;F79)</f>
        <v/>
      </c>
      <c r="M79" s="58">
        <f>'个人技术逐级'!N79</f>
        <v/>
      </c>
      <c r="N79" s="58">
        <f>SUMIFS($M$5:$M$692,$A$5:$A$692,A79,$B$5:$B$692,B79,$F$5:$F$692,"&lt;="&amp;F79)</f>
        <v/>
      </c>
      <c r="O79" s="58">
        <f>0</f>
        <v/>
      </c>
      <c r="P79" s="58">
        <f>SUMIFS($O$5:$O$692,$A$5:$A$692,A79,$B$5:$B$692,B79,$F$5:$F$692,"&lt;="&amp;F79)</f>
        <v/>
      </c>
      <c r="Q79" s="58">
        <f>0</f>
        <v/>
      </c>
      <c r="R79" s="58">
        <f>SUMIFS($Q$5:$Q$692,$A$5:$A$692,A79,$B$5:$B$692,B79,$F$5:$F$692,"&lt;="&amp;F79)</f>
        <v/>
      </c>
      <c r="S79" s="58">
        <f>0</f>
        <v/>
      </c>
      <c r="T79" s="58">
        <f>SUMIFS($S$5:$S$692,$A$5:$A$692,A79,$B$5:$B$692,B79,$F$5:$F$692,"&lt;="&amp;F79)</f>
        <v/>
      </c>
      <c r="U79" s="52">
        <f>'个人技术逐级'!O79</f>
        <v/>
      </c>
    </row>
    <row r="80">
      <c r="A80" s="33" t="inlineStr">
        <is>
          <t>个人技术</t>
        </is>
      </c>
      <c r="B80" s="33">
        <f>'个人技术逐级'!A80</f>
        <v/>
      </c>
      <c r="C80" s="33">
        <f>'个人技术逐级'!B80</f>
        <v/>
      </c>
      <c r="D80" s="33">
        <f>'个人技术逐级'!C80</f>
        <v/>
      </c>
      <c r="E80">
        <f>'个人技术逐级'!D80</f>
        <v/>
      </c>
      <c r="F80" s="54">
        <f>'个人技术逐级'!E80</f>
        <v/>
      </c>
      <c r="G80" s="55">
        <f>'个人技术逐级'!F80</f>
        <v/>
      </c>
      <c r="H80" s="56">
        <f>'个人技术逐级'!G80</f>
        <v/>
      </c>
      <c r="I80" s="52" t="inlineStr">
        <is>
          <t>个人技术计时升级</t>
        </is>
      </c>
      <c r="J80" s="57">
        <f>'个人技术逐级'!M80</f>
        <v/>
      </c>
      <c r="K80" s="35">
        <f>J80/3600</f>
        <v/>
      </c>
      <c r="L80" s="35">
        <f>SUMIFS($K$5:$K$692,$A$5:$A$692,A80,$B$5:$B$692,B80,$F$5:$F$692,"&lt;="&amp;F80)</f>
        <v/>
      </c>
      <c r="M80" s="58">
        <f>'个人技术逐级'!N80</f>
        <v/>
      </c>
      <c r="N80" s="58">
        <f>SUMIFS($M$5:$M$692,$A$5:$A$692,A80,$B$5:$B$692,B80,$F$5:$F$692,"&lt;="&amp;F80)</f>
        <v/>
      </c>
      <c r="O80" s="58">
        <f>0</f>
        <v/>
      </c>
      <c r="P80" s="58">
        <f>SUMIFS($O$5:$O$692,$A$5:$A$692,A80,$B$5:$B$692,B80,$F$5:$F$692,"&lt;="&amp;F80)</f>
        <v/>
      </c>
      <c r="Q80" s="58">
        <f>0</f>
        <v/>
      </c>
      <c r="R80" s="58">
        <f>SUMIFS($Q$5:$Q$692,$A$5:$A$692,A80,$B$5:$B$692,B80,$F$5:$F$692,"&lt;="&amp;F80)</f>
        <v/>
      </c>
      <c r="S80" s="58">
        <f>0</f>
        <v/>
      </c>
      <c r="T80" s="58">
        <f>SUMIFS($S$5:$S$692,$A$5:$A$692,A80,$B$5:$B$692,B80,$F$5:$F$692,"&lt;="&amp;F80)</f>
        <v/>
      </c>
      <c r="U80" s="52">
        <f>'个人技术逐级'!O80</f>
        <v/>
      </c>
    </row>
    <row r="81">
      <c r="A81" s="33" t="inlineStr">
        <is>
          <t>个人技术</t>
        </is>
      </c>
      <c r="B81" s="33">
        <f>'个人技术逐级'!A81</f>
        <v/>
      </c>
      <c r="C81" s="33">
        <f>'个人技术逐级'!B81</f>
        <v/>
      </c>
      <c r="D81" s="33">
        <f>'个人技术逐级'!C81</f>
        <v/>
      </c>
      <c r="E81">
        <f>'个人技术逐级'!D81</f>
        <v/>
      </c>
      <c r="F81" s="54">
        <f>'个人技术逐级'!E81</f>
        <v/>
      </c>
      <c r="G81" s="55">
        <f>'个人技术逐级'!F81</f>
        <v/>
      </c>
      <c r="H81" s="56">
        <f>'个人技术逐级'!G81</f>
        <v/>
      </c>
      <c r="I81" s="52" t="inlineStr">
        <is>
          <t>个人技术计时升级</t>
        </is>
      </c>
      <c r="J81" s="57">
        <f>'个人技术逐级'!M81</f>
        <v/>
      </c>
      <c r="K81" s="35">
        <f>J81/3600</f>
        <v/>
      </c>
      <c r="L81" s="35">
        <f>SUMIFS($K$5:$K$692,$A$5:$A$692,A81,$B$5:$B$692,B81,$F$5:$F$692,"&lt;="&amp;F81)</f>
        <v/>
      </c>
      <c r="M81" s="58">
        <f>'个人技术逐级'!N81</f>
        <v/>
      </c>
      <c r="N81" s="58">
        <f>SUMIFS($M$5:$M$692,$A$5:$A$692,A81,$B$5:$B$692,B81,$F$5:$F$692,"&lt;="&amp;F81)</f>
        <v/>
      </c>
      <c r="O81" s="58">
        <f>0</f>
        <v/>
      </c>
      <c r="P81" s="58">
        <f>SUMIFS($O$5:$O$692,$A$5:$A$692,A81,$B$5:$B$692,B81,$F$5:$F$692,"&lt;="&amp;F81)</f>
        <v/>
      </c>
      <c r="Q81" s="58">
        <f>0</f>
        <v/>
      </c>
      <c r="R81" s="58">
        <f>SUMIFS($Q$5:$Q$692,$A$5:$A$692,A81,$B$5:$B$692,B81,$F$5:$F$692,"&lt;="&amp;F81)</f>
        <v/>
      </c>
      <c r="S81" s="58">
        <f>0</f>
        <v/>
      </c>
      <c r="T81" s="58">
        <f>SUMIFS($S$5:$S$692,$A$5:$A$692,A81,$B$5:$B$692,B81,$F$5:$F$692,"&lt;="&amp;F81)</f>
        <v/>
      </c>
      <c r="U81" s="52">
        <f>'个人技术逐级'!O81</f>
        <v/>
      </c>
    </row>
    <row r="82">
      <c r="A82" s="33" t="inlineStr">
        <is>
          <t>个人技术</t>
        </is>
      </c>
      <c r="B82" s="33">
        <f>'个人技术逐级'!A82</f>
        <v/>
      </c>
      <c r="C82" s="33">
        <f>'个人技术逐级'!B82</f>
        <v/>
      </c>
      <c r="D82" s="33">
        <f>'个人技术逐级'!C82</f>
        <v/>
      </c>
      <c r="E82">
        <f>'个人技术逐级'!D82</f>
        <v/>
      </c>
      <c r="F82" s="54">
        <f>'个人技术逐级'!E82</f>
        <v/>
      </c>
      <c r="G82" s="55">
        <f>'个人技术逐级'!F82</f>
        <v/>
      </c>
      <c r="H82" s="56">
        <f>'个人技术逐级'!G82</f>
        <v/>
      </c>
      <c r="I82" s="52" t="inlineStr">
        <is>
          <t>个人技术计时升级</t>
        </is>
      </c>
      <c r="J82" s="57">
        <f>'个人技术逐级'!M82</f>
        <v/>
      </c>
      <c r="K82" s="35">
        <f>J82/3600</f>
        <v/>
      </c>
      <c r="L82" s="35">
        <f>SUMIFS($K$5:$K$692,$A$5:$A$692,A82,$B$5:$B$692,B82,$F$5:$F$692,"&lt;="&amp;F82)</f>
        <v/>
      </c>
      <c r="M82" s="58">
        <f>'个人技术逐级'!N82</f>
        <v/>
      </c>
      <c r="N82" s="58">
        <f>SUMIFS($M$5:$M$692,$A$5:$A$692,A82,$B$5:$B$692,B82,$F$5:$F$692,"&lt;="&amp;F82)</f>
        <v/>
      </c>
      <c r="O82" s="58">
        <f>0</f>
        <v/>
      </c>
      <c r="P82" s="58">
        <f>SUMIFS($O$5:$O$692,$A$5:$A$692,A82,$B$5:$B$692,B82,$F$5:$F$692,"&lt;="&amp;F82)</f>
        <v/>
      </c>
      <c r="Q82" s="58">
        <f>0</f>
        <v/>
      </c>
      <c r="R82" s="58">
        <f>SUMIFS($Q$5:$Q$692,$A$5:$A$692,A82,$B$5:$B$692,B82,$F$5:$F$692,"&lt;="&amp;F82)</f>
        <v/>
      </c>
      <c r="S82" s="58">
        <f>0</f>
        <v/>
      </c>
      <c r="T82" s="58">
        <f>SUMIFS($S$5:$S$692,$A$5:$A$692,A82,$B$5:$B$692,B82,$F$5:$F$692,"&lt;="&amp;F82)</f>
        <v/>
      </c>
      <c r="U82" s="52">
        <f>'个人技术逐级'!O82</f>
        <v/>
      </c>
    </row>
    <row r="83">
      <c r="A83" s="33" t="inlineStr">
        <is>
          <t>个人技术</t>
        </is>
      </c>
      <c r="B83" s="33">
        <f>'个人技术逐级'!A83</f>
        <v/>
      </c>
      <c r="C83" s="33">
        <f>'个人技术逐级'!B83</f>
        <v/>
      </c>
      <c r="D83" s="33">
        <f>'个人技术逐级'!C83</f>
        <v/>
      </c>
      <c r="E83">
        <f>'个人技术逐级'!D83</f>
        <v/>
      </c>
      <c r="F83" s="54">
        <f>'个人技术逐级'!E83</f>
        <v/>
      </c>
      <c r="G83" s="55">
        <f>'个人技术逐级'!F83</f>
        <v/>
      </c>
      <c r="H83" s="56">
        <f>'个人技术逐级'!G83</f>
        <v/>
      </c>
      <c r="I83" s="52" t="inlineStr">
        <is>
          <t>个人技术计时升级</t>
        </is>
      </c>
      <c r="J83" s="57">
        <f>'个人技术逐级'!M83</f>
        <v/>
      </c>
      <c r="K83" s="35">
        <f>J83/3600</f>
        <v/>
      </c>
      <c r="L83" s="35">
        <f>SUMIFS($K$5:$K$692,$A$5:$A$692,A83,$B$5:$B$692,B83,$F$5:$F$692,"&lt;="&amp;F83)</f>
        <v/>
      </c>
      <c r="M83" s="58">
        <f>'个人技术逐级'!N83</f>
        <v/>
      </c>
      <c r="N83" s="58">
        <f>SUMIFS($M$5:$M$692,$A$5:$A$692,A83,$B$5:$B$692,B83,$F$5:$F$692,"&lt;="&amp;F83)</f>
        <v/>
      </c>
      <c r="O83" s="58">
        <f>0</f>
        <v/>
      </c>
      <c r="P83" s="58">
        <f>SUMIFS($O$5:$O$692,$A$5:$A$692,A83,$B$5:$B$692,B83,$F$5:$F$692,"&lt;="&amp;F83)</f>
        <v/>
      </c>
      <c r="Q83" s="58">
        <f>0</f>
        <v/>
      </c>
      <c r="R83" s="58">
        <f>SUMIFS($Q$5:$Q$692,$A$5:$A$692,A83,$B$5:$B$692,B83,$F$5:$F$692,"&lt;="&amp;F83)</f>
        <v/>
      </c>
      <c r="S83" s="58">
        <f>0</f>
        <v/>
      </c>
      <c r="T83" s="58">
        <f>SUMIFS($S$5:$S$692,$A$5:$A$692,A83,$B$5:$B$692,B83,$F$5:$F$692,"&lt;="&amp;F83)</f>
        <v/>
      </c>
      <c r="U83" s="52">
        <f>'个人技术逐级'!O83</f>
        <v/>
      </c>
    </row>
    <row r="84">
      <c r="A84" s="33" t="inlineStr">
        <is>
          <t>个人技术</t>
        </is>
      </c>
      <c r="B84" s="33">
        <f>'个人技术逐级'!A84</f>
        <v/>
      </c>
      <c r="C84" s="33">
        <f>'个人技术逐级'!B84</f>
        <v/>
      </c>
      <c r="D84" s="33">
        <f>'个人技术逐级'!C84</f>
        <v/>
      </c>
      <c r="E84">
        <f>'个人技术逐级'!D84</f>
        <v/>
      </c>
      <c r="F84" s="54">
        <f>'个人技术逐级'!E84</f>
        <v/>
      </c>
      <c r="G84" s="55">
        <f>'个人技术逐级'!F84</f>
        <v/>
      </c>
      <c r="H84" s="56">
        <f>'个人技术逐级'!G84</f>
        <v/>
      </c>
      <c r="I84" s="52" t="inlineStr">
        <is>
          <t>个人技术计时升级</t>
        </is>
      </c>
      <c r="J84" s="57">
        <f>'个人技术逐级'!M84</f>
        <v/>
      </c>
      <c r="K84" s="35">
        <f>J84/3600</f>
        <v/>
      </c>
      <c r="L84" s="35">
        <f>SUMIFS($K$5:$K$692,$A$5:$A$692,A84,$B$5:$B$692,B84,$F$5:$F$692,"&lt;="&amp;F84)</f>
        <v/>
      </c>
      <c r="M84" s="58">
        <f>'个人技术逐级'!N84</f>
        <v/>
      </c>
      <c r="N84" s="58">
        <f>SUMIFS($M$5:$M$692,$A$5:$A$692,A84,$B$5:$B$692,B84,$F$5:$F$692,"&lt;="&amp;F84)</f>
        <v/>
      </c>
      <c r="O84" s="58">
        <f>0</f>
        <v/>
      </c>
      <c r="P84" s="58">
        <f>SUMIFS($O$5:$O$692,$A$5:$A$692,A84,$B$5:$B$692,B84,$F$5:$F$692,"&lt;="&amp;F84)</f>
        <v/>
      </c>
      <c r="Q84" s="58">
        <f>0</f>
        <v/>
      </c>
      <c r="R84" s="58">
        <f>SUMIFS($Q$5:$Q$692,$A$5:$A$692,A84,$B$5:$B$692,B84,$F$5:$F$692,"&lt;="&amp;F84)</f>
        <v/>
      </c>
      <c r="S84" s="58">
        <f>0</f>
        <v/>
      </c>
      <c r="T84" s="58">
        <f>SUMIFS($S$5:$S$692,$A$5:$A$692,A84,$B$5:$B$692,B84,$F$5:$F$692,"&lt;="&amp;F84)</f>
        <v/>
      </c>
      <c r="U84" s="52">
        <f>'个人技术逐级'!O84</f>
        <v/>
      </c>
    </row>
    <row r="85">
      <c r="A85" s="33" t="inlineStr">
        <is>
          <t>个人技术</t>
        </is>
      </c>
      <c r="B85" s="33">
        <f>'个人技术逐级'!A85</f>
        <v/>
      </c>
      <c r="C85" s="33">
        <f>'个人技术逐级'!B85</f>
        <v/>
      </c>
      <c r="D85" s="33">
        <f>'个人技术逐级'!C85</f>
        <v/>
      </c>
      <c r="E85">
        <f>'个人技术逐级'!D85</f>
        <v/>
      </c>
      <c r="F85" s="54">
        <f>'个人技术逐级'!E85</f>
        <v/>
      </c>
      <c r="G85" s="55">
        <f>'个人技术逐级'!F85</f>
        <v/>
      </c>
      <c r="H85" s="56">
        <f>'个人技术逐级'!G85</f>
        <v/>
      </c>
      <c r="I85" s="52" t="inlineStr">
        <is>
          <t>个人技术计时升级</t>
        </is>
      </c>
      <c r="J85" s="57">
        <f>'个人技术逐级'!M85</f>
        <v/>
      </c>
      <c r="K85" s="35">
        <f>J85/3600</f>
        <v/>
      </c>
      <c r="L85" s="35">
        <f>SUMIFS($K$5:$K$692,$A$5:$A$692,A85,$B$5:$B$692,B85,$F$5:$F$692,"&lt;="&amp;F85)</f>
        <v/>
      </c>
      <c r="M85" s="58">
        <f>'个人技术逐级'!N85</f>
        <v/>
      </c>
      <c r="N85" s="58">
        <f>SUMIFS($M$5:$M$692,$A$5:$A$692,A85,$B$5:$B$692,B85,$F$5:$F$692,"&lt;="&amp;F85)</f>
        <v/>
      </c>
      <c r="O85" s="58">
        <f>0</f>
        <v/>
      </c>
      <c r="P85" s="58">
        <f>SUMIFS($O$5:$O$692,$A$5:$A$692,A85,$B$5:$B$692,B85,$F$5:$F$692,"&lt;="&amp;F85)</f>
        <v/>
      </c>
      <c r="Q85" s="58">
        <f>0</f>
        <v/>
      </c>
      <c r="R85" s="58">
        <f>SUMIFS($Q$5:$Q$692,$A$5:$A$692,A85,$B$5:$B$692,B85,$F$5:$F$692,"&lt;="&amp;F85)</f>
        <v/>
      </c>
      <c r="S85" s="58">
        <f>0</f>
        <v/>
      </c>
      <c r="T85" s="58">
        <f>SUMIFS($S$5:$S$692,$A$5:$A$692,A85,$B$5:$B$692,B85,$F$5:$F$692,"&lt;="&amp;F85)</f>
        <v/>
      </c>
      <c r="U85" s="52">
        <f>'个人技术逐级'!O85</f>
        <v/>
      </c>
    </row>
    <row r="86">
      <c r="A86" s="33" t="inlineStr">
        <is>
          <t>个人技术</t>
        </is>
      </c>
      <c r="B86" s="33">
        <f>'个人技术逐级'!A86</f>
        <v/>
      </c>
      <c r="C86" s="33">
        <f>'个人技术逐级'!B86</f>
        <v/>
      </c>
      <c r="D86" s="33">
        <f>'个人技术逐级'!C86</f>
        <v/>
      </c>
      <c r="E86">
        <f>'个人技术逐级'!D86</f>
        <v/>
      </c>
      <c r="F86" s="54">
        <f>'个人技术逐级'!E86</f>
        <v/>
      </c>
      <c r="G86" s="55">
        <f>'个人技术逐级'!F86</f>
        <v/>
      </c>
      <c r="H86" s="56">
        <f>'个人技术逐级'!G86</f>
        <v/>
      </c>
      <c r="I86" s="52" t="inlineStr">
        <is>
          <t>个人技术计时升级</t>
        </is>
      </c>
      <c r="J86" s="57">
        <f>'个人技术逐级'!M86</f>
        <v/>
      </c>
      <c r="K86" s="35">
        <f>J86/3600</f>
        <v/>
      </c>
      <c r="L86" s="35">
        <f>SUMIFS($K$5:$K$692,$A$5:$A$692,A86,$B$5:$B$692,B86,$F$5:$F$692,"&lt;="&amp;F86)</f>
        <v/>
      </c>
      <c r="M86" s="58">
        <f>'个人技术逐级'!N86</f>
        <v/>
      </c>
      <c r="N86" s="58">
        <f>SUMIFS($M$5:$M$692,$A$5:$A$692,A86,$B$5:$B$692,B86,$F$5:$F$692,"&lt;="&amp;F86)</f>
        <v/>
      </c>
      <c r="O86" s="58">
        <f>0</f>
        <v/>
      </c>
      <c r="P86" s="58">
        <f>SUMIFS($O$5:$O$692,$A$5:$A$692,A86,$B$5:$B$692,B86,$F$5:$F$692,"&lt;="&amp;F86)</f>
        <v/>
      </c>
      <c r="Q86" s="58">
        <f>0</f>
        <v/>
      </c>
      <c r="R86" s="58">
        <f>SUMIFS($Q$5:$Q$692,$A$5:$A$692,A86,$B$5:$B$692,B86,$F$5:$F$692,"&lt;="&amp;F86)</f>
        <v/>
      </c>
      <c r="S86" s="58">
        <f>0</f>
        <v/>
      </c>
      <c r="T86" s="58">
        <f>SUMIFS($S$5:$S$692,$A$5:$A$692,A86,$B$5:$B$692,B86,$F$5:$F$692,"&lt;="&amp;F86)</f>
        <v/>
      </c>
      <c r="U86" s="52">
        <f>'个人技术逐级'!O86</f>
        <v/>
      </c>
    </row>
    <row r="87">
      <c r="A87" s="33" t="inlineStr">
        <is>
          <t>个人技术</t>
        </is>
      </c>
      <c r="B87" s="33">
        <f>'个人技术逐级'!A87</f>
        <v/>
      </c>
      <c r="C87" s="33">
        <f>'个人技术逐级'!B87</f>
        <v/>
      </c>
      <c r="D87" s="33">
        <f>'个人技术逐级'!C87</f>
        <v/>
      </c>
      <c r="E87">
        <f>'个人技术逐级'!D87</f>
        <v/>
      </c>
      <c r="F87" s="54">
        <f>'个人技术逐级'!E87</f>
        <v/>
      </c>
      <c r="G87" s="55">
        <f>'个人技术逐级'!F87</f>
        <v/>
      </c>
      <c r="H87" s="56">
        <f>'个人技术逐级'!G87</f>
        <v/>
      </c>
      <c r="I87" s="52" t="inlineStr">
        <is>
          <t>个人技术计时升级</t>
        </is>
      </c>
      <c r="J87" s="57">
        <f>'个人技术逐级'!M87</f>
        <v/>
      </c>
      <c r="K87" s="35">
        <f>J87/3600</f>
        <v/>
      </c>
      <c r="L87" s="35">
        <f>SUMIFS($K$5:$K$692,$A$5:$A$692,A87,$B$5:$B$692,B87,$F$5:$F$692,"&lt;="&amp;F87)</f>
        <v/>
      </c>
      <c r="M87" s="58">
        <f>'个人技术逐级'!N87</f>
        <v/>
      </c>
      <c r="N87" s="58">
        <f>SUMIFS($M$5:$M$692,$A$5:$A$692,A87,$B$5:$B$692,B87,$F$5:$F$692,"&lt;="&amp;F87)</f>
        <v/>
      </c>
      <c r="O87" s="58">
        <f>0</f>
        <v/>
      </c>
      <c r="P87" s="58">
        <f>SUMIFS($O$5:$O$692,$A$5:$A$692,A87,$B$5:$B$692,B87,$F$5:$F$692,"&lt;="&amp;F87)</f>
        <v/>
      </c>
      <c r="Q87" s="58">
        <f>0</f>
        <v/>
      </c>
      <c r="R87" s="58">
        <f>SUMIFS($Q$5:$Q$692,$A$5:$A$692,A87,$B$5:$B$692,B87,$F$5:$F$692,"&lt;="&amp;F87)</f>
        <v/>
      </c>
      <c r="S87" s="58">
        <f>0</f>
        <v/>
      </c>
      <c r="T87" s="58">
        <f>SUMIFS($S$5:$S$692,$A$5:$A$692,A87,$B$5:$B$692,B87,$F$5:$F$692,"&lt;="&amp;F87)</f>
        <v/>
      </c>
      <c r="U87" s="52">
        <f>'个人技术逐级'!O87</f>
        <v/>
      </c>
    </row>
    <row r="88">
      <c r="A88" s="33" t="inlineStr">
        <is>
          <t>个人技术</t>
        </is>
      </c>
      <c r="B88" s="33">
        <f>'个人技术逐级'!A88</f>
        <v/>
      </c>
      <c r="C88" s="33">
        <f>'个人技术逐级'!B88</f>
        <v/>
      </c>
      <c r="D88" s="33">
        <f>'个人技术逐级'!C88</f>
        <v/>
      </c>
      <c r="E88">
        <f>'个人技术逐级'!D88</f>
        <v/>
      </c>
      <c r="F88" s="54">
        <f>'个人技术逐级'!E88</f>
        <v/>
      </c>
      <c r="G88" s="55">
        <f>'个人技术逐级'!F88</f>
        <v/>
      </c>
      <c r="H88" s="56">
        <f>'个人技术逐级'!G88</f>
        <v/>
      </c>
      <c r="I88" s="52" t="inlineStr">
        <is>
          <t>个人技术计时升级</t>
        </is>
      </c>
      <c r="J88" s="57">
        <f>'个人技术逐级'!M88</f>
        <v/>
      </c>
      <c r="K88" s="35">
        <f>J88/3600</f>
        <v/>
      </c>
      <c r="L88" s="35">
        <f>SUMIFS($K$5:$K$692,$A$5:$A$692,A88,$B$5:$B$692,B88,$F$5:$F$692,"&lt;="&amp;F88)</f>
        <v/>
      </c>
      <c r="M88" s="58">
        <f>'个人技术逐级'!N88</f>
        <v/>
      </c>
      <c r="N88" s="58">
        <f>SUMIFS($M$5:$M$692,$A$5:$A$692,A88,$B$5:$B$692,B88,$F$5:$F$692,"&lt;="&amp;F88)</f>
        <v/>
      </c>
      <c r="O88" s="58">
        <f>0</f>
        <v/>
      </c>
      <c r="P88" s="58">
        <f>SUMIFS($O$5:$O$692,$A$5:$A$692,A88,$B$5:$B$692,B88,$F$5:$F$692,"&lt;="&amp;F88)</f>
        <v/>
      </c>
      <c r="Q88" s="58">
        <f>0</f>
        <v/>
      </c>
      <c r="R88" s="58">
        <f>SUMIFS($Q$5:$Q$692,$A$5:$A$692,A88,$B$5:$B$692,B88,$F$5:$F$692,"&lt;="&amp;F88)</f>
        <v/>
      </c>
      <c r="S88" s="58">
        <f>0</f>
        <v/>
      </c>
      <c r="T88" s="58">
        <f>SUMIFS($S$5:$S$692,$A$5:$A$692,A88,$B$5:$B$692,B88,$F$5:$F$692,"&lt;="&amp;F88)</f>
        <v/>
      </c>
      <c r="U88" s="52">
        <f>'个人技术逐级'!O88</f>
        <v/>
      </c>
    </row>
    <row r="89">
      <c r="A89" s="33" t="inlineStr">
        <is>
          <t>个人技术</t>
        </is>
      </c>
      <c r="B89" s="33">
        <f>'个人技术逐级'!A89</f>
        <v/>
      </c>
      <c r="C89" s="33">
        <f>'个人技术逐级'!B89</f>
        <v/>
      </c>
      <c r="D89" s="33">
        <f>'个人技术逐级'!C89</f>
        <v/>
      </c>
      <c r="E89">
        <f>'个人技术逐级'!D89</f>
        <v/>
      </c>
      <c r="F89" s="54">
        <f>'个人技术逐级'!E89</f>
        <v/>
      </c>
      <c r="G89" s="55">
        <f>'个人技术逐级'!F89</f>
        <v/>
      </c>
      <c r="H89" s="56">
        <f>'个人技术逐级'!G89</f>
        <v/>
      </c>
      <c r="I89" s="52" t="inlineStr">
        <is>
          <t>个人技术计时升级</t>
        </is>
      </c>
      <c r="J89" s="57">
        <f>'个人技术逐级'!M89</f>
        <v/>
      </c>
      <c r="K89" s="35">
        <f>J89/3600</f>
        <v/>
      </c>
      <c r="L89" s="35">
        <f>SUMIFS($K$5:$K$692,$A$5:$A$692,A89,$B$5:$B$692,B89,$F$5:$F$692,"&lt;="&amp;F89)</f>
        <v/>
      </c>
      <c r="M89" s="58">
        <f>'个人技术逐级'!N89</f>
        <v/>
      </c>
      <c r="N89" s="58">
        <f>SUMIFS($M$5:$M$692,$A$5:$A$692,A89,$B$5:$B$692,B89,$F$5:$F$692,"&lt;="&amp;F89)</f>
        <v/>
      </c>
      <c r="O89" s="58">
        <f>0</f>
        <v/>
      </c>
      <c r="P89" s="58">
        <f>SUMIFS($O$5:$O$692,$A$5:$A$692,A89,$B$5:$B$692,B89,$F$5:$F$692,"&lt;="&amp;F89)</f>
        <v/>
      </c>
      <c r="Q89" s="58">
        <f>0</f>
        <v/>
      </c>
      <c r="R89" s="58">
        <f>SUMIFS($Q$5:$Q$692,$A$5:$A$692,A89,$B$5:$B$692,B89,$F$5:$F$692,"&lt;="&amp;F89)</f>
        <v/>
      </c>
      <c r="S89" s="58">
        <f>0</f>
        <v/>
      </c>
      <c r="T89" s="58">
        <f>SUMIFS($S$5:$S$692,$A$5:$A$692,A89,$B$5:$B$692,B89,$F$5:$F$692,"&lt;="&amp;F89)</f>
        <v/>
      </c>
      <c r="U89" s="52">
        <f>'个人技术逐级'!O89</f>
        <v/>
      </c>
    </row>
    <row r="90">
      <c r="A90" s="33" t="inlineStr">
        <is>
          <t>个人技术</t>
        </is>
      </c>
      <c r="B90" s="33">
        <f>'个人技术逐级'!A90</f>
        <v/>
      </c>
      <c r="C90" s="33">
        <f>'个人技术逐级'!B90</f>
        <v/>
      </c>
      <c r="D90" s="33">
        <f>'个人技术逐级'!C90</f>
        <v/>
      </c>
      <c r="E90">
        <f>'个人技术逐级'!D90</f>
        <v/>
      </c>
      <c r="F90" s="54">
        <f>'个人技术逐级'!E90</f>
        <v/>
      </c>
      <c r="G90" s="55">
        <f>'个人技术逐级'!F90</f>
        <v/>
      </c>
      <c r="H90" s="56">
        <f>'个人技术逐级'!G90</f>
        <v/>
      </c>
      <c r="I90" s="52" t="inlineStr">
        <is>
          <t>个人技术计时升级</t>
        </is>
      </c>
      <c r="J90" s="57">
        <f>'个人技术逐级'!M90</f>
        <v/>
      </c>
      <c r="K90" s="35">
        <f>J90/3600</f>
        <v/>
      </c>
      <c r="L90" s="35">
        <f>SUMIFS($K$5:$K$692,$A$5:$A$692,A90,$B$5:$B$692,B90,$F$5:$F$692,"&lt;="&amp;F90)</f>
        <v/>
      </c>
      <c r="M90" s="58">
        <f>'个人技术逐级'!N90</f>
        <v/>
      </c>
      <c r="N90" s="58">
        <f>SUMIFS($M$5:$M$692,$A$5:$A$692,A90,$B$5:$B$692,B90,$F$5:$F$692,"&lt;="&amp;F90)</f>
        <v/>
      </c>
      <c r="O90" s="58">
        <f>0</f>
        <v/>
      </c>
      <c r="P90" s="58">
        <f>SUMIFS($O$5:$O$692,$A$5:$A$692,A90,$B$5:$B$692,B90,$F$5:$F$692,"&lt;="&amp;F90)</f>
        <v/>
      </c>
      <c r="Q90" s="58">
        <f>0</f>
        <v/>
      </c>
      <c r="R90" s="58">
        <f>SUMIFS($Q$5:$Q$692,$A$5:$A$692,A90,$B$5:$B$692,B90,$F$5:$F$692,"&lt;="&amp;F90)</f>
        <v/>
      </c>
      <c r="S90" s="58">
        <f>0</f>
        <v/>
      </c>
      <c r="T90" s="58">
        <f>SUMIFS($S$5:$S$692,$A$5:$A$692,A90,$B$5:$B$692,B90,$F$5:$F$692,"&lt;="&amp;F90)</f>
        <v/>
      </c>
      <c r="U90" s="52">
        <f>'个人技术逐级'!O90</f>
        <v/>
      </c>
    </row>
    <row r="91">
      <c r="A91" s="33" t="inlineStr">
        <is>
          <t>个人技术</t>
        </is>
      </c>
      <c r="B91" s="33">
        <f>'个人技术逐级'!A91</f>
        <v/>
      </c>
      <c r="C91" s="33">
        <f>'个人技术逐级'!B91</f>
        <v/>
      </c>
      <c r="D91" s="33">
        <f>'个人技术逐级'!C91</f>
        <v/>
      </c>
      <c r="E91">
        <f>'个人技术逐级'!D91</f>
        <v/>
      </c>
      <c r="F91" s="54">
        <f>'个人技术逐级'!E91</f>
        <v/>
      </c>
      <c r="G91" s="55">
        <f>'个人技术逐级'!F91</f>
        <v/>
      </c>
      <c r="H91" s="56">
        <f>'个人技术逐级'!G91</f>
        <v/>
      </c>
      <c r="I91" s="52" t="inlineStr">
        <is>
          <t>个人技术计时升级</t>
        </is>
      </c>
      <c r="J91" s="57">
        <f>'个人技术逐级'!M91</f>
        <v/>
      </c>
      <c r="K91" s="35">
        <f>J91/3600</f>
        <v/>
      </c>
      <c r="L91" s="35">
        <f>SUMIFS($K$5:$K$692,$A$5:$A$692,A91,$B$5:$B$692,B91,$F$5:$F$692,"&lt;="&amp;F91)</f>
        <v/>
      </c>
      <c r="M91" s="58">
        <f>'个人技术逐级'!N91</f>
        <v/>
      </c>
      <c r="N91" s="58">
        <f>SUMIFS($M$5:$M$692,$A$5:$A$692,A91,$B$5:$B$692,B91,$F$5:$F$692,"&lt;="&amp;F91)</f>
        <v/>
      </c>
      <c r="O91" s="58">
        <f>0</f>
        <v/>
      </c>
      <c r="P91" s="58">
        <f>SUMIFS($O$5:$O$692,$A$5:$A$692,A91,$B$5:$B$692,B91,$F$5:$F$692,"&lt;="&amp;F91)</f>
        <v/>
      </c>
      <c r="Q91" s="58">
        <f>0</f>
        <v/>
      </c>
      <c r="R91" s="58">
        <f>SUMIFS($Q$5:$Q$692,$A$5:$A$692,A91,$B$5:$B$692,B91,$F$5:$F$692,"&lt;="&amp;F91)</f>
        <v/>
      </c>
      <c r="S91" s="58">
        <f>0</f>
        <v/>
      </c>
      <c r="T91" s="58">
        <f>SUMIFS($S$5:$S$692,$A$5:$A$692,A91,$B$5:$B$692,B91,$F$5:$F$692,"&lt;="&amp;F91)</f>
        <v/>
      </c>
      <c r="U91" s="52">
        <f>'个人技术逐级'!O91</f>
        <v/>
      </c>
    </row>
    <row r="92">
      <c r="A92" s="33" t="inlineStr">
        <is>
          <t>个人技术</t>
        </is>
      </c>
      <c r="B92" s="33">
        <f>'个人技术逐级'!A92</f>
        <v/>
      </c>
      <c r="C92" s="33">
        <f>'个人技术逐级'!B92</f>
        <v/>
      </c>
      <c r="D92" s="33">
        <f>'个人技术逐级'!C92</f>
        <v/>
      </c>
      <c r="E92">
        <f>'个人技术逐级'!D92</f>
        <v/>
      </c>
      <c r="F92" s="54">
        <f>'个人技术逐级'!E92</f>
        <v/>
      </c>
      <c r="G92" s="55">
        <f>'个人技术逐级'!F92</f>
        <v/>
      </c>
      <c r="H92" s="56">
        <f>'个人技术逐级'!G92</f>
        <v/>
      </c>
      <c r="I92" s="52" t="inlineStr">
        <is>
          <t>个人技术计时升级</t>
        </is>
      </c>
      <c r="J92" s="57">
        <f>'个人技术逐级'!M92</f>
        <v/>
      </c>
      <c r="K92" s="35">
        <f>J92/3600</f>
        <v/>
      </c>
      <c r="L92" s="35">
        <f>SUMIFS($K$5:$K$692,$A$5:$A$692,A92,$B$5:$B$692,B92,$F$5:$F$692,"&lt;="&amp;F92)</f>
        <v/>
      </c>
      <c r="M92" s="58">
        <f>'个人技术逐级'!N92</f>
        <v/>
      </c>
      <c r="N92" s="58">
        <f>SUMIFS($M$5:$M$692,$A$5:$A$692,A92,$B$5:$B$692,B92,$F$5:$F$692,"&lt;="&amp;F92)</f>
        <v/>
      </c>
      <c r="O92" s="58">
        <f>0</f>
        <v/>
      </c>
      <c r="P92" s="58">
        <f>SUMIFS($O$5:$O$692,$A$5:$A$692,A92,$B$5:$B$692,B92,$F$5:$F$692,"&lt;="&amp;F92)</f>
        <v/>
      </c>
      <c r="Q92" s="58">
        <f>0</f>
        <v/>
      </c>
      <c r="R92" s="58">
        <f>SUMIFS($Q$5:$Q$692,$A$5:$A$692,A92,$B$5:$B$692,B92,$F$5:$F$692,"&lt;="&amp;F92)</f>
        <v/>
      </c>
      <c r="S92" s="58">
        <f>0</f>
        <v/>
      </c>
      <c r="T92" s="58">
        <f>SUMIFS($S$5:$S$692,$A$5:$A$692,A92,$B$5:$B$692,B92,$F$5:$F$692,"&lt;="&amp;F92)</f>
        <v/>
      </c>
      <c r="U92" s="52">
        <f>'个人技术逐级'!O92</f>
        <v/>
      </c>
    </row>
    <row r="93">
      <c r="A93" s="33" t="inlineStr">
        <is>
          <t>个人技术</t>
        </is>
      </c>
      <c r="B93" s="33">
        <f>'个人技术逐级'!A93</f>
        <v/>
      </c>
      <c r="C93" s="33">
        <f>'个人技术逐级'!B93</f>
        <v/>
      </c>
      <c r="D93" s="33">
        <f>'个人技术逐级'!C93</f>
        <v/>
      </c>
      <c r="E93">
        <f>'个人技术逐级'!D93</f>
        <v/>
      </c>
      <c r="F93" s="54">
        <f>'个人技术逐级'!E93</f>
        <v/>
      </c>
      <c r="G93" s="55">
        <f>'个人技术逐级'!F93</f>
        <v/>
      </c>
      <c r="H93" s="56">
        <f>'个人技术逐级'!G93</f>
        <v/>
      </c>
      <c r="I93" s="52" t="inlineStr">
        <is>
          <t>个人技术计时升级</t>
        </is>
      </c>
      <c r="J93" s="57">
        <f>'个人技术逐级'!M93</f>
        <v/>
      </c>
      <c r="K93" s="35">
        <f>J93/3600</f>
        <v/>
      </c>
      <c r="L93" s="35">
        <f>SUMIFS($K$5:$K$692,$A$5:$A$692,A93,$B$5:$B$692,B93,$F$5:$F$692,"&lt;="&amp;F93)</f>
        <v/>
      </c>
      <c r="M93" s="58">
        <f>'个人技术逐级'!N93</f>
        <v/>
      </c>
      <c r="N93" s="58">
        <f>SUMIFS($M$5:$M$692,$A$5:$A$692,A93,$B$5:$B$692,B93,$F$5:$F$692,"&lt;="&amp;F93)</f>
        <v/>
      </c>
      <c r="O93" s="58">
        <f>0</f>
        <v/>
      </c>
      <c r="P93" s="58">
        <f>SUMIFS($O$5:$O$692,$A$5:$A$692,A93,$B$5:$B$692,B93,$F$5:$F$692,"&lt;="&amp;F93)</f>
        <v/>
      </c>
      <c r="Q93" s="58">
        <f>0</f>
        <v/>
      </c>
      <c r="R93" s="58">
        <f>SUMIFS($Q$5:$Q$692,$A$5:$A$692,A93,$B$5:$B$692,B93,$F$5:$F$692,"&lt;="&amp;F93)</f>
        <v/>
      </c>
      <c r="S93" s="58">
        <f>0</f>
        <v/>
      </c>
      <c r="T93" s="58">
        <f>SUMIFS($S$5:$S$692,$A$5:$A$692,A93,$B$5:$B$692,B93,$F$5:$F$692,"&lt;="&amp;F93)</f>
        <v/>
      </c>
      <c r="U93" s="52">
        <f>'个人技术逐级'!O93</f>
        <v/>
      </c>
    </row>
    <row r="94">
      <c r="A94" s="33" t="inlineStr">
        <is>
          <t>个人技术</t>
        </is>
      </c>
      <c r="B94" s="33">
        <f>'个人技术逐级'!A94</f>
        <v/>
      </c>
      <c r="C94" s="33">
        <f>'个人技术逐级'!B94</f>
        <v/>
      </c>
      <c r="D94" s="33">
        <f>'个人技术逐级'!C94</f>
        <v/>
      </c>
      <c r="E94">
        <f>'个人技术逐级'!D94</f>
        <v/>
      </c>
      <c r="F94" s="54">
        <f>'个人技术逐级'!E94</f>
        <v/>
      </c>
      <c r="G94" s="55">
        <f>'个人技术逐级'!F94</f>
        <v/>
      </c>
      <c r="H94" s="56">
        <f>'个人技术逐级'!G94</f>
        <v/>
      </c>
      <c r="I94" s="52" t="inlineStr">
        <is>
          <t>个人技术计时升级</t>
        </is>
      </c>
      <c r="J94" s="57">
        <f>'个人技术逐级'!M94</f>
        <v/>
      </c>
      <c r="K94" s="35">
        <f>J94/3600</f>
        <v/>
      </c>
      <c r="L94" s="35">
        <f>SUMIFS($K$5:$K$692,$A$5:$A$692,A94,$B$5:$B$692,B94,$F$5:$F$692,"&lt;="&amp;F94)</f>
        <v/>
      </c>
      <c r="M94" s="58">
        <f>'个人技术逐级'!N94</f>
        <v/>
      </c>
      <c r="N94" s="58">
        <f>SUMIFS($M$5:$M$692,$A$5:$A$692,A94,$B$5:$B$692,B94,$F$5:$F$692,"&lt;="&amp;F94)</f>
        <v/>
      </c>
      <c r="O94" s="58">
        <f>0</f>
        <v/>
      </c>
      <c r="P94" s="58">
        <f>SUMIFS($O$5:$O$692,$A$5:$A$692,A94,$B$5:$B$692,B94,$F$5:$F$692,"&lt;="&amp;F94)</f>
        <v/>
      </c>
      <c r="Q94" s="58">
        <f>0</f>
        <v/>
      </c>
      <c r="R94" s="58">
        <f>SUMIFS($Q$5:$Q$692,$A$5:$A$692,A94,$B$5:$B$692,B94,$F$5:$F$692,"&lt;="&amp;F94)</f>
        <v/>
      </c>
      <c r="S94" s="58">
        <f>0</f>
        <v/>
      </c>
      <c r="T94" s="58">
        <f>SUMIFS($S$5:$S$692,$A$5:$A$692,A94,$B$5:$B$692,B94,$F$5:$F$692,"&lt;="&amp;F94)</f>
        <v/>
      </c>
      <c r="U94" s="52">
        <f>'个人技术逐级'!O94</f>
        <v/>
      </c>
    </row>
    <row r="95">
      <c r="A95" s="33" t="inlineStr">
        <is>
          <t>个人技术</t>
        </is>
      </c>
      <c r="B95" s="33">
        <f>'个人技术逐级'!A95</f>
        <v/>
      </c>
      <c r="C95" s="33">
        <f>'个人技术逐级'!B95</f>
        <v/>
      </c>
      <c r="D95" s="33">
        <f>'个人技术逐级'!C95</f>
        <v/>
      </c>
      <c r="E95">
        <f>'个人技术逐级'!D95</f>
        <v/>
      </c>
      <c r="F95" s="54">
        <f>'个人技术逐级'!E95</f>
        <v/>
      </c>
      <c r="G95" s="55">
        <f>'个人技术逐级'!F95</f>
        <v/>
      </c>
      <c r="H95" s="56">
        <f>'个人技术逐级'!G95</f>
        <v/>
      </c>
      <c r="I95" s="52" t="inlineStr">
        <is>
          <t>个人技术计时升级</t>
        </is>
      </c>
      <c r="J95" s="57">
        <f>'个人技术逐级'!M95</f>
        <v/>
      </c>
      <c r="K95" s="35">
        <f>J95/3600</f>
        <v/>
      </c>
      <c r="L95" s="35">
        <f>SUMIFS($K$5:$K$692,$A$5:$A$692,A95,$B$5:$B$692,B95,$F$5:$F$692,"&lt;="&amp;F95)</f>
        <v/>
      </c>
      <c r="M95" s="58">
        <f>'个人技术逐级'!N95</f>
        <v/>
      </c>
      <c r="N95" s="58">
        <f>SUMIFS($M$5:$M$692,$A$5:$A$692,A95,$B$5:$B$692,B95,$F$5:$F$692,"&lt;="&amp;F95)</f>
        <v/>
      </c>
      <c r="O95" s="58">
        <f>0</f>
        <v/>
      </c>
      <c r="P95" s="58">
        <f>SUMIFS($O$5:$O$692,$A$5:$A$692,A95,$B$5:$B$692,B95,$F$5:$F$692,"&lt;="&amp;F95)</f>
        <v/>
      </c>
      <c r="Q95" s="58">
        <f>0</f>
        <v/>
      </c>
      <c r="R95" s="58">
        <f>SUMIFS($Q$5:$Q$692,$A$5:$A$692,A95,$B$5:$B$692,B95,$F$5:$F$692,"&lt;="&amp;F95)</f>
        <v/>
      </c>
      <c r="S95" s="58">
        <f>0</f>
        <v/>
      </c>
      <c r="T95" s="58">
        <f>SUMIFS($S$5:$S$692,$A$5:$A$692,A95,$B$5:$B$692,B95,$F$5:$F$692,"&lt;="&amp;F95)</f>
        <v/>
      </c>
      <c r="U95" s="52">
        <f>'个人技术逐级'!O95</f>
        <v/>
      </c>
    </row>
    <row r="96">
      <c r="A96" s="33" t="inlineStr">
        <is>
          <t>个人技术</t>
        </is>
      </c>
      <c r="B96" s="33">
        <f>'个人技术逐级'!A96</f>
        <v/>
      </c>
      <c r="C96" s="33">
        <f>'个人技术逐级'!B96</f>
        <v/>
      </c>
      <c r="D96" s="33">
        <f>'个人技术逐级'!C96</f>
        <v/>
      </c>
      <c r="E96">
        <f>'个人技术逐级'!D96</f>
        <v/>
      </c>
      <c r="F96" s="54">
        <f>'个人技术逐级'!E96</f>
        <v/>
      </c>
      <c r="G96" s="55">
        <f>'个人技术逐级'!F96</f>
        <v/>
      </c>
      <c r="H96" s="56">
        <f>'个人技术逐级'!G96</f>
        <v/>
      </c>
      <c r="I96" s="52" t="inlineStr">
        <is>
          <t>个人技术计时升级</t>
        </is>
      </c>
      <c r="J96" s="57">
        <f>'个人技术逐级'!M96</f>
        <v/>
      </c>
      <c r="K96" s="35">
        <f>J96/3600</f>
        <v/>
      </c>
      <c r="L96" s="35">
        <f>SUMIFS($K$5:$K$692,$A$5:$A$692,A96,$B$5:$B$692,B96,$F$5:$F$692,"&lt;="&amp;F96)</f>
        <v/>
      </c>
      <c r="M96" s="58">
        <f>'个人技术逐级'!N96</f>
        <v/>
      </c>
      <c r="N96" s="58">
        <f>SUMIFS($M$5:$M$692,$A$5:$A$692,A96,$B$5:$B$692,B96,$F$5:$F$692,"&lt;="&amp;F96)</f>
        <v/>
      </c>
      <c r="O96" s="58">
        <f>0</f>
        <v/>
      </c>
      <c r="P96" s="58">
        <f>SUMIFS($O$5:$O$692,$A$5:$A$692,A96,$B$5:$B$692,B96,$F$5:$F$692,"&lt;="&amp;F96)</f>
        <v/>
      </c>
      <c r="Q96" s="58">
        <f>0</f>
        <v/>
      </c>
      <c r="R96" s="58">
        <f>SUMIFS($Q$5:$Q$692,$A$5:$A$692,A96,$B$5:$B$692,B96,$F$5:$F$692,"&lt;="&amp;F96)</f>
        <v/>
      </c>
      <c r="S96" s="58">
        <f>0</f>
        <v/>
      </c>
      <c r="T96" s="58">
        <f>SUMIFS($S$5:$S$692,$A$5:$A$692,A96,$B$5:$B$692,B96,$F$5:$F$692,"&lt;="&amp;F96)</f>
        <v/>
      </c>
      <c r="U96" s="52">
        <f>'个人技术逐级'!O96</f>
        <v/>
      </c>
    </row>
    <row r="97">
      <c r="A97" s="33" t="inlineStr">
        <is>
          <t>个人技术</t>
        </is>
      </c>
      <c r="B97" s="33">
        <f>'个人技术逐级'!A97</f>
        <v/>
      </c>
      <c r="C97" s="33">
        <f>'个人技术逐级'!B97</f>
        <v/>
      </c>
      <c r="D97" s="33">
        <f>'个人技术逐级'!C97</f>
        <v/>
      </c>
      <c r="E97">
        <f>'个人技术逐级'!D97</f>
        <v/>
      </c>
      <c r="F97" s="54">
        <f>'个人技术逐级'!E97</f>
        <v/>
      </c>
      <c r="G97" s="55">
        <f>'个人技术逐级'!F97</f>
        <v/>
      </c>
      <c r="H97" s="56">
        <f>'个人技术逐级'!G97</f>
        <v/>
      </c>
      <c r="I97" s="52" t="inlineStr">
        <is>
          <t>个人技术计时升级</t>
        </is>
      </c>
      <c r="J97" s="57">
        <f>'个人技术逐级'!M97</f>
        <v/>
      </c>
      <c r="K97" s="35">
        <f>J97/3600</f>
        <v/>
      </c>
      <c r="L97" s="35">
        <f>SUMIFS($K$5:$K$692,$A$5:$A$692,A97,$B$5:$B$692,B97,$F$5:$F$692,"&lt;="&amp;F97)</f>
        <v/>
      </c>
      <c r="M97" s="58">
        <f>'个人技术逐级'!N97</f>
        <v/>
      </c>
      <c r="N97" s="58">
        <f>SUMIFS($M$5:$M$692,$A$5:$A$692,A97,$B$5:$B$692,B97,$F$5:$F$692,"&lt;="&amp;F97)</f>
        <v/>
      </c>
      <c r="O97" s="58">
        <f>0</f>
        <v/>
      </c>
      <c r="P97" s="58">
        <f>SUMIFS($O$5:$O$692,$A$5:$A$692,A97,$B$5:$B$692,B97,$F$5:$F$692,"&lt;="&amp;F97)</f>
        <v/>
      </c>
      <c r="Q97" s="58">
        <f>0</f>
        <v/>
      </c>
      <c r="R97" s="58">
        <f>SUMIFS($Q$5:$Q$692,$A$5:$A$692,A97,$B$5:$B$692,B97,$F$5:$F$692,"&lt;="&amp;F97)</f>
        <v/>
      </c>
      <c r="S97" s="58">
        <f>0</f>
        <v/>
      </c>
      <c r="T97" s="58">
        <f>SUMIFS($S$5:$S$692,$A$5:$A$692,A97,$B$5:$B$692,B97,$F$5:$F$692,"&lt;="&amp;F97)</f>
        <v/>
      </c>
      <c r="U97" s="52">
        <f>'个人技术逐级'!O97</f>
        <v/>
      </c>
    </row>
    <row r="98">
      <c r="A98" s="33" t="inlineStr">
        <is>
          <t>个人技术</t>
        </is>
      </c>
      <c r="B98" s="33">
        <f>'个人技术逐级'!A98</f>
        <v/>
      </c>
      <c r="C98" s="33">
        <f>'个人技术逐级'!B98</f>
        <v/>
      </c>
      <c r="D98" s="33">
        <f>'个人技术逐级'!C98</f>
        <v/>
      </c>
      <c r="E98">
        <f>'个人技术逐级'!D98</f>
        <v/>
      </c>
      <c r="F98" s="54">
        <f>'个人技术逐级'!E98</f>
        <v/>
      </c>
      <c r="G98" s="55">
        <f>'个人技术逐级'!F98</f>
        <v/>
      </c>
      <c r="H98" s="56">
        <f>'个人技术逐级'!G98</f>
        <v/>
      </c>
      <c r="I98" s="52" t="inlineStr">
        <is>
          <t>个人技术计时升级</t>
        </is>
      </c>
      <c r="J98" s="57">
        <f>'个人技术逐级'!M98</f>
        <v/>
      </c>
      <c r="K98" s="35">
        <f>J98/3600</f>
        <v/>
      </c>
      <c r="L98" s="35">
        <f>SUMIFS($K$5:$K$692,$A$5:$A$692,A98,$B$5:$B$692,B98,$F$5:$F$692,"&lt;="&amp;F98)</f>
        <v/>
      </c>
      <c r="M98" s="58">
        <f>'个人技术逐级'!N98</f>
        <v/>
      </c>
      <c r="N98" s="58">
        <f>SUMIFS($M$5:$M$692,$A$5:$A$692,A98,$B$5:$B$692,B98,$F$5:$F$692,"&lt;="&amp;F98)</f>
        <v/>
      </c>
      <c r="O98" s="58">
        <f>0</f>
        <v/>
      </c>
      <c r="P98" s="58">
        <f>SUMIFS($O$5:$O$692,$A$5:$A$692,A98,$B$5:$B$692,B98,$F$5:$F$692,"&lt;="&amp;F98)</f>
        <v/>
      </c>
      <c r="Q98" s="58">
        <f>0</f>
        <v/>
      </c>
      <c r="R98" s="58">
        <f>SUMIFS($Q$5:$Q$692,$A$5:$A$692,A98,$B$5:$B$692,B98,$F$5:$F$692,"&lt;="&amp;F98)</f>
        <v/>
      </c>
      <c r="S98" s="58">
        <f>0</f>
        <v/>
      </c>
      <c r="T98" s="58">
        <f>SUMIFS($S$5:$S$692,$A$5:$A$692,A98,$B$5:$B$692,B98,$F$5:$F$692,"&lt;="&amp;F98)</f>
        <v/>
      </c>
      <c r="U98" s="52">
        <f>'个人技术逐级'!O98</f>
        <v/>
      </c>
    </row>
    <row r="99">
      <c r="A99" s="33" t="inlineStr">
        <is>
          <t>个人技术</t>
        </is>
      </c>
      <c r="B99" s="33">
        <f>'个人技术逐级'!A99</f>
        <v/>
      </c>
      <c r="C99" s="33">
        <f>'个人技术逐级'!B99</f>
        <v/>
      </c>
      <c r="D99" s="33">
        <f>'个人技术逐级'!C99</f>
        <v/>
      </c>
      <c r="E99">
        <f>'个人技术逐级'!D99</f>
        <v/>
      </c>
      <c r="F99" s="54">
        <f>'个人技术逐级'!E99</f>
        <v/>
      </c>
      <c r="G99" s="55">
        <f>'个人技术逐级'!F99</f>
        <v/>
      </c>
      <c r="H99" s="56">
        <f>'个人技术逐级'!G99</f>
        <v/>
      </c>
      <c r="I99" s="52" t="inlineStr">
        <is>
          <t>个人技术计时升级</t>
        </is>
      </c>
      <c r="J99" s="57">
        <f>'个人技术逐级'!M99</f>
        <v/>
      </c>
      <c r="K99" s="35">
        <f>J99/3600</f>
        <v/>
      </c>
      <c r="L99" s="35">
        <f>SUMIFS($K$5:$K$692,$A$5:$A$692,A99,$B$5:$B$692,B99,$F$5:$F$692,"&lt;="&amp;F99)</f>
        <v/>
      </c>
      <c r="M99" s="58">
        <f>'个人技术逐级'!N99</f>
        <v/>
      </c>
      <c r="N99" s="58">
        <f>SUMIFS($M$5:$M$692,$A$5:$A$692,A99,$B$5:$B$692,B99,$F$5:$F$692,"&lt;="&amp;F99)</f>
        <v/>
      </c>
      <c r="O99" s="58">
        <f>0</f>
        <v/>
      </c>
      <c r="P99" s="58">
        <f>SUMIFS($O$5:$O$692,$A$5:$A$692,A99,$B$5:$B$692,B99,$F$5:$F$692,"&lt;="&amp;F99)</f>
        <v/>
      </c>
      <c r="Q99" s="58">
        <f>0</f>
        <v/>
      </c>
      <c r="R99" s="58">
        <f>SUMIFS($Q$5:$Q$692,$A$5:$A$692,A99,$B$5:$B$692,B99,$F$5:$F$692,"&lt;="&amp;F99)</f>
        <v/>
      </c>
      <c r="S99" s="58">
        <f>0</f>
        <v/>
      </c>
      <c r="T99" s="58">
        <f>SUMIFS($S$5:$S$692,$A$5:$A$692,A99,$B$5:$B$692,B99,$F$5:$F$692,"&lt;="&amp;F99)</f>
        <v/>
      </c>
      <c r="U99" s="52">
        <f>'个人技术逐级'!O99</f>
        <v/>
      </c>
    </row>
    <row r="100">
      <c r="A100" s="33" t="inlineStr">
        <is>
          <t>个人技术</t>
        </is>
      </c>
      <c r="B100" s="33">
        <f>'个人技术逐级'!A100</f>
        <v/>
      </c>
      <c r="C100" s="33">
        <f>'个人技术逐级'!B100</f>
        <v/>
      </c>
      <c r="D100" s="33">
        <f>'个人技术逐级'!C100</f>
        <v/>
      </c>
      <c r="E100">
        <f>'个人技术逐级'!D100</f>
        <v/>
      </c>
      <c r="F100" s="54">
        <f>'个人技术逐级'!E100</f>
        <v/>
      </c>
      <c r="G100" s="55">
        <f>'个人技术逐级'!F100</f>
        <v/>
      </c>
      <c r="H100" s="56">
        <f>'个人技术逐级'!G100</f>
        <v/>
      </c>
      <c r="I100" s="52" t="inlineStr">
        <is>
          <t>个人技术计时升级</t>
        </is>
      </c>
      <c r="J100" s="57">
        <f>'个人技术逐级'!M100</f>
        <v/>
      </c>
      <c r="K100" s="35">
        <f>J100/3600</f>
        <v/>
      </c>
      <c r="L100" s="35">
        <f>SUMIFS($K$5:$K$692,$A$5:$A$692,A100,$B$5:$B$692,B100,$F$5:$F$692,"&lt;="&amp;F100)</f>
        <v/>
      </c>
      <c r="M100" s="58">
        <f>'个人技术逐级'!N100</f>
        <v/>
      </c>
      <c r="N100" s="58">
        <f>SUMIFS($M$5:$M$692,$A$5:$A$692,A100,$B$5:$B$692,B100,$F$5:$F$692,"&lt;="&amp;F100)</f>
        <v/>
      </c>
      <c r="O100" s="58">
        <f>0</f>
        <v/>
      </c>
      <c r="P100" s="58">
        <f>SUMIFS($O$5:$O$692,$A$5:$A$692,A100,$B$5:$B$692,B100,$F$5:$F$692,"&lt;="&amp;F100)</f>
        <v/>
      </c>
      <c r="Q100" s="58">
        <f>0</f>
        <v/>
      </c>
      <c r="R100" s="58">
        <f>SUMIFS($Q$5:$Q$692,$A$5:$A$692,A100,$B$5:$B$692,B100,$F$5:$F$692,"&lt;="&amp;F100)</f>
        <v/>
      </c>
      <c r="S100" s="58">
        <f>0</f>
        <v/>
      </c>
      <c r="T100" s="58">
        <f>SUMIFS($S$5:$S$692,$A$5:$A$692,A100,$B$5:$B$692,B100,$F$5:$F$692,"&lt;="&amp;F100)</f>
        <v/>
      </c>
      <c r="U100" s="52">
        <f>'个人技术逐级'!O100</f>
        <v/>
      </c>
    </row>
    <row r="101">
      <c r="A101" s="33" t="inlineStr">
        <is>
          <t>个人技术</t>
        </is>
      </c>
      <c r="B101" s="33">
        <f>'个人技术逐级'!A101</f>
        <v/>
      </c>
      <c r="C101" s="33">
        <f>'个人技术逐级'!B101</f>
        <v/>
      </c>
      <c r="D101" s="33">
        <f>'个人技术逐级'!C101</f>
        <v/>
      </c>
      <c r="E101">
        <f>'个人技术逐级'!D101</f>
        <v/>
      </c>
      <c r="F101" s="54">
        <f>'个人技术逐级'!E101</f>
        <v/>
      </c>
      <c r="G101" s="55">
        <f>'个人技术逐级'!F101</f>
        <v/>
      </c>
      <c r="H101" s="56">
        <f>'个人技术逐级'!G101</f>
        <v/>
      </c>
      <c r="I101" s="52" t="inlineStr">
        <is>
          <t>个人技术计时升级</t>
        </is>
      </c>
      <c r="J101" s="57">
        <f>'个人技术逐级'!M101</f>
        <v/>
      </c>
      <c r="K101" s="35">
        <f>J101/3600</f>
        <v/>
      </c>
      <c r="L101" s="35">
        <f>SUMIFS($K$5:$K$692,$A$5:$A$692,A101,$B$5:$B$692,B101,$F$5:$F$692,"&lt;="&amp;F101)</f>
        <v/>
      </c>
      <c r="M101" s="58">
        <f>'个人技术逐级'!N101</f>
        <v/>
      </c>
      <c r="N101" s="58">
        <f>SUMIFS($M$5:$M$692,$A$5:$A$692,A101,$B$5:$B$692,B101,$F$5:$F$692,"&lt;="&amp;F101)</f>
        <v/>
      </c>
      <c r="O101" s="58">
        <f>0</f>
        <v/>
      </c>
      <c r="P101" s="58">
        <f>SUMIFS($O$5:$O$692,$A$5:$A$692,A101,$B$5:$B$692,B101,$F$5:$F$692,"&lt;="&amp;F101)</f>
        <v/>
      </c>
      <c r="Q101" s="58">
        <f>0</f>
        <v/>
      </c>
      <c r="R101" s="58">
        <f>SUMIFS($Q$5:$Q$692,$A$5:$A$692,A101,$B$5:$B$692,B101,$F$5:$F$692,"&lt;="&amp;F101)</f>
        <v/>
      </c>
      <c r="S101" s="58">
        <f>0</f>
        <v/>
      </c>
      <c r="T101" s="58">
        <f>SUMIFS($S$5:$S$692,$A$5:$A$692,A101,$B$5:$B$692,B101,$F$5:$F$692,"&lt;="&amp;F101)</f>
        <v/>
      </c>
      <c r="U101" s="52">
        <f>'个人技术逐级'!O101</f>
        <v/>
      </c>
    </row>
    <row r="102">
      <c r="A102" s="33" t="inlineStr">
        <is>
          <t>个人技术</t>
        </is>
      </c>
      <c r="B102" s="33">
        <f>'个人技术逐级'!A102</f>
        <v/>
      </c>
      <c r="C102" s="33">
        <f>'个人技术逐级'!B102</f>
        <v/>
      </c>
      <c r="D102" s="33">
        <f>'个人技术逐级'!C102</f>
        <v/>
      </c>
      <c r="E102">
        <f>'个人技术逐级'!D102</f>
        <v/>
      </c>
      <c r="F102" s="54">
        <f>'个人技术逐级'!E102</f>
        <v/>
      </c>
      <c r="G102" s="55">
        <f>'个人技术逐级'!F102</f>
        <v/>
      </c>
      <c r="H102" s="56">
        <f>'个人技术逐级'!G102</f>
        <v/>
      </c>
      <c r="I102" s="52" t="inlineStr">
        <is>
          <t>个人技术计时升级</t>
        </is>
      </c>
      <c r="J102" s="57">
        <f>'个人技术逐级'!M102</f>
        <v/>
      </c>
      <c r="K102" s="35">
        <f>J102/3600</f>
        <v/>
      </c>
      <c r="L102" s="35">
        <f>SUMIFS($K$5:$K$692,$A$5:$A$692,A102,$B$5:$B$692,B102,$F$5:$F$692,"&lt;="&amp;F102)</f>
        <v/>
      </c>
      <c r="M102" s="58">
        <f>'个人技术逐级'!N102</f>
        <v/>
      </c>
      <c r="N102" s="58">
        <f>SUMIFS($M$5:$M$692,$A$5:$A$692,A102,$B$5:$B$692,B102,$F$5:$F$692,"&lt;="&amp;F102)</f>
        <v/>
      </c>
      <c r="O102" s="58">
        <f>0</f>
        <v/>
      </c>
      <c r="P102" s="58">
        <f>SUMIFS($O$5:$O$692,$A$5:$A$692,A102,$B$5:$B$692,B102,$F$5:$F$692,"&lt;="&amp;F102)</f>
        <v/>
      </c>
      <c r="Q102" s="58">
        <f>0</f>
        <v/>
      </c>
      <c r="R102" s="58">
        <f>SUMIFS($Q$5:$Q$692,$A$5:$A$692,A102,$B$5:$B$692,B102,$F$5:$F$692,"&lt;="&amp;F102)</f>
        <v/>
      </c>
      <c r="S102" s="58">
        <f>0</f>
        <v/>
      </c>
      <c r="T102" s="58">
        <f>SUMIFS($S$5:$S$692,$A$5:$A$692,A102,$B$5:$B$692,B102,$F$5:$F$692,"&lt;="&amp;F102)</f>
        <v/>
      </c>
      <c r="U102" s="52">
        <f>'个人技术逐级'!O102</f>
        <v/>
      </c>
    </row>
    <row r="103">
      <c r="A103" s="33" t="inlineStr">
        <is>
          <t>个人技术</t>
        </is>
      </c>
      <c r="B103" s="33">
        <f>'个人技术逐级'!A103</f>
        <v/>
      </c>
      <c r="C103" s="33">
        <f>'个人技术逐级'!B103</f>
        <v/>
      </c>
      <c r="D103" s="33">
        <f>'个人技术逐级'!C103</f>
        <v/>
      </c>
      <c r="E103">
        <f>'个人技术逐级'!D103</f>
        <v/>
      </c>
      <c r="F103" s="54">
        <f>'个人技术逐级'!E103</f>
        <v/>
      </c>
      <c r="G103" s="55">
        <f>'个人技术逐级'!F103</f>
        <v/>
      </c>
      <c r="H103" s="56">
        <f>'个人技术逐级'!G103</f>
        <v/>
      </c>
      <c r="I103" s="52" t="inlineStr">
        <is>
          <t>个人技术计时升级</t>
        </is>
      </c>
      <c r="J103" s="57">
        <f>'个人技术逐级'!M103</f>
        <v/>
      </c>
      <c r="K103" s="35">
        <f>J103/3600</f>
        <v/>
      </c>
      <c r="L103" s="35">
        <f>SUMIFS($K$5:$K$692,$A$5:$A$692,A103,$B$5:$B$692,B103,$F$5:$F$692,"&lt;="&amp;F103)</f>
        <v/>
      </c>
      <c r="M103" s="58">
        <f>'个人技术逐级'!N103</f>
        <v/>
      </c>
      <c r="N103" s="58">
        <f>SUMIFS($M$5:$M$692,$A$5:$A$692,A103,$B$5:$B$692,B103,$F$5:$F$692,"&lt;="&amp;F103)</f>
        <v/>
      </c>
      <c r="O103" s="58">
        <f>0</f>
        <v/>
      </c>
      <c r="P103" s="58">
        <f>SUMIFS($O$5:$O$692,$A$5:$A$692,A103,$B$5:$B$692,B103,$F$5:$F$692,"&lt;="&amp;F103)</f>
        <v/>
      </c>
      <c r="Q103" s="58">
        <f>0</f>
        <v/>
      </c>
      <c r="R103" s="58">
        <f>SUMIFS($Q$5:$Q$692,$A$5:$A$692,A103,$B$5:$B$692,B103,$F$5:$F$692,"&lt;="&amp;F103)</f>
        <v/>
      </c>
      <c r="S103" s="58">
        <f>0</f>
        <v/>
      </c>
      <c r="T103" s="58">
        <f>SUMIFS($S$5:$S$692,$A$5:$A$692,A103,$B$5:$B$692,B103,$F$5:$F$692,"&lt;="&amp;F103)</f>
        <v/>
      </c>
      <c r="U103" s="52">
        <f>'个人技术逐级'!O103</f>
        <v/>
      </c>
    </row>
    <row r="104">
      <c r="A104" s="33" t="inlineStr">
        <is>
          <t>个人技术</t>
        </is>
      </c>
      <c r="B104" s="33">
        <f>'个人技术逐级'!A104</f>
        <v/>
      </c>
      <c r="C104" s="33">
        <f>'个人技术逐级'!B104</f>
        <v/>
      </c>
      <c r="D104" s="33">
        <f>'个人技术逐级'!C104</f>
        <v/>
      </c>
      <c r="E104">
        <f>'个人技术逐级'!D104</f>
        <v/>
      </c>
      <c r="F104" s="54">
        <f>'个人技术逐级'!E104</f>
        <v/>
      </c>
      <c r="G104" s="55">
        <f>'个人技术逐级'!F104</f>
        <v/>
      </c>
      <c r="H104" s="56">
        <f>'个人技术逐级'!G104</f>
        <v/>
      </c>
      <c r="I104" s="52" t="inlineStr">
        <is>
          <t>个人技术计时升级</t>
        </is>
      </c>
      <c r="J104" s="57">
        <f>'个人技术逐级'!M104</f>
        <v/>
      </c>
      <c r="K104" s="35">
        <f>J104/3600</f>
        <v/>
      </c>
      <c r="L104" s="35">
        <f>SUMIFS($K$5:$K$692,$A$5:$A$692,A104,$B$5:$B$692,B104,$F$5:$F$692,"&lt;="&amp;F104)</f>
        <v/>
      </c>
      <c r="M104" s="58">
        <f>'个人技术逐级'!N104</f>
        <v/>
      </c>
      <c r="N104" s="58">
        <f>SUMIFS($M$5:$M$692,$A$5:$A$692,A104,$B$5:$B$692,B104,$F$5:$F$692,"&lt;="&amp;F104)</f>
        <v/>
      </c>
      <c r="O104" s="58">
        <f>0</f>
        <v/>
      </c>
      <c r="P104" s="58">
        <f>SUMIFS($O$5:$O$692,$A$5:$A$692,A104,$B$5:$B$692,B104,$F$5:$F$692,"&lt;="&amp;F104)</f>
        <v/>
      </c>
      <c r="Q104" s="58">
        <f>0</f>
        <v/>
      </c>
      <c r="R104" s="58">
        <f>SUMIFS($Q$5:$Q$692,$A$5:$A$692,A104,$B$5:$B$692,B104,$F$5:$F$692,"&lt;="&amp;F104)</f>
        <v/>
      </c>
      <c r="S104" s="58">
        <f>0</f>
        <v/>
      </c>
      <c r="T104" s="58">
        <f>SUMIFS($S$5:$S$692,$A$5:$A$692,A104,$B$5:$B$692,B104,$F$5:$F$692,"&lt;="&amp;F104)</f>
        <v/>
      </c>
      <c r="U104" s="52">
        <f>'个人技术逐级'!O104</f>
        <v/>
      </c>
    </row>
    <row r="105">
      <c r="A105" s="33" t="inlineStr">
        <is>
          <t>个人技术</t>
        </is>
      </c>
      <c r="B105" s="33">
        <f>'个人技术逐级'!A105</f>
        <v/>
      </c>
      <c r="C105" s="33">
        <f>'个人技术逐级'!B105</f>
        <v/>
      </c>
      <c r="D105" s="33">
        <f>'个人技术逐级'!C105</f>
        <v/>
      </c>
      <c r="E105">
        <f>'个人技术逐级'!D105</f>
        <v/>
      </c>
      <c r="F105" s="54">
        <f>'个人技术逐级'!E105</f>
        <v/>
      </c>
      <c r="G105" s="55">
        <f>'个人技术逐级'!F105</f>
        <v/>
      </c>
      <c r="H105" s="56">
        <f>'个人技术逐级'!G105</f>
        <v/>
      </c>
      <c r="I105" s="52" t="inlineStr">
        <is>
          <t>个人技术计时升级</t>
        </is>
      </c>
      <c r="J105" s="57">
        <f>'个人技术逐级'!M105</f>
        <v/>
      </c>
      <c r="K105" s="35">
        <f>J105/3600</f>
        <v/>
      </c>
      <c r="L105" s="35">
        <f>SUMIFS($K$5:$K$692,$A$5:$A$692,A105,$B$5:$B$692,B105,$F$5:$F$692,"&lt;="&amp;F105)</f>
        <v/>
      </c>
      <c r="M105" s="58">
        <f>'个人技术逐级'!N105</f>
        <v/>
      </c>
      <c r="N105" s="58">
        <f>SUMIFS($M$5:$M$692,$A$5:$A$692,A105,$B$5:$B$692,B105,$F$5:$F$692,"&lt;="&amp;F105)</f>
        <v/>
      </c>
      <c r="O105" s="58">
        <f>0</f>
        <v/>
      </c>
      <c r="P105" s="58">
        <f>SUMIFS($O$5:$O$692,$A$5:$A$692,A105,$B$5:$B$692,B105,$F$5:$F$692,"&lt;="&amp;F105)</f>
        <v/>
      </c>
      <c r="Q105" s="58">
        <f>0</f>
        <v/>
      </c>
      <c r="R105" s="58">
        <f>SUMIFS($Q$5:$Q$692,$A$5:$A$692,A105,$B$5:$B$692,B105,$F$5:$F$692,"&lt;="&amp;F105)</f>
        <v/>
      </c>
      <c r="S105" s="58">
        <f>0</f>
        <v/>
      </c>
      <c r="T105" s="58">
        <f>SUMIFS($S$5:$S$692,$A$5:$A$692,A105,$B$5:$B$692,B105,$F$5:$F$692,"&lt;="&amp;F105)</f>
        <v/>
      </c>
      <c r="U105" s="52">
        <f>'个人技术逐级'!O105</f>
        <v/>
      </c>
    </row>
    <row r="106">
      <c r="A106" s="33" t="inlineStr">
        <is>
          <t>个人技术</t>
        </is>
      </c>
      <c r="B106" s="33">
        <f>'个人技术逐级'!A106</f>
        <v/>
      </c>
      <c r="C106" s="33">
        <f>'个人技术逐级'!B106</f>
        <v/>
      </c>
      <c r="D106" s="33">
        <f>'个人技术逐级'!C106</f>
        <v/>
      </c>
      <c r="E106">
        <f>'个人技术逐级'!D106</f>
        <v/>
      </c>
      <c r="F106" s="54">
        <f>'个人技术逐级'!E106</f>
        <v/>
      </c>
      <c r="G106" s="55">
        <f>'个人技术逐级'!F106</f>
        <v/>
      </c>
      <c r="H106" s="56">
        <f>'个人技术逐级'!G106</f>
        <v/>
      </c>
      <c r="I106" s="52" t="inlineStr">
        <is>
          <t>个人技术计时升级</t>
        </is>
      </c>
      <c r="J106" s="57">
        <f>'个人技术逐级'!M106</f>
        <v/>
      </c>
      <c r="K106" s="35">
        <f>J106/3600</f>
        <v/>
      </c>
      <c r="L106" s="35">
        <f>SUMIFS($K$5:$K$692,$A$5:$A$692,A106,$B$5:$B$692,B106,$F$5:$F$692,"&lt;="&amp;F106)</f>
        <v/>
      </c>
      <c r="M106" s="58">
        <f>'个人技术逐级'!N106</f>
        <v/>
      </c>
      <c r="N106" s="58">
        <f>SUMIFS($M$5:$M$692,$A$5:$A$692,A106,$B$5:$B$692,B106,$F$5:$F$692,"&lt;="&amp;F106)</f>
        <v/>
      </c>
      <c r="O106" s="58">
        <f>0</f>
        <v/>
      </c>
      <c r="P106" s="58">
        <f>SUMIFS($O$5:$O$692,$A$5:$A$692,A106,$B$5:$B$692,B106,$F$5:$F$692,"&lt;="&amp;F106)</f>
        <v/>
      </c>
      <c r="Q106" s="58">
        <f>0</f>
        <v/>
      </c>
      <c r="R106" s="58">
        <f>SUMIFS($Q$5:$Q$692,$A$5:$A$692,A106,$B$5:$B$692,B106,$F$5:$F$692,"&lt;="&amp;F106)</f>
        <v/>
      </c>
      <c r="S106" s="58">
        <f>0</f>
        <v/>
      </c>
      <c r="T106" s="58">
        <f>SUMIFS($S$5:$S$692,$A$5:$A$692,A106,$B$5:$B$692,B106,$F$5:$F$692,"&lt;="&amp;F106)</f>
        <v/>
      </c>
      <c r="U106" s="52">
        <f>'个人技术逐级'!O106</f>
        <v/>
      </c>
    </row>
    <row r="107">
      <c r="A107" s="33" t="inlineStr">
        <is>
          <t>个人技术</t>
        </is>
      </c>
      <c r="B107" s="33">
        <f>'个人技术逐级'!A107</f>
        <v/>
      </c>
      <c r="C107" s="33">
        <f>'个人技术逐级'!B107</f>
        <v/>
      </c>
      <c r="D107" s="33">
        <f>'个人技术逐级'!C107</f>
        <v/>
      </c>
      <c r="E107">
        <f>'个人技术逐级'!D107</f>
        <v/>
      </c>
      <c r="F107" s="54">
        <f>'个人技术逐级'!E107</f>
        <v/>
      </c>
      <c r="G107" s="55">
        <f>'个人技术逐级'!F107</f>
        <v/>
      </c>
      <c r="H107" s="56">
        <f>'个人技术逐级'!G107</f>
        <v/>
      </c>
      <c r="I107" s="52" t="inlineStr">
        <is>
          <t>个人技术计时升级</t>
        </is>
      </c>
      <c r="J107" s="57">
        <f>'个人技术逐级'!M107</f>
        <v/>
      </c>
      <c r="K107" s="35">
        <f>J107/3600</f>
        <v/>
      </c>
      <c r="L107" s="35">
        <f>SUMIFS($K$5:$K$692,$A$5:$A$692,A107,$B$5:$B$692,B107,$F$5:$F$692,"&lt;="&amp;F107)</f>
        <v/>
      </c>
      <c r="M107" s="58">
        <f>'个人技术逐级'!N107</f>
        <v/>
      </c>
      <c r="N107" s="58">
        <f>SUMIFS($M$5:$M$692,$A$5:$A$692,A107,$B$5:$B$692,B107,$F$5:$F$692,"&lt;="&amp;F107)</f>
        <v/>
      </c>
      <c r="O107" s="58">
        <f>0</f>
        <v/>
      </c>
      <c r="P107" s="58">
        <f>SUMIFS($O$5:$O$692,$A$5:$A$692,A107,$B$5:$B$692,B107,$F$5:$F$692,"&lt;="&amp;F107)</f>
        <v/>
      </c>
      <c r="Q107" s="58">
        <f>0</f>
        <v/>
      </c>
      <c r="R107" s="58">
        <f>SUMIFS($Q$5:$Q$692,$A$5:$A$692,A107,$B$5:$B$692,B107,$F$5:$F$692,"&lt;="&amp;F107)</f>
        <v/>
      </c>
      <c r="S107" s="58">
        <f>0</f>
        <v/>
      </c>
      <c r="T107" s="58">
        <f>SUMIFS($S$5:$S$692,$A$5:$A$692,A107,$B$5:$B$692,B107,$F$5:$F$692,"&lt;="&amp;F107)</f>
        <v/>
      </c>
      <c r="U107" s="52">
        <f>'个人技术逐级'!O107</f>
        <v/>
      </c>
    </row>
    <row r="108">
      <c r="A108" s="33" t="inlineStr">
        <is>
          <t>个人技术</t>
        </is>
      </c>
      <c r="B108" s="33">
        <f>'个人技术逐级'!A108</f>
        <v/>
      </c>
      <c r="C108" s="33">
        <f>'个人技术逐级'!B108</f>
        <v/>
      </c>
      <c r="D108" s="33">
        <f>'个人技术逐级'!C108</f>
        <v/>
      </c>
      <c r="E108">
        <f>'个人技术逐级'!D108</f>
        <v/>
      </c>
      <c r="F108" s="54">
        <f>'个人技术逐级'!E108</f>
        <v/>
      </c>
      <c r="G108" s="55">
        <f>'个人技术逐级'!F108</f>
        <v/>
      </c>
      <c r="H108" s="56">
        <f>'个人技术逐级'!G108</f>
        <v/>
      </c>
      <c r="I108" s="52" t="inlineStr">
        <is>
          <t>个人技术计时升级</t>
        </is>
      </c>
      <c r="J108" s="57">
        <f>'个人技术逐级'!M108</f>
        <v/>
      </c>
      <c r="K108" s="35">
        <f>J108/3600</f>
        <v/>
      </c>
      <c r="L108" s="35">
        <f>SUMIFS($K$5:$K$692,$A$5:$A$692,A108,$B$5:$B$692,B108,$F$5:$F$692,"&lt;="&amp;F108)</f>
        <v/>
      </c>
      <c r="M108" s="58">
        <f>'个人技术逐级'!N108</f>
        <v/>
      </c>
      <c r="N108" s="58">
        <f>SUMIFS($M$5:$M$692,$A$5:$A$692,A108,$B$5:$B$692,B108,$F$5:$F$692,"&lt;="&amp;F108)</f>
        <v/>
      </c>
      <c r="O108" s="58">
        <f>0</f>
        <v/>
      </c>
      <c r="P108" s="58">
        <f>SUMIFS($O$5:$O$692,$A$5:$A$692,A108,$B$5:$B$692,B108,$F$5:$F$692,"&lt;="&amp;F108)</f>
        <v/>
      </c>
      <c r="Q108" s="58">
        <f>0</f>
        <v/>
      </c>
      <c r="R108" s="58">
        <f>SUMIFS($Q$5:$Q$692,$A$5:$A$692,A108,$B$5:$B$692,B108,$F$5:$F$692,"&lt;="&amp;F108)</f>
        <v/>
      </c>
      <c r="S108" s="58">
        <f>0</f>
        <v/>
      </c>
      <c r="T108" s="58">
        <f>SUMIFS($S$5:$S$692,$A$5:$A$692,A108,$B$5:$B$692,B108,$F$5:$F$692,"&lt;="&amp;F108)</f>
        <v/>
      </c>
      <c r="U108" s="52">
        <f>'个人技术逐级'!O108</f>
        <v/>
      </c>
    </row>
    <row r="109">
      <c r="A109" s="33" t="inlineStr">
        <is>
          <t>个人技术</t>
        </is>
      </c>
      <c r="B109" s="33">
        <f>'个人技术逐级'!A109</f>
        <v/>
      </c>
      <c r="C109" s="33">
        <f>'个人技术逐级'!B109</f>
        <v/>
      </c>
      <c r="D109" s="33">
        <f>'个人技术逐级'!C109</f>
        <v/>
      </c>
      <c r="E109">
        <f>'个人技术逐级'!D109</f>
        <v/>
      </c>
      <c r="F109" s="54">
        <f>'个人技术逐级'!E109</f>
        <v/>
      </c>
      <c r="G109" s="55">
        <f>'个人技术逐级'!F109</f>
        <v/>
      </c>
      <c r="H109" s="56">
        <f>'个人技术逐级'!G109</f>
        <v/>
      </c>
      <c r="I109" s="52" t="inlineStr">
        <is>
          <t>个人技术计时升级</t>
        </is>
      </c>
      <c r="J109" s="57">
        <f>'个人技术逐级'!M109</f>
        <v/>
      </c>
      <c r="K109" s="35">
        <f>J109/3600</f>
        <v/>
      </c>
      <c r="L109" s="35">
        <f>SUMIFS($K$5:$K$692,$A$5:$A$692,A109,$B$5:$B$692,B109,$F$5:$F$692,"&lt;="&amp;F109)</f>
        <v/>
      </c>
      <c r="M109" s="58">
        <f>'个人技术逐级'!N109</f>
        <v/>
      </c>
      <c r="N109" s="58">
        <f>SUMIFS($M$5:$M$692,$A$5:$A$692,A109,$B$5:$B$692,B109,$F$5:$F$692,"&lt;="&amp;F109)</f>
        <v/>
      </c>
      <c r="O109" s="58">
        <f>0</f>
        <v/>
      </c>
      <c r="P109" s="58">
        <f>SUMIFS($O$5:$O$692,$A$5:$A$692,A109,$B$5:$B$692,B109,$F$5:$F$692,"&lt;="&amp;F109)</f>
        <v/>
      </c>
      <c r="Q109" s="58">
        <f>0</f>
        <v/>
      </c>
      <c r="R109" s="58">
        <f>SUMIFS($Q$5:$Q$692,$A$5:$A$692,A109,$B$5:$B$692,B109,$F$5:$F$692,"&lt;="&amp;F109)</f>
        <v/>
      </c>
      <c r="S109" s="58">
        <f>0</f>
        <v/>
      </c>
      <c r="T109" s="58">
        <f>SUMIFS($S$5:$S$692,$A$5:$A$692,A109,$B$5:$B$692,B109,$F$5:$F$692,"&lt;="&amp;F109)</f>
        <v/>
      </c>
      <c r="U109" s="52">
        <f>'个人技术逐级'!O109</f>
        <v/>
      </c>
    </row>
    <row r="110">
      <c r="A110" s="33" t="inlineStr">
        <is>
          <t>个人技术</t>
        </is>
      </c>
      <c r="B110" s="33">
        <f>'个人技术逐级'!A110</f>
        <v/>
      </c>
      <c r="C110" s="33">
        <f>'个人技术逐级'!B110</f>
        <v/>
      </c>
      <c r="D110" s="33">
        <f>'个人技术逐级'!C110</f>
        <v/>
      </c>
      <c r="E110">
        <f>'个人技术逐级'!D110</f>
        <v/>
      </c>
      <c r="F110" s="54">
        <f>'个人技术逐级'!E110</f>
        <v/>
      </c>
      <c r="G110" s="55">
        <f>'个人技术逐级'!F110</f>
        <v/>
      </c>
      <c r="H110" s="56">
        <f>'个人技术逐级'!G110</f>
        <v/>
      </c>
      <c r="I110" s="52" t="inlineStr">
        <is>
          <t>个人技术计时升级</t>
        </is>
      </c>
      <c r="J110" s="57">
        <f>'个人技术逐级'!M110</f>
        <v/>
      </c>
      <c r="K110" s="35">
        <f>J110/3600</f>
        <v/>
      </c>
      <c r="L110" s="35">
        <f>SUMIFS($K$5:$K$692,$A$5:$A$692,A110,$B$5:$B$692,B110,$F$5:$F$692,"&lt;="&amp;F110)</f>
        <v/>
      </c>
      <c r="M110" s="58">
        <f>'个人技术逐级'!N110</f>
        <v/>
      </c>
      <c r="N110" s="58">
        <f>SUMIFS($M$5:$M$692,$A$5:$A$692,A110,$B$5:$B$692,B110,$F$5:$F$692,"&lt;="&amp;F110)</f>
        <v/>
      </c>
      <c r="O110" s="58">
        <f>0</f>
        <v/>
      </c>
      <c r="P110" s="58">
        <f>SUMIFS($O$5:$O$692,$A$5:$A$692,A110,$B$5:$B$692,B110,$F$5:$F$692,"&lt;="&amp;F110)</f>
        <v/>
      </c>
      <c r="Q110" s="58">
        <f>0</f>
        <v/>
      </c>
      <c r="R110" s="58">
        <f>SUMIFS($Q$5:$Q$692,$A$5:$A$692,A110,$B$5:$B$692,B110,$F$5:$F$692,"&lt;="&amp;F110)</f>
        <v/>
      </c>
      <c r="S110" s="58">
        <f>0</f>
        <v/>
      </c>
      <c r="T110" s="58">
        <f>SUMIFS($S$5:$S$692,$A$5:$A$692,A110,$B$5:$B$692,B110,$F$5:$F$692,"&lt;="&amp;F110)</f>
        <v/>
      </c>
      <c r="U110" s="52">
        <f>'个人技术逐级'!O110</f>
        <v/>
      </c>
    </row>
    <row r="111">
      <c r="A111" s="33" t="inlineStr">
        <is>
          <t>个人技术</t>
        </is>
      </c>
      <c r="B111" s="33">
        <f>'个人技术逐级'!A111</f>
        <v/>
      </c>
      <c r="C111" s="33">
        <f>'个人技术逐级'!B111</f>
        <v/>
      </c>
      <c r="D111" s="33">
        <f>'个人技术逐级'!C111</f>
        <v/>
      </c>
      <c r="E111">
        <f>'个人技术逐级'!D111</f>
        <v/>
      </c>
      <c r="F111" s="54">
        <f>'个人技术逐级'!E111</f>
        <v/>
      </c>
      <c r="G111" s="55">
        <f>'个人技术逐级'!F111</f>
        <v/>
      </c>
      <c r="H111" s="56">
        <f>'个人技术逐级'!G111</f>
        <v/>
      </c>
      <c r="I111" s="52" t="inlineStr">
        <is>
          <t>个人技术计时升级</t>
        </is>
      </c>
      <c r="J111" s="57">
        <f>'个人技术逐级'!M111</f>
        <v/>
      </c>
      <c r="K111" s="35">
        <f>J111/3600</f>
        <v/>
      </c>
      <c r="L111" s="35">
        <f>SUMIFS($K$5:$K$692,$A$5:$A$692,A111,$B$5:$B$692,B111,$F$5:$F$692,"&lt;="&amp;F111)</f>
        <v/>
      </c>
      <c r="M111" s="58">
        <f>'个人技术逐级'!N111</f>
        <v/>
      </c>
      <c r="N111" s="58">
        <f>SUMIFS($M$5:$M$692,$A$5:$A$692,A111,$B$5:$B$692,B111,$F$5:$F$692,"&lt;="&amp;F111)</f>
        <v/>
      </c>
      <c r="O111" s="58">
        <f>0</f>
        <v/>
      </c>
      <c r="P111" s="58">
        <f>SUMIFS($O$5:$O$692,$A$5:$A$692,A111,$B$5:$B$692,B111,$F$5:$F$692,"&lt;="&amp;F111)</f>
        <v/>
      </c>
      <c r="Q111" s="58">
        <f>0</f>
        <v/>
      </c>
      <c r="R111" s="58">
        <f>SUMIFS($Q$5:$Q$692,$A$5:$A$692,A111,$B$5:$B$692,B111,$F$5:$F$692,"&lt;="&amp;F111)</f>
        <v/>
      </c>
      <c r="S111" s="58">
        <f>0</f>
        <v/>
      </c>
      <c r="T111" s="58">
        <f>SUMIFS($S$5:$S$692,$A$5:$A$692,A111,$B$5:$B$692,B111,$F$5:$F$692,"&lt;="&amp;F111)</f>
        <v/>
      </c>
      <c r="U111" s="52">
        <f>'个人技术逐级'!O111</f>
        <v/>
      </c>
    </row>
    <row r="112">
      <c r="A112" s="33" t="inlineStr">
        <is>
          <t>个人技术</t>
        </is>
      </c>
      <c r="B112" s="33">
        <f>'个人技术逐级'!A112</f>
        <v/>
      </c>
      <c r="C112" s="33">
        <f>'个人技术逐级'!B112</f>
        <v/>
      </c>
      <c r="D112" s="33">
        <f>'个人技术逐级'!C112</f>
        <v/>
      </c>
      <c r="E112">
        <f>'个人技术逐级'!D112</f>
        <v/>
      </c>
      <c r="F112" s="54">
        <f>'个人技术逐级'!E112</f>
        <v/>
      </c>
      <c r="G112" s="55">
        <f>'个人技术逐级'!F112</f>
        <v/>
      </c>
      <c r="H112" s="56">
        <f>'个人技术逐级'!G112</f>
        <v/>
      </c>
      <c r="I112" s="52" t="inlineStr">
        <is>
          <t>个人技术计时升级</t>
        </is>
      </c>
      <c r="J112" s="57">
        <f>'个人技术逐级'!M112</f>
        <v/>
      </c>
      <c r="K112" s="35">
        <f>J112/3600</f>
        <v/>
      </c>
      <c r="L112" s="35">
        <f>SUMIFS($K$5:$K$692,$A$5:$A$692,A112,$B$5:$B$692,B112,$F$5:$F$692,"&lt;="&amp;F112)</f>
        <v/>
      </c>
      <c r="M112" s="58">
        <f>'个人技术逐级'!N112</f>
        <v/>
      </c>
      <c r="N112" s="58">
        <f>SUMIFS($M$5:$M$692,$A$5:$A$692,A112,$B$5:$B$692,B112,$F$5:$F$692,"&lt;="&amp;F112)</f>
        <v/>
      </c>
      <c r="O112" s="58">
        <f>0</f>
        <v/>
      </c>
      <c r="P112" s="58">
        <f>SUMIFS($O$5:$O$692,$A$5:$A$692,A112,$B$5:$B$692,B112,$F$5:$F$692,"&lt;="&amp;F112)</f>
        <v/>
      </c>
      <c r="Q112" s="58">
        <f>0</f>
        <v/>
      </c>
      <c r="R112" s="58">
        <f>SUMIFS($Q$5:$Q$692,$A$5:$A$692,A112,$B$5:$B$692,B112,$F$5:$F$692,"&lt;="&amp;F112)</f>
        <v/>
      </c>
      <c r="S112" s="58">
        <f>0</f>
        <v/>
      </c>
      <c r="T112" s="58">
        <f>SUMIFS($S$5:$S$692,$A$5:$A$692,A112,$B$5:$B$692,B112,$F$5:$F$692,"&lt;="&amp;F112)</f>
        <v/>
      </c>
      <c r="U112" s="52">
        <f>'个人技术逐级'!O112</f>
        <v/>
      </c>
    </row>
    <row r="113">
      <c r="A113" s="33" t="inlineStr">
        <is>
          <t>个人技术</t>
        </is>
      </c>
      <c r="B113" s="33">
        <f>'个人技术逐级'!A113</f>
        <v/>
      </c>
      <c r="C113" s="33">
        <f>'个人技术逐级'!B113</f>
        <v/>
      </c>
      <c r="D113" s="33">
        <f>'个人技术逐级'!C113</f>
        <v/>
      </c>
      <c r="E113">
        <f>'个人技术逐级'!D113</f>
        <v/>
      </c>
      <c r="F113" s="54">
        <f>'个人技术逐级'!E113</f>
        <v/>
      </c>
      <c r="G113" s="55">
        <f>'个人技术逐级'!F113</f>
        <v/>
      </c>
      <c r="H113" s="56">
        <f>'个人技术逐级'!G113</f>
        <v/>
      </c>
      <c r="I113" s="52" t="inlineStr">
        <is>
          <t>个人技术计时升级</t>
        </is>
      </c>
      <c r="J113" s="57">
        <f>'个人技术逐级'!M113</f>
        <v/>
      </c>
      <c r="K113" s="35">
        <f>J113/3600</f>
        <v/>
      </c>
      <c r="L113" s="35">
        <f>SUMIFS($K$5:$K$692,$A$5:$A$692,A113,$B$5:$B$692,B113,$F$5:$F$692,"&lt;="&amp;F113)</f>
        <v/>
      </c>
      <c r="M113" s="58">
        <f>'个人技术逐级'!N113</f>
        <v/>
      </c>
      <c r="N113" s="58">
        <f>SUMIFS($M$5:$M$692,$A$5:$A$692,A113,$B$5:$B$692,B113,$F$5:$F$692,"&lt;="&amp;F113)</f>
        <v/>
      </c>
      <c r="O113" s="58">
        <f>0</f>
        <v/>
      </c>
      <c r="P113" s="58">
        <f>SUMIFS($O$5:$O$692,$A$5:$A$692,A113,$B$5:$B$692,B113,$F$5:$F$692,"&lt;="&amp;F113)</f>
        <v/>
      </c>
      <c r="Q113" s="58">
        <f>0</f>
        <v/>
      </c>
      <c r="R113" s="58">
        <f>SUMIFS($Q$5:$Q$692,$A$5:$A$692,A113,$B$5:$B$692,B113,$F$5:$F$692,"&lt;="&amp;F113)</f>
        <v/>
      </c>
      <c r="S113" s="58">
        <f>0</f>
        <v/>
      </c>
      <c r="T113" s="58">
        <f>SUMIFS($S$5:$S$692,$A$5:$A$692,A113,$B$5:$B$692,B113,$F$5:$F$692,"&lt;="&amp;F113)</f>
        <v/>
      </c>
      <c r="U113" s="52">
        <f>'个人技术逐级'!O113</f>
        <v/>
      </c>
    </row>
    <row r="114">
      <c r="A114" s="33" t="inlineStr">
        <is>
          <t>个人技术</t>
        </is>
      </c>
      <c r="B114" s="33">
        <f>'个人技术逐级'!A114</f>
        <v/>
      </c>
      <c r="C114" s="33">
        <f>'个人技术逐级'!B114</f>
        <v/>
      </c>
      <c r="D114" s="33">
        <f>'个人技术逐级'!C114</f>
        <v/>
      </c>
      <c r="E114">
        <f>'个人技术逐级'!D114</f>
        <v/>
      </c>
      <c r="F114" s="54">
        <f>'个人技术逐级'!E114</f>
        <v/>
      </c>
      <c r="G114" s="55">
        <f>'个人技术逐级'!F114</f>
        <v/>
      </c>
      <c r="H114" s="56">
        <f>'个人技术逐级'!G114</f>
        <v/>
      </c>
      <c r="I114" s="52" t="inlineStr">
        <is>
          <t>个人技术计时升级</t>
        </is>
      </c>
      <c r="J114" s="57">
        <f>'个人技术逐级'!M114</f>
        <v/>
      </c>
      <c r="K114" s="35">
        <f>J114/3600</f>
        <v/>
      </c>
      <c r="L114" s="35">
        <f>SUMIFS($K$5:$K$692,$A$5:$A$692,A114,$B$5:$B$692,B114,$F$5:$F$692,"&lt;="&amp;F114)</f>
        <v/>
      </c>
      <c r="M114" s="58">
        <f>'个人技术逐级'!N114</f>
        <v/>
      </c>
      <c r="N114" s="58">
        <f>SUMIFS($M$5:$M$692,$A$5:$A$692,A114,$B$5:$B$692,B114,$F$5:$F$692,"&lt;="&amp;F114)</f>
        <v/>
      </c>
      <c r="O114" s="58">
        <f>0</f>
        <v/>
      </c>
      <c r="P114" s="58">
        <f>SUMIFS($O$5:$O$692,$A$5:$A$692,A114,$B$5:$B$692,B114,$F$5:$F$692,"&lt;="&amp;F114)</f>
        <v/>
      </c>
      <c r="Q114" s="58">
        <f>0</f>
        <v/>
      </c>
      <c r="R114" s="58">
        <f>SUMIFS($Q$5:$Q$692,$A$5:$A$692,A114,$B$5:$B$692,B114,$F$5:$F$692,"&lt;="&amp;F114)</f>
        <v/>
      </c>
      <c r="S114" s="58">
        <f>0</f>
        <v/>
      </c>
      <c r="T114" s="58">
        <f>SUMIFS($S$5:$S$692,$A$5:$A$692,A114,$B$5:$B$692,B114,$F$5:$F$692,"&lt;="&amp;F114)</f>
        <v/>
      </c>
      <c r="U114" s="52">
        <f>'个人技术逐级'!O114</f>
        <v/>
      </c>
    </row>
    <row r="115">
      <c r="A115" s="33" t="inlineStr">
        <is>
          <t>个人技术</t>
        </is>
      </c>
      <c r="B115" s="33">
        <f>'个人技术逐级'!A115</f>
        <v/>
      </c>
      <c r="C115" s="33">
        <f>'个人技术逐级'!B115</f>
        <v/>
      </c>
      <c r="D115" s="33">
        <f>'个人技术逐级'!C115</f>
        <v/>
      </c>
      <c r="E115">
        <f>'个人技术逐级'!D115</f>
        <v/>
      </c>
      <c r="F115" s="54">
        <f>'个人技术逐级'!E115</f>
        <v/>
      </c>
      <c r="G115" s="55">
        <f>'个人技术逐级'!F115</f>
        <v/>
      </c>
      <c r="H115" s="56">
        <f>'个人技术逐级'!G115</f>
        <v/>
      </c>
      <c r="I115" s="52" t="inlineStr">
        <is>
          <t>个人技术计时升级</t>
        </is>
      </c>
      <c r="J115" s="57">
        <f>'个人技术逐级'!M115</f>
        <v/>
      </c>
      <c r="K115" s="35">
        <f>J115/3600</f>
        <v/>
      </c>
      <c r="L115" s="35">
        <f>SUMIFS($K$5:$K$692,$A$5:$A$692,A115,$B$5:$B$692,B115,$F$5:$F$692,"&lt;="&amp;F115)</f>
        <v/>
      </c>
      <c r="M115" s="58">
        <f>'个人技术逐级'!N115</f>
        <v/>
      </c>
      <c r="N115" s="58">
        <f>SUMIFS($M$5:$M$692,$A$5:$A$692,A115,$B$5:$B$692,B115,$F$5:$F$692,"&lt;="&amp;F115)</f>
        <v/>
      </c>
      <c r="O115" s="58">
        <f>0</f>
        <v/>
      </c>
      <c r="P115" s="58">
        <f>SUMIFS($O$5:$O$692,$A$5:$A$692,A115,$B$5:$B$692,B115,$F$5:$F$692,"&lt;="&amp;F115)</f>
        <v/>
      </c>
      <c r="Q115" s="58">
        <f>0</f>
        <v/>
      </c>
      <c r="R115" s="58">
        <f>SUMIFS($Q$5:$Q$692,$A$5:$A$692,A115,$B$5:$B$692,B115,$F$5:$F$692,"&lt;="&amp;F115)</f>
        <v/>
      </c>
      <c r="S115" s="58">
        <f>0</f>
        <v/>
      </c>
      <c r="T115" s="58">
        <f>SUMIFS($S$5:$S$692,$A$5:$A$692,A115,$B$5:$B$692,B115,$F$5:$F$692,"&lt;="&amp;F115)</f>
        <v/>
      </c>
      <c r="U115" s="52">
        <f>'个人技术逐级'!O115</f>
        <v/>
      </c>
    </row>
    <row r="116">
      <c r="A116" s="33" t="inlineStr">
        <is>
          <t>个人技术</t>
        </is>
      </c>
      <c r="B116" s="33">
        <f>'个人技术逐级'!A116</f>
        <v/>
      </c>
      <c r="C116" s="33">
        <f>'个人技术逐级'!B116</f>
        <v/>
      </c>
      <c r="D116" s="33">
        <f>'个人技术逐级'!C116</f>
        <v/>
      </c>
      <c r="E116">
        <f>'个人技术逐级'!D116</f>
        <v/>
      </c>
      <c r="F116" s="54">
        <f>'个人技术逐级'!E116</f>
        <v/>
      </c>
      <c r="G116" s="55">
        <f>'个人技术逐级'!F116</f>
        <v/>
      </c>
      <c r="H116" s="56">
        <f>'个人技术逐级'!G116</f>
        <v/>
      </c>
      <c r="I116" s="52" t="inlineStr">
        <is>
          <t>个人技术计时升级</t>
        </is>
      </c>
      <c r="J116" s="57">
        <f>'个人技术逐级'!M116</f>
        <v/>
      </c>
      <c r="K116" s="35">
        <f>J116/3600</f>
        <v/>
      </c>
      <c r="L116" s="35">
        <f>SUMIFS($K$5:$K$692,$A$5:$A$692,A116,$B$5:$B$692,B116,$F$5:$F$692,"&lt;="&amp;F116)</f>
        <v/>
      </c>
      <c r="M116" s="58">
        <f>'个人技术逐级'!N116</f>
        <v/>
      </c>
      <c r="N116" s="58">
        <f>SUMIFS($M$5:$M$692,$A$5:$A$692,A116,$B$5:$B$692,B116,$F$5:$F$692,"&lt;="&amp;F116)</f>
        <v/>
      </c>
      <c r="O116" s="58">
        <f>0</f>
        <v/>
      </c>
      <c r="P116" s="58">
        <f>SUMIFS($O$5:$O$692,$A$5:$A$692,A116,$B$5:$B$692,B116,$F$5:$F$692,"&lt;="&amp;F116)</f>
        <v/>
      </c>
      <c r="Q116" s="58">
        <f>0</f>
        <v/>
      </c>
      <c r="R116" s="58">
        <f>SUMIFS($Q$5:$Q$692,$A$5:$A$692,A116,$B$5:$B$692,B116,$F$5:$F$692,"&lt;="&amp;F116)</f>
        <v/>
      </c>
      <c r="S116" s="58">
        <f>0</f>
        <v/>
      </c>
      <c r="T116" s="58">
        <f>SUMIFS($S$5:$S$692,$A$5:$A$692,A116,$B$5:$B$692,B116,$F$5:$F$692,"&lt;="&amp;F116)</f>
        <v/>
      </c>
      <c r="U116" s="52">
        <f>'个人技术逐级'!O116</f>
        <v/>
      </c>
    </row>
    <row r="117">
      <c r="A117" s="33" t="inlineStr">
        <is>
          <t>个人技术</t>
        </is>
      </c>
      <c r="B117" s="33">
        <f>'个人技术逐级'!A117</f>
        <v/>
      </c>
      <c r="C117" s="33">
        <f>'个人技术逐级'!B117</f>
        <v/>
      </c>
      <c r="D117" s="33">
        <f>'个人技术逐级'!C117</f>
        <v/>
      </c>
      <c r="E117">
        <f>'个人技术逐级'!D117</f>
        <v/>
      </c>
      <c r="F117" s="54">
        <f>'个人技术逐级'!E117</f>
        <v/>
      </c>
      <c r="G117" s="55">
        <f>'个人技术逐级'!F117</f>
        <v/>
      </c>
      <c r="H117" s="56">
        <f>'个人技术逐级'!G117</f>
        <v/>
      </c>
      <c r="I117" s="52" t="inlineStr">
        <is>
          <t>个人技术计时升级</t>
        </is>
      </c>
      <c r="J117" s="57">
        <f>'个人技术逐级'!M117</f>
        <v/>
      </c>
      <c r="K117" s="35">
        <f>J117/3600</f>
        <v/>
      </c>
      <c r="L117" s="35">
        <f>SUMIFS($K$5:$K$692,$A$5:$A$692,A117,$B$5:$B$692,B117,$F$5:$F$692,"&lt;="&amp;F117)</f>
        <v/>
      </c>
      <c r="M117" s="58">
        <f>'个人技术逐级'!N117</f>
        <v/>
      </c>
      <c r="N117" s="58">
        <f>SUMIFS($M$5:$M$692,$A$5:$A$692,A117,$B$5:$B$692,B117,$F$5:$F$692,"&lt;="&amp;F117)</f>
        <v/>
      </c>
      <c r="O117" s="58">
        <f>0</f>
        <v/>
      </c>
      <c r="P117" s="58">
        <f>SUMIFS($O$5:$O$692,$A$5:$A$692,A117,$B$5:$B$692,B117,$F$5:$F$692,"&lt;="&amp;F117)</f>
        <v/>
      </c>
      <c r="Q117" s="58">
        <f>0</f>
        <v/>
      </c>
      <c r="R117" s="58">
        <f>SUMIFS($Q$5:$Q$692,$A$5:$A$692,A117,$B$5:$B$692,B117,$F$5:$F$692,"&lt;="&amp;F117)</f>
        <v/>
      </c>
      <c r="S117" s="58">
        <f>0</f>
        <v/>
      </c>
      <c r="T117" s="58">
        <f>SUMIFS($S$5:$S$692,$A$5:$A$692,A117,$B$5:$B$692,B117,$F$5:$F$692,"&lt;="&amp;F117)</f>
        <v/>
      </c>
      <c r="U117" s="52">
        <f>'个人技术逐级'!O117</f>
        <v/>
      </c>
    </row>
    <row r="118">
      <c r="A118" s="33" t="inlineStr">
        <is>
          <t>个人技术</t>
        </is>
      </c>
      <c r="B118" s="33">
        <f>'个人技术逐级'!A118</f>
        <v/>
      </c>
      <c r="C118" s="33">
        <f>'个人技术逐级'!B118</f>
        <v/>
      </c>
      <c r="D118" s="33">
        <f>'个人技术逐级'!C118</f>
        <v/>
      </c>
      <c r="E118">
        <f>'个人技术逐级'!D118</f>
        <v/>
      </c>
      <c r="F118" s="54">
        <f>'个人技术逐级'!E118</f>
        <v/>
      </c>
      <c r="G118" s="55">
        <f>'个人技术逐级'!F118</f>
        <v/>
      </c>
      <c r="H118" s="56">
        <f>'个人技术逐级'!G118</f>
        <v/>
      </c>
      <c r="I118" s="52" t="inlineStr">
        <is>
          <t>个人技术计时升级</t>
        </is>
      </c>
      <c r="J118" s="57">
        <f>'个人技术逐级'!M118</f>
        <v/>
      </c>
      <c r="K118" s="35">
        <f>J118/3600</f>
        <v/>
      </c>
      <c r="L118" s="35">
        <f>SUMIFS($K$5:$K$692,$A$5:$A$692,A118,$B$5:$B$692,B118,$F$5:$F$692,"&lt;="&amp;F118)</f>
        <v/>
      </c>
      <c r="M118" s="58">
        <f>'个人技术逐级'!N118</f>
        <v/>
      </c>
      <c r="N118" s="58">
        <f>SUMIFS($M$5:$M$692,$A$5:$A$692,A118,$B$5:$B$692,B118,$F$5:$F$692,"&lt;="&amp;F118)</f>
        <v/>
      </c>
      <c r="O118" s="58">
        <f>0</f>
        <v/>
      </c>
      <c r="P118" s="58">
        <f>SUMIFS($O$5:$O$692,$A$5:$A$692,A118,$B$5:$B$692,B118,$F$5:$F$692,"&lt;="&amp;F118)</f>
        <v/>
      </c>
      <c r="Q118" s="58">
        <f>0</f>
        <v/>
      </c>
      <c r="R118" s="58">
        <f>SUMIFS($Q$5:$Q$692,$A$5:$A$692,A118,$B$5:$B$692,B118,$F$5:$F$692,"&lt;="&amp;F118)</f>
        <v/>
      </c>
      <c r="S118" s="58">
        <f>0</f>
        <v/>
      </c>
      <c r="T118" s="58">
        <f>SUMIFS($S$5:$S$692,$A$5:$A$692,A118,$B$5:$B$692,B118,$F$5:$F$692,"&lt;="&amp;F118)</f>
        <v/>
      </c>
      <c r="U118" s="52">
        <f>'个人技术逐级'!O118</f>
        <v/>
      </c>
    </row>
    <row r="119">
      <c r="A119" s="33" t="inlineStr">
        <is>
          <t>个人技术</t>
        </is>
      </c>
      <c r="B119" s="33">
        <f>'个人技术逐级'!A119</f>
        <v/>
      </c>
      <c r="C119" s="33">
        <f>'个人技术逐级'!B119</f>
        <v/>
      </c>
      <c r="D119" s="33">
        <f>'个人技术逐级'!C119</f>
        <v/>
      </c>
      <c r="E119">
        <f>'个人技术逐级'!D119</f>
        <v/>
      </c>
      <c r="F119" s="54">
        <f>'个人技术逐级'!E119</f>
        <v/>
      </c>
      <c r="G119" s="55">
        <f>'个人技术逐级'!F119</f>
        <v/>
      </c>
      <c r="H119" s="56">
        <f>'个人技术逐级'!G119</f>
        <v/>
      </c>
      <c r="I119" s="52" t="inlineStr">
        <is>
          <t>个人技术计时升级</t>
        </is>
      </c>
      <c r="J119" s="57">
        <f>'个人技术逐级'!M119</f>
        <v/>
      </c>
      <c r="K119" s="35">
        <f>J119/3600</f>
        <v/>
      </c>
      <c r="L119" s="35">
        <f>SUMIFS($K$5:$K$692,$A$5:$A$692,A119,$B$5:$B$692,B119,$F$5:$F$692,"&lt;="&amp;F119)</f>
        <v/>
      </c>
      <c r="M119" s="58">
        <f>'个人技术逐级'!N119</f>
        <v/>
      </c>
      <c r="N119" s="58">
        <f>SUMIFS($M$5:$M$692,$A$5:$A$692,A119,$B$5:$B$692,B119,$F$5:$F$692,"&lt;="&amp;F119)</f>
        <v/>
      </c>
      <c r="O119" s="58">
        <f>0</f>
        <v/>
      </c>
      <c r="P119" s="58">
        <f>SUMIFS($O$5:$O$692,$A$5:$A$692,A119,$B$5:$B$692,B119,$F$5:$F$692,"&lt;="&amp;F119)</f>
        <v/>
      </c>
      <c r="Q119" s="58">
        <f>0</f>
        <v/>
      </c>
      <c r="R119" s="58">
        <f>SUMIFS($Q$5:$Q$692,$A$5:$A$692,A119,$B$5:$B$692,B119,$F$5:$F$692,"&lt;="&amp;F119)</f>
        <v/>
      </c>
      <c r="S119" s="58">
        <f>0</f>
        <v/>
      </c>
      <c r="T119" s="58">
        <f>SUMIFS($S$5:$S$692,$A$5:$A$692,A119,$B$5:$B$692,B119,$F$5:$F$692,"&lt;="&amp;F119)</f>
        <v/>
      </c>
      <c r="U119" s="52">
        <f>'个人技术逐级'!O119</f>
        <v/>
      </c>
    </row>
    <row r="120">
      <c r="A120" s="33" t="inlineStr">
        <is>
          <t>个人技术</t>
        </is>
      </c>
      <c r="B120" s="33">
        <f>'个人技术逐级'!A120</f>
        <v/>
      </c>
      <c r="C120" s="33">
        <f>'个人技术逐级'!B120</f>
        <v/>
      </c>
      <c r="D120" s="33">
        <f>'个人技术逐级'!C120</f>
        <v/>
      </c>
      <c r="E120">
        <f>'个人技术逐级'!D120</f>
        <v/>
      </c>
      <c r="F120" s="54">
        <f>'个人技术逐级'!E120</f>
        <v/>
      </c>
      <c r="G120" s="55">
        <f>'个人技术逐级'!F120</f>
        <v/>
      </c>
      <c r="H120" s="56">
        <f>'个人技术逐级'!G120</f>
        <v/>
      </c>
      <c r="I120" s="52" t="inlineStr">
        <is>
          <t>个人技术计时升级</t>
        </is>
      </c>
      <c r="J120" s="57">
        <f>'个人技术逐级'!M120</f>
        <v/>
      </c>
      <c r="K120" s="35">
        <f>J120/3600</f>
        <v/>
      </c>
      <c r="L120" s="35">
        <f>SUMIFS($K$5:$K$692,$A$5:$A$692,A120,$B$5:$B$692,B120,$F$5:$F$692,"&lt;="&amp;F120)</f>
        <v/>
      </c>
      <c r="M120" s="58">
        <f>'个人技术逐级'!N120</f>
        <v/>
      </c>
      <c r="N120" s="58">
        <f>SUMIFS($M$5:$M$692,$A$5:$A$692,A120,$B$5:$B$692,B120,$F$5:$F$692,"&lt;="&amp;F120)</f>
        <v/>
      </c>
      <c r="O120" s="58">
        <f>0</f>
        <v/>
      </c>
      <c r="P120" s="58">
        <f>SUMIFS($O$5:$O$692,$A$5:$A$692,A120,$B$5:$B$692,B120,$F$5:$F$692,"&lt;="&amp;F120)</f>
        <v/>
      </c>
      <c r="Q120" s="58">
        <f>0</f>
        <v/>
      </c>
      <c r="R120" s="58">
        <f>SUMIFS($Q$5:$Q$692,$A$5:$A$692,A120,$B$5:$B$692,B120,$F$5:$F$692,"&lt;="&amp;F120)</f>
        <v/>
      </c>
      <c r="S120" s="58">
        <f>0</f>
        <v/>
      </c>
      <c r="T120" s="58">
        <f>SUMIFS($S$5:$S$692,$A$5:$A$692,A120,$B$5:$B$692,B120,$F$5:$F$692,"&lt;="&amp;F120)</f>
        <v/>
      </c>
      <c r="U120" s="52">
        <f>'个人技术逐级'!O120</f>
        <v/>
      </c>
    </row>
    <row r="121">
      <c r="A121" s="33" t="inlineStr">
        <is>
          <t>个人技术</t>
        </is>
      </c>
      <c r="B121" s="33">
        <f>'个人技术逐级'!A121</f>
        <v/>
      </c>
      <c r="C121" s="33">
        <f>'个人技术逐级'!B121</f>
        <v/>
      </c>
      <c r="D121" s="33">
        <f>'个人技术逐级'!C121</f>
        <v/>
      </c>
      <c r="E121">
        <f>'个人技术逐级'!D121</f>
        <v/>
      </c>
      <c r="F121" s="54">
        <f>'个人技术逐级'!E121</f>
        <v/>
      </c>
      <c r="G121" s="55">
        <f>'个人技术逐级'!F121</f>
        <v/>
      </c>
      <c r="H121" s="56">
        <f>'个人技术逐级'!G121</f>
        <v/>
      </c>
      <c r="I121" s="52" t="inlineStr">
        <is>
          <t>个人技术计时升级</t>
        </is>
      </c>
      <c r="J121" s="57">
        <f>'个人技术逐级'!M121</f>
        <v/>
      </c>
      <c r="K121" s="35">
        <f>J121/3600</f>
        <v/>
      </c>
      <c r="L121" s="35">
        <f>SUMIFS($K$5:$K$692,$A$5:$A$692,A121,$B$5:$B$692,B121,$F$5:$F$692,"&lt;="&amp;F121)</f>
        <v/>
      </c>
      <c r="M121" s="58">
        <f>'个人技术逐级'!N121</f>
        <v/>
      </c>
      <c r="N121" s="58">
        <f>SUMIFS($M$5:$M$692,$A$5:$A$692,A121,$B$5:$B$692,B121,$F$5:$F$692,"&lt;="&amp;F121)</f>
        <v/>
      </c>
      <c r="O121" s="58">
        <f>0</f>
        <v/>
      </c>
      <c r="P121" s="58">
        <f>SUMIFS($O$5:$O$692,$A$5:$A$692,A121,$B$5:$B$692,B121,$F$5:$F$692,"&lt;="&amp;F121)</f>
        <v/>
      </c>
      <c r="Q121" s="58">
        <f>0</f>
        <v/>
      </c>
      <c r="R121" s="58">
        <f>SUMIFS($Q$5:$Q$692,$A$5:$A$692,A121,$B$5:$B$692,B121,$F$5:$F$692,"&lt;="&amp;F121)</f>
        <v/>
      </c>
      <c r="S121" s="58">
        <f>0</f>
        <v/>
      </c>
      <c r="T121" s="58">
        <f>SUMIFS($S$5:$S$692,$A$5:$A$692,A121,$B$5:$B$692,B121,$F$5:$F$692,"&lt;="&amp;F121)</f>
        <v/>
      </c>
      <c r="U121" s="52">
        <f>'个人技术逐级'!O121</f>
        <v/>
      </c>
    </row>
    <row r="122">
      <c r="A122" s="33" t="inlineStr">
        <is>
          <t>个人技术</t>
        </is>
      </c>
      <c r="B122" s="33">
        <f>'个人技术逐级'!A122</f>
        <v/>
      </c>
      <c r="C122" s="33">
        <f>'个人技术逐级'!B122</f>
        <v/>
      </c>
      <c r="D122" s="33">
        <f>'个人技术逐级'!C122</f>
        <v/>
      </c>
      <c r="E122">
        <f>'个人技术逐级'!D122</f>
        <v/>
      </c>
      <c r="F122" s="54">
        <f>'个人技术逐级'!E122</f>
        <v/>
      </c>
      <c r="G122" s="55">
        <f>'个人技术逐级'!F122</f>
        <v/>
      </c>
      <c r="H122" s="56">
        <f>'个人技术逐级'!G122</f>
        <v/>
      </c>
      <c r="I122" s="52" t="inlineStr">
        <is>
          <t>个人技术计时升级</t>
        </is>
      </c>
      <c r="J122" s="57">
        <f>'个人技术逐级'!M122</f>
        <v/>
      </c>
      <c r="K122" s="35">
        <f>J122/3600</f>
        <v/>
      </c>
      <c r="L122" s="35">
        <f>SUMIFS($K$5:$K$692,$A$5:$A$692,A122,$B$5:$B$692,B122,$F$5:$F$692,"&lt;="&amp;F122)</f>
        <v/>
      </c>
      <c r="M122" s="58">
        <f>'个人技术逐级'!N122</f>
        <v/>
      </c>
      <c r="N122" s="58">
        <f>SUMIFS($M$5:$M$692,$A$5:$A$692,A122,$B$5:$B$692,B122,$F$5:$F$692,"&lt;="&amp;F122)</f>
        <v/>
      </c>
      <c r="O122" s="58">
        <f>0</f>
        <v/>
      </c>
      <c r="P122" s="58">
        <f>SUMIFS($O$5:$O$692,$A$5:$A$692,A122,$B$5:$B$692,B122,$F$5:$F$692,"&lt;="&amp;F122)</f>
        <v/>
      </c>
      <c r="Q122" s="58">
        <f>0</f>
        <v/>
      </c>
      <c r="R122" s="58">
        <f>SUMIFS($Q$5:$Q$692,$A$5:$A$692,A122,$B$5:$B$692,B122,$F$5:$F$692,"&lt;="&amp;F122)</f>
        <v/>
      </c>
      <c r="S122" s="58">
        <f>0</f>
        <v/>
      </c>
      <c r="T122" s="58">
        <f>SUMIFS($S$5:$S$692,$A$5:$A$692,A122,$B$5:$B$692,B122,$F$5:$F$692,"&lt;="&amp;F122)</f>
        <v/>
      </c>
      <c r="U122" s="52">
        <f>'个人技术逐级'!O122</f>
        <v/>
      </c>
    </row>
    <row r="123">
      <c r="A123" s="33" t="inlineStr">
        <is>
          <t>个人技术</t>
        </is>
      </c>
      <c r="B123" s="33">
        <f>'个人技术逐级'!A123</f>
        <v/>
      </c>
      <c r="C123" s="33">
        <f>'个人技术逐级'!B123</f>
        <v/>
      </c>
      <c r="D123" s="33">
        <f>'个人技术逐级'!C123</f>
        <v/>
      </c>
      <c r="E123">
        <f>'个人技术逐级'!D123</f>
        <v/>
      </c>
      <c r="F123" s="54">
        <f>'个人技术逐级'!E123</f>
        <v/>
      </c>
      <c r="G123" s="55">
        <f>'个人技术逐级'!F123</f>
        <v/>
      </c>
      <c r="H123" s="56">
        <f>'个人技术逐级'!G123</f>
        <v/>
      </c>
      <c r="I123" s="52" t="inlineStr">
        <is>
          <t>个人技术计时升级</t>
        </is>
      </c>
      <c r="J123" s="57">
        <f>'个人技术逐级'!M123</f>
        <v/>
      </c>
      <c r="K123" s="35">
        <f>J123/3600</f>
        <v/>
      </c>
      <c r="L123" s="35">
        <f>SUMIFS($K$5:$K$692,$A$5:$A$692,A123,$B$5:$B$692,B123,$F$5:$F$692,"&lt;="&amp;F123)</f>
        <v/>
      </c>
      <c r="M123" s="58">
        <f>'个人技术逐级'!N123</f>
        <v/>
      </c>
      <c r="N123" s="58">
        <f>SUMIFS($M$5:$M$692,$A$5:$A$692,A123,$B$5:$B$692,B123,$F$5:$F$692,"&lt;="&amp;F123)</f>
        <v/>
      </c>
      <c r="O123" s="58">
        <f>0</f>
        <v/>
      </c>
      <c r="P123" s="58">
        <f>SUMIFS($O$5:$O$692,$A$5:$A$692,A123,$B$5:$B$692,B123,$F$5:$F$692,"&lt;="&amp;F123)</f>
        <v/>
      </c>
      <c r="Q123" s="58">
        <f>0</f>
        <v/>
      </c>
      <c r="R123" s="58">
        <f>SUMIFS($Q$5:$Q$692,$A$5:$A$692,A123,$B$5:$B$692,B123,$F$5:$F$692,"&lt;="&amp;F123)</f>
        <v/>
      </c>
      <c r="S123" s="58">
        <f>0</f>
        <v/>
      </c>
      <c r="T123" s="58">
        <f>SUMIFS($S$5:$S$692,$A$5:$A$692,A123,$B$5:$B$692,B123,$F$5:$F$692,"&lt;="&amp;F123)</f>
        <v/>
      </c>
      <c r="U123" s="52">
        <f>'个人技术逐级'!O123</f>
        <v/>
      </c>
    </row>
    <row r="124">
      <c r="A124" s="33" t="inlineStr">
        <is>
          <t>个人技术</t>
        </is>
      </c>
      <c r="B124" s="33">
        <f>'个人技术逐级'!A124</f>
        <v/>
      </c>
      <c r="C124" s="33">
        <f>'个人技术逐级'!B124</f>
        <v/>
      </c>
      <c r="D124" s="33">
        <f>'个人技术逐级'!C124</f>
        <v/>
      </c>
      <c r="E124">
        <f>'个人技术逐级'!D124</f>
        <v/>
      </c>
      <c r="F124" s="54">
        <f>'个人技术逐级'!E124</f>
        <v/>
      </c>
      <c r="G124" s="55">
        <f>'个人技术逐级'!F124</f>
        <v/>
      </c>
      <c r="H124" s="56">
        <f>'个人技术逐级'!G124</f>
        <v/>
      </c>
      <c r="I124" s="52" t="inlineStr">
        <is>
          <t>个人技术计时升级</t>
        </is>
      </c>
      <c r="J124" s="57">
        <f>'个人技术逐级'!M124</f>
        <v/>
      </c>
      <c r="K124" s="35">
        <f>J124/3600</f>
        <v/>
      </c>
      <c r="L124" s="35">
        <f>SUMIFS($K$5:$K$692,$A$5:$A$692,A124,$B$5:$B$692,B124,$F$5:$F$692,"&lt;="&amp;F124)</f>
        <v/>
      </c>
      <c r="M124" s="58">
        <f>'个人技术逐级'!N124</f>
        <v/>
      </c>
      <c r="N124" s="58">
        <f>SUMIFS($M$5:$M$692,$A$5:$A$692,A124,$B$5:$B$692,B124,$F$5:$F$692,"&lt;="&amp;F124)</f>
        <v/>
      </c>
      <c r="O124" s="58">
        <f>0</f>
        <v/>
      </c>
      <c r="P124" s="58">
        <f>SUMIFS($O$5:$O$692,$A$5:$A$692,A124,$B$5:$B$692,B124,$F$5:$F$692,"&lt;="&amp;F124)</f>
        <v/>
      </c>
      <c r="Q124" s="58">
        <f>0</f>
        <v/>
      </c>
      <c r="R124" s="58">
        <f>SUMIFS($Q$5:$Q$692,$A$5:$A$692,A124,$B$5:$B$692,B124,$F$5:$F$692,"&lt;="&amp;F124)</f>
        <v/>
      </c>
      <c r="S124" s="58">
        <f>0</f>
        <v/>
      </c>
      <c r="T124" s="58">
        <f>SUMIFS($S$5:$S$692,$A$5:$A$692,A124,$B$5:$B$692,B124,$F$5:$F$692,"&lt;="&amp;F124)</f>
        <v/>
      </c>
      <c r="U124" s="52">
        <f>'个人技术逐级'!O124</f>
        <v/>
      </c>
    </row>
    <row r="125">
      <c r="A125" s="33" t="inlineStr">
        <is>
          <t>个人技术</t>
        </is>
      </c>
      <c r="B125" s="33">
        <f>'个人技术逐级'!A125</f>
        <v/>
      </c>
      <c r="C125" s="33">
        <f>'个人技术逐级'!B125</f>
        <v/>
      </c>
      <c r="D125" s="33">
        <f>'个人技术逐级'!C125</f>
        <v/>
      </c>
      <c r="E125">
        <f>'个人技术逐级'!D125</f>
        <v/>
      </c>
      <c r="F125" s="54">
        <f>'个人技术逐级'!E125</f>
        <v/>
      </c>
      <c r="G125" s="55">
        <f>'个人技术逐级'!F125</f>
        <v/>
      </c>
      <c r="H125" s="56">
        <f>'个人技术逐级'!G125</f>
        <v/>
      </c>
      <c r="I125" s="52" t="inlineStr">
        <is>
          <t>个人技术计时升级</t>
        </is>
      </c>
      <c r="J125" s="57">
        <f>'个人技术逐级'!M125</f>
        <v/>
      </c>
      <c r="K125" s="35">
        <f>J125/3600</f>
        <v/>
      </c>
      <c r="L125" s="35">
        <f>SUMIFS($K$5:$K$692,$A$5:$A$692,A125,$B$5:$B$692,B125,$F$5:$F$692,"&lt;="&amp;F125)</f>
        <v/>
      </c>
      <c r="M125" s="58">
        <f>'个人技术逐级'!N125</f>
        <v/>
      </c>
      <c r="N125" s="58">
        <f>SUMIFS($M$5:$M$692,$A$5:$A$692,A125,$B$5:$B$692,B125,$F$5:$F$692,"&lt;="&amp;F125)</f>
        <v/>
      </c>
      <c r="O125" s="58">
        <f>0</f>
        <v/>
      </c>
      <c r="P125" s="58">
        <f>SUMIFS($O$5:$O$692,$A$5:$A$692,A125,$B$5:$B$692,B125,$F$5:$F$692,"&lt;="&amp;F125)</f>
        <v/>
      </c>
      <c r="Q125" s="58">
        <f>0</f>
        <v/>
      </c>
      <c r="R125" s="58">
        <f>SUMIFS($Q$5:$Q$692,$A$5:$A$692,A125,$B$5:$B$692,B125,$F$5:$F$692,"&lt;="&amp;F125)</f>
        <v/>
      </c>
      <c r="S125" s="58">
        <f>0</f>
        <v/>
      </c>
      <c r="T125" s="58">
        <f>SUMIFS($S$5:$S$692,$A$5:$A$692,A125,$B$5:$B$692,B125,$F$5:$F$692,"&lt;="&amp;F125)</f>
        <v/>
      </c>
      <c r="U125" s="52">
        <f>'个人技术逐级'!O125</f>
        <v/>
      </c>
    </row>
    <row r="126">
      <c r="A126" s="33" t="inlineStr">
        <is>
          <t>个人技术</t>
        </is>
      </c>
      <c r="B126" s="33">
        <f>'个人技术逐级'!A126</f>
        <v/>
      </c>
      <c r="C126" s="33">
        <f>'个人技术逐级'!B126</f>
        <v/>
      </c>
      <c r="D126" s="33">
        <f>'个人技术逐级'!C126</f>
        <v/>
      </c>
      <c r="E126">
        <f>'个人技术逐级'!D126</f>
        <v/>
      </c>
      <c r="F126" s="54">
        <f>'个人技术逐级'!E126</f>
        <v/>
      </c>
      <c r="G126" s="55">
        <f>'个人技术逐级'!F126</f>
        <v/>
      </c>
      <c r="H126" s="56">
        <f>'个人技术逐级'!G126</f>
        <v/>
      </c>
      <c r="I126" s="52" t="inlineStr">
        <is>
          <t>个人技术计时升级</t>
        </is>
      </c>
      <c r="J126" s="57">
        <f>'个人技术逐级'!M126</f>
        <v/>
      </c>
      <c r="K126" s="35">
        <f>J126/3600</f>
        <v/>
      </c>
      <c r="L126" s="35">
        <f>SUMIFS($K$5:$K$692,$A$5:$A$692,A126,$B$5:$B$692,B126,$F$5:$F$692,"&lt;="&amp;F126)</f>
        <v/>
      </c>
      <c r="M126" s="58">
        <f>'个人技术逐级'!N126</f>
        <v/>
      </c>
      <c r="N126" s="58">
        <f>SUMIFS($M$5:$M$692,$A$5:$A$692,A126,$B$5:$B$692,B126,$F$5:$F$692,"&lt;="&amp;F126)</f>
        <v/>
      </c>
      <c r="O126" s="58">
        <f>0</f>
        <v/>
      </c>
      <c r="P126" s="58">
        <f>SUMIFS($O$5:$O$692,$A$5:$A$692,A126,$B$5:$B$692,B126,$F$5:$F$692,"&lt;="&amp;F126)</f>
        <v/>
      </c>
      <c r="Q126" s="58">
        <f>0</f>
        <v/>
      </c>
      <c r="R126" s="58">
        <f>SUMIFS($Q$5:$Q$692,$A$5:$A$692,A126,$B$5:$B$692,B126,$F$5:$F$692,"&lt;="&amp;F126)</f>
        <v/>
      </c>
      <c r="S126" s="58">
        <f>0</f>
        <v/>
      </c>
      <c r="T126" s="58">
        <f>SUMIFS($S$5:$S$692,$A$5:$A$692,A126,$B$5:$B$692,B126,$F$5:$F$692,"&lt;="&amp;F126)</f>
        <v/>
      </c>
      <c r="U126" s="52">
        <f>'个人技术逐级'!O126</f>
        <v/>
      </c>
    </row>
    <row r="127">
      <c r="A127" s="33" t="inlineStr">
        <is>
          <t>个人技术</t>
        </is>
      </c>
      <c r="B127" s="33">
        <f>'个人技术逐级'!A127</f>
        <v/>
      </c>
      <c r="C127" s="33">
        <f>'个人技术逐级'!B127</f>
        <v/>
      </c>
      <c r="D127" s="33">
        <f>'个人技术逐级'!C127</f>
        <v/>
      </c>
      <c r="E127">
        <f>'个人技术逐级'!D127</f>
        <v/>
      </c>
      <c r="F127" s="54">
        <f>'个人技术逐级'!E127</f>
        <v/>
      </c>
      <c r="G127" s="55">
        <f>'个人技术逐级'!F127</f>
        <v/>
      </c>
      <c r="H127" s="56">
        <f>'个人技术逐级'!G127</f>
        <v/>
      </c>
      <c r="I127" s="52" t="inlineStr">
        <is>
          <t>个人技术计时升级</t>
        </is>
      </c>
      <c r="J127" s="57">
        <f>'个人技术逐级'!M127</f>
        <v/>
      </c>
      <c r="K127" s="35">
        <f>J127/3600</f>
        <v/>
      </c>
      <c r="L127" s="35">
        <f>SUMIFS($K$5:$K$692,$A$5:$A$692,A127,$B$5:$B$692,B127,$F$5:$F$692,"&lt;="&amp;F127)</f>
        <v/>
      </c>
      <c r="M127" s="58">
        <f>'个人技术逐级'!N127</f>
        <v/>
      </c>
      <c r="N127" s="58">
        <f>SUMIFS($M$5:$M$692,$A$5:$A$692,A127,$B$5:$B$692,B127,$F$5:$F$692,"&lt;="&amp;F127)</f>
        <v/>
      </c>
      <c r="O127" s="58">
        <f>0</f>
        <v/>
      </c>
      <c r="P127" s="58">
        <f>SUMIFS($O$5:$O$692,$A$5:$A$692,A127,$B$5:$B$692,B127,$F$5:$F$692,"&lt;="&amp;F127)</f>
        <v/>
      </c>
      <c r="Q127" s="58">
        <f>0</f>
        <v/>
      </c>
      <c r="R127" s="58">
        <f>SUMIFS($Q$5:$Q$692,$A$5:$A$692,A127,$B$5:$B$692,B127,$F$5:$F$692,"&lt;="&amp;F127)</f>
        <v/>
      </c>
      <c r="S127" s="58">
        <f>0</f>
        <v/>
      </c>
      <c r="T127" s="58">
        <f>SUMIFS($S$5:$S$692,$A$5:$A$692,A127,$B$5:$B$692,B127,$F$5:$F$692,"&lt;="&amp;F127)</f>
        <v/>
      </c>
      <c r="U127" s="52">
        <f>'个人技术逐级'!O127</f>
        <v/>
      </c>
    </row>
    <row r="128">
      <c r="A128" s="33" t="inlineStr">
        <is>
          <t>个人技术</t>
        </is>
      </c>
      <c r="B128" s="33">
        <f>'个人技术逐级'!A128</f>
        <v/>
      </c>
      <c r="C128" s="33">
        <f>'个人技术逐级'!B128</f>
        <v/>
      </c>
      <c r="D128" s="33">
        <f>'个人技术逐级'!C128</f>
        <v/>
      </c>
      <c r="E128">
        <f>'个人技术逐级'!D128</f>
        <v/>
      </c>
      <c r="F128" s="54">
        <f>'个人技术逐级'!E128</f>
        <v/>
      </c>
      <c r="G128" s="55">
        <f>'个人技术逐级'!F128</f>
        <v/>
      </c>
      <c r="H128" s="56">
        <f>'个人技术逐级'!G128</f>
        <v/>
      </c>
      <c r="I128" s="52" t="inlineStr">
        <is>
          <t>个人技术计时升级</t>
        </is>
      </c>
      <c r="J128" s="57">
        <f>'个人技术逐级'!M128</f>
        <v/>
      </c>
      <c r="K128" s="35">
        <f>J128/3600</f>
        <v/>
      </c>
      <c r="L128" s="35">
        <f>SUMIFS($K$5:$K$692,$A$5:$A$692,A128,$B$5:$B$692,B128,$F$5:$F$692,"&lt;="&amp;F128)</f>
        <v/>
      </c>
      <c r="M128" s="58">
        <f>'个人技术逐级'!N128</f>
        <v/>
      </c>
      <c r="N128" s="58">
        <f>SUMIFS($M$5:$M$692,$A$5:$A$692,A128,$B$5:$B$692,B128,$F$5:$F$692,"&lt;="&amp;F128)</f>
        <v/>
      </c>
      <c r="O128" s="58">
        <f>0</f>
        <v/>
      </c>
      <c r="P128" s="58">
        <f>SUMIFS($O$5:$O$692,$A$5:$A$692,A128,$B$5:$B$692,B128,$F$5:$F$692,"&lt;="&amp;F128)</f>
        <v/>
      </c>
      <c r="Q128" s="58">
        <f>0</f>
        <v/>
      </c>
      <c r="R128" s="58">
        <f>SUMIFS($Q$5:$Q$692,$A$5:$A$692,A128,$B$5:$B$692,B128,$F$5:$F$692,"&lt;="&amp;F128)</f>
        <v/>
      </c>
      <c r="S128" s="58">
        <f>0</f>
        <v/>
      </c>
      <c r="T128" s="58">
        <f>SUMIFS($S$5:$S$692,$A$5:$A$692,A128,$B$5:$B$692,B128,$F$5:$F$692,"&lt;="&amp;F128)</f>
        <v/>
      </c>
      <c r="U128" s="52">
        <f>'个人技术逐级'!O128</f>
        <v/>
      </c>
    </row>
    <row r="129">
      <c r="A129" s="33" t="inlineStr">
        <is>
          <t>个人技术</t>
        </is>
      </c>
      <c r="B129" s="33">
        <f>'个人技术逐级'!A129</f>
        <v/>
      </c>
      <c r="C129" s="33">
        <f>'个人技术逐级'!B129</f>
        <v/>
      </c>
      <c r="D129" s="33">
        <f>'个人技术逐级'!C129</f>
        <v/>
      </c>
      <c r="E129">
        <f>'个人技术逐级'!D129</f>
        <v/>
      </c>
      <c r="F129" s="54">
        <f>'个人技术逐级'!E129</f>
        <v/>
      </c>
      <c r="G129" s="55">
        <f>'个人技术逐级'!F129</f>
        <v/>
      </c>
      <c r="H129" s="56">
        <f>'个人技术逐级'!G129</f>
        <v/>
      </c>
      <c r="I129" s="52" t="inlineStr">
        <is>
          <t>个人技术计时升级</t>
        </is>
      </c>
      <c r="J129" s="57">
        <f>'个人技术逐级'!M129</f>
        <v/>
      </c>
      <c r="K129" s="35">
        <f>J129/3600</f>
        <v/>
      </c>
      <c r="L129" s="35">
        <f>SUMIFS($K$5:$K$692,$A$5:$A$692,A129,$B$5:$B$692,B129,$F$5:$F$692,"&lt;="&amp;F129)</f>
        <v/>
      </c>
      <c r="M129" s="58">
        <f>'个人技术逐级'!N129</f>
        <v/>
      </c>
      <c r="N129" s="58">
        <f>SUMIFS($M$5:$M$692,$A$5:$A$692,A129,$B$5:$B$692,B129,$F$5:$F$692,"&lt;="&amp;F129)</f>
        <v/>
      </c>
      <c r="O129" s="58">
        <f>0</f>
        <v/>
      </c>
      <c r="P129" s="58">
        <f>SUMIFS($O$5:$O$692,$A$5:$A$692,A129,$B$5:$B$692,B129,$F$5:$F$692,"&lt;="&amp;F129)</f>
        <v/>
      </c>
      <c r="Q129" s="58">
        <f>0</f>
        <v/>
      </c>
      <c r="R129" s="58">
        <f>SUMIFS($Q$5:$Q$692,$A$5:$A$692,A129,$B$5:$B$692,B129,$F$5:$F$692,"&lt;="&amp;F129)</f>
        <v/>
      </c>
      <c r="S129" s="58">
        <f>0</f>
        <v/>
      </c>
      <c r="T129" s="58">
        <f>SUMIFS($S$5:$S$692,$A$5:$A$692,A129,$B$5:$B$692,B129,$F$5:$F$692,"&lt;="&amp;F129)</f>
        <v/>
      </c>
      <c r="U129" s="52">
        <f>'个人技术逐级'!O129</f>
        <v/>
      </c>
    </row>
    <row r="130">
      <c r="A130" s="33" t="inlineStr">
        <is>
          <t>个人技术</t>
        </is>
      </c>
      <c r="B130" s="33">
        <f>'个人技术逐级'!A130</f>
        <v/>
      </c>
      <c r="C130" s="33">
        <f>'个人技术逐级'!B130</f>
        <v/>
      </c>
      <c r="D130" s="33">
        <f>'个人技术逐级'!C130</f>
        <v/>
      </c>
      <c r="E130">
        <f>'个人技术逐级'!D130</f>
        <v/>
      </c>
      <c r="F130" s="54">
        <f>'个人技术逐级'!E130</f>
        <v/>
      </c>
      <c r="G130" s="55">
        <f>'个人技术逐级'!F130</f>
        <v/>
      </c>
      <c r="H130" s="56">
        <f>'个人技术逐级'!G130</f>
        <v/>
      </c>
      <c r="I130" s="52" t="inlineStr">
        <is>
          <t>个人技术计时升级</t>
        </is>
      </c>
      <c r="J130" s="57">
        <f>'个人技术逐级'!M130</f>
        <v/>
      </c>
      <c r="K130" s="35">
        <f>J130/3600</f>
        <v/>
      </c>
      <c r="L130" s="35">
        <f>SUMIFS($K$5:$K$692,$A$5:$A$692,A130,$B$5:$B$692,B130,$F$5:$F$692,"&lt;="&amp;F130)</f>
        <v/>
      </c>
      <c r="M130" s="58">
        <f>'个人技术逐级'!N130</f>
        <v/>
      </c>
      <c r="N130" s="58">
        <f>SUMIFS($M$5:$M$692,$A$5:$A$692,A130,$B$5:$B$692,B130,$F$5:$F$692,"&lt;="&amp;F130)</f>
        <v/>
      </c>
      <c r="O130" s="58">
        <f>0</f>
        <v/>
      </c>
      <c r="P130" s="58">
        <f>SUMIFS($O$5:$O$692,$A$5:$A$692,A130,$B$5:$B$692,B130,$F$5:$F$692,"&lt;="&amp;F130)</f>
        <v/>
      </c>
      <c r="Q130" s="58">
        <f>0</f>
        <v/>
      </c>
      <c r="R130" s="58">
        <f>SUMIFS($Q$5:$Q$692,$A$5:$A$692,A130,$B$5:$B$692,B130,$F$5:$F$692,"&lt;="&amp;F130)</f>
        <v/>
      </c>
      <c r="S130" s="58">
        <f>0</f>
        <v/>
      </c>
      <c r="T130" s="58">
        <f>SUMIFS($S$5:$S$692,$A$5:$A$692,A130,$B$5:$B$692,B130,$F$5:$F$692,"&lt;="&amp;F130)</f>
        <v/>
      </c>
      <c r="U130" s="52">
        <f>'个人技术逐级'!O130</f>
        <v/>
      </c>
    </row>
    <row r="131">
      <c r="A131" s="33" t="inlineStr">
        <is>
          <t>个人技术</t>
        </is>
      </c>
      <c r="B131" s="33">
        <f>'个人技术逐级'!A131</f>
        <v/>
      </c>
      <c r="C131" s="33">
        <f>'个人技术逐级'!B131</f>
        <v/>
      </c>
      <c r="D131" s="33">
        <f>'个人技术逐级'!C131</f>
        <v/>
      </c>
      <c r="E131">
        <f>'个人技术逐级'!D131</f>
        <v/>
      </c>
      <c r="F131" s="54">
        <f>'个人技术逐级'!E131</f>
        <v/>
      </c>
      <c r="G131" s="55">
        <f>'个人技术逐级'!F131</f>
        <v/>
      </c>
      <c r="H131" s="56">
        <f>'个人技术逐级'!G131</f>
        <v/>
      </c>
      <c r="I131" s="52" t="inlineStr">
        <is>
          <t>个人技术计时升级</t>
        </is>
      </c>
      <c r="J131" s="57">
        <f>'个人技术逐级'!M131</f>
        <v/>
      </c>
      <c r="K131" s="35">
        <f>J131/3600</f>
        <v/>
      </c>
      <c r="L131" s="35">
        <f>SUMIFS($K$5:$K$692,$A$5:$A$692,A131,$B$5:$B$692,B131,$F$5:$F$692,"&lt;="&amp;F131)</f>
        <v/>
      </c>
      <c r="M131" s="58">
        <f>'个人技术逐级'!N131</f>
        <v/>
      </c>
      <c r="N131" s="58">
        <f>SUMIFS($M$5:$M$692,$A$5:$A$692,A131,$B$5:$B$692,B131,$F$5:$F$692,"&lt;="&amp;F131)</f>
        <v/>
      </c>
      <c r="O131" s="58">
        <f>0</f>
        <v/>
      </c>
      <c r="P131" s="58">
        <f>SUMIFS($O$5:$O$692,$A$5:$A$692,A131,$B$5:$B$692,B131,$F$5:$F$692,"&lt;="&amp;F131)</f>
        <v/>
      </c>
      <c r="Q131" s="58">
        <f>0</f>
        <v/>
      </c>
      <c r="R131" s="58">
        <f>SUMIFS($Q$5:$Q$692,$A$5:$A$692,A131,$B$5:$B$692,B131,$F$5:$F$692,"&lt;="&amp;F131)</f>
        <v/>
      </c>
      <c r="S131" s="58">
        <f>0</f>
        <v/>
      </c>
      <c r="T131" s="58">
        <f>SUMIFS($S$5:$S$692,$A$5:$A$692,A131,$B$5:$B$692,B131,$F$5:$F$692,"&lt;="&amp;F131)</f>
        <v/>
      </c>
      <c r="U131" s="52">
        <f>'个人技术逐级'!O131</f>
        <v/>
      </c>
    </row>
    <row r="132">
      <c r="A132" s="33" t="inlineStr">
        <is>
          <t>个人技术</t>
        </is>
      </c>
      <c r="B132" s="33">
        <f>'个人技术逐级'!A132</f>
        <v/>
      </c>
      <c r="C132" s="33">
        <f>'个人技术逐级'!B132</f>
        <v/>
      </c>
      <c r="D132" s="33">
        <f>'个人技术逐级'!C132</f>
        <v/>
      </c>
      <c r="E132">
        <f>'个人技术逐级'!D132</f>
        <v/>
      </c>
      <c r="F132" s="54">
        <f>'个人技术逐级'!E132</f>
        <v/>
      </c>
      <c r="G132" s="55">
        <f>'个人技术逐级'!F132</f>
        <v/>
      </c>
      <c r="H132" s="56">
        <f>'个人技术逐级'!G132</f>
        <v/>
      </c>
      <c r="I132" s="52" t="inlineStr">
        <is>
          <t>个人技术计时升级</t>
        </is>
      </c>
      <c r="J132" s="57">
        <f>'个人技术逐级'!M132</f>
        <v/>
      </c>
      <c r="K132" s="35">
        <f>J132/3600</f>
        <v/>
      </c>
      <c r="L132" s="35">
        <f>SUMIFS($K$5:$K$692,$A$5:$A$692,A132,$B$5:$B$692,B132,$F$5:$F$692,"&lt;="&amp;F132)</f>
        <v/>
      </c>
      <c r="M132" s="58">
        <f>'个人技术逐级'!N132</f>
        <v/>
      </c>
      <c r="N132" s="58">
        <f>SUMIFS($M$5:$M$692,$A$5:$A$692,A132,$B$5:$B$692,B132,$F$5:$F$692,"&lt;="&amp;F132)</f>
        <v/>
      </c>
      <c r="O132" s="58">
        <f>0</f>
        <v/>
      </c>
      <c r="P132" s="58">
        <f>SUMIFS($O$5:$O$692,$A$5:$A$692,A132,$B$5:$B$692,B132,$F$5:$F$692,"&lt;="&amp;F132)</f>
        <v/>
      </c>
      <c r="Q132" s="58">
        <f>0</f>
        <v/>
      </c>
      <c r="R132" s="58">
        <f>SUMIFS($Q$5:$Q$692,$A$5:$A$692,A132,$B$5:$B$692,B132,$F$5:$F$692,"&lt;="&amp;F132)</f>
        <v/>
      </c>
      <c r="S132" s="58">
        <f>0</f>
        <v/>
      </c>
      <c r="T132" s="58">
        <f>SUMIFS($S$5:$S$692,$A$5:$A$692,A132,$B$5:$B$692,B132,$F$5:$F$692,"&lt;="&amp;F132)</f>
        <v/>
      </c>
      <c r="U132" s="52">
        <f>'个人技术逐级'!O132</f>
        <v/>
      </c>
    </row>
    <row r="133">
      <c r="A133" s="33" t="inlineStr">
        <is>
          <t>个人技术</t>
        </is>
      </c>
      <c r="B133" s="33">
        <f>'个人技术逐级'!A133</f>
        <v/>
      </c>
      <c r="C133" s="33">
        <f>'个人技术逐级'!B133</f>
        <v/>
      </c>
      <c r="D133" s="33">
        <f>'个人技术逐级'!C133</f>
        <v/>
      </c>
      <c r="E133">
        <f>'个人技术逐级'!D133</f>
        <v/>
      </c>
      <c r="F133" s="54">
        <f>'个人技术逐级'!E133</f>
        <v/>
      </c>
      <c r="G133" s="55">
        <f>'个人技术逐级'!F133</f>
        <v/>
      </c>
      <c r="H133" s="56">
        <f>'个人技术逐级'!G133</f>
        <v/>
      </c>
      <c r="I133" s="52" t="inlineStr">
        <is>
          <t>个人技术计时升级</t>
        </is>
      </c>
      <c r="J133" s="57">
        <f>'个人技术逐级'!M133</f>
        <v/>
      </c>
      <c r="K133" s="35">
        <f>J133/3600</f>
        <v/>
      </c>
      <c r="L133" s="35">
        <f>SUMIFS($K$5:$K$692,$A$5:$A$692,A133,$B$5:$B$692,B133,$F$5:$F$692,"&lt;="&amp;F133)</f>
        <v/>
      </c>
      <c r="M133" s="58">
        <f>'个人技术逐级'!N133</f>
        <v/>
      </c>
      <c r="N133" s="58">
        <f>SUMIFS($M$5:$M$692,$A$5:$A$692,A133,$B$5:$B$692,B133,$F$5:$F$692,"&lt;="&amp;F133)</f>
        <v/>
      </c>
      <c r="O133" s="58">
        <f>0</f>
        <v/>
      </c>
      <c r="P133" s="58">
        <f>SUMIFS($O$5:$O$692,$A$5:$A$692,A133,$B$5:$B$692,B133,$F$5:$F$692,"&lt;="&amp;F133)</f>
        <v/>
      </c>
      <c r="Q133" s="58">
        <f>0</f>
        <v/>
      </c>
      <c r="R133" s="58">
        <f>SUMIFS($Q$5:$Q$692,$A$5:$A$692,A133,$B$5:$B$692,B133,$F$5:$F$692,"&lt;="&amp;F133)</f>
        <v/>
      </c>
      <c r="S133" s="58">
        <f>0</f>
        <v/>
      </c>
      <c r="T133" s="58">
        <f>SUMIFS($S$5:$S$692,$A$5:$A$692,A133,$B$5:$B$692,B133,$F$5:$F$692,"&lt;="&amp;F133)</f>
        <v/>
      </c>
      <c r="U133" s="52">
        <f>'个人技术逐级'!O133</f>
        <v/>
      </c>
    </row>
    <row r="134">
      <c r="A134" s="33" t="inlineStr">
        <is>
          <t>个人技术</t>
        </is>
      </c>
      <c r="B134" s="33">
        <f>'个人技术逐级'!A134</f>
        <v/>
      </c>
      <c r="C134" s="33">
        <f>'个人技术逐级'!B134</f>
        <v/>
      </c>
      <c r="D134" s="33">
        <f>'个人技术逐级'!C134</f>
        <v/>
      </c>
      <c r="E134">
        <f>'个人技术逐级'!D134</f>
        <v/>
      </c>
      <c r="F134" s="54">
        <f>'个人技术逐级'!E134</f>
        <v/>
      </c>
      <c r="G134" s="55">
        <f>'个人技术逐级'!F134</f>
        <v/>
      </c>
      <c r="H134" s="56">
        <f>'个人技术逐级'!G134</f>
        <v/>
      </c>
      <c r="I134" s="52" t="inlineStr">
        <is>
          <t>个人技术计时升级</t>
        </is>
      </c>
      <c r="J134" s="57">
        <f>'个人技术逐级'!M134</f>
        <v/>
      </c>
      <c r="K134" s="35">
        <f>J134/3600</f>
        <v/>
      </c>
      <c r="L134" s="35">
        <f>SUMIFS($K$5:$K$692,$A$5:$A$692,A134,$B$5:$B$692,B134,$F$5:$F$692,"&lt;="&amp;F134)</f>
        <v/>
      </c>
      <c r="M134" s="58">
        <f>'个人技术逐级'!N134</f>
        <v/>
      </c>
      <c r="N134" s="58">
        <f>SUMIFS($M$5:$M$692,$A$5:$A$692,A134,$B$5:$B$692,B134,$F$5:$F$692,"&lt;="&amp;F134)</f>
        <v/>
      </c>
      <c r="O134" s="58">
        <f>0</f>
        <v/>
      </c>
      <c r="P134" s="58">
        <f>SUMIFS($O$5:$O$692,$A$5:$A$692,A134,$B$5:$B$692,B134,$F$5:$F$692,"&lt;="&amp;F134)</f>
        <v/>
      </c>
      <c r="Q134" s="58">
        <f>0</f>
        <v/>
      </c>
      <c r="R134" s="58">
        <f>SUMIFS($Q$5:$Q$692,$A$5:$A$692,A134,$B$5:$B$692,B134,$F$5:$F$692,"&lt;="&amp;F134)</f>
        <v/>
      </c>
      <c r="S134" s="58">
        <f>0</f>
        <v/>
      </c>
      <c r="T134" s="58">
        <f>SUMIFS($S$5:$S$692,$A$5:$A$692,A134,$B$5:$B$692,B134,$F$5:$F$692,"&lt;="&amp;F134)</f>
        <v/>
      </c>
      <c r="U134" s="52">
        <f>'个人技术逐级'!O134</f>
        <v/>
      </c>
    </row>
    <row r="135">
      <c r="A135" s="33" t="inlineStr">
        <is>
          <t>个人技术</t>
        </is>
      </c>
      <c r="B135" s="33">
        <f>'个人技术逐级'!A135</f>
        <v/>
      </c>
      <c r="C135" s="33">
        <f>'个人技术逐级'!B135</f>
        <v/>
      </c>
      <c r="D135" s="33">
        <f>'个人技术逐级'!C135</f>
        <v/>
      </c>
      <c r="E135">
        <f>'个人技术逐级'!D135</f>
        <v/>
      </c>
      <c r="F135" s="54">
        <f>'个人技术逐级'!E135</f>
        <v/>
      </c>
      <c r="G135" s="55">
        <f>'个人技术逐级'!F135</f>
        <v/>
      </c>
      <c r="H135" s="56">
        <f>'个人技术逐级'!G135</f>
        <v/>
      </c>
      <c r="I135" s="52" t="inlineStr">
        <is>
          <t>个人技术计时升级</t>
        </is>
      </c>
      <c r="J135" s="57">
        <f>'个人技术逐级'!M135</f>
        <v/>
      </c>
      <c r="K135" s="35">
        <f>J135/3600</f>
        <v/>
      </c>
      <c r="L135" s="35">
        <f>SUMIFS($K$5:$K$692,$A$5:$A$692,A135,$B$5:$B$692,B135,$F$5:$F$692,"&lt;="&amp;F135)</f>
        <v/>
      </c>
      <c r="M135" s="58">
        <f>'个人技术逐级'!N135</f>
        <v/>
      </c>
      <c r="N135" s="58">
        <f>SUMIFS($M$5:$M$692,$A$5:$A$692,A135,$B$5:$B$692,B135,$F$5:$F$692,"&lt;="&amp;F135)</f>
        <v/>
      </c>
      <c r="O135" s="58">
        <f>0</f>
        <v/>
      </c>
      <c r="P135" s="58">
        <f>SUMIFS($O$5:$O$692,$A$5:$A$692,A135,$B$5:$B$692,B135,$F$5:$F$692,"&lt;="&amp;F135)</f>
        <v/>
      </c>
      <c r="Q135" s="58">
        <f>0</f>
        <v/>
      </c>
      <c r="R135" s="58">
        <f>SUMIFS($Q$5:$Q$692,$A$5:$A$692,A135,$B$5:$B$692,B135,$F$5:$F$692,"&lt;="&amp;F135)</f>
        <v/>
      </c>
      <c r="S135" s="58">
        <f>0</f>
        <v/>
      </c>
      <c r="T135" s="58">
        <f>SUMIFS($S$5:$S$692,$A$5:$A$692,A135,$B$5:$B$692,B135,$F$5:$F$692,"&lt;="&amp;F135)</f>
        <v/>
      </c>
      <c r="U135" s="52">
        <f>'个人技术逐级'!O135</f>
        <v/>
      </c>
    </row>
    <row r="136">
      <c r="A136" s="33" t="inlineStr">
        <is>
          <t>个人技术</t>
        </is>
      </c>
      <c r="B136" s="33">
        <f>'个人技术逐级'!A136</f>
        <v/>
      </c>
      <c r="C136" s="33">
        <f>'个人技术逐级'!B136</f>
        <v/>
      </c>
      <c r="D136" s="33">
        <f>'个人技术逐级'!C136</f>
        <v/>
      </c>
      <c r="E136">
        <f>'个人技术逐级'!D136</f>
        <v/>
      </c>
      <c r="F136" s="54">
        <f>'个人技术逐级'!E136</f>
        <v/>
      </c>
      <c r="G136" s="55">
        <f>'个人技术逐级'!F136</f>
        <v/>
      </c>
      <c r="H136" s="56">
        <f>'个人技术逐级'!G136</f>
        <v/>
      </c>
      <c r="I136" s="52" t="inlineStr">
        <is>
          <t>个人技术计时升级</t>
        </is>
      </c>
      <c r="J136" s="57">
        <f>'个人技术逐级'!M136</f>
        <v/>
      </c>
      <c r="K136" s="35">
        <f>J136/3600</f>
        <v/>
      </c>
      <c r="L136" s="35">
        <f>SUMIFS($K$5:$K$692,$A$5:$A$692,A136,$B$5:$B$692,B136,$F$5:$F$692,"&lt;="&amp;F136)</f>
        <v/>
      </c>
      <c r="M136" s="58">
        <f>'个人技术逐级'!N136</f>
        <v/>
      </c>
      <c r="N136" s="58">
        <f>SUMIFS($M$5:$M$692,$A$5:$A$692,A136,$B$5:$B$692,B136,$F$5:$F$692,"&lt;="&amp;F136)</f>
        <v/>
      </c>
      <c r="O136" s="58">
        <f>0</f>
        <v/>
      </c>
      <c r="P136" s="58">
        <f>SUMIFS($O$5:$O$692,$A$5:$A$692,A136,$B$5:$B$692,B136,$F$5:$F$692,"&lt;="&amp;F136)</f>
        <v/>
      </c>
      <c r="Q136" s="58">
        <f>0</f>
        <v/>
      </c>
      <c r="R136" s="58">
        <f>SUMIFS($Q$5:$Q$692,$A$5:$A$692,A136,$B$5:$B$692,B136,$F$5:$F$692,"&lt;="&amp;F136)</f>
        <v/>
      </c>
      <c r="S136" s="58">
        <f>0</f>
        <v/>
      </c>
      <c r="T136" s="58">
        <f>SUMIFS($S$5:$S$692,$A$5:$A$692,A136,$B$5:$B$692,B136,$F$5:$F$692,"&lt;="&amp;F136)</f>
        <v/>
      </c>
      <c r="U136" s="52">
        <f>'个人技术逐级'!O136</f>
        <v/>
      </c>
    </row>
    <row r="137">
      <c r="A137" s="33" t="inlineStr">
        <is>
          <t>个人技术</t>
        </is>
      </c>
      <c r="B137" s="33">
        <f>'个人技术逐级'!A137</f>
        <v/>
      </c>
      <c r="C137" s="33">
        <f>'个人技术逐级'!B137</f>
        <v/>
      </c>
      <c r="D137" s="33">
        <f>'个人技术逐级'!C137</f>
        <v/>
      </c>
      <c r="E137">
        <f>'个人技术逐级'!D137</f>
        <v/>
      </c>
      <c r="F137" s="54">
        <f>'个人技术逐级'!E137</f>
        <v/>
      </c>
      <c r="G137" s="55">
        <f>'个人技术逐级'!F137</f>
        <v/>
      </c>
      <c r="H137" s="56">
        <f>'个人技术逐级'!G137</f>
        <v/>
      </c>
      <c r="I137" s="52" t="inlineStr">
        <is>
          <t>个人技术计时升级</t>
        </is>
      </c>
      <c r="J137" s="57">
        <f>'个人技术逐级'!M137</f>
        <v/>
      </c>
      <c r="K137" s="35">
        <f>J137/3600</f>
        <v/>
      </c>
      <c r="L137" s="35">
        <f>SUMIFS($K$5:$K$692,$A$5:$A$692,A137,$B$5:$B$692,B137,$F$5:$F$692,"&lt;="&amp;F137)</f>
        <v/>
      </c>
      <c r="M137" s="58">
        <f>'个人技术逐级'!N137</f>
        <v/>
      </c>
      <c r="N137" s="58">
        <f>SUMIFS($M$5:$M$692,$A$5:$A$692,A137,$B$5:$B$692,B137,$F$5:$F$692,"&lt;="&amp;F137)</f>
        <v/>
      </c>
      <c r="O137" s="58">
        <f>0</f>
        <v/>
      </c>
      <c r="P137" s="58">
        <f>SUMIFS($O$5:$O$692,$A$5:$A$692,A137,$B$5:$B$692,B137,$F$5:$F$692,"&lt;="&amp;F137)</f>
        <v/>
      </c>
      <c r="Q137" s="58">
        <f>0</f>
        <v/>
      </c>
      <c r="R137" s="58">
        <f>SUMIFS($Q$5:$Q$692,$A$5:$A$692,A137,$B$5:$B$692,B137,$F$5:$F$692,"&lt;="&amp;F137)</f>
        <v/>
      </c>
      <c r="S137" s="58">
        <f>0</f>
        <v/>
      </c>
      <c r="T137" s="58">
        <f>SUMIFS($S$5:$S$692,$A$5:$A$692,A137,$B$5:$B$692,B137,$F$5:$F$692,"&lt;="&amp;F137)</f>
        <v/>
      </c>
      <c r="U137" s="52">
        <f>'个人技术逐级'!O137</f>
        <v/>
      </c>
    </row>
    <row r="138">
      <c r="A138" s="33" t="inlineStr">
        <is>
          <t>个人技术</t>
        </is>
      </c>
      <c r="B138" s="33">
        <f>'个人技术逐级'!A138</f>
        <v/>
      </c>
      <c r="C138" s="33">
        <f>'个人技术逐级'!B138</f>
        <v/>
      </c>
      <c r="D138" s="33">
        <f>'个人技术逐级'!C138</f>
        <v/>
      </c>
      <c r="E138">
        <f>'个人技术逐级'!D138</f>
        <v/>
      </c>
      <c r="F138" s="54">
        <f>'个人技术逐级'!E138</f>
        <v/>
      </c>
      <c r="G138" s="55">
        <f>'个人技术逐级'!F138</f>
        <v/>
      </c>
      <c r="H138" s="56">
        <f>'个人技术逐级'!G138</f>
        <v/>
      </c>
      <c r="I138" s="52" t="inlineStr">
        <is>
          <t>个人技术计时升级</t>
        </is>
      </c>
      <c r="J138" s="57">
        <f>'个人技术逐级'!M138</f>
        <v/>
      </c>
      <c r="K138" s="35">
        <f>J138/3600</f>
        <v/>
      </c>
      <c r="L138" s="35">
        <f>SUMIFS($K$5:$K$692,$A$5:$A$692,A138,$B$5:$B$692,B138,$F$5:$F$692,"&lt;="&amp;F138)</f>
        <v/>
      </c>
      <c r="M138" s="58">
        <f>'个人技术逐级'!N138</f>
        <v/>
      </c>
      <c r="N138" s="58">
        <f>SUMIFS($M$5:$M$692,$A$5:$A$692,A138,$B$5:$B$692,B138,$F$5:$F$692,"&lt;="&amp;F138)</f>
        <v/>
      </c>
      <c r="O138" s="58">
        <f>0</f>
        <v/>
      </c>
      <c r="P138" s="58">
        <f>SUMIFS($O$5:$O$692,$A$5:$A$692,A138,$B$5:$B$692,B138,$F$5:$F$692,"&lt;="&amp;F138)</f>
        <v/>
      </c>
      <c r="Q138" s="58">
        <f>0</f>
        <v/>
      </c>
      <c r="R138" s="58">
        <f>SUMIFS($Q$5:$Q$692,$A$5:$A$692,A138,$B$5:$B$692,B138,$F$5:$F$692,"&lt;="&amp;F138)</f>
        <v/>
      </c>
      <c r="S138" s="58">
        <f>0</f>
        <v/>
      </c>
      <c r="T138" s="58">
        <f>SUMIFS($S$5:$S$692,$A$5:$A$692,A138,$B$5:$B$692,B138,$F$5:$F$692,"&lt;="&amp;F138)</f>
        <v/>
      </c>
      <c r="U138" s="52">
        <f>'个人技术逐级'!O138</f>
        <v/>
      </c>
    </row>
    <row r="139">
      <c r="A139" s="33" t="inlineStr">
        <is>
          <t>个人技术</t>
        </is>
      </c>
      <c r="B139" s="33">
        <f>'个人技术逐级'!A139</f>
        <v/>
      </c>
      <c r="C139" s="33">
        <f>'个人技术逐级'!B139</f>
        <v/>
      </c>
      <c r="D139" s="33">
        <f>'个人技术逐级'!C139</f>
        <v/>
      </c>
      <c r="E139">
        <f>'个人技术逐级'!D139</f>
        <v/>
      </c>
      <c r="F139" s="54">
        <f>'个人技术逐级'!E139</f>
        <v/>
      </c>
      <c r="G139" s="55">
        <f>'个人技术逐级'!F139</f>
        <v/>
      </c>
      <c r="H139" s="56">
        <f>'个人技术逐级'!G139</f>
        <v/>
      </c>
      <c r="I139" s="52" t="inlineStr">
        <is>
          <t>个人技术计时升级</t>
        </is>
      </c>
      <c r="J139" s="57">
        <f>'个人技术逐级'!M139</f>
        <v/>
      </c>
      <c r="K139" s="35">
        <f>J139/3600</f>
        <v/>
      </c>
      <c r="L139" s="35">
        <f>SUMIFS($K$5:$K$692,$A$5:$A$692,A139,$B$5:$B$692,B139,$F$5:$F$692,"&lt;="&amp;F139)</f>
        <v/>
      </c>
      <c r="M139" s="58">
        <f>'个人技术逐级'!N139</f>
        <v/>
      </c>
      <c r="N139" s="58">
        <f>SUMIFS($M$5:$M$692,$A$5:$A$692,A139,$B$5:$B$692,B139,$F$5:$F$692,"&lt;="&amp;F139)</f>
        <v/>
      </c>
      <c r="O139" s="58">
        <f>0</f>
        <v/>
      </c>
      <c r="P139" s="58">
        <f>SUMIFS($O$5:$O$692,$A$5:$A$692,A139,$B$5:$B$692,B139,$F$5:$F$692,"&lt;="&amp;F139)</f>
        <v/>
      </c>
      <c r="Q139" s="58">
        <f>0</f>
        <v/>
      </c>
      <c r="R139" s="58">
        <f>SUMIFS($Q$5:$Q$692,$A$5:$A$692,A139,$B$5:$B$692,B139,$F$5:$F$692,"&lt;="&amp;F139)</f>
        <v/>
      </c>
      <c r="S139" s="58">
        <f>0</f>
        <v/>
      </c>
      <c r="T139" s="58">
        <f>SUMIFS($S$5:$S$692,$A$5:$A$692,A139,$B$5:$B$692,B139,$F$5:$F$692,"&lt;="&amp;F139)</f>
        <v/>
      </c>
      <c r="U139" s="52">
        <f>'个人技术逐级'!O139</f>
        <v/>
      </c>
    </row>
    <row r="140">
      <c r="A140" s="33" t="inlineStr">
        <is>
          <t>个人技术</t>
        </is>
      </c>
      <c r="B140" s="33">
        <f>'个人技术逐级'!A140</f>
        <v/>
      </c>
      <c r="C140" s="33">
        <f>'个人技术逐级'!B140</f>
        <v/>
      </c>
      <c r="D140" s="33">
        <f>'个人技术逐级'!C140</f>
        <v/>
      </c>
      <c r="E140">
        <f>'个人技术逐级'!D140</f>
        <v/>
      </c>
      <c r="F140" s="54">
        <f>'个人技术逐级'!E140</f>
        <v/>
      </c>
      <c r="G140" s="55">
        <f>'个人技术逐级'!F140</f>
        <v/>
      </c>
      <c r="H140" s="56">
        <f>'个人技术逐级'!G140</f>
        <v/>
      </c>
      <c r="I140" s="52" t="inlineStr">
        <is>
          <t>个人技术计时升级</t>
        </is>
      </c>
      <c r="J140" s="57">
        <f>'个人技术逐级'!M140</f>
        <v/>
      </c>
      <c r="K140" s="35">
        <f>J140/3600</f>
        <v/>
      </c>
      <c r="L140" s="35">
        <f>SUMIFS($K$5:$K$692,$A$5:$A$692,A140,$B$5:$B$692,B140,$F$5:$F$692,"&lt;="&amp;F140)</f>
        <v/>
      </c>
      <c r="M140" s="58">
        <f>'个人技术逐级'!N140</f>
        <v/>
      </c>
      <c r="N140" s="58">
        <f>SUMIFS($M$5:$M$692,$A$5:$A$692,A140,$B$5:$B$692,B140,$F$5:$F$692,"&lt;="&amp;F140)</f>
        <v/>
      </c>
      <c r="O140" s="58">
        <f>0</f>
        <v/>
      </c>
      <c r="P140" s="58">
        <f>SUMIFS($O$5:$O$692,$A$5:$A$692,A140,$B$5:$B$692,B140,$F$5:$F$692,"&lt;="&amp;F140)</f>
        <v/>
      </c>
      <c r="Q140" s="58">
        <f>0</f>
        <v/>
      </c>
      <c r="R140" s="58">
        <f>SUMIFS($Q$5:$Q$692,$A$5:$A$692,A140,$B$5:$B$692,B140,$F$5:$F$692,"&lt;="&amp;F140)</f>
        <v/>
      </c>
      <c r="S140" s="58">
        <f>0</f>
        <v/>
      </c>
      <c r="T140" s="58">
        <f>SUMIFS($S$5:$S$692,$A$5:$A$692,A140,$B$5:$B$692,B140,$F$5:$F$692,"&lt;="&amp;F140)</f>
        <v/>
      </c>
      <c r="U140" s="52">
        <f>'个人技术逐级'!O140</f>
        <v/>
      </c>
    </row>
    <row r="141">
      <c r="A141" s="33" t="inlineStr">
        <is>
          <t>个人技术</t>
        </is>
      </c>
      <c r="B141" s="33">
        <f>'个人技术逐级'!A141</f>
        <v/>
      </c>
      <c r="C141" s="33">
        <f>'个人技术逐级'!B141</f>
        <v/>
      </c>
      <c r="D141" s="33">
        <f>'个人技术逐级'!C141</f>
        <v/>
      </c>
      <c r="E141">
        <f>'个人技术逐级'!D141</f>
        <v/>
      </c>
      <c r="F141" s="54">
        <f>'个人技术逐级'!E141</f>
        <v/>
      </c>
      <c r="G141" s="55">
        <f>'个人技术逐级'!F141</f>
        <v/>
      </c>
      <c r="H141" s="56">
        <f>'个人技术逐级'!G141</f>
        <v/>
      </c>
      <c r="I141" s="52" t="inlineStr">
        <is>
          <t>个人技术计时升级</t>
        </is>
      </c>
      <c r="J141" s="57">
        <f>'个人技术逐级'!M141</f>
        <v/>
      </c>
      <c r="K141" s="35">
        <f>J141/3600</f>
        <v/>
      </c>
      <c r="L141" s="35">
        <f>SUMIFS($K$5:$K$692,$A$5:$A$692,A141,$B$5:$B$692,B141,$F$5:$F$692,"&lt;="&amp;F141)</f>
        <v/>
      </c>
      <c r="M141" s="58">
        <f>'个人技术逐级'!N141</f>
        <v/>
      </c>
      <c r="N141" s="58">
        <f>SUMIFS($M$5:$M$692,$A$5:$A$692,A141,$B$5:$B$692,B141,$F$5:$F$692,"&lt;="&amp;F141)</f>
        <v/>
      </c>
      <c r="O141" s="58">
        <f>0</f>
        <v/>
      </c>
      <c r="P141" s="58">
        <f>SUMIFS($O$5:$O$692,$A$5:$A$692,A141,$B$5:$B$692,B141,$F$5:$F$692,"&lt;="&amp;F141)</f>
        <v/>
      </c>
      <c r="Q141" s="58">
        <f>0</f>
        <v/>
      </c>
      <c r="R141" s="58">
        <f>SUMIFS($Q$5:$Q$692,$A$5:$A$692,A141,$B$5:$B$692,B141,$F$5:$F$692,"&lt;="&amp;F141)</f>
        <v/>
      </c>
      <c r="S141" s="58">
        <f>0</f>
        <v/>
      </c>
      <c r="T141" s="58">
        <f>SUMIFS($S$5:$S$692,$A$5:$A$692,A141,$B$5:$B$692,B141,$F$5:$F$692,"&lt;="&amp;F141)</f>
        <v/>
      </c>
      <c r="U141" s="52">
        <f>'个人技术逐级'!O141</f>
        <v/>
      </c>
    </row>
    <row r="142">
      <c r="A142" s="33" t="inlineStr">
        <is>
          <t>个人技术</t>
        </is>
      </c>
      <c r="B142" s="33">
        <f>'个人技术逐级'!A142</f>
        <v/>
      </c>
      <c r="C142" s="33">
        <f>'个人技术逐级'!B142</f>
        <v/>
      </c>
      <c r="D142" s="33">
        <f>'个人技术逐级'!C142</f>
        <v/>
      </c>
      <c r="E142">
        <f>'个人技术逐级'!D142</f>
        <v/>
      </c>
      <c r="F142" s="54">
        <f>'个人技术逐级'!E142</f>
        <v/>
      </c>
      <c r="G142" s="55">
        <f>'个人技术逐级'!F142</f>
        <v/>
      </c>
      <c r="H142" s="56">
        <f>'个人技术逐级'!G142</f>
        <v/>
      </c>
      <c r="I142" s="52" t="inlineStr">
        <is>
          <t>个人技术计时升级</t>
        </is>
      </c>
      <c r="J142" s="57">
        <f>'个人技术逐级'!M142</f>
        <v/>
      </c>
      <c r="K142" s="35">
        <f>J142/3600</f>
        <v/>
      </c>
      <c r="L142" s="35">
        <f>SUMIFS($K$5:$K$692,$A$5:$A$692,A142,$B$5:$B$692,B142,$F$5:$F$692,"&lt;="&amp;F142)</f>
        <v/>
      </c>
      <c r="M142" s="58">
        <f>'个人技术逐级'!N142</f>
        <v/>
      </c>
      <c r="N142" s="58">
        <f>SUMIFS($M$5:$M$692,$A$5:$A$692,A142,$B$5:$B$692,B142,$F$5:$F$692,"&lt;="&amp;F142)</f>
        <v/>
      </c>
      <c r="O142" s="58">
        <f>0</f>
        <v/>
      </c>
      <c r="P142" s="58">
        <f>SUMIFS($O$5:$O$692,$A$5:$A$692,A142,$B$5:$B$692,B142,$F$5:$F$692,"&lt;="&amp;F142)</f>
        <v/>
      </c>
      <c r="Q142" s="58">
        <f>0</f>
        <v/>
      </c>
      <c r="R142" s="58">
        <f>SUMIFS($Q$5:$Q$692,$A$5:$A$692,A142,$B$5:$B$692,B142,$F$5:$F$692,"&lt;="&amp;F142)</f>
        <v/>
      </c>
      <c r="S142" s="58">
        <f>0</f>
        <v/>
      </c>
      <c r="T142" s="58">
        <f>SUMIFS($S$5:$S$692,$A$5:$A$692,A142,$B$5:$B$692,B142,$F$5:$F$692,"&lt;="&amp;F142)</f>
        <v/>
      </c>
      <c r="U142" s="52">
        <f>'个人技术逐级'!O142</f>
        <v/>
      </c>
    </row>
    <row r="143">
      <c r="A143" s="33" t="inlineStr">
        <is>
          <t>个人技术</t>
        </is>
      </c>
      <c r="B143" s="33">
        <f>'个人技术逐级'!A143</f>
        <v/>
      </c>
      <c r="C143" s="33">
        <f>'个人技术逐级'!B143</f>
        <v/>
      </c>
      <c r="D143" s="33">
        <f>'个人技术逐级'!C143</f>
        <v/>
      </c>
      <c r="E143">
        <f>'个人技术逐级'!D143</f>
        <v/>
      </c>
      <c r="F143" s="54">
        <f>'个人技术逐级'!E143</f>
        <v/>
      </c>
      <c r="G143" s="55">
        <f>'个人技术逐级'!F143</f>
        <v/>
      </c>
      <c r="H143" s="56">
        <f>'个人技术逐级'!G143</f>
        <v/>
      </c>
      <c r="I143" s="52" t="inlineStr">
        <is>
          <t>个人技术计时升级</t>
        </is>
      </c>
      <c r="J143" s="57">
        <f>'个人技术逐级'!M143</f>
        <v/>
      </c>
      <c r="K143" s="35">
        <f>J143/3600</f>
        <v/>
      </c>
      <c r="L143" s="35">
        <f>SUMIFS($K$5:$K$692,$A$5:$A$692,A143,$B$5:$B$692,B143,$F$5:$F$692,"&lt;="&amp;F143)</f>
        <v/>
      </c>
      <c r="M143" s="58">
        <f>'个人技术逐级'!N143</f>
        <v/>
      </c>
      <c r="N143" s="58">
        <f>SUMIFS($M$5:$M$692,$A$5:$A$692,A143,$B$5:$B$692,B143,$F$5:$F$692,"&lt;="&amp;F143)</f>
        <v/>
      </c>
      <c r="O143" s="58">
        <f>0</f>
        <v/>
      </c>
      <c r="P143" s="58">
        <f>SUMIFS($O$5:$O$692,$A$5:$A$692,A143,$B$5:$B$692,B143,$F$5:$F$692,"&lt;="&amp;F143)</f>
        <v/>
      </c>
      <c r="Q143" s="58">
        <f>0</f>
        <v/>
      </c>
      <c r="R143" s="58">
        <f>SUMIFS($Q$5:$Q$692,$A$5:$A$692,A143,$B$5:$B$692,B143,$F$5:$F$692,"&lt;="&amp;F143)</f>
        <v/>
      </c>
      <c r="S143" s="58">
        <f>0</f>
        <v/>
      </c>
      <c r="T143" s="58">
        <f>SUMIFS($S$5:$S$692,$A$5:$A$692,A143,$B$5:$B$692,B143,$F$5:$F$692,"&lt;="&amp;F143)</f>
        <v/>
      </c>
      <c r="U143" s="52">
        <f>'个人技术逐级'!O143</f>
        <v/>
      </c>
    </row>
    <row r="144">
      <c r="A144" s="33" t="inlineStr">
        <is>
          <t>个人技术</t>
        </is>
      </c>
      <c r="B144" s="33">
        <f>'个人技术逐级'!A144</f>
        <v/>
      </c>
      <c r="C144" s="33">
        <f>'个人技术逐级'!B144</f>
        <v/>
      </c>
      <c r="D144" s="33">
        <f>'个人技术逐级'!C144</f>
        <v/>
      </c>
      <c r="E144">
        <f>'个人技术逐级'!D144</f>
        <v/>
      </c>
      <c r="F144" s="54">
        <f>'个人技术逐级'!E144</f>
        <v/>
      </c>
      <c r="G144" s="55">
        <f>'个人技术逐级'!F144</f>
        <v/>
      </c>
      <c r="H144" s="56">
        <f>'个人技术逐级'!G144</f>
        <v/>
      </c>
      <c r="I144" s="52" t="inlineStr">
        <is>
          <t>个人技术计时升级</t>
        </is>
      </c>
      <c r="J144" s="57">
        <f>'个人技术逐级'!M144</f>
        <v/>
      </c>
      <c r="K144" s="35">
        <f>J144/3600</f>
        <v/>
      </c>
      <c r="L144" s="35">
        <f>SUMIFS($K$5:$K$692,$A$5:$A$692,A144,$B$5:$B$692,B144,$F$5:$F$692,"&lt;="&amp;F144)</f>
        <v/>
      </c>
      <c r="M144" s="58">
        <f>'个人技术逐级'!N144</f>
        <v/>
      </c>
      <c r="N144" s="58">
        <f>SUMIFS($M$5:$M$692,$A$5:$A$692,A144,$B$5:$B$692,B144,$F$5:$F$692,"&lt;="&amp;F144)</f>
        <v/>
      </c>
      <c r="O144" s="58">
        <f>0</f>
        <v/>
      </c>
      <c r="P144" s="58">
        <f>SUMIFS($O$5:$O$692,$A$5:$A$692,A144,$B$5:$B$692,B144,$F$5:$F$692,"&lt;="&amp;F144)</f>
        <v/>
      </c>
      <c r="Q144" s="58">
        <f>0</f>
        <v/>
      </c>
      <c r="R144" s="58">
        <f>SUMIFS($Q$5:$Q$692,$A$5:$A$692,A144,$B$5:$B$692,B144,$F$5:$F$692,"&lt;="&amp;F144)</f>
        <v/>
      </c>
      <c r="S144" s="58">
        <f>0</f>
        <v/>
      </c>
      <c r="T144" s="58">
        <f>SUMIFS($S$5:$S$692,$A$5:$A$692,A144,$B$5:$B$692,B144,$F$5:$F$692,"&lt;="&amp;F144)</f>
        <v/>
      </c>
      <c r="U144" s="52">
        <f>'个人技术逐级'!O144</f>
        <v/>
      </c>
    </row>
    <row r="145">
      <c r="A145" s="33" t="inlineStr">
        <is>
          <t>个人技术</t>
        </is>
      </c>
      <c r="B145" s="33">
        <f>'个人技术逐级'!A145</f>
        <v/>
      </c>
      <c r="C145" s="33">
        <f>'个人技术逐级'!B145</f>
        <v/>
      </c>
      <c r="D145" s="33">
        <f>'个人技术逐级'!C145</f>
        <v/>
      </c>
      <c r="E145">
        <f>'个人技术逐级'!D145</f>
        <v/>
      </c>
      <c r="F145" s="54">
        <f>'个人技术逐级'!E145</f>
        <v/>
      </c>
      <c r="G145" s="55">
        <f>'个人技术逐级'!F145</f>
        <v/>
      </c>
      <c r="H145" s="56">
        <f>'个人技术逐级'!G145</f>
        <v/>
      </c>
      <c r="I145" s="52" t="inlineStr">
        <is>
          <t>个人技术计时升级</t>
        </is>
      </c>
      <c r="J145" s="57">
        <f>'个人技术逐级'!M145</f>
        <v/>
      </c>
      <c r="K145" s="35">
        <f>J145/3600</f>
        <v/>
      </c>
      <c r="L145" s="35">
        <f>SUMIFS($K$5:$K$692,$A$5:$A$692,A145,$B$5:$B$692,B145,$F$5:$F$692,"&lt;="&amp;F145)</f>
        <v/>
      </c>
      <c r="M145" s="58">
        <f>'个人技术逐级'!N145</f>
        <v/>
      </c>
      <c r="N145" s="58">
        <f>SUMIFS($M$5:$M$692,$A$5:$A$692,A145,$B$5:$B$692,B145,$F$5:$F$692,"&lt;="&amp;F145)</f>
        <v/>
      </c>
      <c r="O145" s="58">
        <f>0</f>
        <v/>
      </c>
      <c r="P145" s="58">
        <f>SUMIFS($O$5:$O$692,$A$5:$A$692,A145,$B$5:$B$692,B145,$F$5:$F$692,"&lt;="&amp;F145)</f>
        <v/>
      </c>
      <c r="Q145" s="58">
        <f>0</f>
        <v/>
      </c>
      <c r="R145" s="58">
        <f>SUMIFS($Q$5:$Q$692,$A$5:$A$692,A145,$B$5:$B$692,B145,$F$5:$F$692,"&lt;="&amp;F145)</f>
        <v/>
      </c>
      <c r="S145" s="58">
        <f>0</f>
        <v/>
      </c>
      <c r="T145" s="58">
        <f>SUMIFS($S$5:$S$692,$A$5:$A$692,A145,$B$5:$B$692,B145,$F$5:$F$692,"&lt;="&amp;F145)</f>
        <v/>
      </c>
      <c r="U145" s="52">
        <f>'个人技术逐级'!O145</f>
        <v/>
      </c>
    </row>
    <row r="146">
      <c r="A146" s="33" t="inlineStr">
        <is>
          <t>个人技术</t>
        </is>
      </c>
      <c r="B146" s="33">
        <f>'个人技术逐级'!A146</f>
        <v/>
      </c>
      <c r="C146" s="33">
        <f>'个人技术逐级'!B146</f>
        <v/>
      </c>
      <c r="D146" s="33">
        <f>'个人技术逐级'!C146</f>
        <v/>
      </c>
      <c r="E146">
        <f>'个人技术逐级'!D146</f>
        <v/>
      </c>
      <c r="F146" s="54">
        <f>'个人技术逐级'!E146</f>
        <v/>
      </c>
      <c r="G146" s="55">
        <f>'个人技术逐级'!F146</f>
        <v/>
      </c>
      <c r="H146" s="56">
        <f>'个人技术逐级'!G146</f>
        <v/>
      </c>
      <c r="I146" s="52" t="inlineStr">
        <is>
          <t>个人技术计时升级</t>
        </is>
      </c>
      <c r="J146" s="57">
        <f>'个人技术逐级'!M146</f>
        <v/>
      </c>
      <c r="K146" s="35">
        <f>J146/3600</f>
        <v/>
      </c>
      <c r="L146" s="35">
        <f>SUMIFS($K$5:$K$692,$A$5:$A$692,A146,$B$5:$B$692,B146,$F$5:$F$692,"&lt;="&amp;F146)</f>
        <v/>
      </c>
      <c r="M146" s="58">
        <f>'个人技术逐级'!N146</f>
        <v/>
      </c>
      <c r="N146" s="58">
        <f>SUMIFS($M$5:$M$692,$A$5:$A$692,A146,$B$5:$B$692,B146,$F$5:$F$692,"&lt;="&amp;F146)</f>
        <v/>
      </c>
      <c r="O146" s="58">
        <f>0</f>
        <v/>
      </c>
      <c r="P146" s="58">
        <f>SUMIFS($O$5:$O$692,$A$5:$A$692,A146,$B$5:$B$692,B146,$F$5:$F$692,"&lt;="&amp;F146)</f>
        <v/>
      </c>
      <c r="Q146" s="58">
        <f>0</f>
        <v/>
      </c>
      <c r="R146" s="58">
        <f>SUMIFS($Q$5:$Q$692,$A$5:$A$692,A146,$B$5:$B$692,B146,$F$5:$F$692,"&lt;="&amp;F146)</f>
        <v/>
      </c>
      <c r="S146" s="58">
        <f>0</f>
        <v/>
      </c>
      <c r="T146" s="58">
        <f>SUMIFS($S$5:$S$692,$A$5:$A$692,A146,$B$5:$B$692,B146,$F$5:$F$692,"&lt;="&amp;F146)</f>
        <v/>
      </c>
      <c r="U146" s="52">
        <f>'个人技术逐级'!O146</f>
        <v/>
      </c>
    </row>
    <row r="147">
      <c r="A147" s="33" t="inlineStr">
        <is>
          <t>个人技术</t>
        </is>
      </c>
      <c r="B147" s="33">
        <f>'个人技术逐级'!A147</f>
        <v/>
      </c>
      <c r="C147" s="33">
        <f>'个人技术逐级'!B147</f>
        <v/>
      </c>
      <c r="D147" s="33">
        <f>'个人技术逐级'!C147</f>
        <v/>
      </c>
      <c r="E147">
        <f>'个人技术逐级'!D147</f>
        <v/>
      </c>
      <c r="F147" s="54">
        <f>'个人技术逐级'!E147</f>
        <v/>
      </c>
      <c r="G147" s="55">
        <f>'个人技术逐级'!F147</f>
        <v/>
      </c>
      <c r="H147" s="56">
        <f>'个人技术逐级'!G147</f>
        <v/>
      </c>
      <c r="I147" s="52" t="inlineStr">
        <is>
          <t>个人技术计时升级</t>
        </is>
      </c>
      <c r="J147" s="57">
        <f>'个人技术逐级'!M147</f>
        <v/>
      </c>
      <c r="K147" s="35">
        <f>J147/3600</f>
        <v/>
      </c>
      <c r="L147" s="35">
        <f>SUMIFS($K$5:$K$692,$A$5:$A$692,A147,$B$5:$B$692,B147,$F$5:$F$692,"&lt;="&amp;F147)</f>
        <v/>
      </c>
      <c r="M147" s="58">
        <f>'个人技术逐级'!N147</f>
        <v/>
      </c>
      <c r="N147" s="58">
        <f>SUMIFS($M$5:$M$692,$A$5:$A$692,A147,$B$5:$B$692,B147,$F$5:$F$692,"&lt;="&amp;F147)</f>
        <v/>
      </c>
      <c r="O147" s="58">
        <f>0</f>
        <v/>
      </c>
      <c r="P147" s="58">
        <f>SUMIFS($O$5:$O$692,$A$5:$A$692,A147,$B$5:$B$692,B147,$F$5:$F$692,"&lt;="&amp;F147)</f>
        <v/>
      </c>
      <c r="Q147" s="58">
        <f>0</f>
        <v/>
      </c>
      <c r="R147" s="58">
        <f>SUMIFS($Q$5:$Q$692,$A$5:$A$692,A147,$B$5:$B$692,B147,$F$5:$F$692,"&lt;="&amp;F147)</f>
        <v/>
      </c>
      <c r="S147" s="58">
        <f>0</f>
        <v/>
      </c>
      <c r="T147" s="58">
        <f>SUMIFS($S$5:$S$692,$A$5:$A$692,A147,$B$5:$B$692,B147,$F$5:$F$692,"&lt;="&amp;F147)</f>
        <v/>
      </c>
      <c r="U147" s="52">
        <f>'个人技术逐级'!O147</f>
        <v/>
      </c>
    </row>
    <row r="148">
      <c r="A148" s="33" t="inlineStr">
        <is>
          <t>个人技术</t>
        </is>
      </c>
      <c r="B148" s="33">
        <f>'个人技术逐级'!A148</f>
        <v/>
      </c>
      <c r="C148" s="33">
        <f>'个人技术逐级'!B148</f>
        <v/>
      </c>
      <c r="D148" s="33">
        <f>'个人技术逐级'!C148</f>
        <v/>
      </c>
      <c r="E148">
        <f>'个人技术逐级'!D148</f>
        <v/>
      </c>
      <c r="F148" s="54">
        <f>'个人技术逐级'!E148</f>
        <v/>
      </c>
      <c r="G148" s="55">
        <f>'个人技术逐级'!F148</f>
        <v/>
      </c>
      <c r="H148" s="56">
        <f>'个人技术逐级'!G148</f>
        <v/>
      </c>
      <c r="I148" s="52" t="inlineStr">
        <is>
          <t>个人技术计时升级</t>
        </is>
      </c>
      <c r="J148" s="57">
        <f>'个人技术逐级'!M148</f>
        <v/>
      </c>
      <c r="K148" s="35">
        <f>J148/3600</f>
        <v/>
      </c>
      <c r="L148" s="35">
        <f>SUMIFS($K$5:$K$692,$A$5:$A$692,A148,$B$5:$B$692,B148,$F$5:$F$692,"&lt;="&amp;F148)</f>
        <v/>
      </c>
      <c r="M148" s="58">
        <f>'个人技术逐级'!N148</f>
        <v/>
      </c>
      <c r="N148" s="58">
        <f>SUMIFS($M$5:$M$692,$A$5:$A$692,A148,$B$5:$B$692,B148,$F$5:$F$692,"&lt;="&amp;F148)</f>
        <v/>
      </c>
      <c r="O148" s="58">
        <f>0</f>
        <v/>
      </c>
      <c r="P148" s="58">
        <f>SUMIFS($O$5:$O$692,$A$5:$A$692,A148,$B$5:$B$692,B148,$F$5:$F$692,"&lt;="&amp;F148)</f>
        <v/>
      </c>
      <c r="Q148" s="58">
        <f>0</f>
        <v/>
      </c>
      <c r="R148" s="58">
        <f>SUMIFS($Q$5:$Q$692,$A$5:$A$692,A148,$B$5:$B$692,B148,$F$5:$F$692,"&lt;="&amp;F148)</f>
        <v/>
      </c>
      <c r="S148" s="58">
        <f>0</f>
        <v/>
      </c>
      <c r="T148" s="58">
        <f>SUMIFS($S$5:$S$692,$A$5:$A$692,A148,$B$5:$B$692,B148,$F$5:$F$692,"&lt;="&amp;F148)</f>
        <v/>
      </c>
      <c r="U148" s="52">
        <f>'个人技术逐级'!O148</f>
        <v/>
      </c>
    </row>
    <row r="149">
      <c r="A149" s="33" t="inlineStr">
        <is>
          <t>个人技术</t>
        </is>
      </c>
      <c r="B149" s="33">
        <f>'个人技术逐级'!A149</f>
        <v/>
      </c>
      <c r="C149" s="33">
        <f>'个人技术逐级'!B149</f>
        <v/>
      </c>
      <c r="D149" s="33">
        <f>'个人技术逐级'!C149</f>
        <v/>
      </c>
      <c r="E149">
        <f>'个人技术逐级'!D149</f>
        <v/>
      </c>
      <c r="F149" s="54">
        <f>'个人技术逐级'!E149</f>
        <v/>
      </c>
      <c r="G149" s="55">
        <f>'个人技术逐级'!F149</f>
        <v/>
      </c>
      <c r="H149" s="56">
        <f>'个人技术逐级'!G149</f>
        <v/>
      </c>
      <c r="I149" s="52" t="inlineStr">
        <is>
          <t>个人技术计时升级</t>
        </is>
      </c>
      <c r="J149" s="57">
        <f>'个人技术逐级'!M149</f>
        <v/>
      </c>
      <c r="K149" s="35">
        <f>J149/3600</f>
        <v/>
      </c>
      <c r="L149" s="35">
        <f>SUMIFS($K$5:$K$692,$A$5:$A$692,A149,$B$5:$B$692,B149,$F$5:$F$692,"&lt;="&amp;F149)</f>
        <v/>
      </c>
      <c r="M149" s="58">
        <f>'个人技术逐级'!N149</f>
        <v/>
      </c>
      <c r="N149" s="58">
        <f>SUMIFS($M$5:$M$692,$A$5:$A$692,A149,$B$5:$B$692,B149,$F$5:$F$692,"&lt;="&amp;F149)</f>
        <v/>
      </c>
      <c r="O149" s="58">
        <f>0</f>
        <v/>
      </c>
      <c r="P149" s="58">
        <f>SUMIFS($O$5:$O$692,$A$5:$A$692,A149,$B$5:$B$692,B149,$F$5:$F$692,"&lt;="&amp;F149)</f>
        <v/>
      </c>
      <c r="Q149" s="58">
        <f>0</f>
        <v/>
      </c>
      <c r="R149" s="58">
        <f>SUMIFS($Q$5:$Q$692,$A$5:$A$692,A149,$B$5:$B$692,B149,$F$5:$F$692,"&lt;="&amp;F149)</f>
        <v/>
      </c>
      <c r="S149" s="58">
        <f>0</f>
        <v/>
      </c>
      <c r="T149" s="58">
        <f>SUMIFS($S$5:$S$692,$A$5:$A$692,A149,$B$5:$B$692,B149,$F$5:$F$692,"&lt;="&amp;F149)</f>
        <v/>
      </c>
      <c r="U149" s="52">
        <f>'个人技术逐级'!O149</f>
        <v/>
      </c>
    </row>
    <row r="150">
      <c r="A150" s="33" t="inlineStr">
        <is>
          <t>个人技术</t>
        </is>
      </c>
      <c r="B150" s="33">
        <f>'个人技术逐级'!A150</f>
        <v/>
      </c>
      <c r="C150" s="33">
        <f>'个人技术逐级'!B150</f>
        <v/>
      </c>
      <c r="D150" s="33">
        <f>'个人技术逐级'!C150</f>
        <v/>
      </c>
      <c r="E150">
        <f>'个人技术逐级'!D150</f>
        <v/>
      </c>
      <c r="F150" s="54">
        <f>'个人技术逐级'!E150</f>
        <v/>
      </c>
      <c r="G150" s="55">
        <f>'个人技术逐级'!F150</f>
        <v/>
      </c>
      <c r="H150" s="56">
        <f>'个人技术逐级'!G150</f>
        <v/>
      </c>
      <c r="I150" s="52" t="inlineStr">
        <is>
          <t>个人技术计时升级</t>
        </is>
      </c>
      <c r="J150" s="57">
        <f>'个人技术逐级'!M150</f>
        <v/>
      </c>
      <c r="K150" s="35">
        <f>J150/3600</f>
        <v/>
      </c>
      <c r="L150" s="35">
        <f>SUMIFS($K$5:$K$692,$A$5:$A$692,A150,$B$5:$B$692,B150,$F$5:$F$692,"&lt;="&amp;F150)</f>
        <v/>
      </c>
      <c r="M150" s="58">
        <f>'个人技术逐级'!N150</f>
        <v/>
      </c>
      <c r="N150" s="58">
        <f>SUMIFS($M$5:$M$692,$A$5:$A$692,A150,$B$5:$B$692,B150,$F$5:$F$692,"&lt;="&amp;F150)</f>
        <v/>
      </c>
      <c r="O150" s="58">
        <f>0</f>
        <v/>
      </c>
      <c r="P150" s="58">
        <f>SUMIFS($O$5:$O$692,$A$5:$A$692,A150,$B$5:$B$692,B150,$F$5:$F$692,"&lt;="&amp;F150)</f>
        <v/>
      </c>
      <c r="Q150" s="58">
        <f>0</f>
        <v/>
      </c>
      <c r="R150" s="58">
        <f>SUMIFS($Q$5:$Q$692,$A$5:$A$692,A150,$B$5:$B$692,B150,$F$5:$F$692,"&lt;="&amp;F150)</f>
        <v/>
      </c>
      <c r="S150" s="58">
        <f>0</f>
        <v/>
      </c>
      <c r="T150" s="58">
        <f>SUMIFS($S$5:$S$692,$A$5:$A$692,A150,$B$5:$B$692,B150,$F$5:$F$692,"&lt;="&amp;F150)</f>
        <v/>
      </c>
      <c r="U150" s="52">
        <f>'个人技术逐级'!O150</f>
        <v/>
      </c>
    </row>
    <row r="151">
      <c r="A151" s="33" t="inlineStr">
        <is>
          <t>个人技术</t>
        </is>
      </c>
      <c r="B151" s="33">
        <f>'个人技术逐级'!A151</f>
        <v/>
      </c>
      <c r="C151" s="33">
        <f>'个人技术逐级'!B151</f>
        <v/>
      </c>
      <c r="D151" s="33">
        <f>'个人技术逐级'!C151</f>
        <v/>
      </c>
      <c r="E151">
        <f>'个人技术逐级'!D151</f>
        <v/>
      </c>
      <c r="F151" s="54">
        <f>'个人技术逐级'!E151</f>
        <v/>
      </c>
      <c r="G151" s="55">
        <f>'个人技术逐级'!F151</f>
        <v/>
      </c>
      <c r="H151" s="56">
        <f>'个人技术逐级'!G151</f>
        <v/>
      </c>
      <c r="I151" s="52" t="inlineStr">
        <is>
          <t>个人技术计时升级</t>
        </is>
      </c>
      <c r="J151" s="57">
        <f>'个人技术逐级'!M151</f>
        <v/>
      </c>
      <c r="K151" s="35">
        <f>J151/3600</f>
        <v/>
      </c>
      <c r="L151" s="35">
        <f>SUMIFS($K$5:$K$692,$A$5:$A$692,A151,$B$5:$B$692,B151,$F$5:$F$692,"&lt;="&amp;F151)</f>
        <v/>
      </c>
      <c r="M151" s="58">
        <f>'个人技术逐级'!N151</f>
        <v/>
      </c>
      <c r="N151" s="58">
        <f>SUMIFS($M$5:$M$692,$A$5:$A$692,A151,$B$5:$B$692,B151,$F$5:$F$692,"&lt;="&amp;F151)</f>
        <v/>
      </c>
      <c r="O151" s="58">
        <f>0</f>
        <v/>
      </c>
      <c r="P151" s="58">
        <f>SUMIFS($O$5:$O$692,$A$5:$A$692,A151,$B$5:$B$692,B151,$F$5:$F$692,"&lt;="&amp;F151)</f>
        <v/>
      </c>
      <c r="Q151" s="58">
        <f>0</f>
        <v/>
      </c>
      <c r="R151" s="58">
        <f>SUMIFS($Q$5:$Q$692,$A$5:$A$692,A151,$B$5:$B$692,B151,$F$5:$F$692,"&lt;="&amp;F151)</f>
        <v/>
      </c>
      <c r="S151" s="58">
        <f>0</f>
        <v/>
      </c>
      <c r="T151" s="58">
        <f>SUMIFS($S$5:$S$692,$A$5:$A$692,A151,$B$5:$B$692,B151,$F$5:$F$692,"&lt;="&amp;F151)</f>
        <v/>
      </c>
      <c r="U151" s="52">
        <f>'个人技术逐级'!O151</f>
        <v/>
      </c>
    </row>
    <row r="152">
      <c r="A152" s="33" t="inlineStr">
        <is>
          <t>个人技术</t>
        </is>
      </c>
      <c r="B152" s="33">
        <f>'个人技术逐级'!A152</f>
        <v/>
      </c>
      <c r="C152" s="33">
        <f>'个人技术逐级'!B152</f>
        <v/>
      </c>
      <c r="D152" s="33">
        <f>'个人技术逐级'!C152</f>
        <v/>
      </c>
      <c r="E152">
        <f>'个人技术逐级'!D152</f>
        <v/>
      </c>
      <c r="F152" s="54">
        <f>'个人技术逐级'!E152</f>
        <v/>
      </c>
      <c r="G152" s="55">
        <f>'个人技术逐级'!F152</f>
        <v/>
      </c>
      <c r="H152" s="56">
        <f>'个人技术逐级'!G152</f>
        <v/>
      </c>
      <c r="I152" s="52" t="inlineStr">
        <is>
          <t>个人技术计时升级</t>
        </is>
      </c>
      <c r="J152" s="57">
        <f>'个人技术逐级'!M152</f>
        <v/>
      </c>
      <c r="K152" s="35">
        <f>J152/3600</f>
        <v/>
      </c>
      <c r="L152" s="35">
        <f>SUMIFS($K$5:$K$692,$A$5:$A$692,A152,$B$5:$B$692,B152,$F$5:$F$692,"&lt;="&amp;F152)</f>
        <v/>
      </c>
      <c r="M152" s="58">
        <f>'个人技术逐级'!N152</f>
        <v/>
      </c>
      <c r="N152" s="58">
        <f>SUMIFS($M$5:$M$692,$A$5:$A$692,A152,$B$5:$B$692,B152,$F$5:$F$692,"&lt;="&amp;F152)</f>
        <v/>
      </c>
      <c r="O152" s="58">
        <f>0</f>
        <v/>
      </c>
      <c r="P152" s="58">
        <f>SUMIFS($O$5:$O$692,$A$5:$A$692,A152,$B$5:$B$692,B152,$F$5:$F$692,"&lt;="&amp;F152)</f>
        <v/>
      </c>
      <c r="Q152" s="58">
        <f>0</f>
        <v/>
      </c>
      <c r="R152" s="58">
        <f>SUMIFS($Q$5:$Q$692,$A$5:$A$692,A152,$B$5:$B$692,B152,$F$5:$F$692,"&lt;="&amp;F152)</f>
        <v/>
      </c>
      <c r="S152" s="58">
        <f>0</f>
        <v/>
      </c>
      <c r="T152" s="58">
        <f>SUMIFS($S$5:$S$692,$A$5:$A$692,A152,$B$5:$B$692,B152,$F$5:$F$692,"&lt;="&amp;F152)</f>
        <v/>
      </c>
      <c r="U152" s="52">
        <f>'个人技术逐级'!O152</f>
        <v/>
      </c>
    </row>
    <row r="153">
      <c r="A153" s="33" t="inlineStr">
        <is>
          <t>个人技术</t>
        </is>
      </c>
      <c r="B153" s="33">
        <f>'个人技术逐级'!A153</f>
        <v/>
      </c>
      <c r="C153" s="33">
        <f>'个人技术逐级'!B153</f>
        <v/>
      </c>
      <c r="D153" s="33">
        <f>'个人技术逐级'!C153</f>
        <v/>
      </c>
      <c r="E153">
        <f>'个人技术逐级'!D153</f>
        <v/>
      </c>
      <c r="F153" s="54">
        <f>'个人技术逐级'!E153</f>
        <v/>
      </c>
      <c r="G153" s="55">
        <f>'个人技术逐级'!F153</f>
        <v/>
      </c>
      <c r="H153" s="56">
        <f>'个人技术逐级'!G153</f>
        <v/>
      </c>
      <c r="I153" s="52" t="inlineStr">
        <is>
          <t>个人技术计时升级</t>
        </is>
      </c>
      <c r="J153" s="57">
        <f>'个人技术逐级'!M153</f>
        <v/>
      </c>
      <c r="K153" s="35">
        <f>J153/3600</f>
        <v/>
      </c>
      <c r="L153" s="35">
        <f>SUMIFS($K$5:$K$692,$A$5:$A$692,A153,$B$5:$B$692,B153,$F$5:$F$692,"&lt;="&amp;F153)</f>
        <v/>
      </c>
      <c r="M153" s="58">
        <f>'个人技术逐级'!N153</f>
        <v/>
      </c>
      <c r="N153" s="58">
        <f>SUMIFS($M$5:$M$692,$A$5:$A$692,A153,$B$5:$B$692,B153,$F$5:$F$692,"&lt;="&amp;F153)</f>
        <v/>
      </c>
      <c r="O153" s="58">
        <f>0</f>
        <v/>
      </c>
      <c r="P153" s="58">
        <f>SUMIFS($O$5:$O$692,$A$5:$A$692,A153,$B$5:$B$692,B153,$F$5:$F$692,"&lt;="&amp;F153)</f>
        <v/>
      </c>
      <c r="Q153" s="58">
        <f>0</f>
        <v/>
      </c>
      <c r="R153" s="58">
        <f>SUMIFS($Q$5:$Q$692,$A$5:$A$692,A153,$B$5:$B$692,B153,$F$5:$F$692,"&lt;="&amp;F153)</f>
        <v/>
      </c>
      <c r="S153" s="58">
        <f>0</f>
        <v/>
      </c>
      <c r="T153" s="58">
        <f>SUMIFS($S$5:$S$692,$A$5:$A$692,A153,$B$5:$B$692,B153,$F$5:$F$692,"&lt;="&amp;F153)</f>
        <v/>
      </c>
      <c r="U153" s="52">
        <f>'个人技术逐级'!O153</f>
        <v/>
      </c>
    </row>
    <row r="154">
      <c r="A154" s="33" t="inlineStr">
        <is>
          <t>个人技术</t>
        </is>
      </c>
      <c r="B154" s="33">
        <f>'个人技术逐级'!A154</f>
        <v/>
      </c>
      <c r="C154" s="33">
        <f>'个人技术逐级'!B154</f>
        <v/>
      </c>
      <c r="D154" s="33">
        <f>'个人技术逐级'!C154</f>
        <v/>
      </c>
      <c r="E154">
        <f>'个人技术逐级'!D154</f>
        <v/>
      </c>
      <c r="F154" s="54">
        <f>'个人技术逐级'!E154</f>
        <v/>
      </c>
      <c r="G154" s="55">
        <f>'个人技术逐级'!F154</f>
        <v/>
      </c>
      <c r="H154" s="56">
        <f>'个人技术逐级'!G154</f>
        <v/>
      </c>
      <c r="I154" s="52" t="inlineStr">
        <is>
          <t>个人技术计时升级</t>
        </is>
      </c>
      <c r="J154" s="57">
        <f>'个人技术逐级'!M154</f>
        <v/>
      </c>
      <c r="K154" s="35">
        <f>J154/3600</f>
        <v/>
      </c>
      <c r="L154" s="35">
        <f>SUMIFS($K$5:$K$692,$A$5:$A$692,A154,$B$5:$B$692,B154,$F$5:$F$692,"&lt;="&amp;F154)</f>
        <v/>
      </c>
      <c r="M154" s="58">
        <f>'个人技术逐级'!N154</f>
        <v/>
      </c>
      <c r="N154" s="58">
        <f>SUMIFS($M$5:$M$692,$A$5:$A$692,A154,$B$5:$B$692,B154,$F$5:$F$692,"&lt;="&amp;F154)</f>
        <v/>
      </c>
      <c r="O154" s="58">
        <f>0</f>
        <v/>
      </c>
      <c r="P154" s="58">
        <f>SUMIFS($O$5:$O$692,$A$5:$A$692,A154,$B$5:$B$692,B154,$F$5:$F$692,"&lt;="&amp;F154)</f>
        <v/>
      </c>
      <c r="Q154" s="58">
        <f>0</f>
        <v/>
      </c>
      <c r="R154" s="58">
        <f>SUMIFS($Q$5:$Q$692,$A$5:$A$692,A154,$B$5:$B$692,B154,$F$5:$F$692,"&lt;="&amp;F154)</f>
        <v/>
      </c>
      <c r="S154" s="58">
        <f>0</f>
        <v/>
      </c>
      <c r="T154" s="58">
        <f>SUMIFS($S$5:$S$692,$A$5:$A$692,A154,$B$5:$B$692,B154,$F$5:$F$692,"&lt;="&amp;F154)</f>
        <v/>
      </c>
      <c r="U154" s="52">
        <f>'个人技术逐级'!O154</f>
        <v/>
      </c>
    </row>
    <row r="155">
      <c r="A155" s="33" t="inlineStr">
        <is>
          <t>个人技术</t>
        </is>
      </c>
      <c r="B155" s="33">
        <f>'个人技术逐级'!A155</f>
        <v/>
      </c>
      <c r="C155" s="33">
        <f>'个人技术逐级'!B155</f>
        <v/>
      </c>
      <c r="D155" s="33">
        <f>'个人技术逐级'!C155</f>
        <v/>
      </c>
      <c r="E155">
        <f>'个人技术逐级'!D155</f>
        <v/>
      </c>
      <c r="F155" s="54">
        <f>'个人技术逐级'!E155</f>
        <v/>
      </c>
      <c r="G155" s="55">
        <f>'个人技术逐级'!F155</f>
        <v/>
      </c>
      <c r="H155" s="56">
        <f>'个人技术逐级'!G155</f>
        <v/>
      </c>
      <c r="I155" s="52" t="inlineStr">
        <is>
          <t>个人技术计时升级</t>
        </is>
      </c>
      <c r="J155" s="57">
        <f>'个人技术逐级'!M155</f>
        <v/>
      </c>
      <c r="K155" s="35">
        <f>J155/3600</f>
        <v/>
      </c>
      <c r="L155" s="35">
        <f>SUMIFS($K$5:$K$692,$A$5:$A$692,A155,$B$5:$B$692,B155,$F$5:$F$692,"&lt;="&amp;F155)</f>
        <v/>
      </c>
      <c r="M155" s="58">
        <f>'个人技术逐级'!N155</f>
        <v/>
      </c>
      <c r="N155" s="58">
        <f>SUMIFS($M$5:$M$692,$A$5:$A$692,A155,$B$5:$B$692,B155,$F$5:$F$692,"&lt;="&amp;F155)</f>
        <v/>
      </c>
      <c r="O155" s="58">
        <f>0</f>
        <v/>
      </c>
      <c r="P155" s="58">
        <f>SUMIFS($O$5:$O$692,$A$5:$A$692,A155,$B$5:$B$692,B155,$F$5:$F$692,"&lt;="&amp;F155)</f>
        <v/>
      </c>
      <c r="Q155" s="58">
        <f>0</f>
        <v/>
      </c>
      <c r="R155" s="58">
        <f>SUMIFS($Q$5:$Q$692,$A$5:$A$692,A155,$B$5:$B$692,B155,$F$5:$F$692,"&lt;="&amp;F155)</f>
        <v/>
      </c>
      <c r="S155" s="58">
        <f>0</f>
        <v/>
      </c>
      <c r="T155" s="58">
        <f>SUMIFS($S$5:$S$692,$A$5:$A$692,A155,$B$5:$B$692,B155,$F$5:$F$692,"&lt;="&amp;F155)</f>
        <v/>
      </c>
      <c r="U155" s="52">
        <f>'个人技术逐级'!O155</f>
        <v/>
      </c>
    </row>
    <row r="156">
      <c r="A156" s="33" t="inlineStr">
        <is>
          <t>个人技术</t>
        </is>
      </c>
      <c r="B156" s="33">
        <f>'个人技术逐级'!A156</f>
        <v/>
      </c>
      <c r="C156" s="33">
        <f>'个人技术逐级'!B156</f>
        <v/>
      </c>
      <c r="D156" s="33">
        <f>'个人技术逐级'!C156</f>
        <v/>
      </c>
      <c r="E156">
        <f>'个人技术逐级'!D156</f>
        <v/>
      </c>
      <c r="F156" s="54">
        <f>'个人技术逐级'!E156</f>
        <v/>
      </c>
      <c r="G156" s="55">
        <f>'个人技术逐级'!F156</f>
        <v/>
      </c>
      <c r="H156" s="56">
        <f>'个人技术逐级'!G156</f>
        <v/>
      </c>
      <c r="I156" s="52" t="inlineStr">
        <is>
          <t>个人技术计时升级</t>
        </is>
      </c>
      <c r="J156" s="57">
        <f>'个人技术逐级'!M156</f>
        <v/>
      </c>
      <c r="K156" s="35">
        <f>J156/3600</f>
        <v/>
      </c>
      <c r="L156" s="35">
        <f>SUMIFS($K$5:$K$692,$A$5:$A$692,A156,$B$5:$B$692,B156,$F$5:$F$692,"&lt;="&amp;F156)</f>
        <v/>
      </c>
      <c r="M156" s="58">
        <f>'个人技术逐级'!N156</f>
        <v/>
      </c>
      <c r="N156" s="58">
        <f>SUMIFS($M$5:$M$692,$A$5:$A$692,A156,$B$5:$B$692,B156,$F$5:$F$692,"&lt;="&amp;F156)</f>
        <v/>
      </c>
      <c r="O156" s="58">
        <f>0</f>
        <v/>
      </c>
      <c r="P156" s="58">
        <f>SUMIFS($O$5:$O$692,$A$5:$A$692,A156,$B$5:$B$692,B156,$F$5:$F$692,"&lt;="&amp;F156)</f>
        <v/>
      </c>
      <c r="Q156" s="58">
        <f>0</f>
        <v/>
      </c>
      <c r="R156" s="58">
        <f>SUMIFS($Q$5:$Q$692,$A$5:$A$692,A156,$B$5:$B$692,B156,$F$5:$F$692,"&lt;="&amp;F156)</f>
        <v/>
      </c>
      <c r="S156" s="58">
        <f>0</f>
        <v/>
      </c>
      <c r="T156" s="58">
        <f>SUMIFS($S$5:$S$692,$A$5:$A$692,A156,$B$5:$B$692,B156,$F$5:$F$692,"&lt;="&amp;F156)</f>
        <v/>
      </c>
      <c r="U156" s="52">
        <f>'个人技术逐级'!O156</f>
        <v/>
      </c>
    </row>
    <row r="157">
      <c r="A157" s="33" t="inlineStr">
        <is>
          <t>个人技术</t>
        </is>
      </c>
      <c r="B157" s="33">
        <f>'个人技术逐级'!A157</f>
        <v/>
      </c>
      <c r="C157" s="33">
        <f>'个人技术逐级'!B157</f>
        <v/>
      </c>
      <c r="D157" s="33">
        <f>'个人技术逐级'!C157</f>
        <v/>
      </c>
      <c r="E157">
        <f>'个人技术逐级'!D157</f>
        <v/>
      </c>
      <c r="F157" s="54">
        <f>'个人技术逐级'!E157</f>
        <v/>
      </c>
      <c r="G157" s="55">
        <f>'个人技术逐级'!F157</f>
        <v/>
      </c>
      <c r="H157" s="56">
        <f>'个人技术逐级'!G157</f>
        <v/>
      </c>
      <c r="I157" s="52" t="inlineStr">
        <is>
          <t>个人技术计时升级</t>
        </is>
      </c>
      <c r="J157" s="57">
        <f>'个人技术逐级'!M157</f>
        <v/>
      </c>
      <c r="K157" s="35">
        <f>J157/3600</f>
        <v/>
      </c>
      <c r="L157" s="35">
        <f>SUMIFS($K$5:$K$692,$A$5:$A$692,A157,$B$5:$B$692,B157,$F$5:$F$692,"&lt;="&amp;F157)</f>
        <v/>
      </c>
      <c r="M157" s="58">
        <f>'个人技术逐级'!N157</f>
        <v/>
      </c>
      <c r="N157" s="58">
        <f>SUMIFS($M$5:$M$692,$A$5:$A$692,A157,$B$5:$B$692,B157,$F$5:$F$692,"&lt;="&amp;F157)</f>
        <v/>
      </c>
      <c r="O157" s="58">
        <f>0</f>
        <v/>
      </c>
      <c r="P157" s="58">
        <f>SUMIFS($O$5:$O$692,$A$5:$A$692,A157,$B$5:$B$692,B157,$F$5:$F$692,"&lt;="&amp;F157)</f>
        <v/>
      </c>
      <c r="Q157" s="58">
        <f>0</f>
        <v/>
      </c>
      <c r="R157" s="58">
        <f>SUMIFS($Q$5:$Q$692,$A$5:$A$692,A157,$B$5:$B$692,B157,$F$5:$F$692,"&lt;="&amp;F157)</f>
        <v/>
      </c>
      <c r="S157" s="58">
        <f>0</f>
        <v/>
      </c>
      <c r="T157" s="58">
        <f>SUMIFS($S$5:$S$692,$A$5:$A$692,A157,$B$5:$B$692,B157,$F$5:$F$692,"&lt;="&amp;F157)</f>
        <v/>
      </c>
      <c r="U157" s="52">
        <f>'个人技术逐级'!O157</f>
        <v/>
      </c>
    </row>
    <row r="158">
      <c r="A158" s="33" t="inlineStr">
        <is>
          <t>个人技术</t>
        </is>
      </c>
      <c r="B158" s="33">
        <f>'个人技术逐级'!A158</f>
        <v/>
      </c>
      <c r="C158" s="33">
        <f>'个人技术逐级'!B158</f>
        <v/>
      </c>
      <c r="D158" s="33">
        <f>'个人技术逐级'!C158</f>
        <v/>
      </c>
      <c r="E158">
        <f>'个人技术逐级'!D158</f>
        <v/>
      </c>
      <c r="F158" s="54">
        <f>'个人技术逐级'!E158</f>
        <v/>
      </c>
      <c r="G158" s="55">
        <f>'个人技术逐级'!F158</f>
        <v/>
      </c>
      <c r="H158" s="56">
        <f>'个人技术逐级'!G158</f>
        <v/>
      </c>
      <c r="I158" s="52" t="inlineStr">
        <is>
          <t>个人技术计时升级</t>
        </is>
      </c>
      <c r="J158" s="57">
        <f>'个人技术逐级'!M158</f>
        <v/>
      </c>
      <c r="K158" s="35">
        <f>J158/3600</f>
        <v/>
      </c>
      <c r="L158" s="35">
        <f>SUMIFS($K$5:$K$692,$A$5:$A$692,A158,$B$5:$B$692,B158,$F$5:$F$692,"&lt;="&amp;F158)</f>
        <v/>
      </c>
      <c r="M158" s="58">
        <f>'个人技术逐级'!N158</f>
        <v/>
      </c>
      <c r="N158" s="58">
        <f>SUMIFS($M$5:$M$692,$A$5:$A$692,A158,$B$5:$B$692,B158,$F$5:$F$692,"&lt;="&amp;F158)</f>
        <v/>
      </c>
      <c r="O158" s="58">
        <f>0</f>
        <v/>
      </c>
      <c r="P158" s="58">
        <f>SUMIFS($O$5:$O$692,$A$5:$A$692,A158,$B$5:$B$692,B158,$F$5:$F$692,"&lt;="&amp;F158)</f>
        <v/>
      </c>
      <c r="Q158" s="58">
        <f>0</f>
        <v/>
      </c>
      <c r="R158" s="58">
        <f>SUMIFS($Q$5:$Q$692,$A$5:$A$692,A158,$B$5:$B$692,B158,$F$5:$F$692,"&lt;="&amp;F158)</f>
        <v/>
      </c>
      <c r="S158" s="58">
        <f>0</f>
        <v/>
      </c>
      <c r="T158" s="58">
        <f>SUMIFS($S$5:$S$692,$A$5:$A$692,A158,$B$5:$B$692,B158,$F$5:$F$692,"&lt;="&amp;F158)</f>
        <v/>
      </c>
      <c r="U158" s="52">
        <f>'个人技术逐级'!O158</f>
        <v/>
      </c>
    </row>
    <row r="159">
      <c r="A159" s="33" t="inlineStr">
        <is>
          <t>个人技术</t>
        </is>
      </c>
      <c r="B159" s="33">
        <f>'个人技术逐级'!A159</f>
        <v/>
      </c>
      <c r="C159" s="33">
        <f>'个人技术逐级'!B159</f>
        <v/>
      </c>
      <c r="D159" s="33">
        <f>'个人技术逐级'!C159</f>
        <v/>
      </c>
      <c r="E159">
        <f>'个人技术逐级'!D159</f>
        <v/>
      </c>
      <c r="F159" s="54">
        <f>'个人技术逐级'!E159</f>
        <v/>
      </c>
      <c r="G159" s="55">
        <f>'个人技术逐级'!F159</f>
        <v/>
      </c>
      <c r="H159" s="56">
        <f>'个人技术逐级'!G159</f>
        <v/>
      </c>
      <c r="I159" s="52" t="inlineStr">
        <is>
          <t>个人技术计时升级</t>
        </is>
      </c>
      <c r="J159" s="57">
        <f>'个人技术逐级'!M159</f>
        <v/>
      </c>
      <c r="K159" s="35">
        <f>J159/3600</f>
        <v/>
      </c>
      <c r="L159" s="35">
        <f>SUMIFS($K$5:$K$692,$A$5:$A$692,A159,$B$5:$B$692,B159,$F$5:$F$692,"&lt;="&amp;F159)</f>
        <v/>
      </c>
      <c r="M159" s="58">
        <f>'个人技术逐级'!N159</f>
        <v/>
      </c>
      <c r="N159" s="58">
        <f>SUMIFS($M$5:$M$692,$A$5:$A$692,A159,$B$5:$B$692,B159,$F$5:$F$692,"&lt;="&amp;F159)</f>
        <v/>
      </c>
      <c r="O159" s="58">
        <f>0</f>
        <v/>
      </c>
      <c r="P159" s="58">
        <f>SUMIFS($O$5:$O$692,$A$5:$A$692,A159,$B$5:$B$692,B159,$F$5:$F$692,"&lt;="&amp;F159)</f>
        <v/>
      </c>
      <c r="Q159" s="58">
        <f>0</f>
        <v/>
      </c>
      <c r="R159" s="58">
        <f>SUMIFS($Q$5:$Q$692,$A$5:$A$692,A159,$B$5:$B$692,B159,$F$5:$F$692,"&lt;="&amp;F159)</f>
        <v/>
      </c>
      <c r="S159" s="58">
        <f>0</f>
        <v/>
      </c>
      <c r="T159" s="58">
        <f>SUMIFS($S$5:$S$692,$A$5:$A$692,A159,$B$5:$B$692,B159,$F$5:$F$692,"&lt;="&amp;F159)</f>
        <v/>
      </c>
      <c r="U159" s="52">
        <f>'个人技术逐级'!O159</f>
        <v/>
      </c>
    </row>
    <row r="160">
      <c r="A160" s="33" t="inlineStr">
        <is>
          <t>个人技术</t>
        </is>
      </c>
      <c r="B160" s="33">
        <f>'个人技术逐级'!A160</f>
        <v/>
      </c>
      <c r="C160" s="33">
        <f>'个人技术逐级'!B160</f>
        <v/>
      </c>
      <c r="D160" s="33">
        <f>'个人技术逐级'!C160</f>
        <v/>
      </c>
      <c r="E160">
        <f>'个人技术逐级'!D160</f>
        <v/>
      </c>
      <c r="F160" s="54">
        <f>'个人技术逐级'!E160</f>
        <v/>
      </c>
      <c r="G160" s="55">
        <f>'个人技术逐级'!F160</f>
        <v/>
      </c>
      <c r="H160" s="56">
        <f>'个人技术逐级'!G160</f>
        <v/>
      </c>
      <c r="I160" s="52" t="inlineStr">
        <is>
          <t>个人技术计时升级</t>
        </is>
      </c>
      <c r="J160" s="57">
        <f>'个人技术逐级'!M160</f>
        <v/>
      </c>
      <c r="K160" s="35">
        <f>J160/3600</f>
        <v/>
      </c>
      <c r="L160" s="35">
        <f>SUMIFS($K$5:$K$692,$A$5:$A$692,A160,$B$5:$B$692,B160,$F$5:$F$692,"&lt;="&amp;F160)</f>
        <v/>
      </c>
      <c r="M160" s="58">
        <f>'个人技术逐级'!N160</f>
        <v/>
      </c>
      <c r="N160" s="58">
        <f>SUMIFS($M$5:$M$692,$A$5:$A$692,A160,$B$5:$B$692,B160,$F$5:$F$692,"&lt;="&amp;F160)</f>
        <v/>
      </c>
      <c r="O160" s="58">
        <f>0</f>
        <v/>
      </c>
      <c r="P160" s="58">
        <f>SUMIFS($O$5:$O$692,$A$5:$A$692,A160,$B$5:$B$692,B160,$F$5:$F$692,"&lt;="&amp;F160)</f>
        <v/>
      </c>
      <c r="Q160" s="58">
        <f>0</f>
        <v/>
      </c>
      <c r="R160" s="58">
        <f>SUMIFS($Q$5:$Q$692,$A$5:$A$692,A160,$B$5:$B$692,B160,$F$5:$F$692,"&lt;="&amp;F160)</f>
        <v/>
      </c>
      <c r="S160" s="58">
        <f>0</f>
        <v/>
      </c>
      <c r="T160" s="58">
        <f>SUMIFS($S$5:$S$692,$A$5:$A$692,A160,$B$5:$B$692,B160,$F$5:$F$692,"&lt;="&amp;F160)</f>
        <v/>
      </c>
      <c r="U160" s="52">
        <f>'个人技术逐级'!O160</f>
        <v/>
      </c>
    </row>
    <row r="161">
      <c r="A161" s="33" t="inlineStr">
        <is>
          <t>个人技术</t>
        </is>
      </c>
      <c r="B161" s="33">
        <f>'个人技术逐级'!A161</f>
        <v/>
      </c>
      <c r="C161" s="33">
        <f>'个人技术逐级'!B161</f>
        <v/>
      </c>
      <c r="D161" s="33">
        <f>'个人技术逐级'!C161</f>
        <v/>
      </c>
      <c r="E161">
        <f>'个人技术逐级'!D161</f>
        <v/>
      </c>
      <c r="F161" s="54">
        <f>'个人技术逐级'!E161</f>
        <v/>
      </c>
      <c r="G161" s="55">
        <f>'个人技术逐级'!F161</f>
        <v/>
      </c>
      <c r="H161" s="56">
        <f>'个人技术逐级'!G161</f>
        <v/>
      </c>
      <c r="I161" s="52" t="inlineStr">
        <is>
          <t>个人技术计时升级</t>
        </is>
      </c>
      <c r="J161" s="57">
        <f>'个人技术逐级'!M161</f>
        <v/>
      </c>
      <c r="K161" s="35">
        <f>J161/3600</f>
        <v/>
      </c>
      <c r="L161" s="35">
        <f>SUMIFS($K$5:$K$692,$A$5:$A$692,A161,$B$5:$B$692,B161,$F$5:$F$692,"&lt;="&amp;F161)</f>
        <v/>
      </c>
      <c r="M161" s="58">
        <f>'个人技术逐级'!N161</f>
        <v/>
      </c>
      <c r="N161" s="58">
        <f>SUMIFS($M$5:$M$692,$A$5:$A$692,A161,$B$5:$B$692,B161,$F$5:$F$692,"&lt;="&amp;F161)</f>
        <v/>
      </c>
      <c r="O161" s="58">
        <f>0</f>
        <v/>
      </c>
      <c r="P161" s="58">
        <f>SUMIFS($O$5:$O$692,$A$5:$A$692,A161,$B$5:$B$692,B161,$F$5:$F$692,"&lt;="&amp;F161)</f>
        <v/>
      </c>
      <c r="Q161" s="58">
        <f>0</f>
        <v/>
      </c>
      <c r="R161" s="58">
        <f>SUMIFS($Q$5:$Q$692,$A$5:$A$692,A161,$B$5:$B$692,B161,$F$5:$F$692,"&lt;="&amp;F161)</f>
        <v/>
      </c>
      <c r="S161" s="58">
        <f>0</f>
        <v/>
      </c>
      <c r="T161" s="58">
        <f>SUMIFS($S$5:$S$692,$A$5:$A$692,A161,$B$5:$B$692,B161,$F$5:$F$692,"&lt;="&amp;F161)</f>
        <v/>
      </c>
      <c r="U161" s="52">
        <f>'个人技术逐级'!O161</f>
        <v/>
      </c>
    </row>
    <row r="162">
      <c r="A162" s="33" t="inlineStr">
        <is>
          <t>个人技术</t>
        </is>
      </c>
      <c r="B162" s="33">
        <f>'个人技术逐级'!A162</f>
        <v/>
      </c>
      <c r="C162" s="33">
        <f>'个人技术逐级'!B162</f>
        <v/>
      </c>
      <c r="D162" s="33">
        <f>'个人技术逐级'!C162</f>
        <v/>
      </c>
      <c r="E162">
        <f>'个人技术逐级'!D162</f>
        <v/>
      </c>
      <c r="F162" s="54">
        <f>'个人技术逐级'!E162</f>
        <v/>
      </c>
      <c r="G162" s="55">
        <f>'个人技术逐级'!F162</f>
        <v/>
      </c>
      <c r="H162" s="56">
        <f>'个人技术逐级'!G162</f>
        <v/>
      </c>
      <c r="I162" s="52" t="inlineStr">
        <is>
          <t>个人技术计时升级</t>
        </is>
      </c>
      <c r="J162" s="57">
        <f>'个人技术逐级'!M162</f>
        <v/>
      </c>
      <c r="K162" s="35">
        <f>J162/3600</f>
        <v/>
      </c>
      <c r="L162" s="35">
        <f>SUMIFS($K$5:$K$692,$A$5:$A$692,A162,$B$5:$B$692,B162,$F$5:$F$692,"&lt;="&amp;F162)</f>
        <v/>
      </c>
      <c r="M162" s="58">
        <f>'个人技术逐级'!N162</f>
        <v/>
      </c>
      <c r="N162" s="58">
        <f>SUMIFS($M$5:$M$692,$A$5:$A$692,A162,$B$5:$B$692,B162,$F$5:$F$692,"&lt;="&amp;F162)</f>
        <v/>
      </c>
      <c r="O162" s="58">
        <f>0</f>
        <v/>
      </c>
      <c r="P162" s="58">
        <f>SUMIFS($O$5:$O$692,$A$5:$A$692,A162,$B$5:$B$692,B162,$F$5:$F$692,"&lt;="&amp;F162)</f>
        <v/>
      </c>
      <c r="Q162" s="58">
        <f>0</f>
        <v/>
      </c>
      <c r="R162" s="58">
        <f>SUMIFS($Q$5:$Q$692,$A$5:$A$692,A162,$B$5:$B$692,B162,$F$5:$F$692,"&lt;="&amp;F162)</f>
        <v/>
      </c>
      <c r="S162" s="58">
        <f>0</f>
        <v/>
      </c>
      <c r="T162" s="58">
        <f>SUMIFS($S$5:$S$692,$A$5:$A$692,A162,$B$5:$B$692,B162,$F$5:$F$692,"&lt;="&amp;F162)</f>
        <v/>
      </c>
      <c r="U162" s="52">
        <f>'个人技术逐级'!O162</f>
        <v/>
      </c>
    </row>
    <row r="163">
      <c r="A163" s="33" t="inlineStr">
        <is>
          <t>个人技术</t>
        </is>
      </c>
      <c r="B163" s="33">
        <f>'个人技术逐级'!A163</f>
        <v/>
      </c>
      <c r="C163" s="33">
        <f>'个人技术逐级'!B163</f>
        <v/>
      </c>
      <c r="D163" s="33">
        <f>'个人技术逐级'!C163</f>
        <v/>
      </c>
      <c r="E163">
        <f>'个人技术逐级'!D163</f>
        <v/>
      </c>
      <c r="F163" s="54">
        <f>'个人技术逐级'!E163</f>
        <v/>
      </c>
      <c r="G163" s="55">
        <f>'个人技术逐级'!F163</f>
        <v/>
      </c>
      <c r="H163" s="56">
        <f>'个人技术逐级'!G163</f>
        <v/>
      </c>
      <c r="I163" s="52" t="inlineStr">
        <is>
          <t>个人技术计时升级</t>
        </is>
      </c>
      <c r="J163" s="57">
        <f>'个人技术逐级'!M163</f>
        <v/>
      </c>
      <c r="K163" s="35">
        <f>J163/3600</f>
        <v/>
      </c>
      <c r="L163" s="35">
        <f>SUMIFS($K$5:$K$692,$A$5:$A$692,A163,$B$5:$B$692,B163,$F$5:$F$692,"&lt;="&amp;F163)</f>
        <v/>
      </c>
      <c r="M163" s="58">
        <f>'个人技术逐级'!N163</f>
        <v/>
      </c>
      <c r="N163" s="58">
        <f>SUMIFS($M$5:$M$692,$A$5:$A$692,A163,$B$5:$B$692,B163,$F$5:$F$692,"&lt;="&amp;F163)</f>
        <v/>
      </c>
      <c r="O163" s="58">
        <f>0</f>
        <v/>
      </c>
      <c r="P163" s="58">
        <f>SUMIFS($O$5:$O$692,$A$5:$A$692,A163,$B$5:$B$692,B163,$F$5:$F$692,"&lt;="&amp;F163)</f>
        <v/>
      </c>
      <c r="Q163" s="58">
        <f>0</f>
        <v/>
      </c>
      <c r="R163" s="58">
        <f>SUMIFS($Q$5:$Q$692,$A$5:$A$692,A163,$B$5:$B$692,B163,$F$5:$F$692,"&lt;="&amp;F163)</f>
        <v/>
      </c>
      <c r="S163" s="58">
        <f>0</f>
        <v/>
      </c>
      <c r="T163" s="58">
        <f>SUMIFS($S$5:$S$692,$A$5:$A$692,A163,$B$5:$B$692,B163,$F$5:$F$692,"&lt;="&amp;F163)</f>
        <v/>
      </c>
      <c r="U163" s="52">
        <f>'个人技术逐级'!O163</f>
        <v/>
      </c>
    </row>
    <row r="164">
      <c r="A164" s="33" t="inlineStr">
        <is>
          <t>个人技术</t>
        </is>
      </c>
      <c r="B164" s="33">
        <f>'个人技术逐级'!A164</f>
        <v/>
      </c>
      <c r="C164" s="33">
        <f>'个人技术逐级'!B164</f>
        <v/>
      </c>
      <c r="D164" s="33">
        <f>'个人技术逐级'!C164</f>
        <v/>
      </c>
      <c r="E164">
        <f>'个人技术逐级'!D164</f>
        <v/>
      </c>
      <c r="F164" s="54">
        <f>'个人技术逐级'!E164</f>
        <v/>
      </c>
      <c r="G164" s="55">
        <f>'个人技术逐级'!F164</f>
        <v/>
      </c>
      <c r="H164" s="56">
        <f>'个人技术逐级'!G164</f>
        <v/>
      </c>
      <c r="I164" s="52" t="inlineStr">
        <is>
          <t>个人技术计时升级</t>
        </is>
      </c>
      <c r="J164" s="57">
        <f>'个人技术逐级'!M164</f>
        <v/>
      </c>
      <c r="K164" s="35">
        <f>J164/3600</f>
        <v/>
      </c>
      <c r="L164" s="35">
        <f>SUMIFS($K$5:$K$692,$A$5:$A$692,A164,$B$5:$B$692,B164,$F$5:$F$692,"&lt;="&amp;F164)</f>
        <v/>
      </c>
      <c r="M164" s="58">
        <f>'个人技术逐级'!N164</f>
        <v/>
      </c>
      <c r="N164" s="58">
        <f>SUMIFS($M$5:$M$692,$A$5:$A$692,A164,$B$5:$B$692,B164,$F$5:$F$692,"&lt;="&amp;F164)</f>
        <v/>
      </c>
      <c r="O164" s="58">
        <f>0</f>
        <v/>
      </c>
      <c r="P164" s="58">
        <f>SUMIFS($O$5:$O$692,$A$5:$A$692,A164,$B$5:$B$692,B164,$F$5:$F$692,"&lt;="&amp;F164)</f>
        <v/>
      </c>
      <c r="Q164" s="58">
        <f>0</f>
        <v/>
      </c>
      <c r="R164" s="58">
        <f>SUMIFS($Q$5:$Q$692,$A$5:$A$692,A164,$B$5:$B$692,B164,$F$5:$F$692,"&lt;="&amp;F164)</f>
        <v/>
      </c>
      <c r="S164" s="58">
        <f>0</f>
        <v/>
      </c>
      <c r="T164" s="58">
        <f>SUMIFS($S$5:$S$692,$A$5:$A$692,A164,$B$5:$B$692,B164,$F$5:$F$692,"&lt;="&amp;F164)</f>
        <v/>
      </c>
      <c r="U164" s="52">
        <f>'个人技术逐级'!O164</f>
        <v/>
      </c>
    </row>
    <row r="165">
      <c r="A165" s="33" t="inlineStr">
        <is>
          <t>个人技术</t>
        </is>
      </c>
      <c r="B165" s="33">
        <f>'个人技术逐级'!A165</f>
        <v/>
      </c>
      <c r="C165" s="33">
        <f>'个人技术逐级'!B165</f>
        <v/>
      </c>
      <c r="D165" s="33">
        <f>'个人技术逐级'!C165</f>
        <v/>
      </c>
      <c r="E165">
        <f>'个人技术逐级'!D165</f>
        <v/>
      </c>
      <c r="F165" s="54">
        <f>'个人技术逐级'!E165</f>
        <v/>
      </c>
      <c r="G165" s="55">
        <f>'个人技术逐级'!F165</f>
        <v/>
      </c>
      <c r="H165" s="56">
        <f>'个人技术逐级'!G165</f>
        <v/>
      </c>
      <c r="I165" s="52" t="inlineStr">
        <is>
          <t>个人技术计时升级</t>
        </is>
      </c>
      <c r="J165" s="57">
        <f>'个人技术逐级'!M165</f>
        <v/>
      </c>
      <c r="K165" s="35">
        <f>J165/3600</f>
        <v/>
      </c>
      <c r="L165" s="35">
        <f>SUMIFS($K$5:$K$692,$A$5:$A$692,A165,$B$5:$B$692,B165,$F$5:$F$692,"&lt;="&amp;F165)</f>
        <v/>
      </c>
      <c r="M165" s="58">
        <f>'个人技术逐级'!N165</f>
        <v/>
      </c>
      <c r="N165" s="58">
        <f>SUMIFS($M$5:$M$692,$A$5:$A$692,A165,$B$5:$B$692,B165,$F$5:$F$692,"&lt;="&amp;F165)</f>
        <v/>
      </c>
      <c r="O165" s="58">
        <f>0</f>
        <v/>
      </c>
      <c r="P165" s="58">
        <f>SUMIFS($O$5:$O$692,$A$5:$A$692,A165,$B$5:$B$692,B165,$F$5:$F$692,"&lt;="&amp;F165)</f>
        <v/>
      </c>
      <c r="Q165" s="58">
        <f>0</f>
        <v/>
      </c>
      <c r="R165" s="58">
        <f>SUMIFS($Q$5:$Q$692,$A$5:$A$692,A165,$B$5:$B$692,B165,$F$5:$F$692,"&lt;="&amp;F165)</f>
        <v/>
      </c>
      <c r="S165" s="58">
        <f>0</f>
        <v/>
      </c>
      <c r="T165" s="58">
        <f>SUMIFS($S$5:$S$692,$A$5:$A$692,A165,$B$5:$B$692,B165,$F$5:$F$692,"&lt;="&amp;F165)</f>
        <v/>
      </c>
      <c r="U165" s="52">
        <f>'个人技术逐级'!O165</f>
        <v/>
      </c>
    </row>
    <row r="166">
      <c r="A166" s="33" t="inlineStr">
        <is>
          <t>个人技术</t>
        </is>
      </c>
      <c r="B166" s="33">
        <f>'个人技术逐级'!A166</f>
        <v/>
      </c>
      <c r="C166" s="33">
        <f>'个人技术逐级'!B166</f>
        <v/>
      </c>
      <c r="D166" s="33">
        <f>'个人技术逐级'!C166</f>
        <v/>
      </c>
      <c r="E166">
        <f>'个人技术逐级'!D166</f>
        <v/>
      </c>
      <c r="F166" s="54">
        <f>'个人技术逐级'!E166</f>
        <v/>
      </c>
      <c r="G166" s="55">
        <f>'个人技术逐级'!F166</f>
        <v/>
      </c>
      <c r="H166" s="56">
        <f>'个人技术逐级'!G166</f>
        <v/>
      </c>
      <c r="I166" s="52" t="inlineStr">
        <is>
          <t>个人技术计时升级</t>
        </is>
      </c>
      <c r="J166" s="57">
        <f>'个人技术逐级'!M166</f>
        <v/>
      </c>
      <c r="K166" s="35">
        <f>J166/3600</f>
        <v/>
      </c>
      <c r="L166" s="35">
        <f>SUMIFS($K$5:$K$692,$A$5:$A$692,A166,$B$5:$B$692,B166,$F$5:$F$692,"&lt;="&amp;F166)</f>
        <v/>
      </c>
      <c r="M166" s="58">
        <f>'个人技术逐级'!N166</f>
        <v/>
      </c>
      <c r="N166" s="58">
        <f>SUMIFS($M$5:$M$692,$A$5:$A$692,A166,$B$5:$B$692,B166,$F$5:$F$692,"&lt;="&amp;F166)</f>
        <v/>
      </c>
      <c r="O166" s="58">
        <f>0</f>
        <v/>
      </c>
      <c r="P166" s="58">
        <f>SUMIFS($O$5:$O$692,$A$5:$A$692,A166,$B$5:$B$692,B166,$F$5:$F$692,"&lt;="&amp;F166)</f>
        <v/>
      </c>
      <c r="Q166" s="58">
        <f>0</f>
        <v/>
      </c>
      <c r="R166" s="58">
        <f>SUMIFS($Q$5:$Q$692,$A$5:$A$692,A166,$B$5:$B$692,B166,$F$5:$F$692,"&lt;="&amp;F166)</f>
        <v/>
      </c>
      <c r="S166" s="58">
        <f>0</f>
        <v/>
      </c>
      <c r="T166" s="58">
        <f>SUMIFS($S$5:$S$692,$A$5:$A$692,A166,$B$5:$B$692,B166,$F$5:$F$692,"&lt;="&amp;F166)</f>
        <v/>
      </c>
      <c r="U166" s="52">
        <f>'个人技术逐级'!O166</f>
        <v/>
      </c>
    </row>
    <row r="167">
      <c r="A167" s="33" t="inlineStr">
        <is>
          <t>个人技术</t>
        </is>
      </c>
      <c r="B167" s="33">
        <f>'个人技术逐级'!A167</f>
        <v/>
      </c>
      <c r="C167" s="33">
        <f>'个人技术逐级'!B167</f>
        <v/>
      </c>
      <c r="D167" s="33">
        <f>'个人技术逐级'!C167</f>
        <v/>
      </c>
      <c r="E167">
        <f>'个人技术逐级'!D167</f>
        <v/>
      </c>
      <c r="F167" s="54">
        <f>'个人技术逐级'!E167</f>
        <v/>
      </c>
      <c r="G167" s="55">
        <f>'个人技术逐级'!F167</f>
        <v/>
      </c>
      <c r="H167" s="56">
        <f>'个人技术逐级'!G167</f>
        <v/>
      </c>
      <c r="I167" s="52" t="inlineStr">
        <is>
          <t>个人技术计时升级</t>
        </is>
      </c>
      <c r="J167" s="57">
        <f>'个人技术逐级'!M167</f>
        <v/>
      </c>
      <c r="K167" s="35">
        <f>J167/3600</f>
        <v/>
      </c>
      <c r="L167" s="35">
        <f>SUMIFS($K$5:$K$692,$A$5:$A$692,A167,$B$5:$B$692,B167,$F$5:$F$692,"&lt;="&amp;F167)</f>
        <v/>
      </c>
      <c r="M167" s="58">
        <f>'个人技术逐级'!N167</f>
        <v/>
      </c>
      <c r="N167" s="58">
        <f>SUMIFS($M$5:$M$692,$A$5:$A$692,A167,$B$5:$B$692,B167,$F$5:$F$692,"&lt;="&amp;F167)</f>
        <v/>
      </c>
      <c r="O167" s="58">
        <f>0</f>
        <v/>
      </c>
      <c r="P167" s="58">
        <f>SUMIFS($O$5:$O$692,$A$5:$A$692,A167,$B$5:$B$692,B167,$F$5:$F$692,"&lt;="&amp;F167)</f>
        <v/>
      </c>
      <c r="Q167" s="58">
        <f>0</f>
        <v/>
      </c>
      <c r="R167" s="58">
        <f>SUMIFS($Q$5:$Q$692,$A$5:$A$692,A167,$B$5:$B$692,B167,$F$5:$F$692,"&lt;="&amp;F167)</f>
        <v/>
      </c>
      <c r="S167" s="58">
        <f>0</f>
        <v/>
      </c>
      <c r="T167" s="58">
        <f>SUMIFS($S$5:$S$692,$A$5:$A$692,A167,$B$5:$B$692,B167,$F$5:$F$692,"&lt;="&amp;F167)</f>
        <v/>
      </c>
      <c r="U167" s="52">
        <f>'个人技术逐级'!O167</f>
        <v/>
      </c>
    </row>
    <row r="168">
      <c r="A168" s="33" t="inlineStr">
        <is>
          <t>个人技术</t>
        </is>
      </c>
      <c r="B168" s="33">
        <f>'个人技术逐级'!A168</f>
        <v/>
      </c>
      <c r="C168" s="33">
        <f>'个人技术逐级'!B168</f>
        <v/>
      </c>
      <c r="D168" s="33">
        <f>'个人技术逐级'!C168</f>
        <v/>
      </c>
      <c r="E168">
        <f>'个人技术逐级'!D168</f>
        <v/>
      </c>
      <c r="F168" s="54">
        <f>'个人技术逐级'!E168</f>
        <v/>
      </c>
      <c r="G168" s="55">
        <f>'个人技术逐级'!F168</f>
        <v/>
      </c>
      <c r="H168" s="56">
        <f>'个人技术逐级'!G168</f>
        <v/>
      </c>
      <c r="I168" s="52" t="inlineStr">
        <is>
          <t>个人技术计时升级</t>
        </is>
      </c>
      <c r="J168" s="57">
        <f>'个人技术逐级'!M168</f>
        <v/>
      </c>
      <c r="K168" s="35">
        <f>J168/3600</f>
        <v/>
      </c>
      <c r="L168" s="35">
        <f>SUMIFS($K$5:$K$692,$A$5:$A$692,A168,$B$5:$B$692,B168,$F$5:$F$692,"&lt;="&amp;F168)</f>
        <v/>
      </c>
      <c r="M168" s="58">
        <f>'个人技术逐级'!N168</f>
        <v/>
      </c>
      <c r="N168" s="58">
        <f>SUMIFS($M$5:$M$692,$A$5:$A$692,A168,$B$5:$B$692,B168,$F$5:$F$692,"&lt;="&amp;F168)</f>
        <v/>
      </c>
      <c r="O168" s="58">
        <f>0</f>
        <v/>
      </c>
      <c r="P168" s="58">
        <f>SUMIFS($O$5:$O$692,$A$5:$A$692,A168,$B$5:$B$692,B168,$F$5:$F$692,"&lt;="&amp;F168)</f>
        <v/>
      </c>
      <c r="Q168" s="58">
        <f>0</f>
        <v/>
      </c>
      <c r="R168" s="58">
        <f>SUMIFS($Q$5:$Q$692,$A$5:$A$692,A168,$B$5:$B$692,B168,$F$5:$F$692,"&lt;="&amp;F168)</f>
        <v/>
      </c>
      <c r="S168" s="58">
        <f>0</f>
        <v/>
      </c>
      <c r="T168" s="58">
        <f>SUMIFS($S$5:$S$692,$A$5:$A$692,A168,$B$5:$B$692,B168,$F$5:$F$692,"&lt;="&amp;F168)</f>
        <v/>
      </c>
      <c r="U168" s="52">
        <f>'个人技术逐级'!O168</f>
        <v/>
      </c>
    </row>
    <row r="169">
      <c r="A169" s="33" t="inlineStr">
        <is>
          <t>个人技术</t>
        </is>
      </c>
      <c r="B169" s="33">
        <f>'个人技术逐级'!A169</f>
        <v/>
      </c>
      <c r="C169" s="33">
        <f>'个人技术逐级'!B169</f>
        <v/>
      </c>
      <c r="D169" s="33">
        <f>'个人技术逐级'!C169</f>
        <v/>
      </c>
      <c r="E169">
        <f>'个人技术逐级'!D169</f>
        <v/>
      </c>
      <c r="F169" s="54">
        <f>'个人技术逐级'!E169</f>
        <v/>
      </c>
      <c r="G169" s="55">
        <f>'个人技术逐级'!F169</f>
        <v/>
      </c>
      <c r="H169" s="56">
        <f>'个人技术逐级'!G169</f>
        <v/>
      </c>
      <c r="I169" s="52" t="inlineStr">
        <is>
          <t>个人技术计时升级</t>
        </is>
      </c>
      <c r="J169" s="57">
        <f>'个人技术逐级'!M169</f>
        <v/>
      </c>
      <c r="K169" s="35">
        <f>J169/3600</f>
        <v/>
      </c>
      <c r="L169" s="35">
        <f>SUMIFS($K$5:$K$692,$A$5:$A$692,A169,$B$5:$B$692,B169,$F$5:$F$692,"&lt;="&amp;F169)</f>
        <v/>
      </c>
      <c r="M169" s="58">
        <f>'个人技术逐级'!N169</f>
        <v/>
      </c>
      <c r="N169" s="58">
        <f>SUMIFS($M$5:$M$692,$A$5:$A$692,A169,$B$5:$B$692,B169,$F$5:$F$692,"&lt;="&amp;F169)</f>
        <v/>
      </c>
      <c r="O169" s="58">
        <f>0</f>
        <v/>
      </c>
      <c r="P169" s="58">
        <f>SUMIFS($O$5:$O$692,$A$5:$A$692,A169,$B$5:$B$692,B169,$F$5:$F$692,"&lt;="&amp;F169)</f>
        <v/>
      </c>
      <c r="Q169" s="58">
        <f>0</f>
        <v/>
      </c>
      <c r="R169" s="58">
        <f>SUMIFS($Q$5:$Q$692,$A$5:$A$692,A169,$B$5:$B$692,B169,$F$5:$F$692,"&lt;="&amp;F169)</f>
        <v/>
      </c>
      <c r="S169" s="58">
        <f>0</f>
        <v/>
      </c>
      <c r="T169" s="58">
        <f>SUMIFS($S$5:$S$692,$A$5:$A$692,A169,$B$5:$B$692,B169,$F$5:$F$692,"&lt;="&amp;F169)</f>
        <v/>
      </c>
      <c r="U169" s="52">
        <f>'个人技术逐级'!O169</f>
        <v/>
      </c>
    </row>
    <row r="170">
      <c r="A170" s="33" t="inlineStr">
        <is>
          <t>个人技术</t>
        </is>
      </c>
      <c r="B170" s="33">
        <f>'个人技术逐级'!A170</f>
        <v/>
      </c>
      <c r="C170" s="33">
        <f>'个人技术逐级'!B170</f>
        <v/>
      </c>
      <c r="D170" s="33">
        <f>'个人技术逐级'!C170</f>
        <v/>
      </c>
      <c r="E170">
        <f>'个人技术逐级'!D170</f>
        <v/>
      </c>
      <c r="F170" s="54">
        <f>'个人技术逐级'!E170</f>
        <v/>
      </c>
      <c r="G170" s="55">
        <f>'个人技术逐级'!F170</f>
        <v/>
      </c>
      <c r="H170" s="56">
        <f>'个人技术逐级'!G170</f>
        <v/>
      </c>
      <c r="I170" s="52" t="inlineStr">
        <is>
          <t>个人技术计时升级</t>
        </is>
      </c>
      <c r="J170" s="57">
        <f>'个人技术逐级'!M170</f>
        <v/>
      </c>
      <c r="K170" s="35">
        <f>J170/3600</f>
        <v/>
      </c>
      <c r="L170" s="35">
        <f>SUMIFS($K$5:$K$692,$A$5:$A$692,A170,$B$5:$B$692,B170,$F$5:$F$692,"&lt;="&amp;F170)</f>
        <v/>
      </c>
      <c r="M170" s="58">
        <f>'个人技术逐级'!N170</f>
        <v/>
      </c>
      <c r="N170" s="58">
        <f>SUMIFS($M$5:$M$692,$A$5:$A$692,A170,$B$5:$B$692,B170,$F$5:$F$692,"&lt;="&amp;F170)</f>
        <v/>
      </c>
      <c r="O170" s="58">
        <f>0</f>
        <v/>
      </c>
      <c r="P170" s="58">
        <f>SUMIFS($O$5:$O$692,$A$5:$A$692,A170,$B$5:$B$692,B170,$F$5:$F$692,"&lt;="&amp;F170)</f>
        <v/>
      </c>
      <c r="Q170" s="58">
        <f>0</f>
        <v/>
      </c>
      <c r="R170" s="58">
        <f>SUMIFS($Q$5:$Q$692,$A$5:$A$692,A170,$B$5:$B$692,B170,$F$5:$F$692,"&lt;="&amp;F170)</f>
        <v/>
      </c>
      <c r="S170" s="58">
        <f>0</f>
        <v/>
      </c>
      <c r="T170" s="58">
        <f>SUMIFS($S$5:$S$692,$A$5:$A$692,A170,$B$5:$B$692,B170,$F$5:$F$692,"&lt;="&amp;F170)</f>
        <v/>
      </c>
      <c r="U170" s="52">
        <f>'个人技术逐级'!O170</f>
        <v/>
      </c>
    </row>
    <row r="171">
      <c r="A171" s="33" t="inlineStr">
        <is>
          <t>个人技术</t>
        </is>
      </c>
      <c r="B171" s="33">
        <f>'个人技术逐级'!A171</f>
        <v/>
      </c>
      <c r="C171" s="33">
        <f>'个人技术逐级'!B171</f>
        <v/>
      </c>
      <c r="D171" s="33">
        <f>'个人技术逐级'!C171</f>
        <v/>
      </c>
      <c r="E171">
        <f>'个人技术逐级'!D171</f>
        <v/>
      </c>
      <c r="F171" s="54">
        <f>'个人技术逐级'!E171</f>
        <v/>
      </c>
      <c r="G171" s="55">
        <f>'个人技术逐级'!F171</f>
        <v/>
      </c>
      <c r="H171" s="56">
        <f>'个人技术逐级'!G171</f>
        <v/>
      </c>
      <c r="I171" s="52" t="inlineStr">
        <is>
          <t>个人技术计时升级</t>
        </is>
      </c>
      <c r="J171" s="57">
        <f>'个人技术逐级'!M171</f>
        <v/>
      </c>
      <c r="K171" s="35">
        <f>J171/3600</f>
        <v/>
      </c>
      <c r="L171" s="35">
        <f>SUMIFS($K$5:$K$692,$A$5:$A$692,A171,$B$5:$B$692,B171,$F$5:$F$692,"&lt;="&amp;F171)</f>
        <v/>
      </c>
      <c r="M171" s="58">
        <f>'个人技术逐级'!N171</f>
        <v/>
      </c>
      <c r="N171" s="58">
        <f>SUMIFS($M$5:$M$692,$A$5:$A$692,A171,$B$5:$B$692,B171,$F$5:$F$692,"&lt;="&amp;F171)</f>
        <v/>
      </c>
      <c r="O171" s="58">
        <f>0</f>
        <v/>
      </c>
      <c r="P171" s="58">
        <f>SUMIFS($O$5:$O$692,$A$5:$A$692,A171,$B$5:$B$692,B171,$F$5:$F$692,"&lt;="&amp;F171)</f>
        <v/>
      </c>
      <c r="Q171" s="58">
        <f>0</f>
        <v/>
      </c>
      <c r="R171" s="58">
        <f>SUMIFS($Q$5:$Q$692,$A$5:$A$692,A171,$B$5:$B$692,B171,$F$5:$F$692,"&lt;="&amp;F171)</f>
        <v/>
      </c>
      <c r="S171" s="58">
        <f>0</f>
        <v/>
      </c>
      <c r="T171" s="58">
        <f>SUMIFS($S$5:$S$692,$A$5:$A$692,A171,$B$5:$B$692,B171,$F$5:$F$692,"&lt;="&amp;F171)</f>
        <v/>
      </c>
      <c r="U171" s="52">
        <f>'个人技术逐级'!O171</f>
        <v/>
      </c>
    </row>
    <row r="172">
      <c r="A172" s="33" t="inlineStr">
        <is>
          <t>个人技术</t>
        </is>
      </c>
      <c r="B172" s="33">
        <f>'个人技术逐级'!A172</f>
        <v/>
      </c>
      <c r="C172" s="33">
        <f>'个人技术逐级'!B172</f>
        <v/>
      </c>
      <c r="D172" s="33">
        <f>'个人技术逐级'!C172</f>
        <v/>
      </c>
      <c r="E172">
        <f>'个人技术逐级'!D172</f>
        <v/>
      </c>
      <c r="F172" s="54">
        <f>'个人技术逐级'!E172</f>
        <v/>
      </c>
      <c r="G172" s="55">
        <f>'个人技术逐级'!F172</f>
        <v/>
      </c>
      <c r="H172" s="56">
        <f>'个人技术逐级'!G172</f>
        <v/>
      </c>
      <c r="I172" s="52" t="inlineStr">
        <is>
          <t>个人技术计时升级</t>
        </is>
      </c>
      <c r="J172" s="57">
        <f>'个人技术逐级'!M172</f>
        <v/>
      </c>
      <c r="K172" s="35">
        <f>J172/3600</f>
        <v/>
      </c>
      <c r="L172" s="35">
        <f>SUMIFS($K$5:$K$692,$A$5:$A$692,A172,$B$5:$B$692,B172,$F$5:$F$692,"&lt;="&amp;F172)</f>
        <v/>
      </c>
      <c r="M172" s="58">
        <f>'个人技术逐级'!N172</f>
        <v/>
      </c>
      <c r="N172" s="58">
        <f>SUMIFS($M$5:$M$692,$A$5:$A$692,A172,$B$5:$B$692,B172,$F$5:$F$692,"&lt;="&amp;F172)</f>
        <v/>
      </c>
      <c r="O172" s="58">
        <f>0</f>
        <v/>
      </c>
      <c r="P172" s="58">
        <f>SUMIFS($O$5:$O$692,$A$5:$A$692,A172,$B$5:$B$692,B172,$F$5:$F$692,"&lt;="&amp;F172)</f>
        <v/>
      </c>
      <c r="Q172" s="58">
        <f>0</f>
        <v/>
      </c>
      <c r="R172" s="58">
        <f>SUMIFS($Q$5:$Q$692,$A$5:$A$692,A172,$B$5:$B$692,B172,$F$5:$F$692,"&lt;="&amp;F172)</f>
        <v/>
      </c>
      <c r="S172" s="58">
        <f>0</f>
        <v/>
      </c>
      <c r="T172" s="58">
        <f>SUMIFS($S$5:$S$692,$A$5:$A$692,A172,$B$5:$B$692,B172,$F$5:$F$692,"&lt;="&amp;F172)</f>
        <v/>
      </c>
      <c r="U172" s="52">
        <f>'个人技术逐级'!O172</f>
        <v/>
      </c>
    </row>
    <row r="173">
      <c r="A173" s="33" t="inlineStr">
        <is>
          <t>个人技术</t>
        </is>
      </c>
      <c r="B173" s="33">
        <f>'个人技术逐级'!A173</f>
        <v/>
      </c>
      <c r="C173" s="33">
        <f>'个人技术逐级'!B173</f>
        <v/>
      </c>
      <c r="D173" s="33">
        <f>'个人技术逐级'!C173</f>
        <v/>
      </c>
      <c r="E173">
        <f>'个人技术逐级'!D173</f>
        <v/>
      </c>
      <c r="F173" s="54">
        <f>'个人技术逐级'!E173</f>
        <v/>
      </c>
      <c r="G173" s="55">
        <f>'个人技术逐级'!F173</f>
        <v/>
      </c>
      <c r="H173" s="56">
        <f>'个人技术逐级'!G173</f>
        <v/>
      </c>
      <c r="I173" s="52" t="inlineStr">
        <is>
          <t>个人技术计时升级</t>
        </is>
      </c>
      <c r="J173" s="57">
        <f>'个人技术逐级'!M173</f>
        <v/>
      </c>
      <c r="K173" s="35">
        <f>J173/3600</f>
        <v/>
      </c>
      <c r="L173" s="35">
        <f>SUMIFS($K$5:$K$692,$A$5:$A$692,A173,$B$5:$B$692,B173,$F$5:$F$692,"&lt;="&amp;F173)</f>
        <v/>
      </c>
      <c r="M173" s="58">
        <f>'个人技术逐级'!N173</f>
        <v/>
      </c>
      <c r="N173" s="58">
        <f>SUMIFS($M$5:$M$692,$A$5:$A$692,A173,$B$5:$B$692,B173,$F$5:$F$692,"&lt;="&amp;F173)</f>
        <v/>
      </c>
      <c r="O173" s="58">
        <f>0</f>
        <v/>
      </c>
      <c r="P173" s="58">
        <f>SUMIFS($O$5:$O$692,$A$5:$A$692,A173,$B$5:$B$692,B173,$F$5:$F$692,"&lt;="&amp;F173)</f>
        <v/>
      </c>
      <c r="Q173" s="58">
        <f>0</f>
        <v/>
      </c>
      <c r="R173" s="58">
        <f>SUMIFS($Q$5:$Q$692,$A$5:$A$692,A173,$B$5:$B$692,B173,$F$5:$F$692,"&lt;="&amp;F173)</f>
        <v/>
      </c>
      <c r="S173" s="58">
        <f>0</f>
        <v/>
      </c>
      <c r="T173" s="58">
        <f>SUMIFS($S$5:$S$692,$A$5:$A$692,A173,$B$5:$B$692,B173,$F$5:$F$692,"&lt;="&amp;F173)</f>
        <v/>
      </c>
      <c r="U173" s="52">
        <f>'个人技术逐级'!O173</f>
        <v/>
      </c>
    </row>
    <row r="174">
      <c r="A174" s="33" t="inlineStr">
        <is>
          <t>个人技术</t>
        </is>
      </c>
      <c r="B174" s="33">
        <f>'个人技术逐级'!A174</f>
        <v/>
      </c>
      <c r="C174" s="33">
        <f>'个人技术逐级'!B174</f>
        <v/>
      </c>
      <c r="D174" s="33">
        <f>'个人技术逐级'!C174</f>
        <v/>
      </c>
      <c r="E174">
        <f>'个人技术逐级'!D174</f>
        <v/>
      </c>
      <c r="F174" s="54">
        <f>'个人技术逐级'!E174</f>
        <v/>
      </c>
      <c r="G174" s="55">
        <f>'个人技术逐级'!F174</f>
        <v/>
      </c>
      <c r="H174" s="56">
        <f>'个人技术逐级'!G174</f>
        <v/>
      </c>
      <c r="I174" s="52" t="inlineStr">
        <is>
          <t>个人技术计时升级</t>
        </is>
      </c>
      <c r="J174" s="57">
        <f>'个人技术逐级'!M174</f>
        <v/>
      </c>
      <c r="K174" s="35">
        <f>J174/3600</f>
        <v/>
      </c>
      <c r="L174" s="35">
        <f>SUMIFS($K$5:$K$692,$A$5:$A$692,A174,$B$5:$B$692,B174,$F$5:$F$692,"&lt;="&amp;F174)</f>
        <v/>
      </c>
      <c r="M174" s="58">
        <f>'个人技术逐级'!N174</f>
        <v/>
      </c>
      <c r="N174" s="58">
        <f>SUMIFS($M$5:$M$692,$A$5:$A$692,A174,$B$5:$B$692,B174,$F$5:$F$692,"&lt;="&amp;F174)</f>
        <v/>
      </c>
      <c r="O174" s="58">
        <f>0</f>
        <v/>
      </c>
      <c r="P174" s="58">
        <f>SUMIFS($O$5:$O$692,$A$5:$A$692,A174,$B$5:$B$692,B174,$F$5:$F$692,"&lt;="&amp;F174)</f>
        <v/>
      </c>
      <c r="Q174" s="58">
        <f>0</f>
        <v/>
      </c>
      <c r="R174" s="58">
        <f>SUMIFS($Q$5:$Q$692,$A$5:$A$692,A174,$B$5:$B$692,B174,$F$5:$F$692,"&lt;="&amp;F174)</f>
        <v/>
      </c>
      <c r="S174" s="58">
        <f>0</f>
        <v/>
      </c>
      <c r="T174" s="58">
        <f>SUMIFS($S$5:$S$692,$A$5:$A$692,A174,$B$5:$B$692,B174,$F$5:$F$692,"&lt;="&amp;F174)</f>
        <v/>
      </c>
      <c r="U174" s="52">
        <f>'个人技术逐级'!O174</f>
        <v/>
      </c>
    </row>
    <row r="175">
      <c r="A175" s="33" t="inlineStr">
        <is>
          <t>个人技术</t>
        </is>
      </c>
      <c r="B175" s="33">
        <f>'个人技术逐级'!A175</f>
        <v/>
      </c>
      <c r="C175" s="33">
        <f>'个人技术逐级'!B175</f>
        <v/>
      </c>
      <c r="D175" s="33">
        <f>'个人技术逐级'!C175</f>
        <v/>
      </c>
      <c r="E175">
        <f>'个人技术逐级'!D175</f>
        <v/>
      </c>
      <c r="F175" s="54">
        <f>'个人技术逐级'!E175</f>
        <v/>
      </c>
      <c r="G175" s="55">
        <f>'个人技术逐级'!F175</f>
        <v/>
      </c>
      <c r="H175" s="56">
        <f>'个人技术逐级'!G175</f>
        <v/>
      </c>
      <c r="I175" s="52" t="inlineStr">
        <is>
          <t>个人技术计时升级</t>
        </is>
      </c>
      <c r="J175" s="57">
        <f>'个人技术逐级'!M175</f>
        <v/>
      </c>
      <c r="K175" s="35">
        <f>J175/3600</f>
        <v/>
      </c>
      <c r="L175" s="35">
        <f>SUMIFS($K$5:$K$692,$A$5:$A$692,A175,$B$5:$B$692,B175,$F$5:$F$692,"&lt;="&amp;F175)</f>
        <v/>
      </c>
      <c r="M175" s="58">
        <f>'个人技术逐级'!N175</f>
        <v/>
      </c>
      <c r="N175" s="58">
        <f>SUMIFS($M$5:$M$692,$A$5:$A$692,A175,$B$5:$B$692,B175,$F$5:$F$692,"&lt;="&amp;F175)</f>
        <v/>
      </c>
      <c r="O175" s="58">
        <f>0</f>
        <v/>
      </c>
      <c r="P175" s="58">
        <f>SUMIFS($O$5:$O$692,$A$5:$A$692,A175,$B$5:$B$692,B175,$F$5:$F$692,"&lt;="&amp;F175)</f>
        <v/>
      </c>
      <c r="Q175" s="58">
        <f>0</f>
        <v/>
      </c>
      <c r="R175" s="58">
        <f>SUMIFS($Q$5:$Q$692,$A$5:$A$692,A175,$B$5:$B$692,B175,$F$5:$F$692,"&lt;="&amp;F175)</f>
        <v/>
      </c>
      <c r="S175" s="58">
        <f>0</f>
        <v/>
      </c>
      <c r="T175" s="58">
        <f>SUMIFS($S$5:$S$692,$A$5:$A$692,A175,$B$5:$B$692,B175,$F$5:$F$692,"&lt;="&amp;F175)</f>
        <v/>
      </c>
      <c r="U175" s="52">
        <f>'个人技术逐级'!O175</f>
        <v/>
      </c>
    </row>
    <row r="176">
      <c r="A176" s="33" t="inlineStr">
        <is>
          <t>个人技术</t>
        </is>
      </c>
      <c r="B176" s="33">
        <f>'个人技术逐级'!A176</f>
        <v/>
      </c>
      <c r="C176" s="33">
        <f>'个人技术逐级'!B176</f>
        <v/>
      </c>
      <c r="D176" s="33">
        <f>'个人技术逐级'!C176</f>
        <v/>
      </c>
      <c r="E176">
        <f>'个人技术逐级'!D176</f>
        <v/>
      </c>
      <c r="F176" s="54">
        <f>'个人技术逐级'!E176</f>
        <v/>
      </c>
      <c r="G176" s="55">
        <f>'个人技术逐级'!F176</f>
        <v/>
      </c>
      <c r="H176" s="56">
        <f>'个人技术逐级'!G176</f>
        <v/>
      </c>
      <c r="I176" s="52" t="inlineStr">
        <is>
          <t>个人技术计时升级</t>
        </is>
      </c>
      <c r="J176" s="57">
        <f>'个人技术逐级'!M176</f>
        <v/>
      </c>
      <c r="K176" s="35">
        <f>J176/3600</f>
        <v/>
      </c>
      <c r="L176" s="35">
        <f>SUMIFS($K$5:$K$692,$A$5:$A$692,A176,$B$5:$B$692,B176,$F$5:$F$692,"&lt;="&amp;F176)</f>
        <v/>
      </c>
      <c r="M176" s="58">
        <f>'个人技术逐级'!N176</f>
        <v/>
      </c>
      <c r="N176" s="58">
        <f>SUMIFS($M$5:$M$692,$A$5:$A$692,A176,$B$5:$B$692,B176,$F$5:$F$692,"&lt;="&amp;F176)</f>
        <v/>
      </c>
      <c r="O176" s="58">
        <f>0</f>
        <v/>
      </c>
      <c r="P176" s="58">
        <f>SUMIFS($O$5:$O$692,$A$5:$A$692,A176,$B$5:$B$692,B176,$F$5:$F$692,"&lt;="&amp;F176)</f>
        <v/>
      </c>
      <c r="Q176" s="58">
        <f>0</f>
        <v/>
      </c>
      <c r="R176" s="58">
        <f>SUMIFS($Q$5:$Q$692,$A$5:$A$692,A176,$B$5:$B$692,B176,$F$5:$F$692,"&lt;="&amp;F176)</f>
        <v/>
      </c>
      <c r="S176" s="58">
        <f>0</f>
        <v/>
      </c>
      <c r="T176" s="58">
        <f>SUMIFS($S$5:$S$692,$A$5:$A$692,A176,$B$5:$B$692,B176,$F$5:$F$692,"&lt;="&amp;F176)</f>
        <v/>
      </c>
      <c r="U176" s="52">
        <f>'个人技术逐级'!O176</f>
        <v/>
      </c>
    </row>
    <row r="177">
      <c r="A177" s="33" t="inlineStr">
        <is>
          <t>个人技术</t>
        </is>
      </c>
      <c r="B177" s="33">
        <f>'个人技术逐级'!A177</f>
        <v/>
      </c>
      <c r="C177" s="33">
        <f>'个人技术逐级'!B177</f>
        <v/>
      </c>
      <c r="D177" s="33">
        <f>'个人技术逐级'!C177</f>
        <v/>
      </c>
      <c r="E177">
        <f>'个人技术逐级'!D177</f>
        <v/>
      </c>
      <c r="F177" s="54">
        <f>'个人技术逐级'!E177</f>
        <v/>
      </c>
      <c r="G177" s="55">
        <f>'个人技术逐级'!F177</f>
        <v/>
      </c>
      <c r="H177" s="56">
        <f>'个人技术逐级'!G177</f>
        <v/>
      </c>
      <c r="I177" s="52" t="inlineStr">
        <is>
          <t>个人技术计时升级</t>
        </is>
      </c>
      <c r="J177" s="57">
        <f>'个人技术逐级'!M177</f>
        <v/>
      </c>
      <c r="K177" s="35">
        <f>J177/3600</f>
        <v/>
      </c>
      <c r="L177" s="35">
        <f>SUMIFS($K$5:$K$692,$A$5:$A$692,A177,$B$5:$B$692,B177,$F$5:$F$692,"&lt;="&amp;F177)</f>
        <v/>
      </c>
      <c r="M177" s="58">
        <f>'个人技术逐级'!N177</f>
        <v/>
      </c>
      <c r="N177" s="58">
        <f>SUMIFS($M$5:$M$692,$A$5:$A$692,A177,$B$5:$B$692,B177,$F$5:$F$692,"&lt;="&amp;F177)</f>
        <v/>
      </c>
      <c r="O177" s="58">
        <f>0</f>
        <v/>
      </c>
      <c r="P177" s="58">
        <f>SUMIFS($O$5:$O$692,$A$5:$A$692,A177,$B$5:$B$692,B177,$F$5:$F$692,"&lt;="&amp;F177)</f>
        <v/>
      </c>
      <c r="Q177" s="58">
        <f>0</f>
        <v/>
      </c>
      <c r="R177" s="58">
        <f>SUMIFS($Q$5:$Q$692,$A$5:$A$692,A177,$B$5:$B$692,B177,$F$5:$F$692,"&lt;="&amp;F177)</f>
        <v/>
      </c>
      <c r="S177" s="58">
        <f>0</f>
        <v/>
      </c>
      <c r="T177" s="58">
        <f>SUMIFS($S$5:$S$692,$A$5:$A$692,A177,$B$5:$B$692,B177,$F$5:$F$692,"&lt;="&amp;F177)</f>
        <v/>
      </c>
      <c r="U177" s="52">
        <f>'个人技术逐级'!O177</f>
        <v/>
      </c>
    </row>
    <row r="178">
      <c r="A178" s="33" t="inlineStr">
        <is>
          <t>个人技术</t>
        </is>
      </c>
      <c r="B178" s="33">
        <f>'个人技术逐级'!A178</f>
        <v/>
      </c>
      <c r="C178" s="33">
        <f>'个人技术逐级'!B178</f>
        <v/>
      </c>
      <c r="D178" s="33">
        <f>'个人技术逐级'!C178</f>
        <v/>
      </c>
      <c r="E178">
        <f>'个人技术逐级'!D178</f>
        <v/>
      </c>
      <c r="F178" s="54">
        <f>'个人技术逐级'!E178</f>
        <v/>
      </c>
      <c r="G178" s="55">
        <f>'个人技术逐级'!F178</f>
        <v/>
      </c>
      <c r="H178" s="56">
        <f>'个人技术逐级'!G178</f>
        <v/>
      </c>
      <c r="I178" s="52" t="inlineStr">
        <is>
          <t>个人技术计时升级</t>
        </is>
      </c>
      <c r="J178" s="57">
        <f>'个人技术逐级'!M178</f>
        <v/>
      </c>
      <c r="K178" s="35">
        <f>J178/3600</f>
        <v/>
      </c>
      <c r="L178" s="35">
        <f>SUMIFS($K$5:$K$692,$A$5:$A$692,A178,$B$5:$B$692,B178,$F$5:$F$692,"&lt;="&amp;F178)</f>
        <v/>
      </c>
      <c r="M178" s="58">
        <f>'个人技术逐级'!N178</f>
        <v/>
      </c>
      <c r="N178" s="58">
        <f>SUMIFS($M$5:$M$692,$A$5:$A$692,A178,$B$5:$B$692,B178,$F$5:$F$692,"&lt;="&amp;F178)</f>
        <v/>
      </c>
      <c r="O178" s="58">
        <f>0</f>
        <v/>
      </c>
      <c r="P178" s="58">
        <f>SUMIFS($O$5:$O$692,$A$5:$A$692,A178,$B$5:$B$692,B178,$F$5:$F$692,"&lt;="&amp;F178)</f>
        <v/>
      </c>
      <c r="Q178" s="58">
        <f>0</f>
        <v/>
      </c>
      <c r="R178" s="58">
        <f>SUMIFS($Q$5:$Q$692,$A$5:$A$692,A178,$B$5:$B$692,B178,$F$5:$F$692,"&lt;="&amp;F178)</f>
        <v/>
      </c>
      <c r="S178" s="58">
        <f>0</f>
        <v/>
      </c>
      <c r="T178" s="58">
        <f>SUMIFS($S$5:$S$692,$A$5:$A$692,A178,$B$5:$B$692,B178,$F$5:$F$692,"&lt;="&amp;F178)</f>
        <v/>
      </c>
      <c r="U178" s="52">
        <f>'个人技术逐级'!O178</f>
        <v/>
      </c>
    </row>
    <row r="179">
      <c r="A179" s="33" t="inlineStr">
        <is>
          <t>个人技术</t>
        </is>
      </c>
      <c r="B179" s="33">
        <f>'个人技术逐级'!A179</f>
        <v/>
      </c>
      <c r="C179" s="33">
        <f>'个人技术逐级'!B179</f>
        <v/>
      </c>
      <c r="D179" s="33">
        <f>'个人技术逐级'!C179</f>
        <v/>
      </c>
      <c r="E179">
        <f>'个人技术逐级'!D179</f>
        <v/>
      </c>
      <c r="F179" s="54">
        <f>'个人技术逐级'!E179</f>
        <v/>
      </c>
      <c r="G179" s="55">
        <f>'个人技术逐级'!F179</f>
        <v/>
      </c>
      <c r="H179" s="56">
        <f>'个人技术逐级'!G179</f>
        <v/>
      </c>
      <c r="I179" s="52" t="inlineStr">
        <is>
          <t>个人技术计时升级</t>
        </is>
      </c>
      <c r="J179" s="57">
        <f>'个人技术逐级'!M179</f>
        <v/>
      </c>
      <c r="K179" s="35">
        <f>J179/3600</f>
        <v/>
      </c>
      <c r="L179" s="35">
        <f>SUMIFS($K$5:$K$692,$A$5:$A$692,A179,$B$5:$B$692,B179,$F$5:$F$692,"&lt;="&amp;F179)</f>
        <v/>
      </c>
      <c r="M179" s="58">
        <f>'个人技术逐级'!N179</f>
        <v/>
      </c>
      <c r="N179" s="58">
        <f>SUMIFS($M$5:$M$692,$A$5:$A$692,A179,$B$5:$B$692,B179,$F$5:$F$692,"&lt;="&amp;F179)</f>
        <v/>
      </c>
      <c r="O179" s="58">
        <f>0</f>
        <v/>
      </c>
      <c r="P179" s="58">
        <f>SUMIFS($O$5:$O$692,$A$5:$A$692,A179,$B$5:$B$692,B179,$F$5:$F$692,"&lt;="&amp;F179)</f>
        <v/>
      </c>
      <c r="Q179" s="58">
        <f>0</f>
        <v/>
      </c>
      <c r="R179" s="58">
        <f>SUMIFS($Q$5:$Q$692,$A$5:$A$692,A179,$B$5:$B$692,B179,$F$5:$F$692,"&lt;="&amp;F179)</f>
        <v/>
      </c>
      <c r="S179" s="58">
        <f>0</f>
        <v/>
      </c>
      <c r="T179" s="58">
        <f>SUMIFS($S$5:$S$692,$A$5:$A$692,A179,$B$5:$B$692,B179,$F$5:$F$692,"&lt;="&amp;F179)</f>
        <v/>
      </c>
      <c r="U179" s="52">
        <f>'个人技术逐级'!O179</f>
        <v/>
      </c>
    </row>
    <row r="180">
      <c r="A180" s="33" t="inlineStr">
        <is>
          <t>个人技术</t>
        </is>
      </c>
      <c r="B180" s="33">
        <f>'个人技术逐级'!A180</f>
        <v/>
      </c>
      <c r="C180" s="33">
        <f>'个人技术逐级'!B180</f>
        <v/>
      </c>
      <c r="D180" s="33">
        <f>'个人技术逐级'!C180</f>
        <v/>
      </c>
      <c r="E180">
        <f>'个人技术逐级'!D180</f>
        <v/>
      </c>
      <c r="F180" s="54">
        <f>'个人技术逐级'!E180</f>
        <v/>
      </c>
      <c r="G180" s="55">
        <f>'个人技术逐级'!F180</f>
        <v/>
      </c>
      <c r="H180" s="56">
        <f>'个人技术逐级'!G180</f>
        <v/>
      </c>
      <c r="I180" s="52" t="inlineStr">
        <is>
          <t>个人技术计时升级</t>
        </is>
      </c>
      <c r="J180" s="57">
        <f>'个人技术逐级'!M180</f>
        <v/>
      </c>
      <c r="K180" s="35">
        <f>J180/3600</f>
        <v/>
      </c>
      <c r="L180" s="35">
        <f>SUMIFS($K$5:$K$692,$A$5:$A$692,A180,$B$5:$B$692,B180,$F$5:$F$692,"&lt;="&amp;F180)</f>
        <v/>
      </c>
      <c r="M180" s="58">
        <f>'个人技术逐级'!N180</f>
        <v/>
      </c>
      <c r="N180" s="58">
        <f>SUMIFS($M$5:$M$692,$A$5:$A$692,A180,$B$5:$B$692,B180,$F$5:$F$692,"&lt;="&amp;F180)</f>
        <v/>
      </c>
      <c r="O180" s="58">
        <f>0</f>
        <v/>
      </c>
      <c r="P180" s="58">
        <f>SUMIFS($O$5:$O$692,$A$5:$A$692,A180,$B$5:$B$692,B180,$F$5:$F$692,"&lt;="&amp;F180)</f>
        <v/>
      </c>
      <c r="Q180" s="58">
        <f>0</f>
        <v/>
      </c>
      <c r="R180" s="58">
        <f>SUMIFS($Q$5:$Q$692,$A$5:$A$692,A180,$B$5:$B$692,B180,$F$5:$F$692,"&lt;="&amp;F180)</f>
        <v/>
      </c>
      <c r="S180" s="58">
        <f>0</f>
        <v/>
      </c>
      <c r="T180" s="58">
        <f>SUMIFS($S$5:$S$692,$A$5:$A$692,A180,$B$5:$B$692,B180,$F$5:$F$692,"&lt;="&amp;F180)</f>
        <v/>
      </c>
      <c r="U180" s="52">
        <f>'个人技术逐级'!O180</f>
        <v/>
      </c>
    </row>
    <row r="181">
      <c r="A181" s="33" t="inlineStr">
        <is>
          <t>个人技术</t>
        </is>
      </c>
      <c r="B181" s="33">
        <f>'个人技术逐级'!A181</f>
        <v/>
      </c>
      <c r="C181" s="33">
        <f>'个人技术逐级'!B181</f>
        <v/>
      </c>
      <c r="D181" s="33">
        <f>'个人技术逐级'!C181</f>
        <v/>
      </c>
      <c r="E181">
        <f>'个人技术逐级'!D181</f>
        <v/>
      </c>
      <c r="F181" s="54">
        <f>'个人技术逐级'!E181</f>
        <v/>
      </c>
      <c r="G181" s="55">
        <f>'个人技术逐级'!F181</f>
        <v/>
      </c>
      <c r="H181" s="56">
        <f>'个人技术逐级'!G181</f>
        <v/>
      </c>
      <c r="I181" s="52" t="inlineStr">
        <is>
          <t>个人技术计时升级</t>
        </is>
      </c>
      <c r="J181" s="57">
        <f>'个人技术逐级'!M181</f>
        <v/>
      </c>
      <c r="K181" s="35">
        <f>J181/3600</f>
        <v/>
      </c>
      <c r="L181" s="35">
        <f>SUMIFS($K$5:$K$692,$A$5:$A$692,A181,$B$5:$B$692,B181,$F$5:$F$692,"&lt;="&amp;F181)</f>
        <v/>
      </c>
      <c r="M181" s="58">
        <f>'个人技术逐级'!N181</f>
        <v/>
      </c>
      <c r="N181" s="58">
        <f>SUMIFS($M$5:$M$692,$A$5:$A$692,A181,$B$5:$B$692,B181,$F$5:$F$692,"&lt;="&amp;F181)</f>
        <v/>
      </c>
      <c r="O181" s="58">
        <f>0</f>
        <v/>
      </c>
      <c r="P181" s="58">
        <f>SUMIFS($O$5:$O$692,$A$5:$A$692,A181,$B$5:$B$692,B181,$F$5:$F$692,"&lt;="&amp;F181)</f>
        <v/>
      </c>
      <c r="Q181" s="58">
        <f>0</f>
        <v/>
      </c>
      <c r="R181" s="58">
        <f>SUMIFS($Q$5:$Q$692,$A$5:$A$692,A181,$B$5:$B$692,B181,$F$5:$F$692,"&lt;="&amp;F181)</f>
        <v/>
      </c>
      <c r="S181" s="58">
        <f>0</f>
        <v/>
      </c>
      <c r="T181" s="58">
        <f>SUMIFS($S$5:$S$692,$A$5:$A$692,A181,$B$5:$B$692,B181,$F$5:$F$692,"&lt;="&amp;F181)</f>
        <v/>
      </c>
      <c r="U181" s="52">
        <f>'个人技术逐级'!O181</f>
        <v/>
      </c>
    </row>
    <row r="182">
      <c r="A182" s="33" t="inlineStr">
        <is>
          <t>个人技术</t>
        </is>
      </c>
      <c r="B182" s="33">
        <f>'个人技术逐级'!A182</f>
        <v/>
      </c>
      <c r="C182" s="33">
        <f>'个人技术逐级'!B182</f>
        <v/>
      </c>
      <c r="D182" s="33">
        <f>'个人技术逐级'!C182</f>
        <v/>
      </c>
      <c r="E182">
        <f>'个人技术逐级'!D182</f>
        <v/>
      </c>
      <c r="F182" s="54">
        <f>'个人技术逐级'!E182</f>
        <v/>
      </c>
      <c r="G182" s="55">
        <f>'个人技术逐级'!F182</f>
        <v/>
      </c>
      <c r="H182" s="56">
        <f>'个人技术逐级'!G182</f>
        <v/>
      </c>
      <c r="I182" s="52" t="inlineStr">
        <is>
          <t>个人技术计时升级</t>
        </is>
      </c>
      <c r="J182" s="57">
        <f>'个人技术逐级'!M182</f>
        <v/>
      </c>
      <c r="K182" s="35">
        <f>J182/3600</f>
        <v/>
      </c>
      <c r="L182" s="35">
        <f>SUMIFS($K$5:$K$692,$A$5:$A$692,A182,$B$5:$B$692,B182,$F$5:$F$692,"&lt;="&amp;F182)</f>
        <v/>
      </c>
      <c r="M182" s="58">
        <f>'个人技术逐级'!N182</f>
        <v/>
      </c>
      <c r="N182" s="58">
        <f>SUMIFS($M$5:$M$692,$A$5:$A$692,A182,$B$5:$B$692,B182,$F$5:$F$692,"&lt;="&amp;F182)</f>
        <v/>
      </c>
      <c r="O182" s="58">
        <f>0</f>
        <v/>
      </c>
      <c r="P182" s="58">
        <f>SUMIFS($O$5:$O$692,$A$5:$A$692,A182,$B$5:$B$692,B182,$F$5:$F$692,"&lt;="&amp;F182)</f>
        <v/>
      </c>
      <c r="Q182" s="58">
        <f>0</f>
        <v/>
      </c>
      <c r="R182" s="58">
        <f>SUMIFS($Q$5:$Q$692,$A$5:$A$692,A182,$B$5:$B$692,B182,$F$5:$F$692,"&lt;="&amp;F182)</f>
        <v/>
      </c>
      <c r="S182" s="58">
        <f>0</f>
        <v/>
      </c>
      <c r="T182" s="58">
        <f>SUMIFS($S$5:$S$692,$A$5:$A$692,A182,$B$5:$B$692,B182,$F$5:$F$692,"&lt;="&amp;F182)</f>
        <v/>
      </c>
      <c r="U182" s="52">
        <f>'个人技术逐级'!O182</f>
        <v/>
      </c>
    </row>
    <row r="183">
      <c r="A183" s="33" t="inlineStr">
        <is>
          <t>个人技术</t>
        </is>
      </c>
      <c r="B183" s="33">
        <f>'个人技术逐级'!A183</f>
        <v/>
      </c>
      <c r="C183" s="33">
        <f>'个人技术逐级'!B183</f>
        <v/>
      </c>
      <c r="D183" s="33">
        <f>'个人技术逐级'!C183</f>
        <v/>
      </c>
      <c r="E183">
        <f>'个人技术逐级'!D183</f>
        <v/>
      </c>
      <c r="F183" s="54">
        <f>'个人技术逐级'!E183</f>
        <v/>
      </c>
      <c r="G183" s="55">
        <f>'个人技术逐级'!F183</f>
        <v/>
      </c>
      <c r="H183" s="56">
        <f>'个人技术逐级'!G183</f>
        <v/>
      </c>
      <c r="I183" s="52" t="inlineStr">
        <is>
          <t>个人技术计时升级</t>
        </is>
      </c>
      <c r="J183" s="57">
        <f>'个人技术逐级'!M183</f>
        <v/>
      </c>
      <c r="K183" s="35">
        <f>J183/3600</f>
        <v/>
      </c>
      <c r="L183" s="35">
        <f>SUMIFS($K$5:$K$692,$A$5:$A$692,A183,$B$5:$B$692,B183,$F$5:$F$692,"&lt;="&amp;F183)</f>
        <v/>
      </c>
      <c r="M183" s="58">
        <f>'个人技术逐级'!N183</f>
        <v/>
      </c>
      <c r="N183" s="58">
        <f>SUMIFS($M$5:$M$692,$A$5:$A$692,A183,$B$5:$B$692,B183,$F$5:$F$692,"&lt;="&amp;F183)</f>
        <v/>
      </c>
      <c r="O183" s="58">
        <f>0</f>
        <v/>
      </c>
      <c r="P183" s="58">
        <f>SUMIFS($O$5:$O$692,$A$5:$A$692,A183,$B$5:$B$692,B183,$F$5:$F$692,"&lt;="&amp;F183)</f>
        <v/>
      </c>
      <c r="Q183" s="58">
        <f>0</f>
        <v/>
      </c>
      <c r="R183" s="58">
        <f>SUMIFS($Q$5:$Q$692,$A$5:$A$692,A183,$B$5:$B$692,B183,$F$5:$F$692,"&lt;="&amp;F183)</f>
        <v/>
      </c>
      <c r="S183" s="58">
        <f>0</f>
        <v/>
      </c>
      <c r="T183" s="58">
        <f>SUMIFS($S$5:$S$692,$A$5:$A$692,A183,$B$5:$B$692,B183,$F$5:$F$692,"&lt;="&amp;F183)</f>
        <v/>
      </c>
      <c r="U183" s="52">
        <f>'个人技术逐级'!O183</f>
        <v/>
      </c>
    </row>
    <row r="184">
      <c r="A184" s="33" t="inlineStr">
        <is>
          <t>个人技术</t>
        </is>
      </c>
      <c r="B184" s="33">
        <f>'个人技术逐级'!A184</f>
        <v/>
      </c>
      <c r="C184" s="33">
        <f>'个人技术逐级'!B184</f>
        <v/>
      </c>
      <c r="D184" s="33">
        <f>'个人技术逐级'!C184</f>
        <v/>
      </c>
      <c r="E184">
        <f>'个人技术逐级'!D184</f>
        <v/>
      </c>
      <c r="F184" s="54">
        <f>'个人技术逐级'!E184</f>
        <v/>
      </c>
      <c r="G184" s="55">
        <f>'个人技术逐级'!F184</f>
        <v/>
      </c>
      <c r="H184" s="56">
        <f>'个人技术逐级'!G184</f>
        <v/>
      </c>
      <c r="I184" s="52" t="inlineStr">
        <is>
          <t>个人技术计时升级</t>
        </is>
      </c>
      <c r="J184" s="57">
        <f>'个人技术逐级'!M184</f>
        <v/>
      </c>
      <c r="K184" s="35">
        <f>J184/3600</f>
        <v/>
      </c>
      <c r="L184" s="35">
        <f>SUMIFS($K$5:$K$692,$A$5:$A$692,A184,$B$5:$B$692,B184,$F$5:$F$692,"&lt;="&amp;F184)</f>
        <v/>
      </c>
      <c r="M184" s="58">
        <f>'个人技术逐级'!N184</f>
        <v/>
      </c>
      <c r="N184" s="58">
        <f>SUMIFS($M$5:$M$692,$A$5:$A$692,A184,$B$5:$B$692,B184,$F$5:$F$692,"&lt;="&amp;F184)</f>
        <v/>
      </c>
      <c r="O184" s="58">
        <f>0</f>
        <v/>
      </c>
      <c r="P184" s="58">
        <f>SUMIFS($O$5:$O$692,$A$5:$A$692,A184,$B$5:$B$692,B184,$F$5:$F$692,"&lt;="&amp;F184)</f>
        <v/>
      </c>
      <c r="Q184" s="58">
        <f>0</f>
        <v/>
      </c>
      <c r="R184" s="58">
        <f>SUMIFS($Q$5:$Q$692,$A$5:$A$692,A184,$B$5:$B$692,B184,$F$5:$F$692,"&lt;="&amp;F184)</f>
        <v/>
      </c>
      <c r="S184" s="58">
        <f>0</f>
        <v/>
      </c>
      <c r="T184" s="58">
        <f>SUMIFS($S$5:$S$692,$A$5:$A$692,A184,$B$5:$B$692,B184,$F$5:$F$692,"&lt;="&amp;F184)</f>
        <v/>
      </c>
      <c r="U184" s="52">
        <f>'个人技术逐级'!O184</f>
        <v/>
      </c>
    </row>
    <row r="185">
      <c r="A185" s="33" t="inlineStr">
        <is>
          <t>个人技术</t>
        </is>
      </c>
      <c r="B185" s="33">
        <f>'个人技术逐级'!A185</f>
        <v/>
      </c>
      <c r="C185" s="33">
        <f>'个人技术逐级'!B185</f>
        <v/>
      </c>
      <c r="D185" s="33">
        <f>'个人技术逐级'!C185</f>
        <v/>
      </c>
      <c r="E185">
        <f>'个人技术逐级'!D185</f>
        <v/>
      </c>
      <c r="F185" s="54">
        <f>'个人技术逐级'!E185</f>
        <v/>
      </c>
      <c r="G185" s="55">
        <f>'个人技术逐级'!F185</f>
        <v/>
      </c>
      <c r="H185" s="56">
        <f>'个人技术逐级'!G185</f>
        <v/>
      </c>
      <c r="I185" s="52" t="inlineStr">
        <is>
          <t>个人技术计时升级</t>
        </is>
      </c>
      <c r="J185" s="57">
        <f>'个人技术逐级'!M185</f>
        <v/>
      </c>
      <c r="K185" s="35">
        <f>J185/3600</f>
        <v/>
      </c>
      <c r="L185" s="35">
        <f>SUMIFS($K$5:$K$692,$A$5:$A$692,A185,$B$5:$B$692,B185,$F$5:$F$692,"&lt;="&amp;F185)</f>
        <v/>
      </c>
      <c r="M185" s="58">
        <f>'个人技术逐级'!N185</f>
        <v/>
      </c>
      <c r="N185" s="58">
        <f>SUMIFS($M$5:$M$692,$A$5:$A$692,A185,$B$5:$B$692,B185,$F$5:$F$692,"&lt;="&amp;F185)</f>
        <v/>
      </c>
      <c r="O185" s="58">
        <f>0</f>
        <v/>
      </c>
      <c r="P185" s="58">
        <f>SUMIFS($O$5:$O$692,$A$5:$A$692,A185,$B$5:$B$692,B185,$F$5:$F$692,"&lt;="&amp;F185)</f>
        <v/>
      </c>
      <c r="Q185" s="58">
        <f>0</f>
        <v/>
      </c>
      <c r="R185" s="58">
        <f>SUMIFS($Q$5:$Q$692,$A$5:$A$692,A185,$B$5:$B$692,B185,$F$5:$F$692,"&lt;="&amp;F185)</f>
        <v/>
      </c>
      <c r="S185" s="58">
        <f>0</f>
        <v/>
      </c>
      <c r="T185" s="58">
        <f>SUMIFS($S$5:$S$692,$A$5:$A$692,A185,$B$5:$B$692,B185,$F$5:$F$692,"&lt;="&amp;F185)</f>
        <v/>
      </c>
      <c r="U185" s="52">
        <f>'个人技术逐级'!O185</f>
        <v/>
      </c>
    </row>
    <row r="186">
      <c r="A186" s="33" t="inlineStr">
        <is>
          <t>个人技术</t>
        </is>
      </c>
      <c r="B186" s="33">
        <f>'个人技术逐级'!A186</f>
        <v/>
      </c>
      <c r="C186" s="33">
        <f>'个人技术逐级'!B186</f>
        <v/>
      </c>
      <c r="D186" s="33">
        <f>'个人技术逐级'!C186</f>
        <v/>
      </c>
      <c r="E186">
        <f>'个人技术逐级'!D186</f>
        <v/>
      </c>
      <c r="F186" s="54">
        <f>'个人技术逐级'!E186</f>
        <v/>
      </c>
      <c r="G186" s="55">
        <f>'个人技术逐级'!F186</f>
        <v/>
      </c>
      <c r="H186" s="56">
        <f>'个人技术逐级'!G186</f>
        <v/>
      </c>
      <c r="I186" s="52" t="inlineStr">
        <is>
          <t>个人技术计时升级</t>
        </is>
      </c>
      <c r="J186" s="57">
        <f>'个人技术逐级'!M186</f>
        <v/>
      </c>
      <c r="K186" s="35">
        <f>J186/3600</f>
        <v/>
      </c>
      <c r="L186" s="35">
        <f>SUMIFS($K$5:$K$692,$A$5:$A$692,A186,$B$5:$B$692,B186,$F$5:$F$692,"&lt;="&amp;F186)</f>
        <v/>
      </c>
      <c r="M186" s="58">
        <f>'个人技术逐级'!N186</f>
        <v/>
      </c>
      <c r="N186" s="58">
        <f>SUMIFS($M$5:$M$692,$A$5:$A$692,A186,$B$5:$B$692,B186,$F$5:$F$692,"&lt;="&amp;F186)</f>
        <v/>
      </c>
      <c r="O186" s="58">
        <f>0</f>
        <v/>
      </c>
      <c r="P186" s="58">
        <f>SUMIFS($O$5:$O$692,$A$5:$A$692,A186,$B$5:$B$692,B186,$F$5:$F$692,"&lt;="&amp;F186)</f>
        <v/>
      </c>
      <c r="Q186" s="58">
        <f>0</f>
        <v/>
      </c>
      <c r="R186" s="58">
        <f>SUMIFS($Q$5:$Q$692,$A$5:$A$692,A186,$B$5:$B$692,B186,$F$5:$F$692,"&lt;="&amp;F186)</f>
        <v/>
      </c>
      <c r="S186" s="58">
        <f>0</f>
        <v/>
      </c>
      <c r="T186" s="58">
        <f>SUMIFS($S$5:$S$692,$A$5:$A$692,A186,$B$5:$B$692,B186,$F$5:$F$692,"&lt;="&amp;F186)</f>
        <v/>
      </c>
      <c r="U186" s="52">
        <f>'个人技术逐级'!O186</f>
        <v/>
      </c>
    </row>
    <row r="187">
      <c r="A187" s="33" t="inlineStr">
        <is>
          <t>个人技术</t>
        </is>
      </c>
      <c r="B187" s="33">
        <f>'个人技术逐级'!A187</f>
        <v/>
      </c>
      <c r="C187" s="33">
        <f>'个人技术逐级'!B187</f>
        <v/>
      </c>
      <c r="D187" s="33">
        <f>'个人技术逐级'!C187</f>
        <v/>
      </c>
      <c r="E187">
        <f>'个人技术逐级'!D187</f>
        <v/>
      </c>
      <c r="F187" s="54">
        <f>'个人技术逐级'!E187</f>
        <v/>
      </c>
      <c r="G187" s="55">
        <f>'个人技术逐级'!F187</f>
        <v/>
      </c>
      <c r="H187" s="56">
        <f>'个人技术逐级'!G187</f>
        <v/>
      </c>
      <c r="I187" s="52" t="inlineStr">
        <is>
          <t>个人技术计时升级</t>
        </is>
      </c>
      <c r="J187" s="57">
        <f>'个人技术逐级'!M187</f>
        <v/>
      </c>
      <c r="K187" s="35">
        <f>J187/3600</f>
        <v/>
      </c>
      <c r="L187" s="35">
        <f>SUMIFS($K$5:$K$692,$A$5:$A$692,A187,$B$5:$B$692,B187,$F$5:$F$692,"&lt;="&amp;F187)</f>
        <v/>
      </c>
      <c r="M187" s="58">
        <f>'个人技术逐级'!N187</f>
        <v/>
      </c>
      <c r="N187" s="58">
        <f>SUMIFS($M$5:$M$692,$A$5:$A$692,A187,$B$5:$B$692,B187,$F$5:$F$692,"&lt;="&amp;F187)</f>
        <v/>
      </c>
      <c r="O187" s="58">
        <f>0</f>
        <v/>
      </c>
      <c r="P187" s="58">
        <f>SUMIFS($O$5:$O$692,$A$5:$A$692,A187,$B$5:$B$692,B187,$F$5:$F$692,"&lt;="&amp;F187)</f>
        <v/>
      </c>
      <c r="Q187" s="58">
        <f>0</f>
        <v/>
      </c>
      <c r="R187" s="58">
        <f>SUMIFS($Q$5:$Q$692,$A$5:$A$692,A187,$B$5:$B$692,B187,$F$5:$F$692,"&lt;="&amp;F187)</f>
        <v/>
      </c>
      <c r="S187" s="58">
        <f>0</f>
        <v/>
      </c>
      <c r="T187" s="58">
        <f>SUMIFS($S$5:$S$692,$A$5:$A$692,A187,$B$5:$B$692,B187,$F$5:$F$692,"&lt;="&amp;F187)</f>
        <v/>
      </c>
      <c r="U187" s="52">
        <f>'个人技术逐级'!O187</f>
        <v/>
      </c>
    </row>
    <row r="188">
      <c r="A188" s="33" t="inlineStr">
        <is>
          <t>个人技术</t>
        </is>
      </c>
      <c r="B188" s="33">
        <f>'个人技术逐级'!A188</f>
        <v/>
      </c>
      <c r="C188" s="33">
        <f>'个人技术逐级'!B188</f>
        <v/>
      </c>
      <c r="D188" s="33">
        <f>'个人技术逐级'!C188</f>
        <v/>
      </c>
      <c r="E188">
        <f>'个人技术逐级'!D188</f>
        <v/>
      </c>
      <c r="F188" s="54">
        <f>'个人技术逐级'!E188</f>
        <v/>
      </c>
      <c r="G188" s="55">
        <f>'个人技术逐级'!F188</f>
        <v/>
      </c>
      <c r="H188" s="56">
        <f>'个人技术逐级'!G188</f>
        <v/>
      </c>
      <c r="I188" s="52" t="inlineStr">
        <is>
          <t>个人技术计时升级</t>
        </is>
      </c>
      <c r="J188" s="57">
        <f>'个人技术逐级'!M188</f>
        <v/>
      </c>
      <c r="K188" s="35">
        <f>J188/3600</f>
        <v/>
      </c>
      <c r="L188" s="35">
        <f>SUMIFS($K$5:$K$692,$A$5:$A$692,A188,$B$5:$B$692,B188,$F$5:$F$692,"&lt;="&amp;F188)</f>
        <v/>
      </c>
      <c r="M188" s="58">
        <f>'个人技术逐级'!N188</f>
        <v/>
      </c>
      <c r="N188" s="58">
        <f>SUMIFS($M$5:$M$692,$A$5:$A$692,A188,$B$5:$B$692,B188,$F$5:$F$692,"&lt;="&amp;F188)</f>
        <v/>
      </c>
      <c r="O188" s="58">
        <f>0</f>
        <v/>
      </c>
      <c r="P188" s="58">
        <f>SUMIFS($O$5:$O$692,$A$5:$A$692,A188,$B$5:$B$692,B188,$F$5:$F$692,"&lt;="&amp;F188)</f>
        <v/>
      </c>
      <c r="Q188" s="58">
        <f>0</f>
        <v/>
      </c>
      <c r="R188" s="58">
        <f>SUMIFS($Q$5:$Q$692,$A$5:$A$692,A188,$B$5:$B$692,B188,$F$5:$F$692,"&lt;="&amp;F188)</f>
        <v/>
      </c>
      <c r="S188" s="58">
        <f>0</f>
        <v/>
      </c>
      <c r="T188" s="58">
        <f>SUMIFS($S$5:$S$692,$A$5:$A$692,A188,$B$5:$B$692,B188,$F$5:$F$692,"&lt;="&amp;F188)</f>
        <v/>
      </c>
      <c r="U188" s="52">
        <f>'个人技术逐级'!O188</f>
        <v/>
      </c>
    </row>
    <row r="189">
      <c r="A189" s="33" t="inlineStr">
        <is>
          <t>个人技术</t>
        </is>
      </c>
      <c r="B189" s="33">
        <f>'个人技术逐级'!A189</f>
        <v/>
      </c>
      <c r="C189" s="33">
        <f>'个人技术逐级'!B189</f>
        <v/>
      </c>
      <c r="D189" s="33">
        <f>'个人技术逐级'!C189</f>
        <v/>
      </c>
      <c r="E189">
        <f>'个人技术逐级'!D189</f>
        <v/>
      </c>
      <c r="F189" s="54">
        <f>'个人技术逐级'!E189</f>
        <v/>
      </c>
      <c r="G189" s="55">
        <f>'个人技术逐级'!F189</f>
        <v/>
      </c>
      <c r="H189" s="56">
        <f>'个人技术逐级'!G189</f>
        <v/>
      </c>
      <c r="I189" s="52" t="inlineStr">
        <is>
          <t>个人技术计时升级</t>
        </is>
      </c>
      <c r="J189" s="57">
        <f>'个人技术逐级'!M189</f>
        <v/>
      </c>
      <c r="K189" s="35">
        <f>J189/3600</f>
        <v/>
      </c>
      <c r="L189" s="35">
        <f>SUMIFS($K$5:$K$692,$A$5:$A$692,A189,$B$5:$B$692,B189,$F$5:$F$692,"&lt;="&amp;F189)</f>
        <v/>
      </c>
      <c r="M189" s="58">
        <f>'个人技术逐级'!N189</f>
        <v/>
      </c>
      <c r="N189" s="58">
        <f>SUMIFS($M$5:$M$692,$A$5:$A$692,A189,$B$5:$B$692,B189,$F$5:$F$692,"&lt;="&amp;F189)</f>
        <v/>
      </c>
      <c r="O189" s="58">
        <f>0</f>
        <v/>
      </c>
      <c r="P189" s="58">
        <f>SUMIFS($O$5:$O$692,$A$5:$A$692,A189,$B$5:$B$692,B189,$F$5:$F$692,"&lt;="&amp;F189)</f>
        <v/>
      </c>
      <c r="Q189" s="58">
        <f>0</f>
        <v/>
      </c>
      <c r="R189" s="58">
        <f>SUMIFS($Q$5:$Q$692,$A$5:$A$692,A189,$B$5:$B$692,B189,$F$5:$F$692,"&lt;="&amp;F189)</f>
        <v/>
      </c>
      <c r="S189" s="58">
        <f>0</f>
        <v/>
      </c>
      <c r="T189" s="58">
        <f>SUMIFS($S$5:$S$692,$A$5:$A$692,A189,$B$5:$B$692,B189,$F$5:$F$692,"&lt;="&amp;F189)</f>
        <v/>
      </c>
      <c r="U189" s="52">
        <f>'个人技术逐级'!O189</f>
        <v/>
      </c>
    </row>
    <row r="190">
      <c r="A190" s="33" t="inlineStr">
        <is>
          <t>个人技术</t>
        </is>
      </c>
      <c r="B190" s="33">
        <f>'个人技术逐级'!A190</f>
        <v/>
      </c>
      <c r="C190" s="33">
        <f>'个人技术逐级'!B190</f>
        <v/>
      </c>
      <c r="D190" s="33">
        <f>'个人技术逐级'!C190</f>
        <v/>
      </c>
      <c r="E190">
        <f>'个人技术逐级'!D190</f>
        <v/>
      </c>
      <c r="F190" s="54">
        <f>'个人技术逐级'!E190</f>
        <v/>
      </c>
      <c r="G190" s="55">
        <f>'个人技术逐级'!F190</f>
        <v/>
      </c>
      <c r="H190" s="56">
        <f>'个人技术逐级'!G190</f>
        <v/>
      </c>
      <c r="I190" s="52" t="inlineStr">
        <is>
          <t>个人技术计时升级</t>
        </is>
      </c>
      <c r="J190" s="57">
        <f>'个人技术逐级'!M190</f>
        <v/>
      </c>
      <c r="K190" s="35">
        <f>J190/3600</f>
        <v/>
      </c>
      <c r="L190" s="35">
        <f>SUMIFS($K$5:$K$692,$A$5:$A$692,A190,$B$5:$B$692,B190,$F$5:$F$692,"&lt;="&amp;F190)</f>
        <v/>
      </c>
      <c r="M190" s="58">
        <f>'个人技术逐级'!N190</f>
        <v/>
      </c>
      <c r="N190" s="58">
        <f>SUMIFS($M$5:$M$692,$A$5:$A$692,A190,$B$5:$B$692,B190,$F$5:$F$692,"&lt;="&amp;F190)</f>
        <v/>
      </c>
      <c r="O190" s="58">
        <f>0</f>
        <v/>
      </c>
      <c r="P190" s="58">
        <f>SUMIFS($O$5:$O$692,$A$5:$A$692,A190,$B$5:$B$692,B190,$F$5:$F$692,"&lt;="&amp;F190)</f>
        <v/>
      </c>
      <c r="Q190" s="58">
        <f>0</f>
        <v/>
      </c>
      <c r="R190" s="58">
        <f>SUMIFS($Q$5:$Q$692,$A$5:$A$692,A190,$B$5:$B$692,B190,$F$5:$F$692,"&lt;="&amp;F190)</f>
        <v/>
      </c>
      <c r="S190" s="58">
        <f>0</f>
        <v/>
      </c>
      <c r="T190" s="58">
        <f>SUMIFS($S$5:$S$692,$A$5:$A$692,A190,$B$5:$B$692,B190,$F$5:$F$692,"&lt;="&amp;F190)</f>
        <v/>
      </c>
      <c r="U190" s="52">
        <f>'个人技术逐级'!O190</f>
        <v/>
      </c>
    </row>
    <row r="191">
      <c r="A191" s="33" t="inlineStr">
        <is>
          <t>个人技术</t>
        </is>
      </c>
      <c r="B191" s="33">
        <f>'个人技术逐级'!A191</f>
        <v/>
      </c>
      <c r="C191" s="33">
        <f>'个人技术逐级'!B191</f>
        <v/>
      </c>
      <c r="D191" s="33">
        <f>'个人技术逐级'!C191</f>
        <v/>
      </c>
      <c r="E191">
        <f>'个人技术逐级'!D191</f>
        <v/>
      </c>
      <c r="F191" s="54">
        <f>'个人技术逐级'!E191</f>
        <v/>
      </c>
      <c r="G191" s="55">
        <f>'个人技术逐级'!F191</f>
        <v/>
      </c>
      <c r="H191" s="56">
        <f>'个人技术逐级'!G191</f>
        <v/>
      </c>
      <c r="I191" s="52" t="inlineStr">
        <is>
          <t>个人技术计时升级</t>
        </is>
      </c>
      <c r="J191" s="57">
        <f>'个人技术逐级'!M191</f>
        <v/>
      </c>
      <c r="K191" s="35">
        <f>J191/3600</f>
        <v/>
      </c>
      <c r="L191" s="35">
        <f>SUMIFS($K$5:$K$692,$A$5:$A$692,A191,$B$5:$B$692,B191,$F$5:$F$692,"&lt;="&amp;F191)</f>
        <v/>
      </c>
      <c r="M191" s="58">
        <f>'个人技术逐级'!N191</f>
        <v/>
      </c>
      <c r="N191" s="58">
        <f>SUMIFS($M$5:$M$692,$A$5:$A$692,A191,$B$5:$B$692,B191,$F$5:$F$692,"&lt;="&amp;F191)</f>
        <v/>
      </c>
      <c r="O191" s="58">
        <f>0</f>
        <v/>
      </c>
      <c r="P191" s="58">
        <f>SUMIFS($O$5:$O$692,$A$5:$A$692,A191,$B$5:$B$692,B191,$F$5:$F$692,"&lt;="&amp;F191)</f>
        <v/>
      </c>
      <c r="Q191" s="58">
        <f>0</f>
        <v/>
      </c>
      <c r="R191" s="58">
        <f>SUMIFS($Q$5:$Q$692,$A$5:$A$692,A191,$B$5:$B$692,B191,$F$5:$F$692,"&lt;="&amp;F191)</f>
        <v/>
      </c>
      <c r="S191" s="58">
        <f>0</f>
        <v/>
      </c>
      <c r="T191" s="58">
        <f>SUMIFS($S$5:$S$692,$A$5:$A$692,A191,$B$5:$B$692,B191,$F$5:$F$692,"&lt;="&amp;F191)</f>
        <v/>
      </c>
      <c r="U191" s="52">
        <f>'个人技术逐级'!O191</f>
        <v/>
      </c>
    </row>
    <row r="192">
      <c r="A192" s="33" t="inlineStr">
        <is>
          <t>个人技术</t>
        </is>
      </c>
      <c r="B192" s="33">
        <f>'个人技术逐级'!A192</f>
        <v/>
      </c>
      <c r="C192" s="33">
        <f>'个人技术逐级'!B192</f>
        <v/>
      </c>
      <c r="D192" s="33">
        <f>'个人技术逐级'!C192</f>
        <v/>
      </c>
      <c r="E192">
        <f>'个人技术逐级'!D192</f>
        <v/>
      </c>
      <c r="F192" s="54">
        <f>'个人技术逐级'!E192</f>
        <v/>
      </c>
      <c r="G192" s="55">
        <f>'个人技术逐级'!F192</f>
        <v/>
      </c>
      <c r="H192" s="56">
        <f>'个人技术逐级'!G192</f>
        <v/>
      </c>
      <c r="I192" s="52" t="inlineStr">
        <is>
          <t>个人技术计时升级</t>
        </is>
      </c>
      <c r="J192" s="57">
        <f>'个人技术逐级'!M192</f>
        <v/>
      </c>
      <c r="K192" s="35">
        <f>J192/3600</f>
        <v/>
      </c>
      <c r="L192" s="35">
        <f>SUMIFS($K$5:$K$692,$A$5:$A$692,A192,$B$5:$B$692,B192,$F$5:$F$692,"&lt;="&amp;F192)</f>
        <v/>
      </c>
      <c r="M192" s="58">
        <f>'个人技术逐级'!N192</f>
        <v/>
      </c>
      <c r="N192" s="58">
        <f>SUMIFS($M$5:$M$692,$A$5:$A$692,A192,$B$5:$B$692,B192,$F$5:$F$692,"&lt;="&amp;F192)</f>
        <v/>
      </c>
      <c r="O192" s="58">
        <f>0</f>
        <v/>
      </c>
      <c r="P192" s="58">
        <f>SUMIFS($O$5:$O$692,$A$5:$A$692,A192,$B$5:$B$692,B192,$F$5:$F$692,"&lt;="&amp;F192)</f>
        <v/>
      </c>
      <c r="Q192" s="58">
        <f>0</f>
        <v/>
      </c>
      <c r="R192" s="58">
        <f>SUMIFS($Q$5:$Q$692,$A$5:$A$692,A192,$B$5:$B$692,B192,$F$5:$F$692,"&lt;="&amp;F192)</f>
        <v/>
      </c>
      <c r="S192" s="58">
        <f>0</f>
        <v/>
      </c>
      <c r="T192" s="58">
        <f>SUMIFS($S$5:$S$692,$A$5:$A$692,A192,$B$5:$B$692,B192,$F$5:$F$692,"&lt;="&amp;F192)</f>
        <v/>
      </c>
      <c r="U192" s="52">
        <f>'个人技术逐级'!O192</f>
        <v/>
      </c>
    </row>
    <row r="193">
      <c r="A193" s="33" t="inlineStr">
        <is>
          <t>个人技术</t>
        </is>
      </c>
      <c r="B193" s="33">
        <f>'个人技术逐级'!A193</f>
        <v/>
      </c>
      <c r="C193" s="33">
        <f>'个人技术逐级'!B193</f>
        <v/>
      </c>
      <c r="D193" s="33">
        <f>'个人技术逐级'!C193</f>
        <v/>
      </c>
      <c r="E193">
        <f>'个人技术逐级'!D193</f>
        <v/>
      </c>
      <c r="F193" s="54">
        <f>'个人技术逐级'!E193</f>
        <v/>
      </c>
      <c r="G193" s="55">
        <f>'个人技术逐级'!F193</f>
        <v/>
      </c>
      <c r="H193" s="56">
        <f>'个人技术逐级'!G193</f>
        <v/>
      </c>
      <c r="I193" s="52" t="inlineStr">
        <is>
          <t>个人技术计时升级</t>
        </is>
      </c>
      <c r="J193" s="57">
        <f>'个人技术逐级'!M193</f>
        <v/>
      </c>
      <c r="K193" s="35">
        <f>J193/3600</f>
        <v/>
      </c>
      <c r="L193" s="35">
        <f>SUMIFS($K$5:$K$692,$A$5:$A$692,A193,$B$5:$B$692,B193,$F$5:$F$692,"&lt;="&amp;F193)</f>
        <v/>
      </c>
      <c r="M193" s="58">
        <f>'个人技术逐级'!N193</f>
        <v/>
      </c>
      <c r="N193" s="58">
        <f>SUMIFS($M$5:$M$692,$A$5:$A$692,A193,$B$5:$B$692,B193,$F$5:$F$692,"&lt;="&amp;F193)</f>
        <v/>
      </c>
      <c r="O193" s="58">
        <f>0</f>
        <v/>
      </c>
      <c r="P193" s="58">
        <f>SUMIFS($O$5:$O$692,$A$5:$A$692,A193,$B$5:$B$692,B193,$F$5:$F$692,"&lt;="&amp;F193)</f>
        <v/>
      </c>
      <c r="Q193" s="58">
        <f>0</f>
        <v/>
      </c>
      <c r="R193" s="58">
        <f>SUMIFS($Q$5:$Q$692,$A$5:$A$692,A193,$B$5:$B$692,B193,$F$5:$F$692,"&lt;="&amp;F193)</f>
        <v/>
      </c>
      <c r="S193" s="58">
        <f>0</f>
        <v/>
      </c>
      <c r="T193" s="58">
        <f>SUMIFS($S$5:$S$692,$A$5:$A$692,A193,$B$5:$B$692,B193,$F$5:$F$692,"&lt;="&amp;F193)</f>
        <v/>
      </c>
      <c r="U193" s="52">
        <f>'个人技术逐级'!O193</f>
        <v/>
      </c>
    </row>
    <row r="194">
      <c r="A194" s="33" t="inlineStr">
        <is>
          <t>个人技术</t>
        </is>
      </c>
      <c r="B194" s="33">
        <f>'个人技术逐级'!A194</f>
        <v/>
      </c>
      <c r="C194" s="33">
        <f>'个人技术逐级'!B194</f>
        <v/>
      </c>
      <c r="D194" s="33">
        <f>'个人技术逐级'!C194</f>
        <v/>
      </c>
      <c r="E194">
        <f>'个人技术逐级'!D194</f>
        <v/>
      </c>
      <c r="F194" s="54">
        <f>'个人技术逐级'!E194</f>
        <v/>
      </c>
      <c r="G194" s="55">
        <f>'个人技术逐级'!F194</f>
        <v/>
      </c>
      <c r="H194" s="56">
        <f>'个人技术逐级'!G194</f>
        <v/>
      </c>
      <c r="I194" s="52" t="inlineStr">
        <is>
          <t>个人技术计时升级</t>
        </is>
      </c>
      <c r="J194" s="57">
        <f>'个人技术逐级'!M194</f>
        <v/>
      </c>
      <c r="K194" s="35">
        <f>J194/3600</f>
        <v/>
      </c>
      <c r="L194" s="35">
        <f>SUMIFS($K$5:$K$692,$A$5:$A$692,A194,$B$5:$B$692,B194,$F$5:$F$692,"&lt;="&amp;F194)</f>
        <v/>
      </c>
      <c r="M194" s="58">
        <f>'个人技术逐级'!N194</f>
        <v/>
      </c>
      <c r="N194" s="58">
        <f>SUMIFS($M$5:$M$692,$A$5:$A$692,A194,$B$5:$B$692,B194,$F$5:$F$692,"&lt;="&amp;F194)</f>
        <v/>
      </c>
      <c r="O194" s="58">
        <f>0</f>
        <v/>
      </c>
      <c r="P194" s="58">
        <f>SUMIFS($O$5:$O$692,$A$5:$A$692,A194,$B$5:$B$692,B194,$F$5:$F$692,"&lt;="&amp;F194)</f>
        <v/>
      </c>
      <c r="Q194" s="58">
        <f>0</f>
        <v/>
      </c>
      <c r="R194" s="58">
        <f>SUMIFS($Q$5:$Q$692,$A$5:$A$692,A194,$B$5:$B$692,B194,$F$5:$F$692,"&lt;="&amp;F194)</f>
        <v/>
      </c>
      <c r="S194" s="58">
        <f>0</f>
        <v/>
      </c>
      <c r="T194" s="58">
        <f>SUMIFS($S$5:$S$692,$A$5:$A$692,A194,$B$5:$B$692,B194,$F$5:$F$692,"&lt;="&amp;F194)</f>
        <v/>
      </c>
      <c r="U194" s="52">
        <f>'个人技术逐级'!O194</f>
        <v/>
      </c>
    </row>
    <row r="195">
      <c r="A195" s="33" t="inlineStr">
        <is>
          <t>个人技术</t>
        </is>
      </c>
      <c r="B195" s="33">
        <f>'个人技术逐级'!A195</f>
        <v/>
      </c>
      <c r="C195" s="33">
        <f>'个人技术逐级'!B195</f>
        <v/>
      </c>
      <c r="D195" s="33">
        <f>'个人技术逐级'!C195</f>
        <v/>
      </c>
      <c r="E195">
        <f>'个人技术逐级'!D195</f>
        <v/>
      </c>
      <c r="F195" s="54">
        <f>'个人技术逐级'!E195</f>
        <v/>
      </c>
      <c r="G195" s="55">
        <f>'个人技术逐级'!F195</f>
        <v/>
      </c>
      <c r="H195" s="56">
        <f>'个人技术逐级'!G195</f>
        <v/>
      </c>
      <c r="I195" s="52" t="inlineStr">
        <is>
          <t>个人技术计时升级</t>
        </is>
      </c>
      <c r="J195" s="57">
        <f>'个人技术逐级'!M195</f>
        <v/>
      </c>
      <c r="K195" s="35">
        <f>J195/3600</f>
        <v/>
      </c>
      <c r="L195" s="35">
        <f>SUMIFS($K$5:$K$692,$A$5:$A$692,A195,$B$5:$B$692,B195,$F$5:$F$692,"&lt;="&amp;F195)</f>
        <v/>
      </c>
      <c r="M195" s="58">
        <f>'个人技术逐级'!N195</f>
        <v/>
      </c>
      <c r="N195" s="58">
        <f>SUMIFS($M$5:$M$692,$A$5:$A$692,A195,$B$5:$B$692,B195,$F$5:$F$692,"&lt;="&amp;F195)</f>
        <v/>
      </c>
      <c r="O195" s="58">
        <f>0</f>
        <v/>
      </c>
      <c r="P195" s="58">
        <f>SUMIFS($O$5:$O$692,$A$5:$A$692,A195,$B$5:$B$692,B195,$F$5:$F$692,"&lt;="&amp;F195)</f>
        <v/>
      </c>
      <c r="Q195" s="58">
        <f>0</f>
        <v/>
      </c>
      <c r="R195" s="58">
        <f>SUMIFS($Q$5:$Q$692,$A$5:$A$692,A195,$B$5:$B$692,B195,$F$5:$F$692,"&lt;="&amp;F195)</f>
        <v/>
      </c>
      <c r="S195" s="58">
        <f>0</f>
        <v/>
      </c>
      <c r="T195" s="58">
        <f>SUMIFS($S$5:$S$692,$A$5:$A$692,A195,$B$5:$B$692,B195,$F$5:$F$692,"&lt;="&amp;F195)</f>
        <v/>
      </c>
      <c r="U195" s="52">
        <f>'个人技术逐级'!O195</f>
        <v/>
      </c>
    </row>
    <row r="196">
      <c r="A196" s="33" t="inlineStr">
        <is>
          <t>个人技术</t>
        </is>
      </c>
      <c r="B196" s="33">
        <f>'个人技术逐级'!A196</f>
        <v/>
      </c>
      <c r="C196" s="33">
        <f>'个人技术逐级'!B196</f>
        <v/>
      </c>
      <c r="D196" s="33">
        <f>'个人技术逐级'!C196</f>
        <v/>
      </c>
      <c r="E196">
        <f>'个人技术逐级'!D196</f>
        <v/>
      </c>
      <c r="F196" s="54">
        <f>'个人技术逐级'!E196</f>
        <v/>
      </c>
      <c r="G196" s="55">
        <f>'个人技术逐级'!F196</f>
        <v/>
      </c>
      <c r="H196" s="56">
        <f>'个人技术逐级'!G196</f>
        <v/>
      </c>
      <c r="I196" s="52" t="inlineStr">
        <is>
          <t>个人技术计时升级</t>
        </is>
      </c>
      <c r="J196" s="57">
        <f>'个人技术逐级'!M196</f>
        <v/>
      </c>
      <c r="K196" s="35">
        <f>J196/3600</f>
        <v/>
      </c>
      <c r="L196" s="35">
        <f>SUMIFS($K$5:$K$692,$A$5:$A$692,A196,$B$5:$B$692,B196,$F$5:$F$692,"&lt;="&amp;F196)</f>
        <v/>
      </c>
      <c r="M196" s="58">
        <f>'个人技术逐级'!N196</f>
        <v/>
      </c>
      <c r="N196" s="58">
        <f>SUMIFS($M$5:$M$692,$A$5:$A$692,A196,$B$5:$B$692,B196,$F$5:$F$692,"&lt;="&amp;F196)</f>
        <v/>
      </c>
      <c r="O196" s="58">
        <f>0</f>
        <v/>
      </c>
      <c r="P196" s="58">
        <f>SUMIFS($O$5:$O$692,$A$5:$A$692,A196,$B$5:$B$692,B196,$F$5:$F$692,"&lt;="&amp;F196)</f>
        <v/>
      </c>
      <c r="Q196" s="58">
        <f>0</f>
        <v/>
      </c>
      <c r="R196" s="58">
        <f>SUMIFS($Q$5:$Q$692,$A$5:$A$692,A196,$B$5:$B$692,B196,$F$5:$F$692,"&lt;="&amp;F196)</f>
        <v/>
      </c>
      <c r="S196" s="58">
        <f>0</f>
        <v/>
      </c>
      <c r="T196" s="58">
        <f>SUMIFS($S$5:$S$692,$A$5:$A$692,A196,$B$5:$B$692,B196,$F$5:$F$692,"&lt;="&amp;F196)</f>
        <v/>
      </c>
      <c r="U196" s="52">
        <f>'个人技术逐级'!O196</f>
        <v/>
      </c>
    </row>
    <row r="197">
      <c r="A197" s="33" t="inlineStr">
        <is>
          <t>个人技术</t>
        </is>
      </c>
      <c r="B197" s="33">
        <f>'个人技术逐级'!A197</f>
        <v/>
      </c>
      <c r="C197" s="33">
        <f>'个人技术逐级'!B197</f>
        <v/>
      </c>
      <c r="D197" s="33">
        <f>'个人技术逐级'!C197</f>
        <v/>
      </c>
      <c r="E197">
        <f>'个人技术逐级'!D197</f>
        <v/>
      </c>
      <c r="F197" s="54">
        <f>'个人技术逐级'!E197</f>
        <v/>
      </c>
      <c r="G197" s="55">
        <f>'个人技术逐级'!F197</f>
        <v/>
      </c>
      <c r="H197" s="56">
        <f>'个人技术逐级'!G197</f>
        <v/>
      </c>
      <c r="I197" s="52" t="inlineStr">
        <is>
          <t>个人技术计时升级</t>
        </is>
      </c>
      <c r="J197" s="57">
        <f>'个人技术逐级'!M197</f>
        <v/>
      </c>
      <c r="K197" s="35">
        <f>J197/3600</f>
        <v/>
      </c>
      <c r="L197" s="35">
        <f>SUMIFS($K$5:$K$692,$A$5:$A$692,A197,$B$5:$B$692,B197,$F$5:$F$692,"&lt;="&amp;F197)</f>
        <v/>
      </c>
      <c r="M197" s="58">
        <f>'个人技术逐级'!N197</f>
        <v/>
      </c>
      <c r="N197" s="58">
        <f>SUMIFS($M$5:$M$692,$A$5:$A$692,A197,$B$5:$B$692,B197,$F$5:$F$692,"&lt;="&amp;F197)</f>
        <v/>
      </c>
      <c r="O197" s="58">
        <f>0</f>
        <v/>
      </c>
      <c r="P197" s="58">
        <f>SUMIFS($O$5:$O$692,$A$5:$A$692,A197,$B$5:$B$692,B197,$F$5:$F$692,"&lt;="&amp;F197)</f>
        <v/>
      </c>
      <c r="Q197" s="58">
        <f>0</f>
        <v/>
      </c>
      <c r="R197" s="58">
        <f>SUMIFS($Q$5:$Q$692,$A$5:$A$692,A197,$B$5:$B$692,B197,$F$5:$F$692,"&lt;="&amp;F197)</f>
        <v/>
      </c>
      <c r="S197" s="58">
        <f>0</f>
        <v/>
      </c>
      <c r="T197" s="58">
        <f>SUMIFS($S$5:$S$692,$A$5:$A$692,A197,$B$5:$B$692,B197,$F$5:$F$692,"&lt;="&amp;F197)</f>
        <v/>
      </c>
      <c r="U197" s="52">
        <f>'个人技术逐级'!O197</f>
        <v/>
      </c>
    </row>
    <row r="198">
      <c r="A198" s="33" t="inlineStr">
        <is>
          <t>个人技术</t>
        </is>
      </c>
      <c r="B198" s="33">
        <f>'个人技术逐级'!A198</f>
        <v/>
      </c>
      <c r="C198" s="33">
        <f>'个人技术逐级'!B198</f>
        <v/>
      </c>
      <c r="D198" s="33">
        <f>'个人技术逐级'!C198</f>
        <v/>
      </c>
      <c r="E198">
        <f>'个人技术逐级'!D198</f>
        <v/>
      </c>
      <c r="F198" s="54">
        <f>'个人技术逐级'!E198</f>
        <v/>
      </c>
      <c r="G198" s="55">
        <f>'个人技术逐级'!F198</f>
        <v/>
      </c>
      <c r="H198" s="56">
        <f>'个人技术逐级'!G198</f>
        <v/>
      </c>
      <c r="I198" s="52" t="inlineStr">
        <is>
          <t>个人技术计时升级</t>
        </is>
      </c>
      <c r="J198" s="57">
        <f>'个人技术逐级'!M198</f>
        <v/>
      </c>
      <c r="K198" s="35">
        <f>J198/3600</f>
        <v/>
      </c>
      <c r="L198" s="35">
        <f>SUMIFS($K$5:$K$692,$A$5:$A$692,A198,$B$5:$B$692,B198,$F$5:$F$692,"&lt;="&amp;F198)</f>
        <v/>
      </c>
      <c r="M198" s="58">
        <f>'个人技术逐级'!N198</f>
        <v/>
      </c>
      <c r="N198" s="58">
        <f>SUMIFS($M$5:$M$692,$A$5:$A$692,A198,$B$5:$B$692,B198,$F$5:$F$692,"&lt;="&amp;F198)</f>
        <v/>
      </c>
      <c r="O198" s="58">
        <f>0</f>
        <v/>
      </c>
      <c r="P198" s="58">
        <f>SUMIFS($O$5:$O$692,$A$5:$A$692,A198,$B$5:$B$692,B198,$F$5:$F$692,"&lt;="&amp;F198)</f>
        <v/>
      </c>
      <c r="Q198" s="58">
        <f>0</f>
        <v/>
      </c>
      <c r="R198" s="58">
        <f>SUMIFS($Q$5:$Q$692,$A$5:$A$692,A198,$B$5:$B$692,B198,$F$5:$F$692,"&lt;="&amp;F198)</f>
        <v/>
      </c>
      <c r="S198" s="58">
        <f>0</f>
        <v/>
      </c>
      <c r="T198" s="58">
        <f>SUMIFS($S$5:$S$692,$A$5:$A$692,A198,$B$5:$B$692,B198,$F$5:$F$692,"&lt;="&amp;F198)</f>
        <v/>
      </c>
      <c r="U198" s="52">
        <f>'个人技术逐级'!O198</f>
        <v/>
      </c>
    </row>
    <row r="199">
      <c r="A199" s="33" t="inlineStr">
        <is>
          <t>个人技术</t>
        </is>
      </c>
      <c r="B199" s="33">
        <f>'个人技术逐级'!A199</f>
        <v/>
      </c>
      <c r="C199" s="33">
        <f>'个人技术逐级'!B199</f>
        <v/>
      </c>
      <c r="D199" s="33">
        <f>'个人技术逐级'!C199</f>
        <v/>
      </c>
      <c r="E199">
        <f>'个人技术逐级'!D199</f>
        <v/>
      </c>
      <c r="F199" s="54">
        <f>'个人技术逐级'!E199</f>
        <v/>
      </c>
      <c r="G199" s="55">
        <f>'个人技术逐级'!F199</f>
        <v/>
      </c>
      <c r="H199" s="56">
        <f>'个人技术逐级'!G199</f>
        <v/>
      </c>
      <c r="I199" s="52" t="inlineStr">
        <is>
          <t>个人技术计时升级</t>
        </is>
      </c>
      <c r="J199" s="57">
        <f>'个人技术逐级'!M199</f>
        <v/>
      </c>
      <c r="K199" s="35">
        <f>J199/3600</f>
        <v/>
      </c>
      <c r="L199" s="35">
        <f>SUMIFS($K$5:$K$692,$A$5:$A$692,A199,$B$5:$B$692,B199,$F$5:$F$692,"&lt;="&amp;F199)</f>
        <v/>
      </c>
      <c r="M199" s="58">
        <f>'个人技术逐级'!N199</f>
        <v/>
      </c>
      <c r="N199" s="58">
        <f>SUMIFS($M$5:$M$692,$A$5:$A$692,A199,$B$5:$B$692,B199,$F$5:$F$692,"&lt;="&amp;F199)</f>
        <v/>
      </c>
      <c r="O199" s="58">
        <f>0</f>
        <v/>
      </c>
      <c r="P199" s="58">
        <f>SUMIFS($O$5:$O$692,$A$5:$A$692,A199,$B$5:$B$692,B199,$F$5:$F$692,"&lt;="&amp;F199)</f>
        <v/>
      </c>
      <c r="Q199" s="58">
        <f>0</f>
        <v/>
      </c>
      <c r="R199" s="58">
        <f>SUMIFS($Q$5:$Q$692,$A$5:$A$692,A199,$B$5:$B$692,B199,$F$5:$F$692,"&lt;="&amp;F199)</f>
        <v/>
      </c>
      <c r="S199" s="58">
        <f>0</f>
        <v/>
      </c>
      <c r="T199" s="58">
        <f>SUMIFS($S$5:$S$692,$A$5:$A$692,A199,$B$5:$B$692,B199,$F$5:$F$692,"&lt;="&amp;F199)</f>
        <v/>
      </c>
      <c r="U199" s="52">
        <f>'个人技术逐级'!O199</f>
        <v/>
      </c>
    </row>
    <row r="200">
      <c r="A200" s="33" t="inlineStr">
        <is>
          <t>个人技术</t>
        </is>
      </c>
      <c r="B200" s="33">
        <f>'个人技术逐级'!A200</f>
        <v/>
      </c>
      <c r="C200" s="33">
        <f>'个人技术逐级'!B200</f>
        <v/>
      </c>
      <c r="D200" s="33">
        <f>'个人技术逐级'!C200</f>
        <v/>
      </c>
      <c r="E200">
        <f>'个人技术逐级'!D200</f>
        <v/>
      </c>
      <c r="F200" s="54">
        <f>'个人技术逐级'!E200</f>
        <v/>
      </c>
      <c r="G200" s="55">
        <f>'个人技术逐级'!F200</f>
        <v/>
      </c>
      <c r="H200" s="56">
        <f>'个人技术逐级'!G200</f>
        <v/>
      </c>
      <c r="I200" s="52" t="inlineStr">
        <is>
          <t>个人技术计时升级</t>
        </is>
      </c>
      <c r="J200" s="57">
        <f>'个人技术逐级'!M200</f>
        <v/>
      </c>
      <c r="K200" s="35">
        <f>J200/3600</f>
        <v/>
      </c>
      <c r="L200" s="35">
        <f>SUMIFS($K$5:$K$692,$A$5:$A$692,A200,$B$5:$B$692,B200,$F$5:$F$692,"&lt;="&amp;F200)</f>
        <v/>
      </c>
      <c r="M200" s="58">
        <f>'个人技术逐级'!N200</f>
        <v/>
      </c>
      <c r="N200" s="58">
        <f>SUMIFS($M$5:$M$692,$A$5:$A$692,A200,$B$5:$B$692,B200,$F$5:$F$692,"&lt;="&amp;F200)</f>
        <v/>
      </c>
      <c r="O200" s="58">
        <f>0</f>
        <v/>
      </c>
      <c r="P200" s="58">
        <f>SUMIFS($O$5:$O$692,$A$5:$A$692,A200,$B$5:$B$692,B200,$F$5:$F$692,"&lt;="&amp;F200)</f>
        <v/>
      </c>
      <c r="Q200" s="58">
        <f>0</f>
        <v/>
      </c>
      <c r="R200" s="58">
        <f>SUMIFS($Q$5:$Q$692,$A$5:$A$692,A200,$B$5:$B$692,B200,$F$5:$F$692,"&lt;="&amp;F200)</f>
        <v/>
      </c>
      <c r="S200" s="58">
        <f>0</f>
        <v/>
      </c>
      <c r="T200" s="58">
        <f>SUMIFS($S$5:$S$692,$A$5:$A$692,A200,$B$5:$B$692,B200,$F$5:$F$692,"&lt;="&amp;F200)</f>
        <v/>
      </c>
      <c r="U200" s="52">
        <f>'个人技术逐级'!O200</f>
        <v/>
      </c>
    </row>
    <row r="201">
      <c r="A201" s="33" t="inlineStr">
        <is>
          <t>个人技术</t>
        </is>
      </c>
      <c r="B201" s="33">
        <f>'个人技术逐级'!A201</f>
        <v/>
      </c>
      <c r="C201" s="33">
        <f>'个人技术逐级'!B201</f>
        <v/>
      </c>
      <c r="D201" s="33">
        <f>'个人技术逐级'!C201</f>
        <v/>
      </c>
      <c r="E201">
        <f>'个人技术逐级'!D201</f>
        <v/>
      </c>
      <c r="F201" s="54">
        <f>'个人技术逐级'!E201</f>
        <v/>
      </c>
      <c r="G201" s="55">
        <f>'个人技术逐级'!F201</f>
        <v/>
      </c>
      <c r="H201" s="56">
        <f>'个人技术逐级'!G201</f>
        <v/>
      </c>
      <c r="I201" s="52" t="inlineStr">
        <is>
          <t>个人技术计时升级</t>
        </is>
      </c>
      <c r="J201" s="57">
        <f>'个人技术逐级'!M201</f>
        <v/>
      </c>
      <c r="K201" s="35">
        <f>J201/3600</f>
        <v/>
      </c>
      <c r="L201" s="35">
        <f>SUMIFS($K$5:$K$692,$A$5:$A$692,A201,$B$5:$B$692,B201,$F$5:$F$692,"&lt;="&amp;F201)</f>
        <v/>
      </c>
      <c r="M201" s="58">
        <f>'个人技术逐级'!N201</f>
        <v/>
      </c>
      <c r="N201" s="58">
        <f>SUMIFS($M$5:$M$692,$A$5:$A$692,A201,$B$5:$B$692,B201,$F$5:$F$692,"&lt;="&amp;F201)</f>
        <v/>
      </c>
      <c r="O201" s="58">
        <f>0</f>
        <v/>
      </c>
      <c r="P201" s="58">
        <f>SUMIFS($O$5:$O$692,$A$5:$A$692,A201,$B$5:$B$692,B201,$F$5:$F$692,"&lt;="&amp;F201)</f>
        <v/>
      </c>
      <c r="Q201" s="58">
        <f>0</f>
        <v/>
      </c>
      <c r="R201" s="58">
        <f>SUMIFS($Q$5:$Q$692,$A$5:$A$692,A201,$B$5:$B$692,B201,$F$5:$F$692,"&lt;="&amp;F201)</f>
        <v/>
      </c>
      <c r="S201" s="58">
        <f>0</f>
        <v/>
      </c>
      <c r="T201" s="58">
        <f>SUMIFS($S$5:$S$692,$A$5:$A$692,A201,$B$5:$B$692,B201,$F$5:$F$692,"&lt;="&amp;F201)</f>
        <v/>
      </c>
      <c r="U201" s="52">
        <f>'个人技术逐级'!O201</f>
        <v/>
      </c>
    </row>
    <row r="202">
      <c r="A202" s="33" t="inlineStr">
        <is>
          <t>个人技术</t>
        </is>
      </c>
      <c r="B202" s="33">
        <f>'个人技术逐级'!A202</f>
        <v/>
      </c>
      <c r="C202" s="33">
        <f>'个人技术逐级'!B202</f>
        <v/>
      </c>
      <c r="D202" s="33">
        <f>'个人技术逐级'!C202</f>
        <v/>
      </c>
      <c r="E202">
        <f>'个人技术逐级'!D202</f>
        <v/>
      </c>
      <c r="F202" s="54">
        <f>'个人技术逐级'!E202</f>
        <v/>
      </c>
      <c r="G202" s="55">
        <f>'个人技术逐级'!F202</f>
        <v/>
      </c>
      <c r="H202" s="56">
        <f>'个人技术逐级'!G202</f>
        <v/>
      </c>
      <c r="I202" s="52" t="inlineStr">
        <is>
          <t>个人技术计时升级</t>
        </is>
      </c>
      <c r="J202" s="57">
        <f>'个人技术逐级'!M202</f>
        <v/>
      </c>
      <c r="K202" s="35">
        <f>J202/3600</f>
        <v/>
      </c>
      <c r="L202" s="35">
        <f>SUMIFS($K$5:$K$692,$A$5:$A$692,A202,$B$5:$B$692,B202,$F$5:$F$692,"&lt;="&amp;F202)</f>
        <v/>
      </c>
      <c r="M202" s="58">
        <f>'个人技术逐级'!N202</f>
        <v/>
      </c>
      <c r="N202" s="58">
        <f>SUMIFS($M$5:$M$692,$A$5:$A$692,A202,$B$5:$B$692,B202,$F$5:$F$692,"&lt;="&amp;F202)</f>
        <v/>
      </c>
      <c r="O202" s="58">
        <f>0</f>
        <v/>
      </c>
      <c r="P202" s="58">
        <f>SUMIFS($O$5:$O$692,$A$5:$A$692,A202,$B$5:$B$692,B202,$F$5:$F$692,"&lt;="&amp;F202)</f>
        <v/>
      </c>
      <c r="Q202" s="58">
        <f>0</f>
        <v/>
      </c>
      <c r="R202" s="58">
        <f>SUMIFS($Q$5:$Q$692,$A$5:$A$692,A202,$B$5:$B$692,B202,$F$5:$F$692,"&lt;="&amp;F202)</f>
        <v/>
      </c>
      <c r="S202" s="58">
        <f>0</f>
        <v/>
      </c>
      <c r="T202" s="58">
        <f>SUMIFS($S$5:$S$692,$A$5:$A$692,A202,$B$5:$B$692,B202,$F$5:$F$692,"&lt;="&amp;F202)</f>
        <v/>
      </c>
      <c r="U202" s="52">
        <f>'个人技术逐级'!O202</f>
        <v/>
      </c>
    </row>
    <row r="203">
      <c r="A203" s="33" t="inlineStr">
        <is>
          <t>个人技术</t>
        </is>
      </c>
      <c r="B203" s="33">
        <f>'个人技术逐级'!A203</f>
        <v/>
      </c>
      <c r="C203" s="33">
        <f>'个人技术逐级'!B203</f>
        <v/>
      </c>
      <c r="D203" s="33">
        <f>'个人技术逐级'!C203</f>
        <v/>
      </c>
      <c r="E203">
        <f>'个人技术逐级'!D203</f>
        <v/>
      </c>
      <c r="F203" s="54">
        <f>'个人技术逐级'!E203</f>
        <v/>
      </c>
      <c r="G203" s="55">
        <f>'个人技术逐级'!F203</f>
        <v/>
      </c>
      <c r="H203" s="56">
        <f>'个人技术逐级'!G203</f>
        <v/>
      </c>
      <c r="I203" s="52" t="inlineStr">
        <is>
          <t>个人技术计时升级</t>
        </is>
      </c>
      <c r="J203" s="57">
        <f>'个人技术逐级'!M203</f>
        <v/>
      </c>
      <c r="K203" s="35">
        <f>J203/3600</f>
        <v/>
      </c>
      <c r="L203" s="35">
        <f>SUMIFS($K$5:$K$692,$A$5:$A$692,A203,$B$5:$B$692,B203,$F$5:$F$692,"&lt;="&amp;F203)</f>
        <v/>
      </c>
      <c r="M203" s="58">
        <f>'个人技术逐级'!N203</f>
        <v/>
      </c>
      <c r="N203" s="58">
        <f>SUMIFS($M$5:$M$692,$A$5:$A$692,A203,$B$5:$B$692,B203,$F$5:$F$692,"&lt;="&amp;F203)</f>
        <v/>
      </c>
      <c r="O203" s="58">
        <f>0</f>
        <v/>
      </c>
      <c r="P203" s="58">
        <f>SUMIFS($O$5:$O$692,$A$5:$A$692,A203,$B$5:$B$692,B203,$F$5:$F$692,"&lt;="&amp;F203)</f>
        <v/>
      </c>
      <c r="Q203" s="58">
        <f>0</f>
        <v/>
      </c>
      <c r="R203" s="58">
        <f>SUMIFS($Q$5:$Q$692,$A$5:$A$692,A203,$B$5:$B$692,B203,$F$5:$F$692,"&lt;="&amp;F203)</f>
        <v/>
      </c>
      <c r="S203" s="58">
        <f>0</f>
        <v/>
      </c>
      <c r="T203" s="58">
        <f>SUMIFS($S$5:$S$692,$A$5:$A$692,A203,$B$5:$B$692,B203,$F$5:$F$692,"&lt;="&amp;F203)</f>
        <v/>
      </c>
      <c r="U203" s="52">
        <f>'个人技术逐级'!O203</f>
        <v/>
      </c>
    </row>
    <row r="204">
      <c r="A204" s="33" t="inlineStr">
        <is>
          <t>个人技术</t>
        </is>
      </c>
      <c r="B204" s="33">
        <f>'个人技术逐级'!A204</f>
        <v/>
      </c>
      <c r="C204" s="33">
        <f>'个人技术逐级'!B204</f>
        <v/>
      </c>
      <c r="D204" s="33">
        <f>'个人技术逐级'!C204</f>
        <v/>
      </c>
      <c r="E204">
        <f>'个人技术逐级'!D204</f>
        <v/>
      </c>
      <c r="F204" s="54">
        <f>'个人技术逐级'!E204</f>
        <v/>
      </c>
      <c r="G204" s="55">
        <f>'个人技术逐级'!F204</f>
        <v/>
      </c>
      <c r="H204" s="56">
        <f>'个人技术逐级'!G204</f>
        <v/>
      </c>
      <c r="I204" s="52" t="inlineStr">
        <is>
          <t>个人技术计时升级</t>
        </is>
      </c>
      <c r="J204" s="57">
        <f>'个人技术逐级'!M204</f>
        <v/>
      </c>
      <c r="K204" s="35">
        <f>J204/3600</f>
        <v/>
      </c>
      <c r="L204" s="35">
        <f>SUMIFS($K$5:$K$692,$A$5:$A$692,A204,$B$5:$B$692,B204,$F$5:$F$692,"&lt;="&amp;F204)</f>
        <v/>
      </c>
      <c r="M204" s="58">
        <f>'个人技术逐级'!N204</f>
        <v/>
      </c>
      <c r="N204" s="58">
        <f>SUMIFS($M$5:$M$692,$A$5:$A$692,A204,$B$5:$B$692,B204,$F$5:$F$692,"&lt;="&amp;F204)</f>
        <v/>
      </c>
      <c r="O204" s="58">
        <f>0</f>
        <v/>
      </c>
      <c r="P204" s="58">
        <f>SUMIFS($O$5:$O$692,$A$5:$A$692,A204,$B$5:$B$692,B204,$F$5:$F$692,"&lt;="&amp;F204)</f>
        <v/>
      </c>
      <c r="Q204" s="58">
        <f>0</f>
        <v/>
      </c>
      <c r="R204" s="58">
        <f>SUMIFS($Q$5:$Q$692,$A$5:$A$692,A204,$B$5:$B$692,B204,$F$5:$F$692,"&lt;="&amp;F204)</f>
        <v/>
      </c>
      <c r="S204" s="58">
        <f>0</f>
        <v/>
      </c>
      <c r="T204" s="58">
        <f>SUMIFS($S$5:$S$692,$A$5:$A$692,A204,$B$5:$B$692,B204,$F$5:$F$692,"&lt;="&amp;F204)</f>
        <v/>
      </c>
      <c r="U204" s="52">
        <f>'个人技术逐级'!O204</f>
        <v/>
      </c>
    </row>
    <row r="205">
      <c r="A205" s="33" t="inlineStr">
        <is>
          <t>个人技术</t>
        </is>
      </c>
      <c r="B205" s="33">
        <f>'个人技术逐级'!A205</f>
        <v/>
      </c>
      <c r="C205" s="33">
        <f>'个人技术逐级'!B205</f>
        <v/>
      </c>
      <c r="D205" s="33">
        <f>'个人技术逐级'!C205</f>
        <v/>
      </c>
      <c r="E205">
        <f>'个人技术逐级'!D205</f>
        <v/>
      </c>
      <c r="F205" s="54">
        <f>'个人技术逐级'!E205</f>
        <v/>
      </c>
      <c r="G205" s="55">
        <f>'个人技术逐级'!F205</f>
        <v/>
      </c>
      <c r="H205" s="56">
        <f>'个人技术逐级'!G205</f>
        <v/>
      </c>
      <c r="I205" s="52" t="inlineStr">
        <is>
          <t>个人技术计时升级</t>
        </is>
      </c>
      <c r="J205" s="57">
        <f>'个人技术逐级'!M205</f>
        <v/>
      </c>
      <c r="K205" s="35">
        <f>J205/3600</f>
        <v/>
      </c>
      <c r="L205" s="35">
        <f>SUMIFS($K$5:$K$692,$A$5:$A$692,A205,$B$5:$B$692,B205,$F$5:$F$692,"&lt;="&amp;F205)</f>
        <v/>
      </c>
      <c r="M205" s="58">
        <f>'个人技术逐级'!N205</f>
        <v/>
      </c>
      <c r="N205" s="58">
        <f>SUMIFS($M$5:$M$692,$A$5:$A$692,A205,$B$5:$B$692,B205,$F$5:$F$692,"&lt;="&amp;F205)</f>
        <v/>
      </c>
      <c r="O205" s="58">
        <f>0</f>
        <v/>
      </c>
      <c r="P205" s="58">
        <f>SUMIFS($O$5:$O$692,$A$5:$A$692,A205,$B$5:$B$692,B205,$F$5:$F$692,"&lt;="&amp;F205)</f>
        <v/>
      </c>
      <c r="Q205" s="58">
        <f>0</f>
        <v/>
      </c>
      <c r="R205" s="58">
        <f>SUMIFS($Q$5:$Q$692,$A$5:$A$692,A205,$B$5:$B$692,B205,$F$5:$F$692,"&lt;="&amp;F205)</f>
        <v/>
      </c>
      <c r="S205" s="58">
        <f>0</f>
        <v/>
      </c>
      <c r="T205" s="58">
        <f>SUMIFS($S$5:$S$692,$A$5:$A$692,A205,$B$5:$B$692,B205,$F$5:$F$692,"&lt;="&amp;F205)</f>
        <v/>
      </c>
      <c r="U205" s="52">
        <f>'个人技术逐级'!O205</f>
        <v/>
      </c>
    </row>
    <row r="206">
      <c r="A206" s="33" t="inlineStr">
        <is>
          <t>个人技术</t>
        </is>
      </c>
      <c r="B206" s="33">
        <f>'个人技术逐级'!A206</f>
        <v/>
      </c>
      <c r="C206" s="33">
        <f>'个人技术逐级'!B206</f>
        <v/>
      </c>
      <c r="D206" s="33">
        <f>'个人技术逐级'!C206</f>
        <v/>
      </c>
      <c r="E206">
        <f>'个人技术逐级'!D206</f>
        <v/>
      </c>
      <c r="F206" s="54">
        <f>'个人技术逐级'!E206</f>
        <v/>
      </c>
      <c r="G206" s="55">
        <f>'个人技术逐级'!F206</f>
        <v/>
      </c>
      <c r="H206" s="56">
        <f>'个人技术逐级'!G206</f>
        <v/>
      </c>
      <c r="I206" s="52" t="inlineStr">
        <is>
          <t>个人技术计时升级</t>
        </is>
      </c>
      <c r="J206" s="57">
        <f>'个人技术逐级'!M206</f>
        <v/>
      </c>
      <c r="K206" s="35">
        <f>J206/3600</f>
        <v/>
      </c>
      <c r="L206" s="35">
        <f>SUMIFS($K$5:$K$692,$A$5:$A$692,A206,$B$5:$B$692,B206,$F$5:$F$692,"&lt;="&amp;F206)</f>
        <v/>
      </c>
      <c r="M206" s="58">
        <f>'个人技术逐级'!N206</f>
        <v/>
      </c>
      <c r="N206" s="58">
        <f>SUMIFS($M$5:$M$692,$A$5:$A$692,A206,$B$5:$B$692,B206,$F$5:$F$692,"&lt;="&amp;F206)</f>
        <v/>
      </c>
      <c r="O206" s="58">
        <f>0</f>
        <v/>
      </c>
      <c r="P206" s="58">
        <f>SUMIFS($O$5:$O$692,$A$5:$A$692,A206,$B$5:$B$692,B206,$F$5:$F$692,"&lt;="&amp;F206)</f>
        <v/>
      </c>
      <c r="Q206" s="58">
        <f>0</f>
        <v/>
      </c>
      <c r="R206" s="58">
        <f>SUMIFS($Q$5:$Q$692,$A$5:$A$692,A206,$B$5:$B$692,B206,$F$5:$F$692,"&lt;="&amp;F206)</f>
        <v/>
      </c>
      <c r="S206" s="58">
        <f>0</f>
        <v/>
      </c>
      <c r="T206" s="58">
        <f>SUMIFS($S$5:$S$692,$A$5:$A$692,A206,$B$5:$B$692,B206,$F$5:$F$692,"&lt;="&amp;F206)</f>
        <v/>
      </c>
      <c r="U206" s="52">
        <f>'个人技术逐级'!O206</f>
        <v/>
      </c>
    </row>
    <row r="207">
      <c r="A207" s="33" t="inlineStr">
        <is>
          <t>个人技术</t>
        </is>
      </c>
      <c r="B207" s="33">
        <f>'个人技术逐级'!A207</f>
        <v/>
      </c>
      <c r="C207" s="33">
        <f>'个人技术逐级'!B207</f>
        <v/>
      </c>
      <c r="D207" s="33">
        <f>'个人技术逐级'!C207</f>
        <v/>
      </c>
      <c r="E207">
        <f>'个人技术逐级'!D207</f>
        <v/>
      </c>
      <c r="F207" s="54">
        <f>'个人技术逐级'!E207</f>
        <v/>
      </c>
      <c r="G207" s="55">
        <f>'个人技术逐级'!F207</f>
        <v/>
      </c>
      <c r="H207" s="56">
        <f>'个人技术逐级'!G207</f>
        <v/>
      </c>
      <c r="I207" s="52" t="inlineStr">
        <is>
          <t>个人技术计时升级</t>
        </is>
      </c>
      <c r="J207" s="57">
        <f>'个人技术逐级'!M207</f>
        <v/>
      </c>
      <c r="K207" s="35">
        <f>J207/3600</f>
        <v/>
      </c>
      <c r="L207" s="35">
        <f>SUMIFS($K$5:$K$692,$A$5:$A$692,A207,$B$5:$B$692,B207,$F$5:$F$692,"&lt;="&amp;F207)</f>
        <v/>
      </c>
      <c r="M207" s="58">
        <f>'个人技术逐级'!N207</f>
        <v/>
      </c>
      <c r="N207" s="58">
        <f>SUMIFS($M$5:$M$692,$A$5:$A$692,A207,$B$5:$B$692,B207,$F$5:$F$692,"&lt;="&amp;F207)</f>
        <v/>
      </c>
      <c r="O207" s="58">
        <f>0</f>
        <v/>
      </c>
      <c r="P207" s="58">
        <f>SUMIFS($O$5:$O$692,$A$5:$A$692,A207,$B$5:$B$692,B207,$F$5:$F$692,"&lt;="&amp;F207)</f>
        <v/>
      </c>
      <c r="Q207" s="58">
        <f>0</f>
        <v/>
      </c>
      <c r="R207" s="58">
        <f>SUMIFS($Q$5:$Q$692,$A$5:$A$692,A207,$B$5:$B$692,B207,$F$5:$F$692,"&lt;="&amp;F207)</f>
        <v/>
      </c>
      <c r="S207" s="58">
        <f>0</f>
        <v/>
      </c>
      <c r="T207" s="58">
        <f>SUMIFS($S$5:$S$692,$A$5:$A$692,A207,$B$5:$B$692,B207,$F$5:$F$692,"&lt;="&amp;F207)</f>
        <v/>
      </c>
      <c r="U207" s="52">
        <f>'个人技术逐级'!O207</f>
        <v/>
      </c>
    </row>
    <row r="208">
      <c r="A208" s="33" t="inlineStr">
        <is>
          <t>个人技术</t>
        </is>
      </c>
      <c r="B208" s="33">
        <f>'个人技术逐级'!A208</f>
        <v/>
      </c>
      <c r="C208" s="33">
        <f>'个人技术逐级'!B208</f>
        <v/>
      </c>
      <c r="D208" s="33">
        <f>'个人技术逐级'!C208</f>
        <v/>
      </c>
      <c r="E208">
        <f>'个人技术逐级'!D208</f>
        <v/>
      </c>
      <c r="F208" s="54">
        <f>'个人技术逐级'!E208</f>
        <v/>
      </c>
      <c r="G208" s="55">
        <f>'个人技术逐级'!F208</f>
        <v/>
      </c>
      <c r="H208" s="56">
        <f>'个人技术逐级'!G208</f>
        <v/>
      </c>
      <c r="I208" s="52" t="inlineStr">
        <is>
          <t>个人技术计时升级</t>
        </is>
      </c>
      <c r="J208" s="57">
        <f>'个人技术逐级'!M208</f>
        <v/>
      </c>
      <c r="K208" s="35">
        <f>J208/3600</f>
        <v/>
      </c>
      <c r="L208" s="35">
        <f>SUMIFS($K$5:$K$692,$A$5:$A$692,A208,$B$5:$B$692,B208,$F$5:$F$692,"&lt;="&amp;F208)</f>
        <v/>
      </c>
      <c r="M208" s="58">
        <f>'个人技术逐级'!N208</f>
        <v/>
      </c>
      <c r="N208" s="58">
        <f>SUMIFS($M$5:$M$692,$A$5:$A$692,A208,$B$5:$B$692,B208,$F$5:$F$692,"&lt;="&amp;F208)</f>
        <v/>
      </c>
      <c r="O208" s="58">
        <f>0</f>
        <v/>
      </c>
      <c r="P208" s="58">
        <f>SUMIFS($O$5:$O$692,$A$5:$A$692,A208,$B$5:$B$692,B208,$F$5:$F$692,"&lt;="&amp;F208)</f>
        <v/>
      </c>
      <c r="Q208" s="58">
        <f>0</f>
        <v/>
      </c>
      <c r="R208" s="58">
        <f>SUMIFS($Q$5:$Q$692,$A$5:$A$692,A208,$B$5:$B$692,B208,$F$5:$F$692,"&lt;="&amp;F208)</f>
        <v/>
      </c>
      <c r="S208" s="58">
        <f>0</f>
        <v/>
      </c>
      <c r="T208" s="58">
        <f>SUMIFS($S$5:$S$692,$A$5:$A$692,A208,$B$5:$B$692,B208,$F$5:$F$692,"&lt;="&amp;F208)</f>
        <v/>
      </c>
      <c r="U208" s="52">
        <f>'个人技术逐级'!O208</f>
        <v/>
      </c>
    </row>
    <row r="209">
      <c r="A209" s="33" t="inlineStr">
        <is>
          <t>个人技术</t>
        </is>
      </c>
      <c r="B209" s="33">
        <f>'个人技术逐级'!A209</f>
        <v/>
      </c>
      <c r="C209" s="33">
        <f>'个人技术逐级'!B209</f>
        <v/>
      </c>
      <c r="D209" s="33">
        <f>'个人技术逐级'!C209</f>
        <v/>
      </c>
      <c r="E209">
        <f>'个人技术逐级'!D209</f>
        <v/>
      </c>
      <c r="F209" s="54">
        <f>'个人技术逐级'!E209</f>
        <v/>
      </c>
      <c r="G209" s="55">
        <f>'个人技术逐级'!F209</f>
        <v/>
      </c>
      <c r="H209" s="56">
        <f>'个人技术逐级'!G209</f>
        <v/>
      </c>
      <c r="I209" s="52" t="inlineStr">
        <is>
          <t>个人技术计时升级</t>
        </is>
      </c>
      <c r="J209" s="57">
        <f>'个人技术逐级'!M209</f>
        <v/>
      </c>
      <c r="K209" s="35">
        <f>J209/3600</f>
        <v/>
      </c>
      <c r="L209" s="35">
        <f>SUMIFS($K$5:$K$692,$A$5:$A$692,A209,$B$5:$B$692,B209,$F$5:$F$692,"&lt;="&amp;F209)</f>
        <v/>
      </c>
      <c r="M209" s="58">
        <f>'个人技术逐级'!N209</f>
        <v/>
      </c>
      <c r="N209" s="58">
        <f>SUMIFS($M$5:$M$692,$A$5:$A$692,A209,$B$5:$B$692,B209,$F$5:$F$692,"&lt;="&amp;F209)</f>
        <v/>
      </c>
      <c r="O209" s="58">
        <f>0</f>
        <v/>
      </c>
      <c r="P209" s="58">
        <f>SUMIFS($O$5:$O$692,$A$5:$A$692,A209,$B$5:$B$692,B209,$F$5:$F$692,"&lt;="&amp;F209)</f>
        <v/>
      </c>
      <c r="Q209" s="58">
        <f>0</f>
        <v/>
      </c>
      <c r="R209" s="58">
        <f>SUMIFS($Q$5:$Q$692,$A$5:$A$692,A209,$B$5:$B$692,B209,$F$5:$F$692,"&lt;="&amp;F209)</f>
        <v/>
      </c>
      <c r="S209" s="58">
        <f>0</f>
        <v/>
      </c>
      <c r="T209" s="58">
        <f>SUMIFS($S$5:$S$692,$A$5:$A$692,A209,$B$5:$B$692,B209,$F$5:$F$692,"&lt;="&amp;F209)</f>
        <v/>
      </c>
      <c r="U209" s="52">
        <f>'个人技术逐级'!O209</f>
        <v/>
      </c>
    </row>
    <row r="210">
      <c r="A210" s="33" t="inlineStr">
        <is>
          <t>个人技术</t>
        </is>
      </c>
      <c r="B210" s="33">
        <f>'个人技术逐级'!A210</f>
        <v/>
      </c>
      <c r="C210" s="33">
        <f>'个人技术逐级'!B210</f>
        <v/>
      </c>
      <c r="D210" s="33">
        <f>'个人技术逐级'!C210</f>
        <v/>
      </c>
      <c r="E210">
        <f>'个人技术逐级'!D210</f>
        <v/>
      </c>
      <c r="F210" s="54">
        <f>'个人技术逐级'!E210</f>
        <v/>
      </c>
      <c r="G210" s="55">
        <f>'个人技术逐级'!F210</f>
        <v/>
      </c>
      <c r="H210" s="56">
        <f>'个人技术逐级'!G210</f>
        <v/>
      </c>
      <c r="I210" s="52" t="inlineStr">
        <is>
          <t>个人技术计时升级</t>
        </is>
      </c>
      <c r="J210" s="57">
        <f>'个人技术逐级'!M210</f>
        <v/>
      </c>
      <c r="K210" s="35">
        <f>J210/3600</f>
        <v/>
      </c>
      <c r="L210" s="35">
        <f>SUMIFS($K$5:$K$692,$A$5:$A$692,A210,$B$5:$B$692,B210,$F$5:$F$692,"&lt;="&amp;F210)</f>
        <v/>
      </c>
      <c r="M210" s="58">
        <f>'个人技术逐级'!N210</f>
        <v/>
      </c>
      <c r="N210" s="58">
        <f>SUMIFS($M$5:$M$692,$A$5:$A$692,A210,$B$5:$B$692,B210,$F$5:$F$692,"&lt;="&amp;F210)</f>
        <v/>
      </c>
      <c r="O210" s="58">
        <f>0</f>
        <v/>
      </c>
      <c r="P210" s="58">
        <f>SUMIFS($O$5:$O$692,$A$5:$A$692,A210,$B$5:$B$692,B210,$F$5:$F$692,"&lt;="&amp;F210)</f>
        <v/>
      </c>
      <c r="Q210" s="58">
        <f>0</f>
        <v/>
      </c>
      <c r="R210" s="58">
        <f>SUMIFS($Q$5:$Q$692,$A$5:$A$692,A210,$B$5:$B$692,B210,$F$5:$F$692,"&lt;="&amp;F210)</f>
        <v/>
      </c>
      <c r="S210" s="58">
        <f>0</f>
        <v/>
      </c>
      <c r="T210" s="58">
        <f>SUMIFS($S$5:$S$692,$A$5:$A$692,A210,$B$5:$B$692,B210,$F$5:$F$692,"&lt;="&amp;F210)</f>
        <v/>
      </c>
      <c r="U210" s="52">
        <f>'个人技术逐级'!O210</f>
        <v/>
      </c>
    </row>
    <row r="211">
      <c r="A211" s="33" t="inlineStr">
        <is>
          <t>个人技术</t>
        </is>
      </c>
      <c r="B211" s="33">
        <f>'个人技术逐级'!A211</f>
        <v/>
      </c>
      <c r="C211" s="33">
        <f>'个人技术逐级'!B211</f>
        <v/>
      </c>
      <c r="D211" s="33">
        <f>'个人技术逐级'!C211</f>
        <v/>
      </c>
      <c r="E211">
        <f>'个人技术逐级'!D211</f>
        <v/>
      </c>
      <c r="F211" s="54">
        <f>'个人技术逐级'!E211</f>
        <v/>
      </c>
      <c r="G211" s="55">
        <f>'个人技术逐级'!F211</f>
        <v/>
      </c>
      <c r="H211" s="56">
        <f>'个人技术逐级'!G211</f>
        <v/>
      </c>
      <c r="I211" s="52" t="inlineStr">
        <is>
          <t>个人技术计时升级</t>
        </is>
      </c>
      <c r="J211" s="57">
        <f>'个人技术逐级'!M211</f>
        <v/>
      </c>
      <c r="K211" s="35">
        <f>J211/3600</f>
        <v/>
      </c>
      <c r="L211" s="35">
        <f>SUMIFS($K$5:$K$692,$A$5:$A$692,A211,$B$5:$B$692,B211,$F$5:$F$692,"&lt;="&amp;F211)</f>
        <v/>
      </c>
      <c r="M211" s="58">
        <f>'个人技术逐级'!N211</f>
        <v/>
      </c>
      <c r="N211" s="58">
        <f>SUMIFS($M$5:$M$692,$A$5:$A$692,A211,$B$5:$B$692,B211,$F$5:$F$692,"&lt;="&amp;F211)</f>
        <v/>
      </c>
      <c r="O211" s="58">
        <f>0</f>
        <v/>
      </c>
      <c r="P211" s="58">
        <f>SUMIFS($O$5:$O$692,$A$5:$A$692,A211,$B$5:$B$692,B211,$F$5:$F$692,"&lt;="&amp;F211)</f>
        <v/>
      </c>
      <c r="Q211" s="58">
        <f>0</f>
        <v/>
      </c>
      <c r="R211" s="58">
        <f>SUMIFS($Q$5:$Q$692,$A$5:$A$692,A211,$B$5:$B$692,B211,$F$5:$F$692,"&lt;="&amp;F211)</f>
        <v/>
      </c>
      <c r="S211" s="58">
        <f>0</f>
        <v/>
      </c>
      <c r="T211" s="58">
        <f>SUMIFS($S$5:$S$692,$A$5:$A$692,A211,$B$5:$B$692,B211,$F$5:$F$692,"&lt;="&amp;F211)</f>
        <v/>
      </c>
      <c r="U211" s="52">
        <f>'个人技术逐级'!O211</f>
        <v/>
      </c>
    </row>
    <row r="212">
      <c r="A212" s="33" t="inlineStr">
        <is>
          <t>个人技术</t>
        </is>
      </c>
      <c r="B212" s="33">
        <f>'个人技术逐级'!A212</f>
        <v/>
      </c>
      <c r="C212" s="33">
        <f>'个人技术逐级'!B212</f>
        <v/>
      </c>
      <c r="D212" s="33">
        <f>'个人技术逐级'!C212</f>
        <v/>
      </c>
      <c r="E212">
        <f>'个人技术逐级'!D212</f>
        <v/>
      </c>
      <c r="F212" s="54">
        <f>'个人技术逐级'!E212</f>
        <v/>
      </c>
      <c r="G212" s="55">
        <f>'个人技术逐级'!F212</f>
        <v/>
      </c>
      <c r="H212" s="56">
        <f>'个人技术逐级'!G212</f>
        <v/>
      </c>
      <c r="I212" s="52" t="inlineStr">
        <is>
          <t>个人技术计时升级</t>
        </is>
      </c>
      <c r="J212" s="57">
        <f>'个人技术逐级'!M212</f>
        <v/>
      </c>
      <c r="K212" s="35">
        <f>J212/3600</f>
        <v/>
      </c>
      <c r="L212" s="35">
        <f>SUMIFS($K$5:$K$692,$A$5:$A$692,A212,$B$5:$B$692,B212,$F$5:$F$692,"&lt;="&amp;F212)</f>
        <v/>
      </c>
      <c r="M212" s="58">
        <f>'个人技术逐级'!N212</f>
        <v/>
      </c>
      <c r="N212" s="58">
        <f>SUMIFS($M$5:$M$692,$A$5:$A$692,A212,$B$5:$B$692,B212,$F$5:$F$692,"&lt;="&amp;F212)</f>
        <v/>
      </c>
      <c r="O212" s="58">
        <f>0</f>
        <v/>
      </c>
      <c r="P212" s="58">
        <f>SUMIFS($O$5:$O$692,$A$5:$A$692,A212,$B$5:$B$692,B212,$F$5:$F$692,"&lt;="&amp;F212)</f>
        <v/>
      </c>
      <c r="Q212" s="58">
        <f>0</f>
        <v/>
      </c>
      <c r="R212" s="58">
        <f>SUMIFS($Q$5:$Q$692,$A$5:$A$692,A212,$B$5:$B$692,B212,$F$5:$F$692,"&lt;="&amp;F212)</f>
        <v/>
      </c>
      <c r="S212" s="58">
        <f>0</f>
        <v/>
      </c>
      <c r="T212" s="58">
        <f>SUMIFS($S$5:$S$692,$A$5:$A$692,A212,$B$5:$B$692,B212,$F$5:$F$692,"&lt;="&amp;F212)</f>
        <v/>
      </c>
      <c r="U212" s="52">
        <f>'个人技术逐级'!O212</f>
        <v/>
      </c>
    </row>
    <row r="213">
      <c r="A213" s="33" t="inlineStr">
        <is>
          <t>个人技术</t>
        </is>
      </c>
      <c r="B213" s="33">
        <f>'个人技术逐级'!A213</f>
        <v/>
      </c>
      <c r="C213" s="33">
        <f>'个人技术逐级'!B213</f>
        <v/>
      </c>
      <c r="D213" s="33">
        <f>'个人技术逐级'!C213</f>
        <v/>
      </c>
      <c r="E213">
        <f>'个人技术逐级'!D213</f>
        <v/>
      </c>
      <c r="F213" s="54">
        <f>'个人技术逐级'!E213</f>
        <v/>
      </c>
      <c r="G213" s="55">
        <f>'个人技术逐级'!F213</f>
        <v/>
      </c>
      <c r="H213" s="56">
        <f>'个人技术逐级'!G213</f>
        <v/>
      </c>
      <c r="I213" s="52" t="inlineStr">
        <is>
          <t>个人技术计时升级</t>
        </is>
      </c>
      <c r="J213" s="57">
        <f>'个人技术逐级'!M213</f>
        <v/>
      </c>
      <c r="K213" s="35">
        <f>J213/3600</f>
        <v/>
      </c>
      <c r="L213" s="35">
        <f>SUMIFS($K$5:$K$692,$A$5:$A$692,A213,$B$5:$B$692,B213,$F$5:$F$692,"&lt;="&amp;F213)</f>
        <v/>
      </c>
      <c r="M213" s="58">
        <f>'个人技术逐级'!N213</f>
        <v/>
      </c>
      <c r="N213" s="58">
        <f>SUMIFS($M$5:$M$692,$A$5:$A$692,A213,$B$5:$B$692,B213,$F$5:$F$692,"&lt;="&amp;F213)</f>
        <v/>
      </c>
      <c r="O213" s="58">
        <f>0</f>
        <v/>
      </c>
      <c r="P213" s="58">
        <f>SUMIFS($O$5:$O$692,$A$5:$A$692,A213,$B$5:$B$692,B213,$F$5:$F$692,"&lt;="&amp;F213)</f>
        <v/>
      </c>
      <c r="Q213" s="58">
        <f>0</f>
        <v/>
      </c>
      <c r="R213" s="58">
        <f>SUMIFS($Q$5:$Q$692,$A$5:$A$692,A213,$B$5:$B$692,B213,$F$5:$F$692,"&lt;="&amp;F213)</f>
        <v/>
      </c>
      <c r="S213" s="58">
        <f>0</f>
        <v/>
      </c>
      <c r="T213" s="58">
        <f>SUMIFS($S$5:$S$692,$A$5:$A$692,A213,$B$5:$B$692,B213,$F$5:$F$692,"&lt;="&amp;F213)</f>
        <v/>
      </c>
      <c r="U213" s="52">
        <f>'个人技术逐级'!O213</f>
        <v/>
      </c>
    </row>
    <row r="214">
      <c r="A214" s="33" t="inlineStr">
        <is>
          <t>个人技术</t>
        </is>
      </c>
      <c r="B214" s="33">
        <f>'个人技术逐级'!A214</f>
        <v/>
      </c>
      <c r="C214" s="33">
        <f>'个人技术逐级'!B214</f>
        <v/>
      </c>
      <c r="D214" s="33">
        <f>'个人技术逐级'!C214</f>
        <v/>
      </c>
      <c r="E214">
        <f>'个人技术逐级'!D214</f>
        <v/>
      </c>
      <c r="F214" s="54">
        <f>'个人技术逐级'!E214</f>
        <v/>
      </c>
      <c r="G214" s="55">
        <f>'个人技术逐级'!F214</f>
        <v/>
      </c>
      <c r="H214" s="56">
        <f>'个人技术逐级'!G214</f>
        <v/>
      </c>
      <c r="I214" s="52" t="inlineStr">
        <is>
          <t>个人技术计时升级</t>
        </is>
      </c>
      <c r="J214" s="57">
        <f>'个人技术逐级'!M214</f>
        <v/>
      </c>
      <c r="K214" s="35">
        <f>J214/3600</f>
        <v/>
      </c>
      <c r="L214" s="35">
        <f>SUMIFS($K$5:$K$692,$A$5:$A$692,A214,$B$5:$B$692,B214,$F$5:$F$692,"&lt;="&amp;F214)</f>
        <v/>
      </c>
      <c r="M214" s="58">
        <f>'个人技术逐级'!N214</f>
        <v/>
      </c>
      <c r="N214" s="58">
        <f>SUMIFS($M$5:$M$692,$A$5:$A$692,A214,$B$5:$B$692,B214,$F$5:$F$692,"&lt;="&amp;F214)</f>
        <v/>
      </c>
      <c r="O214" s="58">
        <f>0</f>
        <v/>
      </c>
      <c r="P214" s="58">
        <f>SUMIFS($O$5:$O$692,$A$5:$A$692,A214,$B$5:$B$692,B214,$F$5:$F$692,"&lt;="&amp;F214)</f>
        <v/>
      </c>
      <c r="Q214" s="58">
        <f>0</f>
        <v/>
      </c>
      <c r="R214" s="58">
        <f>SUMIFS($Q$5:$Q$692,$A$5:$A$692,A214,$B$5:$B$692,B214,$F$5:$F$692,"&lt;="&amp;F214)</f>
        <v/>
      </c>
      <c r="S214" s="58">
        <f>0</f>
        <v/>
      </c>
      <c r="T214" s="58">
        <f>SUMIFS($S$5:$S$692,$A$5:$A$692,A214,$B$5:$B$692,B214,$F$5:$F$692,"&lt;="&amp;F214)</f>
        <v/>
      </c>
      <c r="U214" s="52">
        <f>'个人技术逐级'!O214</f>
        <v/>
      </c>
    </row>
    <row r="215">
      <c r="A215" s="33" t="inlineStr">
        <is>
          <t>个人技术</t>
        </is>
      </c>
      <c r="B215" s="33">
        <f>'个人技术逐级'!A215</f>
        <v/>
      </c>
      <c r="C215" s="33">
        <f>'个人技术逐级'!B215</f>
        <v/>
      </c>
      <c r="D215" s="33">
        <f>'个人技术逐级'!C215</f>
        <v/>
      </c>
      <c r="E215">
        <f>'个人技术逐级'!D215</f>
        <v/>
      </c>
      <c r="F215" s="54">
        <f>'个人技术逐级'!E215</f>
        <v/>
      </c>
      <c r="G215" s="55">
        <f>'个人技术逐级'!F215</f>
        <v/>
      </c>
      <c r="H215" s="56">
        <f>'个人技术逐级'!G215</f>
        <v/>
      </c>
      <c r="I215" s="52" t="inlineStr">
        <is>
          <t>个人技术计时升级</t>
        </is>
      </c>
      <c r="J215" s="57">
        <f>'个人技术逐级'!M215</f>
        <v/>
      </c>
      <c r="K215" s="35">
        <f>J215/3600</f>
        <v/>
      </c>
      <c r="L215" s="35">
        <f>SUMIFS($K$5:$K$692,$A$5:$A$692,A215,$B$5:$B$692,B215,$F$5:$F$692,"&lt;="&amp;F215)</f>
        <v/>
      </c>
      <c r="M215" s="58">
        <f>'个人技术逐级'!N215</f>
        <v/>
      </c>
      <c r="N215" s="58">
        <f>SUMIFS($M$5:$M$692,$A$5:$A$692,A215,$B$5:$B$692,B215,$F$5:$F$692,"&lt;="&amp;F215)</f>
        <v/>
      </c>
      <c r="O215" s="58">
        <f>0</f>
        <v/>
      </c>
      <c r="P215" s="58">
        <f>SUMIFS($O$5:$O$692,$A$5:$A$692,A215,$B$5:$B$692,B215,$F$5:$F$692,"&lt;="&amp;F215)</f>
        <v/>
      </c>
      <c r="Q215" s="58">
        <f>0</f>
        <v/>
      </c>
      <c r="R215" s="58">
        <f>SUMIFS($Q$5:$Q$692,$A$5:$A$692,A215,$B$5:$B$692,B215,$F$5:$F$692,"&lt;="&amp;F215)</f>
        <v/>
      </c>
      <c r="S215" s="58">
        <f>0</f>
        <v/>
      </c>
      <c r="T215" s="58">
        <f>SUMIFS($S$5:$S$692,$A$5:$A$692,A215,$B$5:$B$692,B215,$F$5:$F$692,"&lt;="&amp;F215)</f>
        <v/>
      </c>
      <c r="U215" s="52">
        <f>'个人技术逐级'!O215</f>
        <v/>
      </c>
    </row>
    <row r="216">
      <c r="A216" s="33" t="inlineStr">
        <is>
          <t>个人技术</t>
        </is>
      </c>
      <c r="B216" s="33">
        <f>'个人技术逐级'!A216</f>
        <v/>
      </c>
      <c r="C216" s="33">
        <f>'个人技术逐级'!B216</f>
        <v/>
      </c>
      <c r="D216" s="33">
        <f>'个人技术逐级'!C216</f>
        <v/>
      </c>
      <c r="E216">
        <f>'个人技术逐级'!D216</f>
        <v/>
      </c>
      <c r="F216" s="54">
        <f>'个人技术逐级'!E216</f>
        <v/>
      </c>
      <c r="G216" s="55">
        <f>'个人技术逐级'!F216</f>
        <v/>
      </c>
      <c r="H216" s="56">
        <f>'个人技术逐级'!G216</f>
        <v/>
      </c>
      <c r="I216" s="52" t="inlineStr">
        <is>
          <t>个人技术计时升级</t>
        </is>
      </c>
      <c r="J216" s="57">
        <f>'个人技术逐级'!M216</f>
        <v/>
      </c>
      <c r="K216" s="35">
        <f>J216/3600</f>
        <v/>
      </c>
      <c r="L216" s="35">
        <f>SUMIFS($K$5:$K$692,$A$5:$A$692,A216,$B$5:$B$692,B216,$F$5:$F$692,"&lt;="&amp;F216)</f>
        <v/>
      </c>
      <c r="M216" s="58">
        <f>'个人技术逐级'!N216</f>
        <v/>
      </c>
      <c r="N216" s="58">
        <f>SUMIFS($M$5:$M$692,$A$5:$A$692,A216,$B$5:$B$692,B216,$F$5:$F$692,"&lt;="&amp;F216)</f>
        <v/>
      </c>
      <c r="O216" s="58">
        <f>0</f>
        <v/>
      </c>
      <c r="P216" s="58">
        <f>SUMIFS($O$5:$O$692,$A$5:$A$692,A216,$B$5:$B$692,B216,$F$5:$F$692,"&lt;="&amp;F216)</f>
        <v/>
      </c>
      <c r="Q216" s="58">
        <f>0</f>
        <v/>
      </c>
      <c r="R216" s="58">
        <f>SUMIFS($Q$5:$Q$692,$A$5:$A$692,A216,$B$5:$B$692,B216,$F$5:$F$692,"&lt;="&amp;F216)</f>
        <v/>
      </c>
      <c r="S216" s="58">
        <f>0</f>
        <v/>
      </c>
      <c r="T216" s="58">
        <f>SUMIFS($S$5:$S$692,$A$5:$A$692,A216,$B$5:$B$692,B216,$F$5:$F$692,"&lt;="&amp;F216)</f>
        <v/>
      </c>
      <c r="U216" s="52">
        <f>'个人技术逐级'!O216</f>
        <v/>
      </c>
    </row>
    <row r="217">
      <c r="A217" s="33" t="inlineStr">
        <is>
          <t>个人技术</t>
        </is>
      </c>
      <c r="B217" s="33">
        <f>'个人技术逐级'!A217</f>
        <v/>
      </c>
      <c r="C217" s="33">
        <f>'个人技术逐级'!B217</f>
        <v/>
      </c>
      <c r="D217" s="33">
        <f>'个人技术逐级'!C217</f>
        <v/>
      </c>
      <c r="E217">
        <f>'个人技术逐级'!D217</f>
        <v/>
      </c>
      <c r="F217" s="54">
        <f>'个人技术逐级'!E217</f>
        <v/>
      </c>
      <c r="G217" s="55">
        <f>'个人技术逐级'!F217</f>
        <v/>
      </c>
      <c r="H217" s="56">
        <f>'个人技术逐级'!G217</f>
        <v/>
      </c>
      <c r="I217" s="52" t="inlineStr">
        <is>
          <t>个人技术计时升级</t>
        </is>
      </c>
      <c r="J217" s="57">
        <f>'个人技术逐级'!M217</f>
        <v/>
      </c>
      <c r="K217" s="35">
        <f>J217/3600</f>
        <v/>
      </c>
      <c r="L217" s="35">
        <f>SUMIFS($K$5:$K$692,$A$5:$A$692,A217,$B$5:$B$692,B217,$F$5:$F$692,"&lt;="&amp;F217)</f>
        <v/>
      </c>
      <c r="M217" s="58">
        <f>'个人技术逐级'!N217</f>
        <v/>
      </c>
      <c r="N217" s="58">
        <f>SUMIFS($M$5:$M$692,$A$5:$A$692,A217,$B$5:$B$692,B217,$F$5:$F$692,"&lt;="&amp;F217)</f>
        <v/>
      </c>
      <c r="O217" s="58">
        <f>0</f>
        <v/>
      </c>
      <c r="P217" s="58">
        <f>SUMIFS($O$5:$O$692,$A$5:$A$692,A217,$B$5:$B$692,B217,$F$5:$F$692,"&lt;="&amp;F217)</f>
        <v/>
      </c>
      <c r="Q217" s="58">
        <f>0</f>
        <v/>
      </c>
      <c r="R217" s="58">
        <f>SUMIFS($Q$5:$Q$692,$A$5:$A$692,A217,$B$5:$B$692,B217,$F$5:$F$692,"&lt;="&amp;F217)</f>
        <v/>
      </c>
      <c r="S217" s="58">
        <f>0</f>
        <v/>
      </c>
      <c r="T217" s="58">
        <f>SUMIFS($S$5:$S$692,$A$5:$A$692,A217,$B$5:$B$692,B217,$F$5:$F$692,"&lt;="&amp;F217)</f>
        <v/>
      </c>
      <c r="U217" s="52">
        <f>'个人技术逐级'!O217</f>
        <v/>
      </c>
    </row>
    <row r="218">
      <c r="A218" s="33" t="inlineStr">
        <is>
          <t>个人技术</t>
        </is>
      </c>
      <c r="B218" s="33">
        <f>'个人技术逐级'!A218</f>
        <v/>
      </c>
      <c r="C218" s="33">
        <f>'个人技术逐级'!B218</f>
        <v/>
      </c>
      <c r="D218" s="33">
        <f>'个人技术逐级'!C218</f>
        <v/>
      </c>
      <c r="E218">
        <f>'个人技术逐级'!D218</f>
        <v/>
      </c>
      <c r="F218" s="54">
        <f>'个人技术逐级'!E218</f>
        <v/>
      </c>
      <c r="G218" s="55">
        <f>'个人技术逐级'!F218</f>
        <v/>
      </c>
      <c r="H218" s="56">
        <f>'个人技术逐级'!G218</f>
        <v/>
      </c>
      <c r="I218" s="52" t="inlineStr">
        <is>
          <t>个人技术计时升级</t>
        </is>
      </c>
      <c r="J218" s="57">
        <f>'个人技术逐级'!M218</f>
        <v/>
      </c>
      <c r="K218" s="35">
        <f>J218/3600</f>
        <v/>
      </c>
      <c r="L218" s="35">
        <f>SUMIFS($K$5:$K$692,$A$5:$A$692,A218,$B$5:$B$692,B218,$F$5:$F$692,"&lt;="&amp;F218)</f>
        <v/>
      </c>
      <c r="M218" s="58">
        <f>'个人技术逐级'!N218</f>
        <v/>
      </c>
      <c r="N218" s="58">
        <f>SUMIFS($M$5:$M$692,$A$5:$A$692,A218,$B$5:$B$692,B218,$F$5:$F$692,"&lt;="&amp;F218)</f>
        <v/>
      </c>
      <c r="O218" s="58">
        <f>0</f>
        <v/>
      </c>
      <c r="P218" s="58">
        <f>SUMIFS($O$5:$O$692,$A$5:$A$692,A218,$B$5:$B$692,B218,$F$5:$F$692,"&lt;="&amp;F218)</f>
        <v/>
      </c>
      <c r="Q218" s="58">
        <f>0</f>
        <v/>
      </c>
      <c r="R218" s="58">
        <f>SUMIFS($Q$5:$Q$692,$A$5:$A$692,A218,$B$5:$B$692,B218,$F$5:$F$692,"&lt;="&amp;F218)</f>
        <v/>
      </c>
      <c r="S218" s="58">
        <f>0</f>
        <v/>
      </c>
      <c r="T218" s="58">
        <f>SUMIFS($S$5:$S$692,$A$5:$A$692,A218,$B$5:$B$692,B218,$F$5:$F$692,"&lt;="&amp;F218)</f>
        <v/>
      </c>
      <c r="U218" s="52">
        <f>'个人技术逐级'!O218</f>
        <v/>
      </c>
    </row>
    <row r="219">
      <c r="A219" s="33" t="inlineStr">
        <is>
          <t>个人技术</t>
        </is>
      </c>
      <c r="B219" s="33">
        <f>'个人技术逐级'!A219</f>
        <v/>
      </c>
      <c r="C219" s="33">
        <f>'个人技术逐级'!B219</f>
        <v/>
      </c>
      <c r="D219" s="33">
        <f>'个人技术逐级'!C219</f>
        <v/>
      </c>
      <c r="E219">
        <f>'个人技术逐级'!D219</f>
        <v/>
      </c>
      <c r="F219" s="54">
        <f>'个人技术逐级'!E219</f>
        <v/>
      </c>
      <c r="G219" s="55">
        <f>'个人技术逐级'!F219</f>
        <v/>
      </c>
      <c r="H219" s="56">
        <f>'个人技术逐级'!G219</f>
        <v/>
      </c>
      <c r="I219" s="52" t="inlineStr">
        <is>
          <t>个人技术计时升级</t>
        </is>
      </c>
      <c r="J219" s="57">
        <f>'个人技术逐级'!M219</f>
        <v/>
      </c>
      <c r="K219" s="35">
        <f>J219/3600</f>
        <v/>
      </c>
      <c r="L219" s="35">
        <f>SUMIFS($K$5:$K$692,$A$5:$A$692,A219,$B$5:$B$692,B219,$F$5:$F$692,"&lt;="&amp;F219)</f>
        <v/>
      </c>
      <c r="M219" s="58">
        <f>'个人技术逐级'!N219</f>
        <v/>
      </c>
      <c r="N219" s="58">
        <f>SUMIFS($M$5:$M$692,$A$5:$A$692,A219,$B$5:$B$692,B219,$F$5:$F$692,"&lt;="&amp;F219)</f>
        <v/>
      </c>
      <c r="O219" s="58">
        <f>0</f>
        <v/>
      </c>
      <c r="P219" s="58">
        <f>SUMIFS($O$5:$O$692,$A$5:$A$692,A219,$B$5:$B$692,B219,$F$5:$F$692,"&lt;="&amp;F219)</f>
        <v/>
      </c>
      <c r="Q219" s="58">
        <f>0</f>
        <v/>
      </c>
      <c r="R219" s="58">
        <f>SUMIFS($Q$5:$Q$692,$A$5:$A$692,A219,$B$5:$B$692,B219,$F$5:$F$692,"&lt;="&amp;F219)</f>
        <v/>
      </c>
      <c r="S219" s="58">
        <f>0</f>
        <v/>
      </c>
      <c r="T219" s="58">
        <f>SUMIFS($S$5:$S$692,$A$5:$A$692,A219,$B$5:$B$692,B219,$F$5:$F$692,"&lt;="&amp;F219)</f>
        <v/>
      </c>
      <c r="U219" s="52">
        <f>'个人技术逐级'!O219</f>
        <v/>
      </c>
    </row>
    <row r="220">
      <c r="A220" s="33" t="inlineStr">
        <is>
          <t>个人技术</t>
        </is>
      </c>
      <c r="B220" s="33">
        <f>'个人技术逐级'!A220</f>
        <v/>
      </c>
      <c r="C220" s="33">
        <f>'个人技术逐级'!B220</f>
        <v/>
      </c>
      <c r="D220" s="33">
        <f>'个人技术逐级'!C220</f>
        <v/>
      </c>
      <c r="E220">
        <f>'个人技术逐级'!D220</f>
        <v/>
      </c>
      <c r="F220" s="54">
        <f>'个人技术逐级'!E220</f>
        <v/>
      </c>
      <c r="G220" s="55">
        <f>'个人技术逐级'!F220</f>
        <v/>
      </c>
      <c r="H220" s="56">
        <f>'个人技术逐级'!G220</f>
        <v/>
      </c>
      <c r="I220" s="52" t="inlineStr">
        <is>
          <t>个人技术计时升级</t>
        </is>
      </c>
      <c r="J220" s="57">
        <f>'个人技术逐级'!M220</f>
        <v/>
      </c>
      <c r="K220" s="35">
        <f>J220/3600</f>
        <v/>
      </c>
      <c r="L220" s="35">
        <f>SUMIFS($K$5:$K$692,$A$5:$A$692,A220,$B$5:$B$692,B220,$F$5:$F$692,"&lt;="&amp;F220)</f>
        <v/>
      </c>
      <c r="M220" s="58">
        <f>'个人技术逐级'!N220</f>
        <v/>
      </c>
      <c r="N220" s="58">
        <f>SUMIFS($M$5:$M$692,$A$5:$A$692,A220,$B$5:$B$692,B220,$F$5:$F$692,"&lt;="&amp;F220)</f>
        <v/>
      </c>
      <c r="O220" s="58">
        <f>0</f>
        <v/>
      </c>
      <c r="P220" s="58">
        <f>SUMIFS($O$5:$O$692,$A$5:$A$692,A220,$B$5:$B$692,B220,$F$5:$F$692,"&lt;="&amp;F220)</f>
        <v/>
      </c>
      <c r="Q220" s="58">
        <f>0</f>
        <v/>
      </c>
      <c r="R220" s="58">
        <f>SUMIFS($Q$5:$Q$692,$A$5:$A$692,A220,$B$5:$B$692,B220,$F$5:$F$692,"&lt;="&amp;F220)</f>
        <v/>
      </c>
      <c r="S220" s="58">
        <f>0</f>
        <v/>
      </c>
      <c r="T220" s="58">
        <f>SUMIFS($S$5:$S$692,$A$5:$A$692,A220,$B$5:$B$692,B220,$F$5:$F$692,"&lt;="&amp;F220)</f>
        <v/>
      </c>
      <c r="U220" s="52">
        <f>'个人技术逐级'!O220</f>
        <v/>
      </c>
    </row>
    <row r="221">
      <c r="A221" s="33" t="inlineStr">
        <is>
          <t>个人技术</t>
        </is>
      </c>
      <c r="B221" s="33">
        <f>'个人技术逐级'!A221</f>
        <v/>
      </c>
      <c r="C221" s="33">
        <f>'个人技术逐级'!B221</f>
        <v/>
      </c>
      <c r="D221" s="33">
        <f>'个人技术逐级'!C221</f>
        <v/>
      </c>
      <c r="E221">
        <f>'个人技术逐级'!D221</f>
        <v/>
      </c>
      <c r="F221" s="54">
        <f>'个人技术逐级'!E221</f>
        <v/>
      </c>
      <c r="G221" s="55">
        <f>'个人技术逐级'!F221</f>
        <v/>
      </c>
      <c r="H221" s="56">
        <f>'个人技术逐级'!G221</f>
        <v/>
      </c>
      <c r="I221" s="52" t="inlineStr">
        <is>
          <t>个人技术计时升级</t>
        </is>
      </c>
      <c r="J221" s="57">
        <f>'个人技术逐级'!M221</f>
        <v/>
      </c>
      <c r="K221" s="35">
        <f>J221/3600</f>
        <v/>
      </c>
      <c r="L221" s="35">
        <f>SUMIFS($K$5:$K$692,$A$5:$A$692,A221,$B$5:$B$692,B221,$F$5:$F$692,"&lt;="&amp;F221)</f>
        <v/>
      </c>
      <c r="M221" s="58">
        <f>'个人技术逐级'!N221</f>
        <v/>
      </c>
      <c r="N221" s="58">
        <f>SUMIFS($M$5:$M$692,$A$5:$A$692,A221,$B$5:$B$692,B221,$F$5:$F$692,"&lt;="&amp;F221)</f>
        <v/>
      </c>
      <c r="O221" s="58">
        <f>0</f>
        <v/>
      </c>
      <c r="P221" s="58">
        <f>SUMIFS($O$5:$O$692,$A$5:$A$692,A221,$B$5:$B$692,B221,$F$5:$F$692,"&lt;="&amp;F221)</f>
        <v/>
      </c>
      <c r="Q221" s="58">
        <f>0</f>
        <v/>
      </c>
      <c r="R221" s="58">
        <f>SUMIFS($Q$5:$Q$692,$A$5:$A$692,A221,$B$5:$B$692,B221,$F$5:$F$692,"&lt;="&amp;F221)</f>
        <v/>
      </c>
      <c r="S221" s="58">
        <f>0</f>
        <v/>
      </c>
      <c r="T221" s="58">
        <f>SUMIFS($S$5:$S$692,$A$5:$A$692,A221,$B$5:$B$692,B221,$F$5:$F$692,"&lt;="&amp;F221)</f>
        <v/>
      </c>
      <c r="U221" s="52">
        <f>'个人技术逐级'!O221</f>
        <v/>
      </c>
    </row>
    <row r="222">
      <c r="A222" s="33" t="inlineStr">
        <is>
          <t>个人技术</t>
        </is>
      </c>
      <c r="B222" s="33">
        <f>'个人技术逐级'!A222</f>
        <v/>
      </c>
      <c r="C222" s="33">
        <f>'个人技术逐级'!B222</f>
        <v/>
      </c>
      <c r="D222" s="33">
        <f>'个人技术逐级'!C222</f>
        <v/>
      </c>
      <c r="E222">
        <f>'个人技术逐级'!D222</f>
        <v/>
      </c>
      <c r="F222" s="54">
        <f>'个人技术逐级'!E222</f>
        <v/>
      </c>
      <c r="G222" s="55">
        <f>'个人技术逐级'!F222</f>
        <v/>
      </c>
      <c r="H222" s="56">
        <f>'个人技术逐级'!G222</f>
        <v/>
      </c>
      <c r="I222" s="52" t="inlineStr">
        <is>
          <t>个人技术计时升级</t>
        </is>
      </c>
      <c r="J222" s="57">
        <f>'个人技术逐级'!M222</f>
        <v/>
      </c>
      <c r="K222" s="35">
        <f>J222/3600</f>
        <v/>
      </c>
      <c r="L222" s="35">
        <f>SUMIFS($K$5:$K$692,$A$5:$A$692,A222,$B$5:$B$692,B222,$F$5:$F$692,"&lt;="&amp;F222)</f>
        <v/>
      </c>
      <c r="M222" s="58">
        <f>'个人技术逐级'!N222</f>
        <v/>
      </c>
      <c r="N222" s="58">
        <f>SUMIFS($M$5:$M$692,$A$5:$A$692,A222,$B$5:$B$692,B222,$F$5:$F$692,"&lt;="&amp;F222)</f>
        <v/>
      </c>
      <c r="O222" s="58">
        <f>0</f>
        <v/>
      </c>
      <c r="P222" s="58">
        <f>SUMIFS($O$5:$O$692,$A$5:$A$692,A222,$B$5:$B$692,B222,$F$5:$F$692,"&lt;="&amp;F222)</f>
        <v/>
      </c>
      <c r="Q222" s="58">
        <f>0</f>
        <v/>
      </c>
      <c r="R222" s="58">
        <f>SUMIFS($Q$5:$Q$692,$A$5:$A$692,A222,$B$5:$B$692,B222,$F$5:$F$692,"&lt;="&amp;F222)</f>
        <v/>
      </c>
      <c r="S222" s="58">
        <f>0</f>
        <v/>
      </c>
      <c r="T222" s="58">
        <f>SUMIFS($S$5:$S$692,$A$5:$A$692,A222,$B$5:$B$692,B222,$F$5:$F$692,"&lt;="&amp;F222)</f>
        <v/>
      </c>
      <c r="U222" s="52">
        <f>'个人技术逐级'!O222</f>
        <v/>
      </c>
    </row>
    <row r="223">
      <c r="A223" s="33" t="inlineStr">
        <is>
          <t>个人技术</t>
        </is>
      </c>
      <c r="B223" s="33">
        <f>'个人技术逐级'!A223</f>
        <v/>
      </c>
      <c r="C223" s="33">
        <f>'个人技术逐级'!B223</f>
        <v/>
      </c>
      <c r="D223" s="33">
        <f>'个人技术逐级'!C223</f>
        <v/>
      </c>
      <c r="E223">
        <f>'个人技术逐级'!D223</f>
        <v/>
      </c>
      <c r="F223" s="54">
        <f>'个人技术逐级'!E223</f>
        <v/>
      </c>
      <c r="G223" s="55">
        <f>'个人技术逐级'!F223</f>
        <v/>
      </c>
      <c r="H223" s="56">
        <f>'个人技术逐级'!G223</f>
        <v/>
      </c>
      <c r="I223" s="52" t="inlineStr">
        <is>
          <t>个人技术计时升级</t>
        </is>
      </c>
      <c r="J223" s="57">
        <f>'个人技术逐级'!M223</f>
        <v/>
      </c>
      <c r="K223" s="35">
        <f>J223/3600</f>
        <v/>
      </c>
      <c r="L223" s="35">
        <f>SUMIFS($K$5:$K$692,$A$5:$A$692,A223,$B$5:$B$692,B223,$F$5:$F$692,"&lt;="&amp;F223)</f>
        <v/>
      </c>
      <c r="M223" s="58">
        <f>'个人技术逐级'!N223</f>
        <v/>
      </c>
      <c r="N223" s="58">
        <f>SUMIFS($M$5:$M$692,$A$5:$A$692,A223,$B$5:$B$692,B223,$F$5:$F$692,"&lt;="&amp;F223)</f>
        <v/>
      </c>
      <c r="O223" s="58">
        <f>0</f>
        <v/>
      </c>
      <c r="P223" s="58">
        <f>SUMIFS($O$5:$O$692,$A$5:$A$692,A223,$B$5:$B$692,B223,$F$5:$F$692,"&lt;="&amp;F223)</f>
        <v/>
      </c>
      <c r="Q223" s="58">
        <f>0</f>
        <v/>
      </c>
      <c r="R223" s="58">
        <f>SUMIFS($Q$5:$Q$692,$A$5:$A$692,A223,$B$5:$B$692,B223,$F$5:$F$692,"&lt;="&amp;F223)</f>
        <v/>
      </c>
      <c r="S223" s="58">
        <f>0</f>
        <v/>
      </c>
      <c r="T223" s="58">
        <f>SUMIFS($S$5:$S$692,$A$5:$A$692,A223,$B$5:$B$692,B223,$F$5:$F$692,"&lt;="&amp;F223)</f>
        <v/>
      </c>
      <c r="U223" s="52">
        <f>'个人技术逐级'!O223</f>
        <v/>
      </c>
    </row>
    <row r="224">
      <c r="A224" s="33" t="inlineStr">
        <is>
          <t>个人技术</t>
        </is>
      </c>
      <c r="B224" s="33">
        <f>'个人技术逐级'!A224</f>
        <v/>
      </c>
      <c r="C224" s="33">
        <f>'个人技术逐级'!B224</f>
        <v/>
      </c>
      <c r="D224" s="33">
        <f>'个人技术逐级'!C224</f>
        <v/>
      </c>
      <c r="E224">
        <f>'个人技术逐级'!D224</f>
        <v/>
      </c>
      <c r="F224" s="54">
        <f>'个人技术逐级'!E224</f>
        <v/>
      </c>
      <c r="G224" s="55">
        <f>'个人技术逐级'!F224</f>
        <v/>
      </c>
      <c r="H224" s="56">
        <f>'个人技术逐级'!G224</f>
        <v/>
      </c>
      <c r="I224" s="52" t="inlineStr">
        <is>
          <t>个人技术计时升级</t>
        </is>
      </c>
      <c r="J224" s="57">
        <f>'个人技术逐级'!M224</f>
        <v/>
      </c>
      <c r="K224" s="35">
        <f>J224/3600</f>
        <v/>
      </c>
      <c r="L224" s="35">
        <f>SUMIFS($K$5:$K$692,$A$5:$A$692,A224,$B$5:$B$692,B224,$F$5:$F$692,"&lt;="&amp;F224)</f>
        <v/>
      </c>
      <c r="M224" s="58">
        <f>'个人技术逐级'!N224</f>
        <v/>
      </c>
      <c r="N224" s="58">
        <f>SUMIFS($M$5:$M$692,$A$5:$A$692,A224,$B$5:$B$692,B224,$F$5:$F$692,"&lt;="&amp;F224)</f>
        <v/>
      </c>
      <c r="O224" s="58">
        <f>0</f>
        <v/>
      </c>
      <c r="P224" s="58">
        <f>SUMIFS($O$5:$O$692,$A$5:$A$692,A224,$B$5:$B$692,B224,$F$5:$F$692,"&lt;="&amp;F224)</f>
        <v/>
      </c>
      <c r="Q224" s="58">
        <f>0</f>
        <v/>
      </c>
      <c r="R224" s="58">
        <f>SUMIFS($Q$5:$Q$692,$A$5:$A$692,A224,$B$5:$B$692,B224,$F$5:$F$692,"&lt;="&amp;F224)</f>
        <v/>
      </c>
      <c r="S224" s="58">
        <f>0</f>
        <v/>
      </c>
      <c r="T224" s="58">
        <f>SUMIFS($S$5:$S$692,$A$5:$A$692,A224,$B$5:$B$692,B224,$F$5:$F$692,"&lt;="&amp;F224)</f>
        <v/>
      </c>
      <c r="U224" s="52">
        <f>'个人技术逐级'!O224</f>
        <v/>
      </c>
    </row>
    <row r="225">
      <c r="A225" s="33" t="inlineStr">
        <is>
          <t>个人技术</t>
        </is>
      </c>
      <c r="B225" s="33">
        <f>'个人技术逐级'!A225</f>
        <v/>
      </c>
      <c r="C225" s="33">
        <f>'个人技术逐级'!B225</f>
        <v/>
      </c>
      <c r="D225" s="33">
        <f>'个人技术逐级'!C225</f>
        <v/>
      </c>
      <c r="E225">
        <f>'个人技术逐级'!D225</f>
        <v/>
      </c>
      <c r="F225" s="54">
        <f>'个人技术逐级'!E225</f>
        <v/>
      </c>
      <c r="G225" s="55">
        <f>'个人技术逐级'!F225</f>
        <v/>
      </c>
      <c r="H225" s="56">
        <f>'个人技术逐级'!G225</f>
        <v/>
      </c>
      <c r="I225" s="52" t="inlineStr">
        <is>
          <t>个人技术计时升级</t>
        </is>
      </c>
      <c r="J225" s="57">
        <f>'个人技术逐级'!M225</f>
        <v/>
      </c>
      <c r="K225" s="35">
        <f>J225/3600</f>
        <v/>
      </c>
      <c r="L225" s="35">
        <f>SUMIFS($K$5:$K$692,$A$5:$A$692,A225,$B$5:$B$692,B225,$F$5:$F$692,"&lt;="&amp;F225)</f>
        <v/>
      </c>
      <c r="M225" s="58">
        <f>'个人技术逐级'!N225</f>
        <v/>
      </c>
      <c r="N225" s="58">
        <f>SUMIFS($M$5:$M$692,$A$5:$A$692,A225,$B$5:$B$692,B225,$F$5:$F$692,"&lt;="&amp;F225)</f>
        <v/>
      </c>
      <c r="O225" s="58">
        <f>0</f>
        <v/>
      </c>
      <c r="P225" s="58">
        <f>SUMIFS($O$5:$O$692,$A$5:$A$692,A225,$B$5:$B$692,B225,$F$5:$F$692,"&lt;="&amp;F225)</f>
        <v/>
      </c>
      <c r="Q225" s="58">
        <f>0</f>
        <v/>
      </c>
      <c r="R225" s="58">
        <f>SUMIFS($Q$5:$Q$692,$A$5:$A$692,A225,$B$5:$B$692,B225,$F$5:$F$692,"&lt;="&amp;F225)</f>
        <v/>
      </c>
      <c r="S225" s="58">
        <f>0</f>
        <v/>
      </c>
      <c r="T225" s="58">
        <f>SUMIFS($S$5:$S$692,$A$5:$A$692,A225,$B$5:$B$692,B225,$F$5:$F$692,"&lt;="&amp;F225)</f>
        <v/>
      </c>
      <c r="U225" s="52">
        <f>'个人技术逐级'!O225</f>
        <v/>
      </c>
    </row>
    <row r="226">
      <c r="A226" s="33" t="inlineStr">
        <is>
          <t>个人技术</t>
        </is>
      </c>
      <c r="B226" s="33">
        <f>'个人技术逐级'!A226</f>
        <v/>
      </c>
      <c r="C226" s="33">
        <f>'个人技术逐级'!B226</f>
        <v/>
      </c>
      <c r="D226" s="33">
        <f>'个人技术逐级'!C226</f>
        <v/>
      </c>
      <c r="E226">
        <f>'个人技术逐级'!D226</f>
        <v/>
      </c>
      <c r="F226" s="54">
        <f>'个人技术逐级'!E226</f>
        <v/>
      </c>
      <c r="G226" s="55">
        <f>'个人技术逐级'!F226</f>
        <v/>
      </c>
      <c r="H226" s="56">
        <f>'个人技术逐级'!G226</f>
        <v/>
      </c>
      <c r="I226" s="52" t="inlineStr">
        <is>
          <t>个人技术计时升级</t>
        </is>
      </c>
      <c r="J226" s="57">
        <f>'个人技术逐级'!M226</f>
        <v/>
      </c>
      <c r="K226" s="35">
        <f>J226/3600</f>
        <v/>
      </c>
      <c r="L226" s="35">
        <f>SUMIFS($K$5:$K$692,$A$5:$A$692,A226,$B$5:$B$692,B226,$F$5:$F$692,"&lt;="&amp;F226)</f>
        <v/>
      </c>
      <c r="M226" s="58">
        <f>'个人技术逐级'!N226</f>
        <v/>
      </c>
      <c r="N226" s="58">
        <f>SUMIFS($M$5:$M$692,$A$5:$A$692,A226,$B$5:$B$692,B226,$F$5:$F$692,"&lt;="&amp;F226)</f>
        <v/>
      </c>
      <c r="O226" s="58">
        <f>0</f>
        <v/>
      </c>
      <c r="P226" s="58">
        <f>SUMIFS($O$5:$O$692,$A$5:$A$692,A226,$B$5:$B$692,B226,$F$5:$F$692,"&lt;="&amp;F226)</f>
        <v/>
      </c>
      <c r="Q226" s="58">
        <f>0</f>
        <v/>
      </c>
      <c r="R226" s="58">
        <f>SUMIFS($Q$5:$Q$692,$A$5:$A$692,A226,$B$5:$B$692,B226,$F$5:$F$692,"&lt;="&amp;F226)</f>
        <v/>
      </c>
      <c r="S226" s="58">
        <f>0</f>
        <v/>
      </c>
      <c r="T226" s="58">
        <f>SUMIFS($S$5:$S$692,$A$5:$A$692,A226,$B$5:$B$692,B226,$F$5:$F$692,"&lt;="&amp;F226)</f>
        <v/>
      </c>
      <c r="U226" s="52">
        <f>'个人技术逐级'!O226</f>
        <v/>
      </c>
    </row>
    <row r="227">
      <c r="A227" s="33" t="inlineStr">
        <is>
          <t>个人技术</t>
        </is>
      </c>
      <c r="B227" s="33">
        <f>'个人技术逐级'!A227</f>
        <v/>
      </c>
      <c r="C227" s="33">
        <f>'个人技术逐级'!B227</f>
        <v/>
      </c>
      <c r="D227" s="33">
        <f>'个人技术逐级'!C227</f>
        <v/>
      </c>
      <c r="E227">
        <f>'个人技术逐级'!D227</f>
        <v/>
      </c>
      <c r="F227" s="54">
        <f>'个人技术逐级'!E227</f>
        <v/>
      </c>
      <c r="G227" s="55">
        <f>'个人技术逐级'!F227</f>
        <v/>
      </c>
      <c r="H227" s="56">
        <f>'个人技术逐级'!G227</f>
        <v/>
      </c>
      <c r="I227" s="52" t="inlineStr">
        <is>
          <t>个人技术计时升级</t>
        </is>
      </c>
      <c r="J227" s="57">
        <f>'个人技术逐级'!M227</f>
        <v/>
      </c>
      <c r="K227" s="35">
        <f>J227/3600</f>
        <v/>
      </c>
      <c r="L227" s="35">
        <f>SUMIFS($K$5:$K$692,$A$5:$A$692,A227,$B$5:$B$692,B227,$F$5:$F$692,"&lt;="&amp;F227)</f>
        <v/>
      </c>
      <c r="M227" s="58">
        <f>'个人技术逐级'!N227</f>
        <v/>
      </c>
      <c r="N227" s="58">
        <f>SUMIFS($M$5:$M$692,$A$5:$A$692,A227,$B$5:$B$692,B227,$F$5:$F$692,"&lt;="&amp;F227)</f>
        <v/>
      </c>
      <c r="O227" s="58">
        <f>0</f>
        <v/>
      </c>
      <c r="P227" s="58">
        <f>SUMIFS($O$5:$O$692,$A$5:$A$692,A227,$B$5:$B$692,B227,$F$5:$F$692,"&lt;="&amp;F227)</f>
        <v/>
      </c>
      <c r="Q227" s="58">
        <f>0</f>
        <v/>
      </c>
      <c r="R227" s="58">
        <f>SUMIFS($Q$5:$Q$692,$A$5:$A$692,A227,$B$5:$B$692,B227,$F$5:$F$692,"&lt;="&amp;F227)</f>
        <v/>
      </c>
      <c r="S227" s="58">
        <f>0</f>
        <v/>
      </c>
      <c r="T227" s="58">
        <f>SUMIFS($S$5:$S$692,$A$5:$A$692,A227,$B$5:$B$692,B227,$F$5:$F$692,"&lt;="&amp;F227)</f>
        <v/>
      </c>
      <c r="U227" s="52">
        <f>'个人技术逐级'!O227</f>
        <v/>
      </c>
    </row>
    <row r="228">
      <c r="A228" s="33" t="inlineStr">
        <is>
          <t>个人技术</t>
        </is>
      </c>
      <c r="B228" s="33">
        <f>'个人技术逐级'!A228</f>
        <v/>
      </c>
      <c r="C228" s="33">
        <f>'个人技术逐级'!B228</f>
        <v/>
      </c>
      <c r="D228" s="33">
        <f>'个人技术逐级'!C228</f>
        <v/>
      </c>
      <c r="E228">
        <f>'个人技术逐级'!D228</f>
        <v/>
      </c>
      <c r="F228" s="54">
        <f>'个人技术逐级'!E228</f>
        <v/>
      </c>
      <c r="G228" s="55">
        <f>'个人技术逐级'!F228</f>
        <v/>
      </c>
      <c r="H228" s="56">
        <f>'个人技术逐级'!G228</f>
        <v/>
      </c>
      <c r="I228" s="52" t="inlineStr">
        <is>
          <t>个人技术计时升级</t>
        </is>
      </c>
      <c r="J228" s="57">
        <f>'个人技术逐级'!M228</f>
        <v/>
      </c>
      <c r="K228" s="35">
        <f>J228/3600</f>
        <v/>
      </c>
      <c r="L228" s="35">
        <f>SUMIFS($K$5:$K$692,$A$5:$A$692,A228,$B$5:$B$692,B228,$F$5:$F$692,"&lt;="&amp;F228)</f>
        <v/>
      </c>
      <c r="M228" s="58">
        <f>'个人技术逐级'!N228</f>
        <v/>
      </c>
      <c r="N228" s="58">
        <f>SUMIFS($M$5:$M$692,$A$5:$A$692,A228,$B$5:$B$692,B228,$F$5:$F$692,"&lt;="&amp;F228)</f>
        <v/>
      </c>
      <c r="O228" s="58">
        <f>0</f>
        <v/>
      </c>
      <c r="P228" s="58">
        <f>SUMIFS($O$5:$O$692,$A$5:$A$692,A228,$B$5:$B$692,B228,$F$5:$F$692,"&lt;="&amp;F228)</f>
        <v/>
      </c>
      <c r="Q228" s="58">
        <f>0</f>
        <v/>
      </c>
      <c r="R228" s="58">
        <f>SUMIFS($Q$5:$Q$692,$A$5:$A$692,A228,$B$5:$B$692,B228,$F$5:$F$692,"&lt;="&amp;F228)</f>
        <v/>
      </c>
      <c r="S228" s="58">
        <f>0</f>
        <v/>
      </c>
      <c r="T228" s="58">
        <f>SUMIFS($S$5:$S$692,$A$5:$A$692,A228,$B$5:$B$692,B228,$F$5:$F$692,"&lt;="&amp;F228)</f>
        <v/>
      </c>
      <c r="U228" s="52">
        <f>'个人技术逐级'!O228</f>
        <v/>
      </c>
    </row>
    <row r="229">
      <c r="A229" s="33" t="inlineStr">
        <is>
          <t>个人技术</t>
        </is>
      </c>
      <c r="B229" s="33">
        <f>'个人技术逐级'!A229</f>
        <v/>
      </c>
      <c r="C229" s="33">
        <f>'个人技术逐级'!B229</f>
        <v/>
      </c>
      <c r="D229" s="33">
        <f>'个人技术逐级'!C229</f>
        <v/>
      </c>
      <c r="E229">
        <f>'个人技术逐级'!D229</f>
        <v/>
      </c>
      <c r="F229" s="54">
        <f>'个人技术逐级'!E229</f>
        <v/>
      </c>
      <c r="G229" s="55">
        <f>'个人技术逐级'!F229</f>
        <v/>
      </c>
      <c r="H229" s="56">
        <f>'个人技术逐级'!G229</f>
        <v/>
      </c>
      <c r="I229" s="52" t="inlineStr">
        <is>
          <t>个人技术计时升级</t>
        </is>
      </c>
      <c r="J229" s="57">
        <f>'个人技术逐级'!M229</f>
        <v/>
      </c>
      <c r="K229" s="35">
        <f>J229/3600</f>
        <v/>
      </c>
      <c r="L229" s="35">
        <f>SUMIFS($K$5:$K$692,$A$5:$A$692,A229,$B$5:$B$692,B229,$F$5:$F$692,"&lt;="&amp;F229)</f>
        <v/>
      </c>
      <c r="M229" s="58">
        <f>'个人技术逐级'!N229</f>
        <v/>
      </c>
      <c r="N229" s="58">
        <f>SUMIFS($M$5:$M$692,$A$5:$A$692,A229,$B$5:$B$692,B229,$F$5:$F$692,"&lt;="&amp;F229)</f>
        <v/>
      </c>
      <c r="O229" s="58">
        <f>0</f>
        <v/>
      </c>
      <c r="P229" s="58">
        <f>SUMIFS($O$5:$O$692,$A$5:$A$692,A229,$B$5:$B$692,B229,$F$5:$F$692,"&lt;="&amp;F229)</f>
        <v/>
      </c>
      <c r="Q229" s="58">
        <f>0</f>
        <v/>
      </c>
      <c r="R229" s="58">
        <f>SUMIFS($Q$5:$Q$692,$A$5:$A$692,A229,$B$5:$B$692,B229,$F$5:$F$692,"&lt;="&amp;F229)</f>
        <v/>
      </c>
      <c r="S229" s="58">
        <f>0</f>
        <v/>
      </c>
      <c r="T229" s="58">
        <f>SUMIFS($S$5:$S$692,$A$5:$A$692,A229,$B$5:$B$692,B229,$F$5:$F$692,"&lt;="&amp;F229)</f>
        <v/>
      </c>
      <c r="U229" s="52">
        <f>'个人技术逐级'!O229</f>
        <v/>
      </c>
    </row>
    <row r="230">
      <c r="A230" s="33" t="inlineStr">
        <is>
          <t>个人技术</t>
        </is>
      </c>
      <c r="B230" s="33">
        <f>'个人技术逐级'!A230</f>
        <v/>
      </c>
      <c r="C230" s="33">
        <f>'个人技术逐级'!B230</f>
        <v/>
      </c>
      <c r="D230" s="33">
        <f>'个人技术逐级'!C230</f>
        <v/>
      </c>
      <c r="E230">
        <f>'个人技术逐级'!D230</f>
        <v/>
      </c>
      <c r="F230" s="54">
        <f>'个人技术逐级'!E230</f>
        <v/>
      </c>
      <c r="G230" s="55">
        <f>'个人技术逐级'!F230</f>
        <v/>
      </c>
      <c r="H230" s="56">
        <f>'个人技术逐级'!G230</f>
        <v/>
      </c>
      <c r="I230" s="52" t="inlineStr">
        <is>
          <t>个人技术计时升级</t>
        </is>
      </c>
      <c r="J230" s="57">
        <f>'个人技术逐级'!M230</f>
        <v/>
      </c>
      <c r="K230" s="35">
        <f>J230/3600</f>
        <v/>
      </c>
      <c r="L230" s="35">
        <f>SUMIFS($K$5:$K$692,$A$5:$A$692,A230,$B$5:$B$692,B230,$F$5:$F$692,"&lt;="&amp;F230)</f>
        <v/>
      </c>
      <c r="M230" s="58">
        <f>'个人技术逐级'!N230</f>
        <v/>
      </c>
      <c r="N230" s="58">
        <f>SUMIFS($M$5:$M$692,$A$5:$A$692,A230,$B$5:$B$692,B230,$F$5:$F$692,"&lt;="&amp;F230)</f>
        <v/>
      </c>
      <c r="O230" s="58">
        <f>0</f>
        <v/>
      </c>
      <c r="P230" s="58">
        <f>SUMIFS($O$5:$O$692,$A$5:$A$692,A230,$B$5:$B$692,B230,$F$5:$F$692,"&lt;="&amp;F230)</f>
        <v/>
      </c>
      <c r="Q230" s="58">
        <f>0</f>
        <v/>
      </c>
      <c r="R230" s="58">
        <f>SUMIFS($Q$5:$Q$692,$A$5:$A$692,A230,$B$5:$B$692,B230,$F$5:$F$692,"&lt;="&amp;F230)</f>
        <v/>
      </c>
      <c r="S230" s="58">
        <f>0</f>
        <v/>
      </c>
      <c r="T230" s="58">
        <f>SUMIFS($S$5:$S$692,$A$5:$A$692,A230,$B$5:$B$692,B230,$F$5:$F$692,"&lt;="&amp;F230)</f>
        <v/>
      </c>
      <c r="U230" s="52">
        <f>'个人技术逐级'!O230</f>
        <v/>
      </c>
    </row>
    <row r="231">
      <c r="A231" s="33" t="inlineStr">
        <is>
          <t>个人技术</t>
        </is>
      </c>
      <c r="B231" s="33">
        <f>'个人技术逐级'!A231</f>
        <v/>
      </c>
      <c r="C231" s="33">
        <f>'个人技术逐级'!B231</f>
        <v/>
      </c>
      <c r="D231" s="33">
        <f>'个人技术逐级'!C231</f>
        <v/>
      </c>
      <c r="E231">
        <f>'个人技术逐级'!D231</f>
        <v/>
      </c>
      <c r="F231" s="54">
        <f>'个人技术逐级'!E231</f>
        <v/>
      </c>
      <c r="G231" s="55">
        <f>'个人技术逐级'!F231</f>
        <v/>
      </c>
      <c r="H231" s="56">
        <f>'个人技术逐级'!G231</f>
        <v/>
      </c>
      <c r="I231" s="52" t="inlineStr">
        <is>
          <t>个人技术计时升级</t>
        </is>
      </c>
      <c r="J231" s="57">
        <f>'个人技术逐级'!M231</f>
        <v/>
      </c>
      <c r="K231" s="35">
        <f>J231/3600</f>
        <v/>
      </c>
      <c r="L231" s="35">
        <f>SUMIFS($K$5:$K$692,$A$5:$A$692,A231,$B$5:$B$692,B231,$F$5:$F$692,"&lt;="&amp;F231)</f>
        <v/>
      </c>
      <c r="M231" s="58">
        <f>'个人技术逐级'!N231</f>
        <v/>
      </c>
      <c r="N231" s="58">
        <f>SUMIFS($M$5:$M$692,$A$5:$A$692,A231,$B$5:$B$692,B231,$F$5:$F$692,"&lt;="&amp;F231)</f>
        <v/>
      </c>
      <c r="O231" s="58">
        <f>0</f>
        <v/>
      </c>
      <c r="P231" s="58">
        <f>SUMIFS($O$5:$O$692,$A$5:$A$692,A231,$B$5:$B$692,B231,$F$5:$F$692,"&lt;="&amp;F231)</f>
        <v/>
      </c>
      <c r="Q231" s="58">
        <f>0</f>
        <v/>
      </c>
      <c r="R231" s="58">
        <f>SUMIFS($Q$5:$Q$692,$A$5:$A$692,A231,$B$5:$B$692,B231,$F$5:$F$692,"&lt;="&amp;F231)</f>
        <v/>
      </c>
      <c r="S231" s="58">
        <f>0</f>
        <v/>
      </c>
      <c r="T231" s="58">
        <f>SUMIFS($S$5:$S$692,$A$5:$A$692,A231,$B$5:$B$692,B231,$F$5:$F$692,"&lt;="&amp;F231)</f>
        <v/>
      </c>
      <c r="U231" s="52">
        <f>'个人技术逐级'!O231</f>
        <v/>
      </c>
    </row>
    <row r="232">
      <c r="A232" s="33" t="inlineStr">
        <is>
          <t>个人技术</t>
        </is>
      </c>
      <c r="B232" s="33">
        <f>'个人技术逐级'!A232</f>
        <v/>
      </c>
      <c r="C232" s="33">
        <f>'个人技术逐级'!B232</f>
        <v/>
      </c>
      <c r="D232" s="33">
        <f>'个人技术逐级'!C232</f>
        <v/>
      </c>
      <c r="E232">
        <f>'个人技术逐级'!D232</f>
        <v/>
      </c>
      <c r="F232" s="54">
        <f>'个人技术逐级'!E232</f>
        <v/>
      </c>
      <c r="G232" s="55">
        <f>'个人技术逐级'!F232</f>
        <v/>
      </c>
      <c r="H232" s="56">
        <f>'个人技术逐级'!G232</f>
        <v/>
      </c>
      <c r="I232" s="52" t="inlineStr">
        <is>
          <t>个人技术计时升级</t>
        </is>
      </c>
      <c r="J232" s="57">
        <f>'个人技术逐级'!M232</f>
        <v/>
      </c>
      <c r="K232" s="35">
        <f>J232/3600</f>
        <v/>
      </c>
      <c r="L232" s="35">
        <f>SUMIFS($K$5:$K$692,$A$5:$A$692,A232,$B$5:$B$692,B232,$F$5:$F$692,"&lt;="&amp;F232)</f>
        <v/>
      </c>
      <c r="M232" s="58">
        <f>'个人技术逐级'!N232</f>
        <v/>
      </c>
      <c r="N232" s="58">
        <f>SUMIFS($M$5:$M$692,$A$5:$A$692,A232,$B$5:$B$692,B232,$F$5:$F$692,"&lt;="&amp;F232)</f>
        <v/>
      </c>
      <c r="O232" s="58">
        <f>0</f>
        <v/>
      </c>
      <c r="P232" s="58">
        <f>SUMIFS($O$5:$O$692,$A$5:$A$692,A232,$B$5:$B$692,B232,$F$5:$F$692,"&lt;="&amp;F232)</f>
        <v/>
      </c>
      <c r="Q232" s="58">
        <f>0</f>
        <v/>
      </c>
      <c r="R232" s="58">
        <f>SUMIFS($Q$5:$Q$692,$A$5:$A$692,A232,$B$5:$B$692,B232,$F$5:$F$692,"&lt;="&amp;F232)</f>
        <v/>
      </c>
      <c r="S232" s="58">
        <f>0</f>
        <v/>
      </c>
      <c r="T232" s="58">
        <f>SUMIFS($S$5:$S$692,$A$5:$A$692,A232,$B$5:$B$692,B232,$F$5:$F$692,"&lt;="&amp;F232)</f>
        <v/>
      </c>
      <c r="U232" s="52">
        <f>'个人技术逐级'!O232</f>
        <v/>
      </c>
    </row>
    <row r="233">
      <c r="A233" s="33" t="inlineStr">
        <is>
          <t>个人技术</t>
        </is>
      </c>
      <c r="B233" s="33">
        <f>'个人技术逐级'!A233</f>
        <v/>
      </c>
      <c r="C233" s="33">
        <f>'个人技术逐级'!B233</f>
        <v/>
      </c>
      <c r="D233" s="33">
        <f>'个人技术逐级'!C233</f>
        <v/>
      </c>
      <c r="E233">
        <f>'个人技术逐级'!D233</f>
        <v/>
      </c>
      <c r="F233" s="54">
        <f>'个人技术逐级'!E233</f>
        <v/>
      </c>
      <c r="G233" s="55">
        <f>'个人技术逐级'!F233</f>
        <v/>
      </c>
      <c r="H233" s="56">
        <f>'个人技术逐级'!G233</f>
        <v/>
      </c>
      <c r="I233" s="52" t="inlineStr">
        <is>
          <t>个人技术计时升级</t>
        </is>
      </c>
      <c r="J233" s="57">
        <f>'个人技术逐级'!M233</f>
        <v/>
      </c>
      <c r="K233" s="35">
        <f>J233/3600</f>
        <v/>
      </c>
      <c r="L233" s="35">
        <f>SUMIFS($K$5:$K$692,$A$5:$A$692,A233,$B$5:$B$692,B233,$F$5:$F$692,"&lt;="&amp;F233)</f>
        <v/>
      </c>
      <c r="M233" s="58">
        <f>'个人技术逐级'!N233</f>
        <v/>
      </c>
      <c r="N233" s="58">
        <f>SUMIFS($M$5:$M$692,$A$5:$A$692,A233,$B$5:$B$692,B233,$F$5:$F$692,"&lt;="&amp;F233)</f>
        <v/>
      </c>
      <c r="O233" s="58">
        <f>0</f>
        <v/>
      </c>
      <c r="P233" s="58">
        <f>SUMIFS($O$5:$O$692,$A$5:$A$692,A233,$B$5:$B$692,B233,$F$5:$F$692,"&lt;="&amp;F233)</f>
        <v/>
      </c>
      <c r="Q233" s="58">
        <f>0</f>
        <v/>
      </c>
      <c r="R233" s="58">
        <f>SUMIFS($Q$5:$Q$692,$A$5:$A$692,A233,$B$5:$B$692,B233,$F$5:$F$692,"&lt;="&amp;F233)</f>
        <v/>
      </c>
      <c r="S233" s="58">
        <f>0</f>
        <v/>
      </c>
      <c r="T233" s="58">
        <f>SUMIFS($S$5:$S$692,$A$5:$A$692,A233,$B$5:$B$692,B233,$F$5:$F$692,"&lt;="&amp;F233)</f>
        <v/>
      </c>
      <c r="U233" s="52">
        <f>'个人技术逐级'!O233</f>
        <v/>
      </c>
    </row>
    <row r="234">
      <c r="A234" s="33" t="inlineStr">
        <is>
          <t>个人技术</t>
        </is>
      </c>
      <c r="B234" s="33">
        <f>'个人技术逐级'!A234</f>
        <v/>
      </c>
      <c r="C234" s="33">
        <f>'个人技术逐级'!B234</f>
        <v/>
      </c>
      <c r="D234" s="33">
        <f>'个人技术逐级'!C234</f>
        <v/>
      </c>
      <c r="E234">
        <f>'个人技术逐级'!D234</f>
        <v/>
      </c>
      <c r="F234" s="54">
        <f>'个人技术逐级'!E234</f>
        <v/>
      </c>
      <c r="G234" s="55">
        <f>'个人技术逐级'!F234</f>
        <v/>
      </c>
      <c r="H234" s="56">
        <f>'个人技术逐级'!G234</f>
        <v/>
      </c>
      <c r="I234" s="52" t="inlineStr">
        <is>
          <t>个人技术计时升级</t>
        </is>
      </c>
      <c r="J234" s="57">
        <f>'个人技术逐级'!M234</f>
        <v/>
      </c>
      <c r="K234" s="35">
        <f>J234/3600</f>
        <v/>
      </c>
      <c r="L234" s="35">
        <f>SUMIFS($K$5:$K$692,$A$5:$A$692,A234,$B$5:$B$692,B234,$F$5:$F$692,"&lt;="&amp;F234)</f>
        <v/>
      </c>
      <c r="M234" s="58">
        <f>'个人技术逐级'!N234</f>
        <v/>
      </c>
      <c r="N234" s="58">
        <f>SUMIFS($M$5:$M$692,$A$5:$A$692,A234,$B$5:$B$692,B234,$F$5:$F$692,"&lt;="&amp;F234)</f>
        <v/>
      </c>
      <c r="O234" s="58">
        <f>0</f>
        <v/>
      </c>
      <c r="P234" s="58">
        <f>SUMIFS($O$5:$O$692,$A$5:$A$692,A234,$B$5:$B$692,B234,$F$5:$F$692,"&lt;="&amp;F234)</f>
        <v/>
      </c>
      <c r="Q234" s="58">
        <f>0</f>
        <v/>
      </c>
      <c r="R234" s="58">
        <f>SUMIFS($Q$5:$Q$692,$A$5:$A$692,A234,$B$5:$B$692,B234,$F$5:$F$692,"&lt;="&amp;F234)</f>
        <v/>
      </c>
      <c r="S234" s="58">
        <f>0</f>
        <v/>
      </c>
      <c r="T234" s="58">
        <f>SUMIFS($S$5:$S$692,$A$5:$A$692,A234,$B$5:$B$692,B234,$F$5:$F$692,"&lt;="&amp;F234)</f>
        <v/>
      </c>
      <c r="U234" s="52">
        <f>'个人技术逐级'!O234</f>
        <v/>
      </c>
    </row>
    <row r="235">
      <c r="A235" s="33" t="inlineStr">
        <is>
          <t>个人技术</t>
        </is>
      </c>
      <c r="B235" s="33">
        <f>'个人技术逐级'!A235</f>
        <v/>
      </c>
      <c r="C235" s="33">
        <f>'个人技术逐级'!B235</f>
        <v/>
      </c>
      <c r="D235" s="33">
        <f>'个人技术逐级'!C235</f>
        <v/>
      </c>
      <c r="E235">
        <f>'个人技术逐级'!D235</f>
        <v/>
      </c>
      <c r="F235" s="54">
        <f>'个人技术逐级'!E235</f>
        <v/>
      </c>
      <c r="G235" s="55">
        <f>'个人技术逐级'!F235</f>
        <v/>
      </c>
      <c r="H235" s="56">
        <f>'个人技术逐级'!G235</f>
        <v/>
      </c>
      <c r="I235" s="52" t="inlineStr">
        <is>
          <t>个人技术计时升级</t>
        </is>
      </c>
      <c r="J235" s="57">
        <f>'个人技术逐级'!M235</f>
        <v/>
      </c>
      <c r="K235" s="35">
        <f>J235/3600</f>
        <v/>
      </c>
      <c r="L235" s="35">
        <f>SUMIFS($K$5:$K$692,$A$5:$A$692,A235,$B$5:$B$692,B235,$F$5:$F$692,"&lt;="&amp;F235)</f>
        <v/>
      </c>
      <c r="M235" s="58">
        <f>'个人技术逐级'!N235</f>
        <v/>
      </c>
      <c r="N235" s="58">
        <f>SUMIFS($M$5:$M$692,$A$5:$A$692,A235,$B$5:$B$692,B235,$F$5:$F$692,"&lt;="&amp;F235)</f>
        <v/>
      </c>
      <c r="O235" s="58">
        <f>0</f>
        <v/>
      </c>
      <c r="P235" s="58">
        <f>SUMIFS($O$5:$O$692,$A$5:$A$692,A235,$B$5:$B$692,B235,$F$5:$F$692,"&lt;="&amp;F235)</f>
        <v/>
      </c>
      <c r="Q235" s="58">
        <f>0</f>
        <v/>
      </c>
      <c r="R235" s="58">
        <f>SUMIFS($Q$5:$Q$692,$A$5:$A$692,A235,$B$5:$B$692,B235,$F$5:$F$692,"&lt;="&amp;F235)</f>
        <v/>
      </c>
      <c r="S235" s="58">
        <f>0</f>
        <v/>
      </c>
      <c r="T235" s="58">
        <f>SUMIFS($S$5:$S$692,$A$5:$A$692,A235,$B$5:$B$692,B235,$F$5:$F$692,"&lt;="&amp;F235)</f>
        <v/>
      </c>
      <c r="U235" s="52">
        <f>'个人技术逐级'!O235</f>
        <v/>
      </c>
    </row>
    <row r="236">
      <c r="A236" s="33" t="inlineStr">
        <is>
          <t>个人技术</t>
        </is>
      </c>
      <c r="B236" s="33">
        <f>'个人技术逐级'!A236</f>
        <v/>
      </c>
      <c r="C236" s="33">
        <f>'个人技术逐级'!B236</f>
        <v/>
      </c>
      <c r="D236" s="33">
        <f>'个人技术逐级'!C236</f>
        <v/>
      </c>
      <c r="E236">
        <f>'个人技术逐级'!D236</f>
        <v/>
      </c>
      <c r="F236" s="54">
        <f>'个人技术逐级'!E236</f>
        <v/>
      </c>
      <c r="G236" s="55">
        <f>'个人技术逐级'!F236</f>
        <v/>
      </c>
      <c r="H236" s="56">
        <f>'个人技术逐级'!G236</f>
        <v/>
      </c>
      <c r="I236" s="52" t="inlineStr">
        <is>
          <t>个人技术计时升级</t>
        </is>
      </c>
      <c r="J236" s="57">
        <f>'个人技术逐级'!M236</f>
        <v/>
      </c>
      <c r="K236" s="35">
        <f>J236/3600</f>
        <v/>
      </c>
      <c r="L236" s="35">
        <f>SUMIFS($K$5:$K$692,$A$5:$A$692,A236,$B$5:$B$692,B236,$F$5:$F$692,"&lt;="&amp;F236)</f>
        <v/>
      </c>
      <c r="M236" s="58">
        <f>'个人技术逐级'!N236</f>
        <v/>
      </c>
      <c r="N236" s="58">
        <f>SUMIFS($M$5:$M$692,$A$5:$A$692,A236,$B$5:$B$692,B236,$F$5:$F$692,"&lt;="&amp;F236)</f>
        <v/>
      </c>
      <c r="O236" s="58">
        <f>0</f>
        <v/>
      </c>
      <c r="P236" s="58">
        <f>SUMIFS($O$5:$O$692,$A$5:$A$692,A236,$B$5:$B$692,B236,$F$5:$F$692,"&lt;="&amp;F236)</f>
        <v/>
      </c>
      <c r="Q236" s="58">
        <f>0</f>
        <v/>
      </c>
      <c r="R236" s="58">
        <f>SUMIFS($Q$5:$Q$692,$A$5:$A$692,A236,$B$5:$B$692,B236,$F$5:$F$692,"&lt;="&amp;F236)</f>
        <v/>
      </c>
      <c r="S236" s="58">
        <f>0</f>
        <v/>
      </c>
      <c r="T236" s="58">
        <f>SUMIFS($S$5:$S$692,$A$5:$A$692,A236,$B$5:$B$692,B236,$F$5:$F$692,"&lt;="&amp;F236)</f>
        <v/>
      </c>
      <c r="U236" s="52">
        <f>'个人技术逐级'!O236</f>
        <v/>
      </c>
    </row>
    <row r="237">
      <c r="A237" s="33" t="inlineStr">
        <is>
          <t>个人技术</t>
        </is>
      </c>
      <c r="B237" s="33">
        <f>'个人技术逐级'!A237</f>
        <v/>
      </c>
      <c r="C237" s="33">
        <f>'个人技术逐级'!B237</f>
        <v/>
      </c>
      <c r="D237" s="33">
        <f>'个人技术逐级'!C237</f>
        <v/>
      </c>
      <c r="E237">
        <f>'个人技术逐级'!D237</f>
        <v/>
      </c>
      <c r="F237" s="54">
        <f>'个人技术逐级'!E237</f>
        <v/>
      </c>
      <c r="G237" s="55">
        <f>'个人技术逐级'!F237</f>
        <v/>
      </c>
      <c r="H237" s="56">
        <f>'个人技术逐级'!G237</f>
        <v/>
      </c>
      <c r="I237" s="52" t="inlineStr">
        <is>
          <t>个人技术计时升级</t>
        </is>
      </c>
      <c r="J237" s="57">
        <f>'个人技术逐级'!M237</f>
        <v/>
      </c>
      <c r="K237" s="35">
        <f>J237/3600</f>
        <v/>
      </c>
      <c r="L237" s="35">
        <f>SUMIFS($K$5:$K$692,$A$5:$A$692,A237,$B$5:$B$692,B237,$F$5:$F$692,"&lt;="&amp;F237)</f>
        <v/>
      </c>
      <c r="M237" s="58">
        <f>'个人技术逐级'!N237</f>
        <v/>
      </c>
      <c r="N237" s="58">
        <f>SUMIFS($M$5:$M$692,$A$5:$A$692,A237,$B$5:$B$692,B237,$F$5:$F$692,"&lt;="&amp;F237)</f>
        <v/>
      </c>
      <c r="O237" s="58">
        <f>0</f>
        <v/>
      </c>
      <c r="P237" s="58">
        <f>SUMIFS($O$5:$O$692,$A$5:$A$692,A237,$B$5:$B$692,B237,$F$5:$F$692,"&lt;="&amp;F237)</f>
        <v/>
      </c>
      <c r="Q237" s="58">
        <f>0</f>
        <v/>
      </c>
      <c r="R237" s="58">
        <f>SUMIFS($Q$5:$Q$692,$A$5:$A$692,A237,$B$5:$B$692,B237,$F$5:$F$692,"&lt;="&amp;F237)</f>
        <v/>
      </c>
      <c r="S237" s="58">
        <f>0</f>
        <v/>
      </c>
      <c r="T237" s="58">
        <f>SUMIFS($S$5:$S$692,$A$5:$A$692,A237,$B$5:$B$692,B237,$F$5:$F$692,"&lt;="&amp;F237)</f>
        <v/>
      </c>
      <c r="U237" s="52">
        <f>'个人技术逐级'!O237</f>
        <v/>
      </c>
    </row>
    <row r="238">
      <c r="A238" s="33" t="inlineStr">
        <is>
          <t>个人技术</t>
        </is>
      </c>
      <c r="B238" s="33">
        <f>'个人技术逐级'!A238</f>
        <v/>
      </c>
      <c r="C238" s="33">
        <f>'个人技术逐级'!B238</f>
        <v/>
      </c>
      <c r="D238" s="33">
        <f>'个人技术逐级'!C238</f>
        <v/>
      </c>
      <c r="E238">
        <f>'个人技术逐级'!D238</f>
        <v/>
      </c>
      <c r="F238" s="54">
        <f>'个人技术逐级'!E238</f>
        <v/>
      </c>
      <c r="G238" s="55">
        <f>'个人技术逐级'!F238</f>
        <v/>
      </c>
      <c r="H238" s="56">
        <f>'个人技术逐级'!G238</f>
        <v/>
      </c>
      <c r="I238" s="52" t="inlineStr">
        <is>
          <t>个人技术计时升级</t>
        </is>
      </c>
      <c r="J238" s="57">
        <f>'个人技术逐级'!M238</f>
        <v/>
      </c>
      <c r="K238" s="35">
        <f>J238/3600</f>
        <v/>
      </c>
      <c r="L238" s="35">
        <f>SUMIFS($K$5:$K$692,$A$5:$A$692,A238,$B$5:$B$692,B238,$F$5:$F$692,"&lt;="&amp;F238)</f>
        <v/>
      </c>
      <c r="M238" s="58">
        <f>'个人技术逐级'!N238</f>
        <v/>
      </c>
      <c r="N238" s="58">
        <f>SUMIFS($M$5:$M$692,$A$5:$A$692,A238,$B$5:$B$692,B238,$F$5:$F$692,"&lt;="&amp;F238)</f>
        <v/>
      </c>
      <c r="O238" s="58">
        <f>0</f>
        <v/>
      </c>
      <c r="P238" s="58">
        <f>SUMIFS($O$5:$O$692,$A$5:$A$692,A238,$B$5:$B$692,B238,$F$5:$F$692,"&lt;="&amp;F238)</f>
        <v/>
      </c>
      <c r="Q238" s="58">
        <f>0</f>
        <v/>
      </c>
      <c r="R238" s="58">
        <f>SUMIFS($Q$5:$Q$692,$A$5:$A$692,A238,$B$5:$B$692,B238,$F$5:$F$692,"&lt;="&amp;F238)</f>
        <v/>
      </c>
      <c r="S238" s="58">
        <f>0</f>
        <v/>
      </c>
      <c r="T238" s="58">
        <f>SUMIFS($S$5:$S$692,$A$5:$A$692,A238,$B$5:$B$692,B238,$F$5:$F$692,"&lt;="&amp;F238)</f>
        <v/>
      </c>
      <c r="U238" s="52">
        <f>'个人技术逐级'!O238</f>
        <v/>
      </c>
    </row>
    <row r="239">
      <c r="A239" s="33" t="inlineStr">
        <is>
          <t>个人技术</t>
        </is>
      </c>
      <c r="B239" s="33">
        <f>'个人技术逐级'!A239</f>
        <v/>
      </c>
      <c r="C239" s="33">
        <f>'个人技术逐级'!B239</f>
        <v/>
      </c>
      <c r="D239" s="33">
        <f>'个人技术逐级'!C239</f>
        <v/>
      </c>
      <c r="E239">
        <f>'个人技术逐级'!D239</f>
        <v/>
      </c>
      <c r="F239" s="54">
        <f>'个人技术逐级'!E239</f>
        <v/>
      </c>
      <c r="G239" s="55">
        <f>'个人技术逐级'!F239</f>
        <v/>
      </c>
      <c r="H239" s="56">
        <f>'个人技术逐级'!G239</f>
        <v/>
      </c>
      <c r="I239" s="52" t="inlineStr">
        <is>
          <t>个人技术计时升级</t>
        </is>
      </c>
      <c r="J239" s="57">
        <f>'个人技术逐级'!M239</f>
        <v/>
      </c>
      <c r="K239" s="35">
        <f>J239/3600</f>
        <v/>
      </c>
      <c r="L239" s="35">
        <f>SUMIFS($K$5:$K$692,$A$5:$A$692,A239,$B$5:$B$692,B239,$F$5:$F$692,"&lt;="&amp;F239)</f>
        <v/>
      </c>
      <c r="M239" s="58">
        <f>'个人技术逐级'!N239</f>
        <v/>
      </c>
      <c r="N239" s="58">
        <f>SUMIFS($M$5:$M$692,$A$5:$A$692,A239,$B$5:$B$692,B239,$F$5:$F$692,"&lt;="&amp;F239)</f>
        <v/>
      </c>
      <c r="O239" s="58">
        <f>0</f>
        <v/>
      </c>
      <c r="P239" s="58">
        <f>SUMIFS($O$5:$O$692,$A$5:$A$692,A239,$B$5:$B$692,B239,$F$5:$F$692,"&lt;="&amp;F239)</f>
        <v/>
      </c>
      <c r="Q239" s="58">
        <f>0</f>
        <v/>
      </c>
      <c r="R239" s="58">
        <f>SUMIFS($Q$5:$Q$692,$A$5:$A$692,A239,$B$5:$B$692,B239,$F$5:$F$692,"&lt;="&amp;F239)</f>
        <v/>
      </c>
      <c r="S239" s="58">
        <f>0</f>
        <v/>
      </c>
      <c r="T239" s="58">
        <f>SUMIFS($S$5:$S$692,$A$5:$A$692,A239,$B$5:$B$692,B239,$F$5:$F$692,"&lt;="&amp;F239)</f>
        <v/>
      </c>
      <c r="U239" s="52">
        <f>'个人技术逐级'!O239</f>
        <v/>
      </c>
    </row>
    <row r="240">
      <c r="A240" s="33" t="inlineStr">
        <is>
          <t>个人技术</t>
        </is>
      </c>
      <c r="B240" s="33">
        <f>'个人技术逐级'!A240</f>
        <v/>
      </c>
      <c r="C240" s="33">
        <f>'个人技术逐级'!B240</f>
        <v/>
      </c>
      <c r="D240" s="33">
        <f>'个人技术逐级'!C240</f>
        <v/>
      </c>
      <c r="E240">
        <f>'个人技术逐级'!D240</f>
        <v/>
      </c>
      <c r="F240" s="54">
        <f>'个人技术逐级'!E240</f>
        <v/>
      </c>
      <c r="G240" s="55">
        <f>'个人技术逐级'!F240</f>
        <v/>
      </c>
      <c r="H240" s="56">
        <f>'个人技术逐级'!G240</f>
        <v/>
      </c>
      <c r="I240" s="52" t="inlineStr">
        <is>
          <t>个人技术计时升级</t>
        </is>
      </c>
      <c r="J240" s="57">
        <f>'个人技术逐级'!M240</f>
        <v/>
      </c>
      <c r="K240" s="35">
        <f>J240/3600</f>
        <v/>
      </c>
      <c r="L240" s="35">
        <f>SUMIFS($K$5:$K$692,$A$5:$A$692,A240,$B$5:$B$692,B240,$F$5:$F$692,"&lt;="&amp;F240)</f>
        <v/>
      </c>
      <c r="M240" s="58">
        <f>'个人技术逐级'!N240</f>
        <v/>
      </c>
      <c r="N240" s="58">
        <f>SUMIFS($M$5:$M$692,$A$5:$A$692,A240,$B$5:$B$692,B240,$F$5:$F$692,"&lt;="&amp;F240)</f>
        <v/>
      </c>
      <c r="O240" s="58">
        <f>0</f>
        <v/>
      </c>
      <c r="P240" s="58">
        <f>SUMIFS($O$5:$O$692,$A$5:$A$692,A240,$B$5:$B$692,B240,$F$5:$F$692,"&lt;="&amp;F240)</f>
        <v/>
      </c>
      <c r="Q240" s="58">
        <f>0</f>
        <v/>
      </c>
      <c r="R240" s="58">
        <f>SUMIFS($Q$5:$Q$692,$A$5:$A$692,A240,$B$5:$B$692,B240,$F$5:$F$692,"&lt;="&amp;F240)</f>
        <v/>
      </c>
      <c r="S240" s="58">
        <f>0</f>
        <v/>
      </c>
      <c r="T240" s="58">
        <f>SUMIFS($S$5:$S$692,$A$5:$A$692,A240,$B$5:$B$692,B240,$F$5:$F$692,"&lt;="&amp;F240)</f>
        <v/>
      </c>
      <c r="U240" s="52">
        <f>'个人技术逐级'!O240</f>
        <v/>
      </c>
    </row>
    <row r="241">
      <c r="A241" s="33" t="inlineStr">
        <is>
          <t>个人技术</t>
        </is>
      </c>
      <c r="B241" s="33">
        <f>'个人技术逐级'!A241</f>
        <v/>
      </c>
      <c r="C241" s="33">
        <f>'个人技术逐级'!B241</f>
        <v/>
      </c>
      <c r="D241" s="33">
        <f>'个人技术逐级'!C241</f>
        <v/>
      </c>
      <c r="E241">
        <f>'个人技术逐级'!D241</f>
        <v/>
      </c>
      <c r="F241" s="54">
        <f>'个人技术逐级'!E241</f>
        <v/>
      </c>
      <c r="G241" s="55">
        <f>'个人技术逐级'!F241</f>
        <v/>
      </c>
      <c r="H241" s="56">
        <f>'个人技术逐级'!G241</f>
        <v/>
      </c>
      <c r="I241" s="52" t="inlineStr">
        <is>
          <t>个人技术计时升级</t>
        </is>
      </c>
      <c r="J241" s="57">
        <f>'个人技术逐级'!M241</f>
        <v/>
      </c>
      <c r="K241" s="35">
        <f>J241/3600</f>
        <v/>
      </c>
      <c r="L241" s="35">
        <f>SUMIFS($K$5:$K$692,$A$5:$A$692,A241,$B$5:$B$692,B241,$F$5:$F$692,"&lt;="&amp;F241)</f>
        <v/>
      </c>
      <c r="M241" s="58">
        <f>'个人技术逐级'!N241</f>
        <v/>
      </c>
      <c r="N241" s="58">
        <f>SUMIFS($M$5:$M$692,$A$5:$A$692,A241,$B$5:$B$692,B241,$F$5:$F$692,"&lt;="&amp;F241)</f>
        <v/>
      </c>
      <c r="O241" s="58">
        <f>0</f>
        <v/>
      </c>
      <c r="P241" s="58">
        <f>SUMIFS($O$5:$O$692,$A$5:$A$692,A241,$B$5:$B$692,B241,$F$5:$F$692,"&lt;="&amp;F241)</f>
        <v/>
      </c>
      <c r="Q241" s="58">
        <f>0</f>
        <v/>
      </c>
      <c r="R241" s="58">
        <f>SUMIFS($Q$5:$Q$692,$A$5:$A$692,A241,$B$5:$B$692,B241,$F$5:$F$692,"&lt;="&amp;F241)</f>
        <v/>
      </c>
      <c r="S241" s="58">
        <f>0</f>
        <v/>
      </c>
      <c r="T241" s="58">
        <f>SUMIFS($S$5:$S$692,$A$5:$A$692,A241,$B$5:$B$692,B241,$F$5:$F$692,"&lt;="&amp;F241)</f>
        <v/>
      </c>
      <c r="U241" s="52">
        <f>'个人技术逐级'!O241</f>
        <v/>
      </c>
    </row>
    <row r="242">
      <c r="A242" s="33" t="inlineStr">
        <is>
          <t>个人技术</t>
        </is>
      </c>
      <c r="B242" s="33">
        <f>'个人技术逐级'!A242</f>
        <v/>
      </c>
      <c r="C242" s="33">
        <f>'个人技术逐级'!B242</f>
        <v/>
      </c>
      <c r="D242" s="33">
        <f>'个人技术逐级'!C242</f>
        <v/>
      </c>
      <c r="E242">
        <f>'个人技术逐级'!D242</f>
        <v/>
      </c>
      <c r="F242" s="54">
        <f>'个人技术逐级'!E242</f>
        <v/>
      </c>
      <c r="G242" s="55">
        <f>'个人技术逐级'!F242</f>
        <v/>
      </c>
      <c r="H242" s="56">
        <f>'个人技术逐级'!G242</f>
        <v/>
      </c>
      <c r="I242" s="52" t="inlineStr">
        <is>
          <t>个人技术计时升级</t>
        </is>
      </c>
      <c r="J242" s="57">
        <f>'个人技术逐级'!M242</f>
        <v/>
      </c>
      <c r="K242" s="35">
        <f>J242/3600</f>
        <v/>
      </c>
      <c r="L242" s="35">
        <f>SUMIFS($K$5:$K$692,$A$5:$A$692,A242,$B$5:$B$692,B242,$F$5:$F$692,"&lt;="&amp;F242)</f>
        <v/>
      </c>
      <c r="M242" s="58">
        <f>'个人技术逐级'!N242</f>
        <v/>
      </c>
      <c r="N242" s="58">
        <f>SUMIFS($M$5:$M$692,$A$5:$A$692,A242,$B$5:$B$692,B242,$F$5:$F$692,"&lt;="&amp;F242)</f>
        <v/>
      </c>
      <c r="O242" s="58">
        <f>0</f>
        <v/>
      </c>
      <c r="P242" s="58">
        <f>SUMIFS($O$5:$O$692,$A$5:$A$692,A242,$B$5:$B$692,B242,$F$5:$F$692,"&lt;="&amp;F242)</f>
        <v/>
      </c>
      <c r="Q242" s="58">
        <f>0</f>
        <v/>
      </c>
      <c r="R242" s="58">
        <f>SUMIFS($Q$5:$Q$692,$A$5:$A$692,A242,$B$5:$B$692,B242,$F$5:$F$692,"&lt;="&amp;F242)</f>
        <v/>
      </c>
      <c r="S242" s="58">
        <f>0</f>
        <v/>
      </c>
      <c r="T242" s="58">
        <f>SUMIFS($S$5:$S$692,$A$5:$A$692,A242,$B$5:$B$692,B242,$F$5:$F$692,"&lt;="&amp;F242)</f>
        <v/>
      </c>
      <c r="U242" s="52">
        <f>'个人技术逐级'!O242</f>
        <v/>
      </c>
    </row>
    <row r="243">
      <c r="A243" s="33" t="inlineStr">
        <is>
          <t>个人技术</t>
        </is>
      </c>
      <c r="B243" s="33">
        <f>'个人技术逐级'!A243</f>
        <v/>
      </c>
      <c r="C243" s="33">
        <f>'个人技术逐级'!B243</f>
        <v/>
      </c>
      <c r="D243" s="33">
        <f>'个人技术逐级'!C243</f>
        <v/>
      </c>
      <c r="E243">
        <f>'个人技术逐级'!D243</f>
        <v/>
      </c>
      <c r="F243" s="54">
        <f>'个人技术逐级'!E243</f>
        <v/>
      </c>
      <c r="G243" s="55">
        <f>'个人技术逐级'!F243</f>
        <v/>
      </c>
      <c r="H243" s="56">
        <f>'个人技术逐级'!G243</f>
        <v/>
      </c>
      <c r="I243" s="52" t="inlineStr">
        <is>
          <t>个人技术计时升级</t>
        </is>
      </c>
      <c r="J243" s="57">
        <f>'个人技术逐级'!M243</f>
        <v/>
      </c>
      <c r="K243" s="35">
        <f>J243/3600</f>
        <v/>
      </c>
      <c r="L243" s="35">
        <f>SUMIFS($K$5:$K$692,$A$5:$A$692,A243,$B$5:$B$692,B243,$F$5:$F$692,"&lt;="&amp;F243)</f>
        <v/>
      </c>
      <c r="M243" s="58">
        <f>'个人技术逐级'!N243</f>
        <v/>
      </c>
      <c r="N243" s="58">
        <f>SUMIFS($M$5:$M$692,$A$5:$A$692,A243,$B$5:$B$692,B243,$F$5:$F$692,"&lt;="&amp;F243)</f>
        <v/>
      </c>
      <c r="O243" s="58">
        <f>0</f>
        <v/>
      </c>
      <c r="P243" s="58">
        <f>SUMIFS($O$5:$O$692,$A$5:$A$692,A243,$B$5:$B$692,B243,$F$5:$F$692,"&lt;="&amp;F243)</f>
        <v/>
      </c>
      <c r="Q243" s="58">
        <f>0</f>
        <v/>
      </c>
      <c r="R243" s="58">
        <f>SUMIFS($Q$5:$Q$692,$A$5:$A$692,A243,$B$5:$B$692,B243,$F$5:$F$692,"&lt;="&amp;F243)</f>
        <v/>
      </c>
      <c r="S243" s="58">
        <f>0</f>
        <v/>
      </c>
      <c r="T243" s="58">
        <f>SUMIFS($S$5:$S$692,$A$5:$A$692,A243,$B$5:$B$692,B243,$F$5:$F$692,"&lt;="&amp;F243)</f>
        <v/>
      </c>
      <c r="U243" s="52">
        <f>'个人技术逐级'!O243</f>
        <v/>
      </c>
    </row>
    <row r="244">
      <c r="A244" s="33" t="inlineStr">
        <is>
          <t>个人技术</t>
        </is>
      </c>
      <c r="B244" s="33">
        <f>'个人技术逐级'!A244</f>
        <v/>
      </c>
      <c r="C244" s="33">
        <f>'个人技术逐级'!B244</f>
        <v/>
      </c>
      <c r="D244" s="33">
        <f>'个人技术逐级'!C244</f>
        <v/>
      </c>
      <c r="E244">
        <f>'个人技术逐级'!D244</f>
        <v/>
      </c>
      <c r="F244" s="54">
        <f>'个人技术逐级'!E244</f>
        <v/>
      </c>
      <c r="G244" s="55">
        <f>'个人技术逐级'!F244</f>
        <v/>
      </c>
      <c r="H244" s="56">
        <f>'个人技术逐级'!G244</f>
        <v/>
      </c>
      <c r="I244" s="52" t="inlineStr">
        <is>
          <t>个人技术计时升级</t>
        </is>
      </c>
      <c r="J244" s="57">
        <f>'个人技术逐级'!M244</f>
        <v/>
      </c>
      <c r="K244" s="35">
        <f>J244/3600</f>
        <v/>
      </c>
      <c r="L244" s="35">
        <f>SUMIFS($K$5:$K$692,$A$5:$A$692,A244,$B$5:$B$692,B244,$F$5:$F$692,"&lt;="&amp;F244)</f>
        <v/>
      </c>
      <c r="M244" s="58">
        <f>'个人技术逐级'!N244</f>
        <v/>
      </c>
      <c r="N244" s="58">
        <f>SUMIFS($M$5:$M$692,$A$5:$A$692,A244,$B$5:$B$692,B244,$F$5:$F$692,"&lt;="&amp;F244)</f>
        <v/>
      </c>
      <c r="O244" s="58">
        <f>0</f>
        <v/>
      </c>
      <c r="P244" s="58">
        <f>SUMIFS($O$5:$O$692,$A$5:$A$692,A244,$B$5:$B$692,B244,$F$5:$F$692,"&lt;="&amp;F244)</f>
        <v/>
      </c>
      <c r="Q244" s="58">
        <f>0</f>
        <v/>
      </c>
      <c r="R244" s="58">
        <f>SUMIFS($Q$5:$Q$692,$A$5:$A$692,A244,$B$5:$B$692,B244,$F$5:$F$692,"&lt;="&amp;F244)</f>
        <v/>
      </c>
      <c r="S244" s="58">
        <f>0</f>
        <v/>
      </c>
      <c r="T244" s="58">
        <f>SUMIFS($S$5:$S$692,$A$5:$A$692,A244,$B$5:$B$692,B244,$F$5:$F$692,"&lt;="&amp;F244)</f>
        <v/>
      </c>
      <c r="U244" s="52">
        <f>'个人技术逐级'!O244</f>
        <v/>
      </c>
    </row>
    <row r="245">
      <c r="A245" s="33" t="inlineStr">
        <is>
          <t>个人技术</t>
        </is>
      </c>
      <c r="B245" s="33">
        <f>'个人技术逐级'!A245</f>
        <v/>
      </c>
      <c r="C245" s="33">
        <f>'个人技术逐级'!B245</f>
        <v/>
      </c>
      <c r="D245" s="33">
        <f>'个人技术逐级'!C245</f>
        <v/>
      </c>
      <c r="E245">
        <f>'个人技术逐级'!D245</f>
        <v/>
      </c>
      <c r="F245" s="54">
        <f>'个人技术逐级'!E245</f>
        <v/>
      </c>
      <c r="G245" s="55">
        <f>'个人技术逐级'!F245</f>
        <v/>
      </c>
      <c r="H245" s="56">
        <f>'个人技术逐级'!G245</f>
        <v/>
      </c>
      <c r="I245" s="52" t="inlineStr">
        <is>
          <t>个人技术计时升级</t>
        </is>
      </c>
      <c r="J245" s="57">
        <f>'个人技术逐级'!M245</f>
        <v/>
      </c>
      <c r="K245" s="35">
        <f>J245/3600</f>
        <v/>
      </c>
      <c r="L245" s="35">
        <f>SUMIFS($K$5:$K$692,$A$5:$A$692,A245,$B$5:$B$692,B245,$F$5:$F$692,"&lt;="&amp;F245)</f>
        <v/>
      </c>
      <c r="M245" s="58">
        <f>'个人技术逐级'!N245</f>
        <v/>
      </c>
      <c r="N245" s="58">
        <f>SUMIFS($M$5:$M$692,$A$5:$A$692,A245,$B$5:$B$692,B245,$F$5:$F$692,"&lt;="&amp;F245)</f>
        <v/>
      </c>
      <c r="O245" s="58">
        <f>0</f>
        <v/>
      </c>
      <c r="P245" s="58">
        <f>SUMIFS($O$5:$O$692,$A$5:$A$692,A245,$B$5:$B$692,B245,$F$5:$F$692,"&lt;="&amp;F245)</f>
        <v/>
      </c>
      <c r="Q245" s="58">
        <f>0</f>
        <v/>
      </c>
      <c r="R245" s="58">
        <f>SUMIFS($Q$5:$Q$692,$A$5:$A$692,A245,$B$5:$B$692,B245,$F$5:$F$692,"&lt;="&amp;F245)</f>
        <v/>
      </c>
      <c r="S245" s="58">
        <f>0</f>
        <v/>
      </c>
      <c r="T245" s="58">
        <f>SUMIFS($S$5:$S$692,$A$5:$A$692,A245,$B$5:$B$692,B245,$F$5:$F$692,"&lt;="&amp;F245)</f>
        <v/>
      </c>
      <c r="U245" s="52">
        <f>'个人技术逐级'!O245</f>
        <v/>
      </c>
    </row>
    <row r="246">
      <c r="A246" s="33" t="inlineStr">
        <is>
          <t>个人技术</t>
        </is>
      </c>
      <c r="B246" s="33">
        <f>'个人技术逐级'!A246</f>
        <v/>
      </c>
      <c r="C246" s="33">
        <f>'个人技术逐级'!B246</f>
        <v/>
      </c>
      <c r="D246" s="33">
        <f>'个人技术逐级'!C246</f>
        <v/>
      </c>
      <c r="E246">
        <f>'个人技术逐级'!D246</f>
        <v/>
      </c>
      <c r="F246" s="54">
        <f>'个人技术逐级'!E246</f>
        <v/>
      </c>
      <c r="G246" s="55">
        <f>'个人技术逐级'!F246</f>
        <v/>
      </c>
      <c r="H246" s="56">
        <f>'个人技术逐级'!G246</f>
        <v/>
      </c>
      <c r="I246" s="52" t="inlineStr">
        <is>
          <t>个人技术计时升级</t>
        </is>
      </c>
      <c r="J246" s="57">
        <f>'个人技术逐级'!M246</f>
        <v/>
      </c>
      <c r="K246" s="35">
        <f>J246/3600</f>
        <v/>
      </c>
      <c r="L246" s="35">
        <f>SUMIFS($K$5:$K$692,$A$5:$A$692,A246,$B$5:$B$692,B246,$F$5:$F$692,"&lt;="&amp;F246)</f>
        <v/>
      </c>
      <c r="M246" s="58">
        <f>'个人技术逐级'!N246</f>
        <v/>
      </c>
      <c r="N246" s="58">
        <f>SUMIFS($M$5:$M$692,$A$5:$A$692,A246,$B$5:$B$692,B246,$F$5:$F$692,"&lt;="&amp;F246)</f>
        <v/>
      </c>
      <c r="O246" s="58">
        <f>0</f>
        <v/>
      </c>
      <c r="P246" s="58">
        <f>SUMIFS($O$5:$O$692,$A$5:$A$692,A246,$B$5:$B$692,B246,$F$5:$F$692,"&lt;="&amp;F246)</f>
        <v/>
      </c>
      <c r="Q246" s="58">
        <f>0</f>
        <v/>
      </c>
      <c r="R246" s="58">
        <f>SUMIFS($Q$5:$Q$692,$A$5:$A$692,A246,$B$5:$B$692,B246,$F$5:$F$692,"&lt;="&amp;F246)</f>
        <v/>
      </c>
      <c r="S246" s="58">
        <f>0</f>
        <v/>
      </c>
      <c r="T246" s="58">
        <f>SUMIFS($S$5:$S$692,$A$5:$A$692,A246,$B$5:$B$692,B246,$F$5:$F$692,"&lt;="&amp;F246)</f>
        <v/>
      </c>
      <c r="U246" s="52">
        <f>'个人技术逐级'!O246</f>
        <v/>
      </c>
    </row>
    <row r="247">
      <c r="A247" s="33" t="inlineStr">
        <is>
          <t>个人技术</t>
        </is>
      </c>
      <c r="B247" s="33">
        <f>'个人技术逐级'!A247</f>
        <v/>
      </c>
      <c r="C247" s="33">
        <f>'个人技术逐级'!B247</f>
        <v/>
      </c>
      <c r="D247" s="33">
        <f>'个人技术逐级'!C247</f>
        <v/>
      </c>
      <c r="E247">
        <f>'个人技术逐级'!D247</f>
        <v/>
      </c>
      <c r="F247" s="54">
        <f>'个人技术逐级'!E247</f>
        <v/>
      </c>
      <c r="G247" s="55">
        <f>'个人技术逐级'!F247</f>
        <v/>
      </c>
      <c r="H247" s="56">
        <f>'个人技术逐级'!G247</f>
        <v/>
      </c>
      <c r="I247" s="52" t="inlineStr">
        <is>
          <t>个人技术计时升级</t>
        </is>
      </c>
      <c r="J247" s="57">
        <f>'个人技术逐级'!M247</f>
        <v/>
      </c>
      <c r="K247" s="35">
        <f>J247/3600</f>
        <v/>
      </c>
      <c r="L247" s="35">
        <f>SUMIFS($K$5:$K$692,$A$5:$A$692,A247,$B$5:$B$692,B247,$F$5:$F$692,"&lt;="&amp;F247)</f>
        <v/>
      </c>
      <c r="M247" s="58">
        <f>'个人技术逐级'!N247</f>
        <v/>
      </c>
      <c r="N247" s="58">
        <f>SUMIFS($M$5:$M$692,$A$5:$A$692,A247,$B$5:$B$692,B247,$F$5:$F$692,"&lt;="&amp;F247)</f>
        <v/>
      </c>
      <c r="O247" s="58">
        <f>0</f>
        <v/>
      </c>
      <c r="P247" s="58">
        <f>SUMIFS($O$5:$O$692,$A$5:$A$692,A247,$B$5:$B$692,B247,$F$5:$F$692,"&lt;="&amp;F247)</f>
        <v/>
      </c>
      <c r="Q247" s="58">
        <f>0</f>
        <v/>
      </c>
      <c r="R247" s="58">
        <f>SUMIFS($Q$5:$Q$692,$A$5:$A$692,A247,$B$5:$B$692,B247,$F$5:$F$692,"&lt;="&amp;F247)</f>
        <v/>
      </c>
      <c r="S247" s="58">
        <f>0</f>
        <v/>
      </c>
      <c r="T247" s="58">
        <f>SUMIFS($S$5:$S$692,$A$5:$A$692,A247,$B$5:$B$692,B247,$F$5:$F$692,"&lt;="&amp;F247)</f>
        <v/>
      </c>
      <c r="U247" s="52">
        <f>'个人技术逐级'!O247</f>
        <v/>
      </c>
    </row>
    <row r="248">
      <c r="A248" s="33" t="inlineStr">
        <is>
          <t>个人技术</t>
        </is>
      </c>
      <c r="B248" s="33">
        <f>'个人技术逐级'!A248</f>
        <v/>
      </c>
      <c r="C248" s="33">
        <f>'个人技术逐级'!B248</f>
        <v/>
      </c>
      <c r="D248" s="33">
        <f>'个人技术逐级'!C248</f>
        <v/>
      </c>
      <c r="E248">
        <f>'个人技术逐级'!D248</f>
        <v/>
      </c>
      <c r="F248" s="54">
        <f>'个人技术逐级'!E248</f>
        <v/>
      </c>
      <c r="G248" s="55">
        <f>'个人技术逐级'!F248</f>
        <v/>
      </c>
      <c r="H248" s="56">
        <f>'个人技术逐级'!G248</f>
        <v/>
      </c>
      <c r="I248" s="52" t="inlineStr">
        <is>
          <t>个人技术计时升级</t>
        </is>
      </c>
      <c r="J248" s="57">
        <f>'个人技术逐级'!M248</f>
        <v/>
      </c>
      <c r="K248" s="35">
        <f>J248/3600</f>
        <v/>
      </c>
      <c r="L248" s="35">
        <f>SUMIFS($K$5:$K$692,$A$5:$A$692,A248,$B$5:$B$692,B248,$F$5:$F$692,"&lt;="&amp;F248)</f>
        <v/>
      </c>
      <c r="M248" s="58">
        <f>'个人技术逐级'!N248</f>
        <v/>
      </c>
      <c r="N248" s="58">
        <f>SUMIFS($M$5:$M$692,$A$5:$A$692,A248,$B$5:$B$692,B248,$F$5:$F$692,"&lt;="&amp;F248)</f>
        <v/>
      </c>
      <c r="O248" s="58">
        <f>0</f>
        <v/>
      </c>
      <c r="P248" s="58">
        <f>SUMIFS($O$5:$O$692,$A$5:$A$692,A248,$B$5:$B$692,B248,$F$5:$F$692,"&lt;="&amp;F248)</f>
        <v/>
      </c>
      <c r="Q248" s="58">
        <f>0</f>
        <v/>
      </c>
      <c r="R248" s="58">
        <f>SUMIFS($Q$5:$Q$692,$A$5:$A$692,A248,$B$5:$B$692,B248,$F$5:$F$692,"&lt;="&amp;F248)</f>
        <v/>
      </c>
      <c r="S248" s="58">
        <f>0</f>
        <v/>
      </c>
      <c r="T248" s="58">
        <f>SUMIFS($S$5:$S$692,$A$5:$A$692,A248,$B$5:$B$692,B248,$F$5:$F$692,"&lt;="&amp;F248)</f>
        <v/>
      </c>
      <c r="U248" s="52">
        <f>'个人技术逐级'!O248</f>
        <v/>
      </c>
    </row>
    <row r="249">
      <c r="A249" s="33" t="inlineStr">
        <is>
          <t>个人技术</t>
        </is>
      </c>
      <c r="B249" s="33">
        <f>'个人技术逐级'!A249</f>
        <v/>
      </c>
      <c r="C249" s="33">
        <f>'个人技术逐级'!B249</f>
        <v/>
      </c>
      <c r="D249" s="33">
        <f>'个人技术逐级'!C249</f>
        <v/>
      </c>
      <c r="E249">
        <f>'个人技术逐级'!D249</f>
        <v/>
      </c>
      <c r="F249" s="54">
        <f>'个人技术逐级'!E249</f>
        <v/>
      </c>
      <c r="G249" s="55">
        <f>'个人技术逐级'!F249</f>
        <v/>
      </c>
      <c r="H249" s="56">
        <f>'个人技术逐级'!G249</f>
        <v/>
      </c>
      <c r="I249" s="52" t="inlineStr">
        <is>
          <t>个人技术计时升级</t>
        </is>
      </c>
      <c r="J249" s="57">
        <f>'个人技术逐级'!M249</f>
        <v/>
      </c>
      <c r="K249" s="35">
        <f>J249/3600</f>
        <v/>
      </c>
      <c r="L249" s="35">
        <f>SUMIFS($K$5:$K$692,$A$5:$A$692,A249,$B$5:$B$692,B249,$F$5:$F$692,"&lt;="&amp;F249)</f>
        <v/>
      </c>
      <c r="M249" s="58">
        <f>'个人技术逐级'!N249</f>
        <v/>
      </c>
      <c r="N249" s="58">
        <f>SUMIFS($M$5:$M$692,$A$5:$A$692,A249,$B$5:$B$692,B249,$F$5:$F$692,"&lt;="&amp;F249)</f>
        <v/>
      </c>
      <c r="O249" s="58">
        <f>0</f>
        <v/>
      </c>
      <c r="P249" s="58">
        <f>SUMIFS($O$5:$O$692,$A$5:$A$692,A249,$B$5:$B$692,B249,$F$5:$F$692,"&lt;="&amp;F249)</f>
        <v/>
      </c>
      <c r="Q249" s="58">
        <f>0</f>
        <v/>
      </c>
      <c r="R249" s="58">
        <f>SUMIFS($Q$5:$Q$692,$A$5:$A$692,A249,$B$5:$B$692,B249,$F$5:$F$692,"&lt;="&amp;F249)</f>
        <v/>
      </c>
      <c r="S249" s="58">
        <f>0</f>
        <v/>
      </c>
      <c r="T249" s="58">
        <f>SUMIFS($S$5:$S$692,$A$5:$A$692,A249,$B$5:$B$692,B249,$F$5:$F$692,"&lt;="&amp;F249)</f>
        <v/>
      </c>
      <c r="U249" s="52">
        <f>'个人技术逐级'!O249</f>
        <v/>
      </c>
    </row>
    <row r="250">
      <c r="A250" s="33" t="inlineStr">
        <is>
          <t>个人技术</t>
        </is>
      </c>
      <c r="B250" s="33">
        <f>'个人技术逐级'!A250</f>
        <v/>
      </c>
      <c r="C250" s="33">
        <f>'个人技术逐级'!B250</f>
        <v/>
      </c>
      <c r="D250" s="33">
        <f>'个人技术逐级'!C250</f>
        <v/>
      </c>
      <c r="E250">
        <f>'个人技术逐级'!D250</f>
        <v/>
      </c>
      <c r="F250" s="54">
        <f>'个人技术逐级'!E250</f>
        <v/>
      </c>
      <c r="G250" s="55">
        <f>'个人技术逐级'!F250</f>
        <v/>
      </c>
      <c r="H250" s="56">
        <f>'个人技术逐级'!G250</f>
        <v/>
      </c>
      <c r="I250" s="52" t="inlineStr">
        <is>
          <t>个人技术计时升级</t>
        </is>
      </c>
      <c r="J250" s="57">
        <f>'个人技术逐级'!M250</f>
        <v/>
      </c>
      <c r="K250" s="35">
        <f>J250/3600</f>
        <v/>
      </c>
      <c r="L250" s="35">
        <f>SUMIFS($K$5:$K$692,$A$5:$A$692,A250,$B$5:$B$692,B250,$F$5:$F$692,"&lt;="&amp;F250)</f>
        <v/>
      </c>
      <c r="M250" s="58">
        <f>'个人技术逐级'!N250</f>
        <v/>
      </c>
      <c r="N250" s="58">
        <f>SUMIFS($M$5:$M$692,$A$5:$A$692,A250,$B$5:$B$692,B250,$F$5:$F$692,"&lt;="&amp;F250)</f>
        <v/>
      </c>
      <c r="O250" s="58">
        <f>0</f>
        <v/>
      </c>
      <c r="P250" s="58">
        <f>SUMIFS($O$5:$O$692,$A$5:$A$692,A250,$B$5:$B$692,B250,$F$5:$F$692,"&lt;="&amp;F250)</f>
        <v/>
      </c>
      <c r="Q250" s="58">
        <f>0</f>
        <v/>
      </c>
      <c r="R250" s="58">
        <f>SUMIFS($Q$5:$Q$692,$A$5:$A$692,A250,$B$5:$B$692,B250,$F$5:$F$692,"&lt;="&amp;F250)</f>
        <v/>
      </c>
      <c r="S250" s="58">
        <f>0</f>
        <v/>
      </c>
      <c r="T250" s="58">
        <f>SUMIFS($S$5:$S$692,$A$5:$A$692,A250,$B$5:$B$692,B250,$F$5:$F$692,"&lt;="&amp;F250)</f>
        <v/>
      </c>
      <c r="U250" s="52">
        <f>'个人技术逐级'!O250</f>
        <v/>
      </c>
    </row>
    <row r="251">
      <c r="A251" s="33" t="inlineStr">
        <is>
          <t>个人技术</t>
        </is>
      </c>
      <c r="B251" s="33">
        <f>'个人技术逐级'!A251</f>
        <v/>
      </c>
      <c r="C251" s="33">
        <f>'个人技术逐级'!B251</f>
        <v/>
      </c>
      <c r="D251" s="33">
        <f>'个人技术逐级'!C251</f>
        <v/>
      </c>
      <c r="E251">
        <f>'个人技术逐级'!D251</f>
        <v/>
      </c>
      <c r="F251" s="54">
        <f>'个人技术逐级'!E251</f>
        <v/>
      </c>
      <c r="G251" s="55">
        <f>'个人技术逐级'!F251</f>
        <v/>
      </c>
      <c r="H251" s="56">
        <f>'个人技术逐级'!G251</f>
        <v/>
      </c>
      <c r="I251" s="52" t="inlineStr">
        <is>
          <t>个人技术计时升级</t>
        </is>
      </c>
      <c r="J251" s="57">
        <f>'个人技术逐级'!M251</f>
        <v/>
      </c>
      <c r="K251" s="35">
        <f>J251/3600</f>
        <v/>
      </c>
      <c r="L251" s="35">
        <f>SUMIFS($K$5:$K$692,$A$5:$A$692,A251,$B$5:$B$692,B251,$F$5:$F$692,"&lt;="&amp;F251)</f>
        <v/>
      </c>
      <c r="M251" s="58">
        <f>'个人技术逐级'!N251</f>
        <v/>
      </c>
      <c r="N251" s="58">
        <f>SUMIFS($M$5:$M$692,$A$5:$A$692,A251,$B$5:$B$692,B251,$F$5:$F$692,"&lt;="&amp;F251)</f>
        <v/>
      </c>
      <c r="O251" s="58">
        <f>0</f>
        <v/>
      </c>
      <c r="P251" s="58">
        <f>SUMIFS($O$5:$O$692,$A$5:$A$692,A251,$B$5:$B$692,B251,$F$5:$F$692,"&lt;="&amp;F251)</f>
        <v/>
      </c>
      <c r="Q251" s="58">
        <f>0</f>
        <v/>
      </c>
      <c r="R251" s="58">
        <f>SUMIFS($Q$5:$Q$692,$A$5:$A$692,A251,$B$5:$B$692,B251,$F$5:$F$692,"&lt;="&amp;F251)</f>
        <v/>
      </c>
      <c r="S251" s="58">
        <f>0</f>
        <v/>
      </c>
      <c r="T251" s="58">
        <f>SUMIFS($S$5:$S$692,$A$5:$A$692,A251,$B$5:$B$692,B251,$F$5:$F$692,"&lt;="&amp;F251)</f>
        <v/>
      </c>
      <c r="U251" s="52">
        <f>'个人技术逐级'!O251</f>
        <v/>
      </c>
    </row>
    <row r="252">
      <c r="A252" s="33" t="inlineStr">
        <is>
          <t>个人技术</t>
        </is>
      </c>
      <c r="B252" s="33">
        <f>'个人技术逐级'!A252</f>
        <v/>
      </c>
      <c r="C252" s="33">
        <f>'个人技术逐级'!B252</f>
        <v/>
      </c>
      <c r="D252" s="33">
        <f>'个人技术逐级'!C252</f>
        <v/>
      </c>
      <c r="E252">
        <f>'个人技术逐级'!D252</f>
        <v/>
      </c>
      <c r="F252" s="54">
        <f>'个人技术逐级'!E252</f>
        <v/>
      </c>
      <c r="G252" s="55">
        <f>'个人技术逐级'!F252</f>
        <v/>
      </c>
      <c r="H252" s="56">
        <f>'个人技术逐级'!G252</f>
        <v/>
      </c>
      <c r="I252" s="52" t="inlineStr">
        <is>
          <t>个人技术计时升级</t>
        </is>
      </c>
      <c r="J252" s="57">
        <f>'个人技术逐级'!M252</f>
        <v/>
      </c>
      <c r="K252" s="35">
        <f>J252/3600</f>
        <v/>
      </c>
      <c r="L252" s="35">
        <f>SUMIFS($K$5:$K$692,$A$5:$A$692,A252,$B$5:$B$692,B252,$F$5:$F$692,"&lt;="&amp;F252)</f>
        <v/>
      </c>
      <c r="M252" s="58">
        <f>'个人技术逐级'!N252</f>
        <v/>
      </c>
      <c r="N252" s="58">
        <f>SUMIFS($M$5:$M$692,$A$5:$A$692,A252,$B$5:$B$692,B252,$F$5:$F$692,"&lt;="&amp;F252)</f>
        <v/>
      </c>
      <c r="O252" s="58">
        <f>0</f>
        <v/>
      </c>
      <c r="P252" s="58">
        <f>SUMIFS($O$5:$O$692,$A$5:$A$692,A252,$B$5:$B$692,B252,$F$5:$F$692,"&lt;="&amp;F252)</f>
        <v/>
      </c>
      <c r="Q252" s="58">
        <f>0</f>
        <v/>
      </c>
      <c r="R252" s="58">
        <f>SUMIFS($Q$5:$Q$692,$A$5:$A$692,A252,$B$5:$B$692,B252,$F$5:$F$692,"&lt;="&amp;F252)</f>
        <v/>
      </c>
      <c r="S252" s="58">
        <f>0</f>
        <v/>
      </c>
      <c r="T252" s="58">
        <f>SUMIFS($S$5:$S$692,$A$5:$A$692,A252,$B$5:$B$692,B252,$F$5:$F$692,"&lt;="&amp;F252)</f>
        <v/>
      </c>
      <c r="U252" s="52">
        <f>'个人技术逐级'!O252</f>
        <v/>
      </c>
    </row>
    <row r="253">
      <c r="A253" s="33" t="inlineStr">
        <is>
          <t>个人技术</t>
        </is>
      </c>
      <c r="B253" s="33">
        <f>'个人技术逐级'!A253</f>
        <v/>
      </c>
      <c r="C253" s="33">
        <f>'个人技术逐级'!B253</f>
        <v/>
      </c>
      <c r="D253" s="33">
        <f>'个人技术逐级'!C253</f>
        <v/>
      </c>
      <c r="E253">
        <f>'个人技术逐级'!D253</f>
        <v/>
      </c>
      <c r="F253" s="54">
        <f>'个人技术逐级'!E253</f>
        <v/>
      </c>
      <c r="G253" s="55">
        <f>'个人技术逐级'!F253</f>
        <v/>
      </c>
      <c r="H253" s="56">
        <f>'个人技术逐级'!G253</f>
        <v/>
      </c>
      <c r="I253" s="52" t="inlineStr">
        <is>
          <t>个人技术计时升级</t>
        </is>
      </c>
      <c r="J253" s="57">
        <f>'个人技术逐级'!M253</f>
        <v/>
      </c>
      <c r="K253" s="35">
        <f>J253/3600</f>
        <v/>
      </c>
      <c r="L253" s="35">
        <f>SUMIFS($K$5:$K$692,$A$5:$A$692,A253,$B$5:$B$692,B253,$F$5:$F$692,"&lt;="&amp;F253)</f>
        <v/>
      </c>
      <c r="M253" s="58">
        <f>'个人技术逐级'!N253</f>
        <v/>
      </c>
      <c r="N253" s="58">
        <f>SUMIFS($M$5:$M$692,$A$5:$A$692,A253,$B$5:$B$692,B253,$F$5:$F$692,"&lt;="&amp;F253)</f>
        <v/>
      </c>
      <c r="O253" s="58">
        <f>0</f>
        <v/>
      </c>
      <c r="P253" s="58">
        <f>SUMIFS($O$5:$O$692,$A$5:$A$692,A253,$B$5:$B$692,B253,$F$5:$F$692,"&lt;="&amp;F253)</f>
        <v/>
      </c>
      <c r="Q253" s="58">
        <f>0</f>
        <v/>
      </c>
      <c r="R253" s="58">
        <f>SUMIFS($Q$5:$Q$692,$A$5:$A$692,A253,$B$5:$B$692,B253,$F$5:$F$692,"&lt;="&amp;F253)</f>
        <v/>
      </c>
      <c r="S253" s="58">
        <f>0</f>
        <v/>
      </c>
      <c r="T253" s="58">
        <f>SUMIFS($S$5:$S$692,$A$5:$A$692,A253,$B$5:$B$692,B253,$F$5:$F$692,"&lt;="&amp;F253)</f>
        <v/>
      </c>
      <c r="U253" s="52">
        <f>'个人技术逐级'!O253</f>
        <v/>
      </c>
    </row>
    <row r="254">
      <c r="A254" s="33" t="inlineStr">
        <is>
          <t>个人技术</t>
        </is>
      </c>
      <c r="B254" s="33">
        <f>'个人技术逐级'!A254</f>
        <v/>
      </c>
      <c r="C254" s="33">
        <f>'个人技术逐级'!B254</f>
        <v/>
      </c>
      <c r="D254" s="33">
        <f>'个人技术逐级'!C254</f>
        <v/>
      </c>
      <c r="E254">
        <f>'个人技术逐级'!D254</f>
        <v/>
      </c>
      <c r="F254" s="54">
        <f>'个人技术逐级'!E254</f>
        <v/>
      </c>
      <c r="G254" s="55">
        <f>'个人技术逐级'!F254</f>
        <v/>
      </c>
      <c r="H254" s="56">
        <f>'个人技术逐级'!G254</f>
        <v/>
      </c>
      <c r="I254" s="52" t="inlineStr">
        <is>
          <t>个人技术计时升级</t>
        </is>
      </c>
      <c r="J254" s="57">
        <f>'个人技术逐级'!M254</f>
        <v/>
      </c>
      <c r="K254" s="35">
        <f>J254/3600</f>
        <v/>
      </c>
      <c r="L254" s="35">
        <f>SUMIFS($K$5:$K$692,$A$5:$A$692,A254,$B$5:$B$692,B254,$F$5:$F$692,"&lt;="&amp;F254)</f>
        <v/>
      </c>
      <c r="M254" s="58">
        <f>'个人技术逐级'!N254</f>
        <v/>
      </c>
      <c r="N254" s="58">
        <f>SUMIFS($M$5:$M$692,$A$5:$A$692,A254,$B$5:$B$692,B254,$F$5:$F$692,"&lt;="&amp;F254)</f>
        <v/>
      </c>
      <c r="O254" s="58">
        <f>0</f>
        <v/>
      </c>
      <c r="P254" s="58">
        <f>SUMIFS($O$5:$O$692,$A$5:$A$692,A254,$B$5:$B$692,B254,$F$5:$F$692,"&lt;="&amp;F254)</f>
        <v/>
      </c>
      <c r="Q254" s="58">
        <f>0</f>
        <v/>
      </c>
      <c r="R254" s="58">
        <f>SUMIFS($Q$5:$Q$692,$A$5:$A$692,A254,$B$5:$B$692,B254,$F$5:$F$692,"&lt;="&amp;F254)</f>
        <v/>
      </c>
      <c r="S254" s="58">
        <f>0</f>
        <v/>
      </c>
      <c r="T254" s="58">
        <f>SUMIFS($S$5:$S$692,$A$5:$A$692,A254,$B$5:$B$692,B254,$F$5:$F$692,"&lt;="&amp;F254)</f>
        <v/>
      </c>
      <c r="U254" s="52">
        <f>'个人技术逐级'!O254</f>
        <v/>
      </c>
    </row>
    <row r="255">
      <c r="A255" s="33" t="inlineStr">
        <is>
          <t>个人技术</t>
        </is>
      </c>
      <c r="B255" s="33">
        <f>'个人技术逐级'!A255</f>
        <v/>
      </c>
      <c r="C255" s="33">
        <f>'个人技术逐级'!B255</f>
        <v/>
      </c>
      <c r="D255" s="33">
        <f>'个人技术逐级'!C255</f>
        <v/>
      </c>
      <c r="E255">
        <f>'个人技术逐级'!D255</f>
        <v/>
      </c>
      <c r="F255" s="54">
        <f>'个人技术逐级'!E255</f>
        <v/>
      </c>
      <c r="G255" s="55">
        <f>'个人技术逐级'!F255</f>
        <v/>
      </c>
      <c r="H255" s="56">
        <f>'个人技术逐级'!G255</f>
        <v/>
      </c>
      <c r="I255" s="52" t="inlineStr">
        <is>
          <t>个人技术计时升级</t>
        </is>
      </c>
      <c r="J255" s="57">
        <f>'个人技术逐级'!M255</f>
        <v/>
      </c>
      <c r="K255" s="35">
        <f>J255/3600</f>
        <v/>
      </c>
      <c r="L255" s="35">
        <f>SUMIFS($K$5:$K$692,$A$5:$A$692,A255,$B$5:$B$692,B255,$F$5:$F$692,"&lt;="&amp;F255)</f>
        <v/>
      </c>
      <c r="M255" s="58">
        <f>'个人技术逐级'!N255</f>
        <v/>
      </c>
      <c r="N255" s="58">
        <f>SUMIFS($M$5:$M$692,$A$5:$A$692,A255,$B$5:$B$692,B255,$F$5:$F$692,"&lt;="&amp;F255)</f>
        <v/>
      </c>
      <c r="O255" s="58">
        <f>0</f>
        <v/>
      </c>
      <c r="P255" s="58">
        <f>SUMIFS($O$5:$O$692,$A$5:$A$692,A255,$B$5:$B$692,B255,$F$5:$F$692,"&lt;="&amp;F255)</f>
        <v/>
      </c>
      <c r="Q255" s="58">
        <f>0</f>
        <v/>
      </c>
      <c r="R255" s="58">
        <f>SUMIFS($Q$5:$Q$692,$A$5:$A$692,A255,$B$5:$B$692,B255,$F$5:$F$692,"&lt;="&amp;F255)</f>
        <v/>
      </c>
      <c r="S255" s="58">
        <f>0</f>
        <v/>
      </c>
      <c r="T255" s="58">
        <f>SUMIFS($S$5:$S$692,$A$5:$A$692,A255,$B$5:$B$692,B255,$F$5:$F$692,"&lt;="&amp;F255)</f>
        <v/>
      </c>
      <c r="U255" s="52">
        <f>'个人技术逐级'!O255</f>
        <v/>
      </c>
    </row>
    <row r="256">
      <c r="A256" s="33" t="inlineStr">
        <is>
          <t>个人技术</t>
        </is>
      </c>
      <c r="B256" s="33">
        <f>'个人技术逐级'!A256</f>
        <v/>
      </c>
      <c r="C256" s="33">
        <f>'个人技术逐级'!B256</f>
        <v/>
      </c>
      <c r="D256" s="33">
        <f>'个人技术逐级'!C256</f>
        <v/>
      </c>
      <c r="E256">
        <f>'个人技术逐级'!D256</f>
        <v/>
      </c>
      <c r="F256" s="54">
        <f>'个人技术逐级'!E256</f>
        <v/>
      </c>
      <c r="G256" s="55">
        <f>'个人技术逐级'!F256</f>
        <v/>
      </c>
      <c r="H256" s="56">
        <f>'个人技术逐级'!G256</f>
        <v/>
      </c>
      <c r="I256" s="52" t="inlineStr">
        <is>
          <t>个人技术计时升级</t>
        </is>
      </c>
      <c r="J256" s="57">
        <f>'个人技术逐级'!M256</f>
        <v/>
      </c>
      <c r="K256" s="35">
        <f>J256/3600</f>
        <v/>
      </c>
      <c r="L256" s="35">
        <f>SUMIFS($K$5:$K$692,$A$5:$A$692,A256,$B$5:$B$692,B256,$F$5:$F$692,"&lt;="&amp;F256)</f>
        <v/>
      </c>
      <c r="M256" s="58">
        <f>'个人技术逐级'!N256</f>
        <v/>
      </c>
      <c r="N256" s="58">
        <f>SUMIFS($M$5:$M$692,$A$5:$A$692,A256,$B$5:$B$692,B256,$F$5:$F$692,"&lt;="&amp;F256)</f>
        <v/>
      </c>
      <c r="O256" s="58">
        <f>0</f>
        <v/>
      </c>
      <c r="P256" s="58">
        <f>SUMIFS($O$5:$O$692,$A$5:$A$692,A256,$B$5:$B$692,B256,$F$5:$F$692,"&lt;="&amp;F256)</f>
        <v/>
      </c>
      <c r="Q256" s="58">
        <f>0</f>
        <v/>
      </c>
      <c r="R256" s="58">
        <f>SUMIFS($Q$5:$Q$692,$A$5:$A$692,A256,$B$5:$B$692,B256,$F$5:$F$692,"&lt;="&amp;F256)</f>
        <v/>
      </c>
      <c r="S256" s="58">
        <f>0</f>
        <v/>
      </c>
      <c r="T256" s="58">
        <f>SUMIFS($S$5:$S$692,$A$5:$A$692,A256,$B$5:$B$692,B256,$F$5:$F$692,"&lt;="&amp;F256)</f>
        <v/>
      </c>
      <c r="U256" s="52">
        <f>'个人技术逐级'!O256</f>
        <v/>
      </c>
    </row>
    <row r="257">
      <c r="A257" s="33" t="inlineStr">
        <is>
          <t>个人技术</t>
        </is>
      </c>
      <c r="B257" s="33">
        <f>'个人技术逐级'!A257</f>
        <v/>
      </c>
      <c r="C257" s="33">
        <f>'个人技术逐级'!B257</f>
        <v/>
      </c>
      <c r="D257" s="33">
        <f>'个人技术逐级'!C257</f>
        <v/>
      </c>
      <c r="E257">
        <f>'个人技术逐级'!D257</f>
        <v/>
      </c>
      <c r="F257" s="54">
        <f>'个人技术逐级'!E257</f>
        <v/>
      </c>
      <c r="G257" s="55">
        <f>'个人技术逐级'!F257</f>
        <v/>
      </c>
      <c r="H257" s="56">
        <f>'个人技术逐级'!G257</f>
        <v/>
      </c>
      <c r="I257" s="52" t="inlineStr">
        <is>
          <t>个人技术计时升级</t>
        </is>
      </c>
      <c r="J257" s="57">
        <f>'个人技术逐级'!M257</f>
        <v/>
      </c>
      <c r="K257" s="35">
        <f>J257/3600</f>
        <v/>
      </c>
      <c r="L257" s="35">
        <f>SUMIFS($K$5:$K$692,$A$5:$A$692,A257,$B$5:$B$692,B257,$F$5:$F$692,"&lt;="&amp;F257)</f>
        <v/>
      </c>
      <c r="M257" s="58">
        <f>'个人技术逐级'!N257</f>
        <v/>
      </c>
      <c r="N257" s="58">
        <f>SUMIFS($M$5:$M$692,$A$5:$A$692,A257,$B$5:$B$692,B257,$F$5:$F$692,"&lt;="&amp;F257)</f>
        <v/>
      </c>
      <c r="O257" s="58">
        <f>0</f>
        <v/>
      </c>
      <c r="P257" s="58">
        <f>SUMIFS($O$5:$O$692,$A$5:$A$692,A257,$B$5:$B$692,B257,$F$5:$F$692,"&lt;="&amp;F257)</f>
        <v/>
      </c>
      <c r="Q257" s="58">
        <f>0</f>
        <v/>
      </c>
      <c r="R257" s="58">
        <f>SUMIFS($Q$5:$Q$692,$A$5:$A$692,A257,$B$5:$B$692,B257,$F$5:$F$692,"&lt;="&amp;F257)</f>
        <v/>
      </c>
      <c r="S257" s="58">
        <f>0</f>
        <v/>
      </c>
      <c r="T257" s="58">
        <f>SUMIFS($S$5:$S$692,$A$5:$A$692,A257,$B$5:$B$692,B257,$F$5:$F$692,"&lt;="&amp;F257)</f>
        <v/>
      </c>
      <c r="U257" s="52">
        <f>'个人技术逐级'!O257</f>
        <v/>
      </c>
    </row>
    <row r="258">
      <c r="A258" s="33" t="inlineStr">
        <is>
          <t>个人技术</t>
        </is>
      </c>
      <c r="B258" s="33">
        <f>'个人技术逐级'!A258</f>
        <v/>
      </c>
      <c r="C258" s="33">
        <f>'个人技术逐级'!B258</f>
        <v/>
      </c>
      <c r="D258" s="33">
        <f>'个人技术逐级'!C258</f>
        <v/>
      </c>
      <c r="E258">
        <f>'个人技术逐级'!D258</f>
        <v/>
      </c>
      <c r="F258" s="54">
        <f>'个人技术逐级'!E258</f>
        <v/>
      </c>
      <c r="G258" s="55">
        <f>'个人技术逐级'!F258</f>
        <v/>
      </c>
      <c r="H258" s="56">
        <f>'个人技术逐级'!G258</f>
        <v/>
      </c>
      <c r="I258" s="52" t="inlineStr">
        <is>
          <t>个人技术计时升级</t>
        </is>
      </c>
      <c r="J258" s="57">
        <f>'个人技术逐级'!M258</f>
        <v/>
      </c>
      <c r="K258" s="35">
        <f>J258/3600</f>
        <v/>
      </c>
      <c r="L258" s="35">
        <f>SUMIFS($K$5:$K$692,$A$5:$A$692,A258,$B$5:$B$692,B258,$F$5:$F$692,"&lt;="&amp;F258)</f>
        <v/>
      </c>
      <c r="M258" s="58">
        <f>'个人技术逐级'!N258</f>
        <v/>
      </c>
      <c r="N258" s="58">
        <f>SUMIFS($M$5:$M$692,$A$5:$A$692,A258,$B$5:$B$692,B258,$F$5:$F$692,"&lt;="&amp;F258)</f>
        <v/>
      </c>
      <c r="O258" s="58">
        <f>0</f>
        <v/>
      </c>
      <c r="P258" s="58">
        <f>SUMIFS($O$5:$O$692,$A$5:$A$692,A258,$B$5:$B$692,B258,$F$5:$F$692,"&lt;="&amp;F258)</f>
        <v/>
      </c>
      <c r="Q258" s="58">
        <f>0</f>
        <v/>
      </c>
      <c r="R258" s="58">
        <f>SUMIFS($Q$5:$Q$692,$A$5:$A$692,A258,$B$5:$B$692,B258,$F$5:$F$692,"&lt;="&amp;F258)</f>
        <v/>
      </c>
      <c r="S258" s="58">
        <f>0</f>
        <v/>
      </c>
      <c r="T258" s="58">
        <f>SUMIFS($S$5:$S$692,$A$5:$A$692,A258,$B$5:$B$692,B258,$F$5:$F$692,"&lt;="&amp;F258)</f>
        <v/>
      </c>
      <c r="U258" s="52">
        <f>'个人技术逐级'!O258</f>
        <v/>
      </c>
    </row>
    <row r="259">
      <c r="A259" s="33" t="inlineStr">
        <is>
          <t>个人技术</t>
        </is>
      </c>
      <c r="B259" s="33">
        <f>'个人技术逐级'!A259</f>
        <v/>
      </c>
      <c r="C259" s="33">
        <f>'个人技术逐级'!B259</f>
        <v/>
      </c>
      <c r="D259" s="33">
        <f>'个人技术逐级'!C259</f>
        <v/>
      </c>
      <c r="E259">
        <f>'个人技术逐级'!D259</f>
        <v/>
      </c>
      <c r="F259" s="54">
        <f>'个人技术逐级'!E259</f>
        <v/>
      </c>
      <c r="G259" s="55">
        <f>'个人技术逐级'!F259</f>
        <v/>
      </c>
      <c r="H259" s="56">
        <f>'个人技术逐级'!G259</f>
        <v/>
      </c>
      <c r="I259" s="52" t="inlineStr">
        <is>
          <t>个人技术计时升级</t>
        </is>
      </c>
      <c r="J259" s="57">
        <f>'个人技术逐级'!M259</f>
        <v/>
      </c>
      <c r="K259" s="35">
        <f>J259/3600</f>
        <v/>
      </c>
      <c r="L259" s="35">
        <f>SUMIFS($K$5:$K$692,$A$5:$A$692,A259,$B$5:$B$692,B259,$F$5:$F$692,"&lt;="&amp;F259)</f>
        <v/>
      </c>
      <c r="M259" s="58">
        <f>'个人技术逐级'!N259</f>
        <v/>
      </c>
      <c r="N259" s="58">
        <f>SUMIFS($M$5:$M$692,$A$5:$A$692,A259,$B$5:$B$692,B259,$F$5:$F$692,"&lt;="&amp;F259)</f>
        <v/>
      </c>
      <c r="O259" s="58">
        <f>0</f>
        <v/>
      </c>
      <c r="P259" s="58">
        <f>SUMIFS($O$5:$O$692,$A$5:$A$692,A259,$B$5:$B$692,B259,$F$5:$F$692,"&lt;="&amp;F259)</f>
        <v/>
      </c>
      <c r="Q259" s="58">
        <f>0</f>
        <v/>
      </c>
      <c r="R259" s="58">
        <f>SUMIFS($Q$5:$Q$692,$A$5:$A$692,A259,$B$5:$B$692,B259,$F$5:$F$692,"&lt;="&amp;F259)</f>
        <v/>
      </c>
      <c r="S259" s="58">
        <f>0</f>
        <v/>
      </c>
      <c r="T259" s="58">
        <f>SUMIFS($S$5:$S$692,$A$5:$A$692,A259,$B$5:$B$692,B259,$F$5:$F$692,"&lt;="&amp;F259)</f>
        <v/>
      </c>
      <c r="U259" s="52">
        <f>'个人技术逐级'!O259</f>
        <v/>
      </c>
    </row>
    <row r="260">
      <c r="A260" s="33" t="inlineStr">
        <is>
          <t>个人技术</t>
        </is>
      </c>
      <c r="B260" s="33">
        <f>'个人技术逐级'!A260</f>
        <v/>
      </c>
      <c r="C260" s="33">
        <f>'个人技术逐级'!B260</f>
        <v/>
      </c>
      <c r="D260" s="33">
        <f>'个人技术逐级'!C260</f>
        <v/>
      </c>
      <c r="E260">
        <f>'个人技术逐级'!D260</f>
        <v/>
      </c>
      <c r="F260" s="54">
        <f>'个人技术逐级'!E260</f>
        <v/>
      </c>
      <c r="G260" s="55">
        <f>'个人技术逐级'!F260</f>
        <v/>
      </c>
      <c r="H260" s="56">
        <f>'个人技术逐级'!G260</f>
        <v/>
      </c>
      <c r="I260" s="52" t="inlineStr">
        <is>
          <t>个人技术计时升级</t>
        </is>
      </c>
      <c r="J260" s="57">
        <f>'个人技术逐级'!M260</f>
        <v/>
      </c>
      <c r="K260" s="35">
        <f>J260/3600</f>
        <v/>
      </c>
      <c r="L260" s="35">
        <f>SUMIFS($K$5:$K$692,$A$5:$A$692,A260,$B$5:$B$692,B260,$F$5:$F$692,"&lt;="&amp;F260)</f>
        <v/>
      </c>
      <c r="M260" s="58">
        <f>'个人技术逐级'!N260</f>
        <v/>
      </c>
      <c r="N260" s="58">
        <f>SUMIFS($M$5:$M$692,$A$5:$A$692,A260,$B$5:$B$692,B260,$F$5:$F$692,"&lt;="&amp;F260)</f>
        <v/>
      </c>
      <c r="O260" s="58">
        <f>0</f>
        <v/>
      </c>
      <c r="P260" s="58">
        <f>SUMIFS($O$5:$O$692,$A$5:$A$692,A260,$B$5:$B$692,B260,$F$5:$F$692,"&lt;="&amp;F260)</f>
        <v/>
      </c>
      <c r="Q260" s="58">
        <f>0</f>
        <v/>
      </c>
      <c r="R260" s="58">
        <f>SUMIFS($Q$5:$Q$692,$A$5:$A$692,A260,$B$5:$B$692,B260,$F$5:$F$692,"&lt;="&amp;F260)</f>
        <v/>
      </c>
      <c r="S260" s="58">
        <f>0</f>
        <v/>
      </c>
      <c r="T260" s="58">
        <f>SUMIFS($S$5:$S$692,$A$5:$A$692,A260,$B$5:$B$692,B260,$F$5:$F$692,"&lt;="&amp;F260)</f>
        <v/>
      </c>
      <c r="U260" s="52">
        <f>'个人技术逐级'!O260</f>
        <v/>
      </c>
    </row>
    <row r="261">
      <c r="A261" s="33" t="inlineStr">
        <is>
          <t>个人技术</t>
        </is>
      </c>
      <c r="B261" s="33">
        <f>'个人技术逐级'!A261</f>
        <v/>
      </c>
      <c r="C261" s="33">
        <f>'个人技术逐级'!B261</f>
        <v/>
      </c>
      <c r="D261" s="33">
        <f>'个人技术逐级'!C261</f>
        <v/>
      </c>
      <c r="E261">
        <f>'个人技术逐级'!D261</f>
        <v/>
      </c>
      <c r="F261" s="54">
        <f>'个人技术逐级'!E261</f>
        <v/>
      </c>
      <c r="G261" s="55">
        <f>'个人技术逐级'!F261</f>
        <v/>
      </c>
      <c r="H261" s="56">
        <f>'个人技术逐级'!G261</f>
        <v/>
      </c>
      <c r="I261" s="52" t="inlineStr">
        <is>
          <t>个人技术计时升级</t>
        </is>
      </c>
      <c r="J261" s="57">
        <f>'个人技术逐级'!M261</f>
        <v/>
      </c>
      <c r="K261" s="35">
        <f>J261/3600</f>
        <v/>
      </c>
      <c r="L261" s="35">
        <f>SUMIFS($K$5:$K$692,$A$5:$A$692,A261,$B$5:$B$692,B261,$F$5:$F$692,"&lt;="&amp;F261)</f>
        <v/>
      </c>
      <c r="M261" s="58">
        <f>'个人技术逐级'!N261</f>
        <v/>
      </c>
      <c r="N261" s="58">
        <f>SUMIFS($M$5:$M$692,$A$5:$A$692,A261,$B$5:$B$692,B261,$F$5:$F$692,"&lt;="&amp;F261)</f>
        <v/>
      </c>
      <c r="O261" s="58">
        <f>0</f>
        <v/>
      </c>
      <c r="P261" s="58">
        <f>SUMIFS($O$5:$O$692,$A$5:$A$692,A261,$B$5:$B$692,B261,$F$5:$F$692,"&lt;="&amp;F261)</f>
        <v/>
      </c>
      <c r="Q261" s="58">
        <f>0</f>
        <v/>
      </c>
      <c r="R261" s="58">
        <f>SUMIFS($Q$5:$Q$692,$A$5:$A$692,A261,$B$5:$B$692,B261,$F$5:$F$692,"&lt;="&amp;F261)</f>
        <v/>
      </c>
      <c r="S261" s="58">
        <f>0</f>
        <v/>
      </c>
      <c r="T261" s="58">
        <f>SUMIFS($S$5:$S$692,$A$5:$A$692,A261,$B$5:$B$692,B261,$F$5:$F$692,"&lt;="&amp;F261)</f>
        <v/>
      </c>
      <c r="U261" s="52">
        <f>'个人技术逐级'!O261</f>
        <v/>
      </c>
    </row>
    <row r="262">
      <c r="A262" s="33" t="inlineStr">
        <is>
          <t>个人技术</t>
        </is>
      </c>
      <c r="B262" s="33">
        <f>'个人技术逐级'!A262</f>
        <v/>
      </c>
      <c r="C262" s="33">
        <f>'个人技术逐级'!B262</f>
        <v/>
      </c>
      <c r="D262" s="33">
        <f>'个人技术逐级'!C262</f>
        <v/>
      </c>
      <c r="E262">
        <f>'个人技术逐级'!D262</f>
        <v/>
      </c>
      <c r="F262" s="54">
        <f>'个人技术逐级'!E262</f>
        <v/>
      </c>
      <c r="G262" s="55">
        <f>'个人技术逐级'!F262</f>
        <v/>
      </c>
      <c r="H262" s="56">
        <f>'个人技术逐级'!G262</f>
        <v/>
      </c>
      <c r="I262" s="52" t="inlineStr">
        <is>
          <t>个人技术计时升级</t>
        </is>
      </c>
      <c r="J262" s="57">
        <f>'个人技术逐级'!M262</f>
        <v/>
      </c>
      <c r="K262" s="35">
        <f>J262/3600</f>
        <v/>
      </c>
      <c r="L262" s="35">
        <f>SUMIFS($K$5:$K$692,$A$5:$A$692,A262,$B$5:$B$692,B262,$F$5:$F$692,"&lt;="&amp;F262)</f>
        <v/>
      </c>
      <c r="M262" s="58">
        <f>'个人技术逐级'!N262</f>
        <v/>
      </c>
      <c r="N262" s="58">
        <f>SUMIFS($M$5:$M$692,$A$5:$A$692,A262,$B$5:$B$692,B262,$F$5:$F$692,"&lt;="&amp;F262)</f>
        <v/>
      </c>
      <c r="O262" s="58">
        <f>0</f>
        <v/>
      </c>
      <c r="P262" s="58">
        <f>SUMIFS($O$5:$O$692,$A$5:$A$692,A262,$B$5:$B$692,B262,$F$5:$F$692,"&lt;="&amp;F262)</f>
        <v/>
      </c>
      <c r="Q262" s="58">
        <f>0</f>
        <v/>
      </c>
      <c r="R262" s="58">
        <f>SUMIFS($Q$5:$Q$692,$A$5:$A$692,A262,$B$5:$B$692,B262,$F$5:$F$692,"&lt;="&amp;F262)</f>
        <v/>
      </c>
      <c r="S262" s="58">
        <f>0</f>
        <v/>
      </c>
      <c r="T262" s="58">
        <f>SUMIFS($S$5:$S$692,$A$5:$A$692,A262,$B$5:$B$692,B262,$F$5:$F$692,"&lt;="&amp;F262)</f>
        <v/>
      </c>
      <c r="U262" s="52">
        <f>'个人技术逐级'!O262</f>
        <v/>
      </c>
    </row>
    <row r="263">
      <c r="A263" s="33" t="inlineStr">
        <is>
          <t>个人技术</t>
        </is>
      </c>
      <c r="B263" s="33">
        <f>'个人技术逐级'!A263</f>
        <v/>
      </c>
      <c r="C263" s="33">
        <f>'个人技术逐级'!B263</f>
        <v/>
      </c>
      <c r="D263" s="33">
        <f>'个人技术逐级'!C263</f>
        <v/>
      </c>
      <c r="E263">
        <f>'个人技术逐级'!D263</f>
        <v/>
      </c>
      <c r="F263" s="54">
        <f>'个人技术逐级'!E263</f>
        <v/>
      </c>
      <c r="G263" s="55">
        <f>'个人技术逐级'!F263</f>
        <v/>
      </c>
      <c r="H263" s="56">
        <f>'个人技术逐级'!G263</f>
        <v/>
      </c>
      <c r="I263" s="52" t="inlineStr">
        <is>
          <t>个人技术计时升级</t>
        </is>
      </c>
      <c r="J263" s="57">
        <f>'个人技术逐级'!M263</f>
        <v/>
      </c>
      <c r="K263" s="35">
        <f>J263/3600</f>
        <v/>
      </c>
      <c r="L263" s="35">
        <f>SUMIFS($K$5:$K$692,$A$5:$A$692,A263,$B$5:$B$692,B263,$F$5:$F$692,"&lt;="&amp;F263)</f>
        <v/>
      </c>
      <c r="M263" s="58">
        <f>'个人技术逐级'!N263</f>
        <v/>
      </c>
      <c r="N263" s="58">
        <f>SUMIFS($M$5:$M$692,$A$5:$A$692,A263,$B$5:$B$692,B263,$F$5:$F$692,"&lt;="&amp;F263)</f>
        <v/>
      </c>
      <c r="O263" s="58">
        <f>0</f>
        <v/>
      </c>
      <c r="P263" s="58">
        <f>SUMIFS($O$5:$O$692,$A$5:$A$692,A263,$B$5:$B$692,B263,$F$5:$F$692,"&lt;="&amp;F263)</f>
        <v/>
      </c>
      <c r="Q263" s="58">
        <f>0</f>
        <v/>
      </c>
      <c r="R263" s="58">
        <f>SUMIFS($Q$5:$Q$692,$A$5:$A$692,A263,$B$5:$B$692,B263,$F$5:$F$692,"&lt;="&amp;F263)</f>
        <v/>
      </c>
      <c r="S263" s="58">
        <f>0</f>
        <v/>
      </c>
      <c r="T263" s="58">
        <f>SUMIFS($S$5:$S$692,$A$5:$A$692,A263,$B$5:$B$692,B263,$F$5:$F$692,"&lt;="&amp;F263)</f>
        <v/>
      </c>
      <c r="U263" s="52">
        <f>'个人技术逐级'!O263</f>
        <v/>
      </c>
    </row>
    <row r="264">
      <c r="A264" s="33" t="inlineStr">
        <is>
          <t>个人技术</t>
        </is>
      </c>
      <c r="B264" s="33">
        <f>'个人技术逐级'!A264</f>
        <v/>
      </c>
      <c r="C264" s="33">
        <f>'个人技术逐级'!B264</f>
        <v/>
      </c>
      <c r="D264" s="33">
        <f>'个人技术逐级'!C264</f>
        <v/>
      </c>
      <c r="E264">
        <f>'个人技术逐级'!D264</f>
        <v/>
      </c>
      <c r="F264" s="54">
        <f>'个人技术逐级'!E264</f>
        <v/>
      </c>
      <c r="G264" s="55">
        <f>'个人技术逐级'!F264</f>
        <v/>
      </c>
      <c r="H264" s="56">
        <f>'个人技术逐级'!G264</f>
        <v/>
      </c>
      <c r="I264" s="52" t="inlineStr">
        <is>
          <t>个人技术计时升级</t>
        </is>
      </c>
      <c r="J264" s="57">
        <f>'个人技术逐级'!M264</f>
        <v/>
      </c>
      <c r="K264" s="35">
        <f>J264/3600</f>
        <v/>
      </c>
      <c r="L264" s="35">
        <f>SUMIFS($K$5:$K$692,$A$5:$A$692,A264,$B$5:$B$692,B264,$F$5:$F$692,"&lt;="&amp;F264)</f>
        <v/>
      </c>
      <c r="M264" s="58">
        <f>'个人技术逐级'!N264</f>
        <v/>
      </c>
      <c r="N264" s="58">
        <f>SUMIFS($M$5:$M$692,$A$5:$A$692,A264,$B$5:$B$692,B264,$F$5:$F$692,"&lt;="&amp;F264)</f>
        <v/>
      </c>
      <c r="O264" s="58">
        <f>0</f>
        <v/>
      </c>
      <c r="P264" s="58">
        <f>SUMIFS($O$5:$O$692,$A$5:$A$692,A264,$B$5:$B$692,B264,$F$5:$F$692,"&lt;="&amp;F264)</f>
        <v/>
      </c>
      <c r="Q264" s="58">
        <f>0</f>
        <v/>
      </c>
      <c r="R264" s="58">
        <f>SUMIFS($Q$5:$Q$692,$A$5:$A$692,A264,$B$5:$B$692,B264,$F$5:$F$692,"&lt;="&amp;F264)</f>
        <v/>
      </c>
      <c r="S264" s="58">
        <f>0</f>
        <v/>
      </c>
      <c r="T264" s="58">
        <f>SUMIFS($S$5:$S$692,$A$5:$A$692,A264,$B$5:$B$692,B264,$F$5:$F$692,"&lt;="&amp;F264)</f>
        <v/>
      </c>
      <c r="U264" s="52">
        <f>'个人技术逐级'!O264</f>
        <v/>
      </c>
    </row>
    <row r="265">
      <c r="A265" s="33" t="inlineStr">
        <is>
          <t>个人技术</t>
        </is>
      </c>
      <c r="B265" s="33">
        <f>'个人技术逐级'!A265</f>
        <v/>
      </c>
      <c r="C265" s="33">
        <f>'个人技术逐级'!B265</f>
        <v/>
      </c>
      <c r="D265" s="33">
        <f>'个人技术逐级'!C265</f>
        <v/>
      </c>
      <c r="E265">
        <f>'个人技术逐级'!D265</f>
        <v/>
      </c>
      <c r="F265" s="54">
        <f>'个人技术逐级'!E265</f>
        <v/>
      </c>
      <c r="G265" s="55">
        <f>'个人技术逐级'!F265</f>
        <v/>
      </c>
      <c r="H265" s="56">
        <f>'个人技术逐级'!G265</f>
        <v/>
      </c>
      <c r="I265" s="52" t="inlineStr">
        <is>
          <t>个人技术计时升级</t>
        </is>
      </c>
      <c r="J265" s="57">
        <f>'个人技术逐级'!M265</f>
        <v/>
      </c>
      <c r="K265" s="35">
        <f>J265/3600</f>
        <v/>
      </c>
      <c r="L265" s="35">
        <f>SUMIFS($K$5:$K$692,$A$5:$A$692,A265,$B$5:$B$692,B265,$F$5:$F$692,"&lt;="&amp;F265)</f>
        <v/>
      </c>
      <c r="M265" s="58">
        <f>'个人技术逐级'!N265</f>
        <v/>
      </c>
      <c r="N265" s="58">
        <f>SUMIFS($M$5:$M$692,$A$5:$A$692,A265,$B$5:$B$692,B265,$F$5:$F$692,"&lt;="&amp;F265)</f>
        <v/>
      </c>
      <c r="O265" s="58">
        <f>0</f>
        <v/>
      </c>
      <c r="P265" s="58">
        <f>SUMIFS($O$5:$O$692,$A$5:$A$692,A265,$B$5:$B$692,B265,$F$5:$F$692,"&lt;="&amp;F265)</f>
        <v/>
      </c>
      <c r="Q265" s="58">
        <f>0</f>
        <v/>
      </c>
      <c r="R265" s="58">
        <f>SUMIFS($Q$5:$Q$692,$A$5:$A$692,A265,$B$5:$B$692,B265,$F$5:$F$692,"&lt;="&amp;F265)</f>
        <v/>
      </c>
      <c r="S265" s="58">
        <f>0</f>
        <v/>
      </c>
      <c r="T265" s="58">
        <f>SUMIFS($S$5:$S$692,$A$5:$A$692,A265,$B$5:$B$692,B265,$F$5:$F$692,"&lt;="&amp;F265)</f>
        <v/>
      </c>
      <c r="U265" s="52">
        <f>'个人技术逐级'!O265</f>
        <v/>
      </c>
    </row>
    <row r="266">
      <c r="A266" s="33" t="inlineStr">
        <is>
          <t>个人技术</t>
        </is>
      </c>
      <c r="B266" s="33">
        <f>'个人技术逐级'!A266</f>
        <v/>
      </c>
      <c r="C266" s="33">
        <f>'个人技术逐级'!B266</f>
        <v/>
      </c>
      <c r="D266" s="33">
        <f>'个人技术逐级'!C266</f>
        <v/>
      </c>
      <c r="E266">
        <f>'个人技术逐级'!D266</f>
        <v/>
      </c>
      <c r="F266" s="54">
        <f>'个人技术逐级'!E266</f>
        <v/>
      </c>
      <c r="G266" s="55">
        <f>'个人技术逐级'!F266</f>
        <v/>
      </c>
      <c r="H266" s="56">
        <f>'个人技术逐级'!G266</f>
        <v/>
      </c>
      <c r="I266" s="52" t="inlineStr">
        <is>
          <t>个人技术计时升级</t>
        </is>
      </c>
      <c r="J266" s="57">
        <f>'个人技术逐级'!M266</f>
        <v/>
      </c>
      <c r="K266" s="35">
        <f>J266/3600</f>
        <v/>
      </c>
      <c r="L266" s="35">
        <f>SUMIFS($K$5:$K$692,$A$5:$A$692,A266,$B$5:$B$692,B266,$F$5:$F$692,"&lt;="&amp;F266)</f>
        <v/>
      </c>
      <c r="M266" s="58">
        <f>'个人技术逐级'!N266</f>
        <v/>
      </c>
      <c r="N266" s="58">
        <f>SUMIFS($M$5:$M$692,$A$5:$A$692,A266,$B$5:$B$692,B266,$F$5:$F$692,"&lt;="&amp;F266)</f>
        <v/>
      </c>
      <c r="O266" s="58">
        <f>0</f>
        <v/>
      </c>
      <c r="P266" s="58">
        <f>SUMIFS($O$5:$O$692,$A$5:$A$692,A266,$B$5:$B$692,B266,$F$5:$F$692,"&lt;="&amp;F266)</f>
        <v/>
      </c>
      <c r="Q266" s="58">
        <f>0</f>
        <v/>
      </c>
      <c r="R266" s="58">
        <f>SUMIFS($Q$5:$Q$692,$A$5:$A$692,A266,$B$5:$B$692,B266,$F$5:$F$692,"&lt;="&amp;F266)</f>
        <v/>
      </c>
      <c r="S266" s="58">
        <f>0</f>
        <v/>
      </c>
      <c r="T266" s="58">
        <f>SUMIFS($S$5:$S$692,$A$5:$A$692,A266,$B$5:$B$692,B266,$F$5:$F$692,"&lt;="&amp;F266)</f>
        <v/>
      </c>
      <c r="U266" s="52">
        <f>'个人技术逐级'!O266</f>
        <v/>
      </c>
    </row>
    <row r="267">
      <c r="A267" s="33" t="inlineStr">
        <is>
          <t>个人技术</t>
        </is>
      </c>
      <c r="B267" s="33">
        <f>'个人技术逐级'!A267</f>
        <v/>
      </c>
      <c r="C267" s="33">
        <f>'个人技术逐级'!B267</f>
        <v/>
      </c>
      <c r="D267" s="33">
        <f>'个人技术逐级'!C267</f>
        <v/>
      </c>
      <c r="E267">
        <f>'个人技术逐级'!D267</f>
        <v/>
      </c>
      <c r="F267" s="54">
        <f>'个人技术逐级'!E267</f>
        <v/>
      </c>
      <c r="G267" s="55">
        <f>'个人技术逐级'!F267</f>
        <v/>
      </c>
      <c r="H267" s="56">
        <f>'个人技术逐级'!G267</f>
        <v/>
      </c>
      <c r="I267" s="52" t="inlineStr">
        <is>
          <t>个人技术计时升级</t>
        </is>
      </c>
      <c r="J267" s="57">
        <f>'个人技术逐级'!M267</f>
        <v/>
      </c>
      <c r="K267" s="35">
        <f>J267/3600</f>
        <v/>
      </c>
      <c r="L267" s="35">
        <f>SUMIFS($K$5:$K$692,$A$5:$A$692,A267,$B$5:$B$692,B267,$F$5:$F$692,"&lt;="&amp;F267)</f>
        <v/>
      </c>
      <c r="M267" s="58">
        <f>'个人技术逐级'!N267</f>
        <v/>
      </c>
      <c r="N267" s="58">
        <f>SUMIFS($M$5:$M$692,$A$5:$A$692,A267,$B$5:$B$692,B267,$F$5:$F$692,"&lt;="&amp;F267)</f>
        <v/>
      </c>
      <c r="O267" s="58">
        <f>0</f>
        <v/>
      </c>
      <c r="P267" s="58">
        <f>SUMIFS($O$5:$O$692,$A$5:$A$692,A267,$B$5:$B$692,B267,$F$5:$F$692,"&lt;="&amp;F267)</f>
        <v/>
      </c>
      <c r="Q267" s="58">
        <f>0</f>
        <v/>
      </c>
      <c r="R267" s="58">
        <f>SUMIFS($Q$5:$Q$692,$A$5:$A$692,A267,$B$5:$B$692,B267,$F$5:$F$692,"&lt;="&amp;F267)</f>
        <v/>
      </c>
      <c r="S267" s="58">
        <f>0</f>
        <v/>
      </c>
      <c r="T267" s="58">
        <f>SUMIFS($S$5:$S$692,$A$5:$A$692,A267,$B$5:$B$692,B267,$F$5:$F$692,"&lt;="&amp;F267)</f>
        <v/>
      </c>
      <c r="U267" s="52">
        <f>'个人技术逐级'!O267</f>
        <v/>
      </c>
    </row>
    <row r="268">
      <c r="A268" s="33" t="inlineStr">
        <is>
          <t>个人技术</t>
        </is>
      </c>
      <c r="B268" s="33">
        <f>'个人技术逐级'!A268</f>
        <v/>
      </c>
      <c r="C268" s="33">
        <f>'个人技术逐级'!B268</f>
        <v/>
      </c>
      <c r="D268" s="33">
        <f>'个人技术逐级'!C268</f>
        <v/>
      </c>
      <c r="E268">
        <f>'个人技术逐级'!D268</f>
        <v/>
      </c>
      <c r="F268" s="54">
        <f>'个人技术逐级'!E268</f>
        <v/>
      </c>
      <c r="G268" s="55">
        <f>'个人技术逐级'!F268</f>
        <v/>
      </c>
      <c r="H268" s="56">
        <f>'个人技术逐级'!G268</f>
        <v/>
      </c>
      <c r="I268" s="52" t="inlineStr">
        <is>
          <t>个人技术计时升级</t>
        </is>
      </c>
      <c r="J268" s="57">
        <f>'个人技术逐级'!M268</f>
        <v/>
      </c>
      <c r="K268" s="35">
        <f>J268/3600</f>
        <v/>
      </c>
      <c r="L268" s="35">
        <f>SUMIFS($K$5:$K$692,$A$5:$A$692,A268,$B$5:$B$692,B268,$F$5:$F$692,"&lt;="&amp;F268)</f>
        <v/>
      </c>
      <c r="M268" s="58">
        <f>'个人技术逐级'!N268</f>
        <v/>
      </c>
      <c r="N268" s="58">
        <f>SUMIFS($M$5:$M$692,$A$5:$A$692,A268,$B$5:$B$692,B268,$F$5:$F$692,"&lt;="&amp;F268)</f>
        <v/>
      </c>
      <c r="O268" s="58">
        <f>0</f>
        <v/>
      </c>
      <c r="P268" s="58">
        <f>SUMIFS($O$5:$O$692,$A$5:$A$692,A268,$B$5:$B$692,B268,$F$5:$F$692,"&lt;="&amp;F268)</f>
        <v/>
      </c>
      <c r="Q268" s="58">
        <f>0</f>
        <v/>
      </c>
      <c r="R268" s="58">
        <f>SUMIFS($Q$5:$Q$692,$A$5:$A$692,A268,$B$5:$B$692,B268,$F$5:$F$692,"&lt;="&amp;F268)</f>
        <v/>
      </c>
      <c r="S268" s="58">
        <f>0</f>
        <v/>
      </c>
      <c r="T268" s="58">
        <f>SUMIFS($S$5:$S$692,$A$5:$A$692,A268,$B$5:$B$692,B268,$F$5:$F$692,"&lt;="&amp;F268)</f>
        <v/>
      </c>
      <c r="U268" s="52">
        <f>'个人技术逐级'!O268</f>
        <v/>
      </c>
    </row>
    <row r="269">
      <c r="A269" s="33" t="inlineStr">
        <is>
          <t>个人技术</t>
        </is>
      </c>
      <c r="B269" s="33">
        <f>'个人技术逐级'!A269</f>
        <v/>
      </c>
      <c r="C269" s="33">
        <f>'个人技术逐级'!B269</f>
        <v/>
      </c>
      <c r="D269" s="33">
        <f>'个人技术逐级'!C269</f>
        <v/>
      </c>
      <c r="E269">
        <f>'个人技术逐级'!D269</f>
        <v/>
      </c>
      <c r="F269" s="54">
        <f>'个人技术逐级'!E269</f>
        <v/>
      </c>
      <c r="G269" s="55">
        <f>'个人技术逐级'!F269</f>
        <v/>
      </c>
      <c r="H269" s="56">
        <f>'个人技术逐级'!G269</f>
        <v/>
      </c>
      <c r="I269" s="52" t="inlineStr">
        <is>
          <t>个人技术计时升级</t>
        </is>
      </c>
      <c r="J269" s="57">
        <f>'个人技术逐级'!M269</f>
        <v/>
      </c>
      <c r="K269" s="35">
        <f>J269/3600</f>
        <v/>
      </c>
      <c r="L269" s="35">
        <f>SUMIFS($K$5:$K$692,$A$5:$A$692,A269,$B$5:$B$692,B269,$F$5:$F$692,"&lt;="&amp;F269)</f>
        <v/>
      </c>
      <c r="M269" s="58">
        <f>'个人技术逐级'!N269</f>
        <v/>
      </c>
      <c r="N269" s="58">
        <f>SUMIFS($M$5:$M$692,$A$5:$A$692,A269,$B$5:$B$692,B269,$F$5:$F$692,"&lt;="&amp;F269)</f>
        <v/>
      </c>
      <c r="O269" s="58">
        <f>0</f>
        <v/>
      </c>
      <c r="P269" s="58">
        <f>SUMIFS($O$5:$O$692,$A$5:$A$692,A269,$B$5:$B$692,B269,$F$5:$F$692,"&lt;="&amp;F269)</f>
        <v/>
      </c>
      <c r="Q269" s="58">
        <f>0</f>
        <v/>
      </c>
      <c r="R269" s="58">
        <f>SUMIFS($Q$5:$Q$692,$A$5:$A$692,A269,$B$5:$B$692,B269,$F$5:$F$692,"&lt;="&amp;F269)</f>
        <v/>
      </c>
      <c r="S269" s="58">
        <f>0</f>
        <v/>
      </c>
      <c r="T269" s="58">
        <f>SUMIFS($S$5:$S$692,$A$5:$A$692,A269,$B$5:$B$692,B269,$F$5:$F$692,"&lt;="&amp;F269)</f>
        <v/>
      </c>
      <c r="U269" s="52">
        <f>'个人技术逐级'!O269</f>
        <v/>
      </c>
    </row>
    <row r="270">
      <c r="A270" s="33" t="inlineStr">
        <is>
          <t>个人技术</t>
        </is>
      </c>
      <c r="B270" s="33">
        <f>'个人技术逐级'!A270</f>
        <v/>
      </c>
      <c r="C270" s="33">
        <f>'个人技术逐级'!B270</f>
        <v/>
      </c>
      <c r="D270" s="33">
        <f>'个人技术逐级'!C270</f>
        <v/>
      </c>
      <c r="E270">
        <f>'个人技术逐级'!D270</f>
        <v/>
      </c>
      <c r="F270" s="54">
        <f>'个人技术逐级'!E270</f>
        <v/>
      </c>
      <c r="G270" s="55">
        <f>'个人技术逐级'!F270</f>
        <v/>
      </c>
      <c r="H270" s="56">
        <f>'个人技术逐级'!G270</f>
        <v/>
      </c>
      <c r="I270" s="52" t="inlineStr">
        <is>
          <t>个人技术计时升级</t>
        </is>
      </c>
      <c r="J270" s="57">
        <f>'个人技术逐级'!M270</f>
        <v/>
      </c>
      <c r="K270" s="35">
        <f>J270/3600</f>
        <v/>
      </c>
      <c r="L270" s="35">
        <f>SUMIFS($K$5:$K$692,$A$5:$A$692,A270,$B$5:$B$692,B270,$F$5:$F$692,"&lt;="&amp;F270)</f>
        <v/>
      </c>
      <c r="M270" s="58">
        <f>'个人技术逐级'!N270</f>
        <v/>
      </c>
      <c r="N270" s="58">
        <f>SUMIFS($M$5:$M$692,$A$5:$A$692,A270,$B$5:$B$692,B270,$F$5:$F$692,"&lt;="&amp;F270)</f>
        <v/>
      </c>
      <c r="O270" s="58">
        <f>0</f>
        <v/>
      </c>
      <c r="P270" s="58">
        <f>SUMIFS($O$5:$O$692,$A$5:$A$692,A270,$B$5:$B$692,B270,$F$5:$F$692,"&lt;="&amp;F270)</f>
        <v/>
      </c>
      <c r="Q270" s="58">
        <f>0</f>
        <v/>
      </c>
      <c r="R270" s="58">
        <f>SUMIFS($Q$5:$Q$692,$A$5:$A$692,A270,$B$5:$B$692,B270,$F$5:$F$692,"&lt;="&amp;F270)</f>
        <v/>
      </c>
      <c r="S270" s="58">
        <f>0</f>
        <v/>
      </c>
      <c r="T270" s="58">
        <f>SUMIFS($S$5:$S$692,$A$5:$A$692,A270,$B$5:$B$692,B270,$F$5:$F$692,"&lt;="&amp;F270)</f>
        <v/>
      </c>
      <c r="U270" s="52">
        <f>'个人技术逐级'!O270</f>
        <v/>
      </c>
    </row>
    <row r="271">
      <c r="A271" s="33" t="inlineStr">
        <is>
          <t>个人技术</t>
        </is>
      </c>
      <c r="B271" s="33">
        <f>'个人技术逐级'!A271</f>
        <v/>
      </c>
      <c r="C271" s="33">
        <f>'个人技术逐级'!B271</f>
        <v/>
      </c>
      <c r="D271" s="33">
        <f>'个人技术逐级'!C271</f>
        <v/>
      </c>
      <c r="E271">
        <f>'个人技术逐级'!D271</f>
        <v/>
      </c>
      <c r="F271" s="54">
        <f>'个人技术逐级'!E271</f>
        <v/>
      </c>
      <c r="G271" s="55">
        <f>'个人技术逐级'!F271</f>
        <v/>
      </c>
      <c r="H271" s="56">
        <f>'个人技术逐级'!G271</f>
        <v/>
      </c>
      <c r="I271" s="52" t="inlineStr">
        <is>
          <t>个人技术计时升级</t>
        </is>
      </c>
      <c r="J271" s="57">
        <f>'个人技术逐级'!M271</f>
        <v/>
      </c>
      <c r="K271" s="35">
        <f>J271/3600</f>
        <v/>
      </c>
      <c r="L271" s="35">
        <f>SUMIFS($K$5:$K$692,$A$5:$A$692,A271,$B$5:$B$692,B271,$F$5:$F$692,"&lt;="&amp;F271)</f>
        <v/>
      </c>
      <c r="M271" s="58">
        <f>'个人技术逐级'!N271</f>
        <v/>
      </c>
      <c r="N271" s="58">
        <f>SUMIFS($M$5:$M$692,$A$5:$A$692,A271,$B$5:$B$692,B271,$F$5:$F$692,"&lt;="&amp;F271)</f>
        <v/>
      </c>
      <c r="O271" s="58">
        <f>0</f>
        <v/>
      </c>
      <c r="P271" s="58">
        <f>SUMIFS($O$5:$O$692,$A$5:$A$692,A271,$B$5:$B$692,B271,$F$5:$F$692,"&lt;="&amp;F271)</f>
        <v/>
      </c>
      <c r="Q271" s="58">
        <f>0</f>
        <v/>
      </c>
      <c r="R271" s="58">
        <f>SUMIFS($Q$5:$Q$692,$A$5:$A$692,A271,$B$5:$B$692,B271,$F$5:$F$692,"&lt;="&amp;F271)</f>
        <v/>
      </c>
      <c r="S271" s="58">
        <f>0</f>
        <v/>
      </c>
      <c r="T271" s="58">
        <f>SUMIFS($S$5:$S$692,$A$5:$A$692,A271,$B$5:$B$692,B271,$F$5:$F$692,"&lt;="&amp;F271)</f>
        <v/>
      </c>
      <c r="U271" s="52">
        <f>'个人技术逐级'!O271</f>
        <v/>
      </c>
    </row>
    <row r="272">
      <c r="A272" s="33" t="inlineStr">
        <is>
          <t>个人技术</t>
        </is>
      </c>
      <c r="B272" s="33">
        <f>'个人技术逐级'!A272</f>
        <v/>
      </c>
      <c r="C272" s="33">
        <f>'个人技术逐级'!B272</f>
        <v/>
      </c>
      <c r="D272" s="33">
        <f>'个人技术逐级'!C272</f>
        <v/>
      </c>
      <c r="E272">
        <f>'个人技术逐级'!D272</f>
        <v/>
      </c>
      <c r="F272" s="54">
        <f>'个人技术逐级'!E272</f>
        <v/>
      </c>
      <c r="G272" s="55">
        <f>'个人技术逐级'!F272</f>
        <v/>
      </c>
      <c r="H272" s="56">
        <f>'个人技术逐级'!G272</f>
        <v/>
      </c>
      <c r="I272" s="52" t="inlineStr">
        <is>
          <t>个人技术计时升级</t>
        </is>
      </c>
      <c r="J272" s="57">
        <f>'个人技术逐级'!M272</f>
        <v/>
      </c>
      <c r="K272" s="35">
        <f>J272/3600</f>
        <v/>
      </c>
      <c r="L272" s="35">
        <f>SUMIFS($K$5:$K$692,$A$5:$A$692,A272,$B$5:$B$692,B272,$F$5:$F$692,"&lt;="&amp;F272)</f>
        <v/>
      </c>
      <c r="M272" s="58">
        <f>'个人技术逐级'!N272</f>
        <v/>
      </c>
      <c r="N272" s="58">
        <f>SUMIFS($M$5:$M$692,$A$5:$A$692,A272,$B$5:$B$692,B272,$F$5:$F$692,"&lt;="&amp;F272)</f>
        <v/>
      </c>
      <c r="O272" s="58">
        <f>0</f>
        <v/>
      </c>
      <c r="P272" s="58">
        <f>SUMIFS($O$5:$O$692,$A$5:$A$692,A272,$B$5:$B$692,B272,$F$5:$F$692,"&lt;="&amp;F272)</f>
        <v/>
      </c>
      <c r="Q272" s="58">
        <f>0</f>
        <v/>
      </c>
      <c r="R272" s="58">
        <f>SUMIFS($Q$5:$Q$692,$A$5:$A$692,A272,$B$5:$B$692,B272,$F$5:$F$692,"&lt;="&amp;F272)</f>
        <v/>
      </c>
      <c r="S272" s="58">
        <f>0</f>
        <v/>
      </c>
      <c r="T272" s="58">
        <f>SUMIFS($S$5:$S$692,$A$5:$A$692,A272,$B$5:$B$692,B272,$F$5:$F$692,"&lt;="&amp;F272)</f>
        <v/>
      </c>
      <c r="U272" s="52">
        <f>'个人技术逐级'!O272</f>
        <v/>
      </c>
    </row>
    <row r="273">
      <c r="A273" s="33" t="inlineStr">
        <is>
          <t>个人技术</t>
        </is>
      </c>
      <c r="B273" s="33">
        <f>'个人技术逐级'!A273</f>
        <v/>
      </c>
      <c r="C273" s="33">
        <f>'个人技术逐级'!B273</f>
        <v/>
      </c>
      <c r="D273" s="33">
        <f>'个人技术逐级'!C273</f>
        <v/>
      </c>
      <c r="E273">
        <f>'个人技术逐级'!D273</f>
        <v/>
      </c>
      <c r="F273" s="54">
        <f>'个人技术逐级'!E273</f>
        <v/>
      </c>
      <c r="G273" s="55">
        <f>'个人技术逐级'!F273</f>
        <v/>
      </c>
      <c r="H273" s="56">
        <f>'个人技术逐级'!G273</f>
        <v/>
      </c>
      <c r="I273" s="52" t="inlineStr">
        <is>
          <t>个人技术计时升级</t>
        </is>
      </c>
      <c r="J273" s="57">
        <f>'个人技术逐级'!M273</f>
        <v/>
      </c>
      <c r="K273" s="35">
        <f>J273/3600</f>
        <v/>
      </c>
      <c r="L273" s="35">
        <f>SUMIFS($K$5:$K$692,$A$5:$A$692,A273,$B$5:$B$692,B273,$F$5:$F$692,"&lt;="&amp;F273)</f>
        <v/>
      </c>
      <c r="M273" s="58">
        <f>'个人技术逐级'!N273</f>
        <v/>
      </c>
      <c r="N273" s="58">
        <f>SUMIFS($M$5:$M$692,$A$5:$A$692,A273,$B$5:$B$692,B273,$F$5:$F$692,"&lt;="&amp;F273)</f>
        <v/>
      </c>
      <c r="O273" s="58">
        <f>0</f>
        <v/>
      </c>
      <c r="P273" s="58">
        <f>SUMIFS($O$5:$O$692,$A$5:$A$692,A273,$B$5:$B$692,B273,$F$5:$F$692,"&lt;="&amp;F273)</f>
        <v/>
      </c>
      <c r="Q273" s="58">
        <f>0</f>
        <v/>
      </c>
      <c r="R273" s="58">
        <f>SUMIFS($Q$5:$Q$692,$A$5:$A$692,A273,$B$5:$B$692,B273,$F$5:$F$692,"&lt;="&amp;F273)</f>
        <v/>
      </c>
      <c r="S273" s="58">
        <f>0</f>
        <v/>
      </c>
      <c r="T273" s="58">
        <f>SUMIFS($S$5:$S$692,$A$5:$A$692,A273,$B$5:$B$692,B273,$F$5:$F$692,"&lt;="&amp;F273)</f>
        <v/>
      </c>
      <c r="U273" s="52">
        <f>'个人技术逐级'!O273</f>
        <v/>
      </c>
    </row>
    <row r="274">
      <c r="A274" s="33" t="inlineStr">
        <is>
          <t>个人技术</t>
        </is>
      </c>
      <c r="B274" s="33">
        <f>'个人技术逐级'!A274</f>
        <v/>
      </c>
      <c r="C274" s="33">
        <f>'个人技术逐级'!B274</f>
        <v/>
      </c>
      <c r="D274" s="33">
        <f>'个人技术逐级'!C274</f>
        <v/>
      </c>
      <c r="E274">
        <f>'个人技术逐级'!D274</f>
        <v/>
      </c>
      <c r="F274" s="54">
        <f>'个人技术逐级'!E274</f>
        <v/>
      </c>
      <c r="G274" s="55">
        <f>'个人技术逐级'!F274</f>
        <v/>
      </c>
      <c r="H274" s="56">
        <f>'个人技术逐级'!G274</f>
        <v/>
      </c>
      <c r="I274" s="52" t="inlineStr">
        <is>
          <t>个人技术计时升级</t>
        </is>
      </c>
      <c r="J274" s="57">
        <f>'个人技术逐级'!M274</f>
        <v/>
      </c>
      <c r="K274" s="35">
        <f>J274/3600</f>
        <v/>
      </c>
      <c r="L274" s="35">
        <f>SUMIFS($K$5:$K$692,$A$5:$A$692,A274,$B$5:$B$692,B274,$F$5:$F$692,"&lt;="&amp;F274)</f>
        <v/>
      </c>
      <c r="M274" s="58">
        <f>'个人技术逐级'!N274</f>
        <v/>
      </c>
      <c r="N274" s="58">
        <f>SUMIFS($M$5:$M$692,$A$5:$A$692,A274,$B$5:$B$692,B274,$F$5:$F$692,"&lt;="&amp;F274)</f>
        <v/>
      </c>
      <c r="O274" s="58">
        <f>0</f>
        <v/>
      </c>
      <c r="P274" s="58">
        <f>SUMIFS($O$5:$O$692,$A$5:$A$692,A274,$B$5:$B$692,B274,$F$5:$F$692,"&lt;="&amp;F274)</f>
        <v/>
      </c>
      <c r="Q274" s="58">
        <f>0</f>
        <v/>
      </c>
      <c r="R274" s="58">
        <f>SUMIFS($Q$5:$Q$692,$A$5:$A$692,A274,$B$5:$B$692,B274,$F$5:$F$692,"&lt;="&amp;F274)</f>
        <v/>
      </c>
      <c r="S274" s="58">
        <f>0</f>
        <v/>
      </c>
      <c r="T274" s="58">
        <f>SUMIFS($S$5:$S$692,$A$5:$A$692,A274,$B$5:$B$692,B274,$F$5:$F$692,"&lt;="&amp;F274)</f>
        <v/>
      </c>
      <c r="U274" s="52">
        <f>'个人技术逐级'!O274</f>
        <v/>
      </c>
    </row>
    <row r="275">
      <c r="A275" s="33" t="inlineStr">
        <is>
          <t>个人技术</t>
        </is>
      </c>
      <c r="B275" s="33">
        <f>'个人技术逐级'!A275</f>
        <v/>
      </c>
      <c r="C275" s="33">
        <f>'个人技术逐级'!B275</f>
        <v/>
      </c>
      <c r="D275" s="33">
        <f>'个人技术逐级'!C275</f>
        <v/>
      </c>
      <c r="E275">
        <f>'个人技术逐级'!D275</f>
        <v/>
      </c>
      <c r="F275" s="54">
        <f>'个人技术逐级'!E275</f>
        <v/>
      </c>
      <c r="G275" s="55">
        <f>'个人技术逐级'!F275</f>
        <v/>
      </c>
      <c r="H275" s="56">
        <f>'个人技术逐级'!G275</f>
        <v/>
      </c>
      <c r="I275" s="52" t="inlineStr">
        <is>
          <t>个人技术计时升级</t>
        </is>
      </c>
      <c r="J275" s="57">
        <f>'个人技术逐级'!M275</f>
        <v/>
      </c>
      <c r="K275" s="35">
        <f>J275/3600</f>
        <v/>
      </c>
      <c r="L275" s="35">
        <f>SUMIFS($K$5:$K$692,$A$5:$A$692,A275,$B$5:$B$692,B275,$F$5:$F$692,"&lt;="&amp;F275)</f>
        <v/>
      </c>
      <c r="M275" s="58">
        <f>'个人技术逐级'!N275</f>
        <v/>
      </c>
      <c r="N275" s="58">
        <f>SUMIFS($M$5:$M$692,$A$5:$A$692,A275,$B$5:$B$692,B275,$F$5:$F$692,"&lt;="&amp;F275)</f>
        <v/>
      </c>
      <c r="O275" s="58">
        <f>0</f>
        <v/>
      </c>
      <c r="P275" s="58">
        <f>SUMIFS($O$5:$O$692,$A$5:$A$692,A275,$B$5:$B$692,B275,$F$5:$F$692,"&lt;="&amp;F275)</f>
        <v/>
      </c>
      <c r="Q275" s="58">
        <f>0</f>
        <v/>
      </c>
      <c r="R275" s="58">
        <f>SUMIFS($Q$5:$Q$692,$A$5:$A$692,A275,$B$5:$B$692,B275,$F$5:$F$692,"&lt;="&amp;F275)</f>
        <v/>
      </c>
      <c r="S275" s="58">
        <f>0</f>
        <v/>
      </c>
      <c r="T275" s="58">
        <f>SUMIFS($S$5:$S$692,$A$5:$A$692,A275,$B$5:$B$692,B275,$F$5:$F$692,"&lt;="&amp;F275)</f>
        <v/>
      </c>
      <c r="U275" s="52">
        <f>'个人技术逐级'!O275</f>
        <v/>
      </c>
    </row>
    <row r="276">
      <c r="A276" s="33" t="inlineStr">
        <is>
          <t>个人技术</t>
        </is>
      </c>
      <c r="B276" s="33">
        <f>'个人技术逐级'!A276</f>
        <v/>
      </c>
      <c r="C276" s="33">
        <f>'个人技术逐级'!B276</f>
        <v/>
      </c>
      <c r="D276" s="33">
        <f>'个人技术逐级'!C276</f>
        <v/>
      </c>
      <c r="E276">
        <f>'个人技术逐级'!D276</f>
        <v/>
      </c>
      <c r="F276" s="54">
        <f>'个人技术逐级'!E276</f>
        <v/>
      </c>
      <c r="G276" s="55">
        <f>'个人技术逐级'!F276</f>
        <v/>
      </c>
      <c r="H276" s="56">
        <f>'个人技术逐级'!G276</f>
        <v/>
      </c>
      <c r="I276" s="52" t="inlineStr">
        <is>
          <t>个人技术计时升级</t>
        </is>
      </c>
      <c r="J276" s="57">
        <f>'个人技术逐级'!M276</f>
        <v/>
      </c>
      <c r="K276" s="35">
        <f>J276/3600</f>
        <v/>
      </c>
      <c r="L276" s="35">
        <f>SUMIFS($K$5:$K$692,$A$5:$A$692,A276,$B$5:$B$692,B276,$F$5:$F$692,"&lt;="&amp;F276)</f>
        <v/>
      </c>
      <c r="M276" s="58">
        <f>'个人技术逐级'!N276</f>
        <v/>
      </c>
      <c r="N276" s="58">
        <f>SUMIFS($M$5:$M$692,$A$5:$A$692,A276,$B$5:$B$692,B276,$F$5:$F$692,"&lt;="&amp;F276)</f>
        <v/>
      </c>
      <c r="O276" s="58">
        <f>0</f>
        <v/>
      </c>
      <c r="P276" s="58">
        <f>SUMIFS($O$5:$O$692,$A$5:$A$692,A276,$B$5:$B$692,B276,$F$5:$F$692,"&lt;="&amp;F276)</f>
        <v/>
      </c>
      <c r="Q276" s="58">
        <f>0</f>
        <v/>
      </c>
      <c r="R276" s="58">
        <f>SUMIFS($Q$5:$Q$692,$A$5:$A$692,A276,$B$5:$B$692,B276,$F$5:$F$692,"&lt;="&amp;F276)</f>
        <v/>
      </c>
      <c r="S276" s="58">
        <f>0</f>
        <v/>
      </c>
      <c r="T276" s="58">
        <f>SUMIFS($S$5:$S$692,$A$5:$A$692,A276,$B$5:$B$692,B276,$F$5:$F$692,"&lt;="&amp;F276)</f>
        <v/>
      </c>
      <c r="U276" s="52">
        <f>'个人技术逐级'!O276</f>
        <v/>
      </c>
    </row>
    <row r="277">
      <c r="A277" s="33" t="inlineStr">
        <is>
          <t>个人技术</t>
        </is>
      </c>
      <c r="B277" s="33">
        <f>'个人技术逐级'!A277</f>
        <v/>
      </c>
      <c r="C277" s="33">
        <f>'个人技术逐级'!B277</f>
        <v/>
      </c>
      <c r="D277" s="33">
        <f>'个人技术逐级'!C277</f>
        <v/>
      </c>
      <c r="E277">
        <f>'个人技术逐级'!D277</f>
        <v/>
      </c>
      <c r="F277" s="54">
        <f>'个人技术逐级'!E277</f>
        <v/>
      </c>
      <c r="G277" s="55">
        <f>'个人技术逐级'!F277</f>
        <v/>
      </c>
      <c r="H277" s="56">
        <f>'个人技术逐级'!G277</f>
        <v/>
      </c>
      <c r="I277" s="52" t="inlineStr">
        <is>
          <t>个人技术计时升级</t>
        </is>
      </c>
      <c r="J277" s="57">
        <f>'个人技术逐级'!M277</f>
        <v/>
      </c>
      <c r="K277" s="35">
        <f>J277/3600</f>
        <v/>
      </c>
      <c r="L277" s="35">
        <f>SUMIFS($K$5:$K$692,$A$5:$A$692,A277,$B$5:$B$692,B277,$F$5:$F$692,"&lt;="&amp;F277)</f>
        <v/>
      </c>
      <c r="M277" s="58">
        <f>'个人技术逐级'!N277</f>
        <v/>
      </c>
      <c r="N277" s="58">
        <f>SUMIFS($M$5:$M$692,$A$5:$A$692,A277,$B$5:$B$692,B277,$F$5:$F$692,"&lt;="&amp;F277)</f>
        <v/>
      </c>
      <c r="O277" s="58">
        <f>0</f>
        <v/>
      </c>
      <c r="P277" s="58">
        <f>SUMIFS($O$5:$O$692,$A$5:$A$692,A277,$B$5:$B$692,B277,$F$5:$F$692,"&lt;="&amp;F277)</f>
        <v/>
      </c>
      <c r="Q277" s="58">
        <f>0</f>
        <v/>
      </c>
      <c r="R277" s="58">
        <f>SUMIFS($Q$5:$Q$692,$A$5:$A$692,A277,$B$5:$B$692,B277,$F$5:$F$692,"&lt;="&amp;F277)</f>
        <v/>
      </c>
      <c r="S277" s="58">
        <f>0</f>
        <v/>
      </c>
      <c r="T277" s="58">
        <f>SUMIFS($S$5:$S$692,$A$5:$A$692,A277,$B$5:$B$692,B277,$F$5:$F$692,"&lt;="&amp;F277)</f>
        <v/>
      </c>
      <c r="U277" s="52">
        <f>'个人技术逐级'!O277</f>
        <v/>
      </c>
    </row>
    <row r="278">
      <c r="A278" s="33" t="inlineStr">
        <is>
          <t>个人技术</t>
        </is>
      </c>
      <c r="B278" s="33">
        <f>'个人技术逐级'!A278</f>
        <v/>
      </c>
      <c r="C278" s="33">
        <f>'个人技术逐级'!B278</f>
        <v/>
      </c>
      <c r="D278" s="33">
        <f>'个人技术逐级'!C278</f>
        <v/>
      </c>
      <c r="E278">
        <f>'个人技术逐级'!D278</f>
        <v/>
      </c>
      <c r="F278" s="54">
        <f>'个人技术逐级'!E278</f>
        <v/>
      </c>
      <c r="G278" s="55">
        <f>'个人技术逐级'!F278</f>
        <v/>
      </c>
      <c r="H278" s="56">
        <f>'个人技术逐级'!G278</f>
        <v/>
      </c>
      <c r="I278" s="52" t="inlineStr">
        <is>
          <t>个人技术计时升级</t>
        </is>
      </c>
      <c r="J278" s="57">
        <f>'个人技术逐级'!M278</f>
        <v/>
      </c>
      <c r="K278" s="35">
        <f>J278/3600</f>
        <v/>
      </c>
      <c r="L278" s="35">
        <f>SUMIFS($K$5:$K$692,$A$5:$A$692,A278,$B$5:$B$692,B278,$F$5:$F$692,"&lt;="&amp;F278)</f>
        <v/>
      </c>
      <c r="M278" s="58">
        <f>'个人技术逐级'!N278</f>
        <v/>
      </c>
      <c r="N278" s="58">
        <f>SUMIFS($M$5:$M$692,$A$5:$A$692,A278,$B$5:$B$692,B278,$F$5:$F$692,"&lt;="&amp;F278)</f>
        <v/>
      </c>
      <c r="O278" s="58">
        <f>0</f>
        <v/>
      </c>
      <c r="P278" s="58">
        <f>SUMIFS($O$5:$O$692,$A$5:$A$692,A278,$B$5:$B$692,B278,$F$5:$F$692,"&lt;="&amp;F278)</f>
        <v/>
      </c>
      <c r="Q278" s="58">
        <f>0</f>
        <v/>
      </c>
      <c r="R278" s="58">
        <f>SUMIFS($Q$5:$Q$692,$A$5:$A$692,A278,$B$5:$B$692,B278,$F$5:$F$692,"&lt;="&amp;F278)</f>
        <v/>
      </c>
      <c r="S278" s="58">
        <f>0</f>
        <v/>
      </c>
      <c r="T278" s="58">
        <f>SUMIFS($S$5:$S$692,$A$5:$A$692,A278,$B$5:$B$692,B278,$F$5:$F$692,"&lt;="&amp;F278)</f>
        <v/>
      </c>
      <c r="U278" s="52">
        <f>'个人技术逐级'!O278</f>
        <v/>
      </c>
    </row>
    <row r="279">
      <c r="A279" s="33" t="inlineStr">
        <is>
          <t>个人技术</t>
        </is>
      </c>
      <c r="B279" s="33">
        <f>'个人技术逐级'!A279</f>
        <v/>
      </c>
      <c r="C279" s="33">
        <f>'个人技术逐级'!B279</f>
        <v/>
      </c>
      <c r="D279" s="33">
        <f>'个人技术逐级'!C279</f>
        <v/>
      </c>
      <c r="E279">
        <f>'个人技术逐级'!D279</f>
        <v/>
      </c>
      <c r="F279" s="54">
        <f>'个人技术逐级'!E279</f>
        <v/>
      </c>
      <c r="G279" s="55">
        <f>'个人技术逐级'!F279</f>
        <v/>
      </c>
      <c r="H279" s="56">
        <f>'个人技术逐级'!G279</f>
        <v/>
      </c>
      <c r="I279" s="52" t="inlineStr">
        <is>
          <t>个人技术计时升级</t>
        </is>
      </c>
      <c r="J279" s="57">
        <f>'个人技术逐级'!M279</f>
        <v/>
      </c>
      <c r="K279" s="35">
        <f>J279/3600</f>
        <v/>
      </c>
      <c r="L279" s="35">
        <f>SUMIFS($K$5:$K$692,$A$5:$A$692,A279,$B$5:$B$692,B279,$F$5:$F$692,"&lt;="&amp;F279)</f>
        <v/>
      </c>
      <c r="M279" s="58">
        <f>'个人技术逐级'!N279</f>
        <v/>
      </c>
      <c r="N279" s="58">
        <f>SUMIFS($M$5:$M$692,$A$5:$A$692,A279,$B$5:$B$692,B279,$F$5:$F$692,"&lt;="&amp;F279)</f>
        <v/>
      </c>
      <c r="O279" s="58">
        <f>0</f>
        <v/>
      </c>
      <c r="P279" s="58">
        <f>SUMIFS($O$5:$O$692,$A$5:$A$692,A279,$B$5:$B$692,B279,$F$5:$F$692,"&lt;="&amp;F279)</f>
        <v/>
      </c>
      <c r="Q279" s="58">
        <f>0</f>
        <v/>
      </c>
      <c r="R279" s="58">
        <f>SUMIFS($Q$5:$Q$692,$A$5:$A$692,A279,$B$5:$B$692,B279,$F$5:$F$692,"&lt;="&amp;F279)</f>
        <v/>
      </c>
      <c r="S279" s="58">
        <f>0</f>
        <v/>
      </c>
      <c r="T279" s="58">
        <f>SUMIFS($S$5:$S$692,$A$5:$A$692,A279,$B$5:$B$692,B279,$F$5:$F$692,"&lt;="&amp;F279)</f>
        <v/>
      </c>
      <c r="U279" s="52">
        <f>'个人技术逐级'!O279</f>
        <v/>
      </c>
    </row>
    <row r="280">
      <c r="A280" s="33" t="inlineStr">
        <is>
          <t>个人技术</t>
        </is>
      </c>
      <c r="B280" s="33">
        <f>'个人技术逐级'!A280</f>
        <v/>
      </c>
      <c r="C280" s="33">
        <f>'个人技术逐级'!B280</f>
        <v/>
      </c>
      <c r="D280" s="33">
        <f>'个人技术逐级'!C280</f>
        <v/>
      </c>
      <c r="E280">
        <f>'个人技术逐级'!D280</f>
        <v/>
      </c>
      <c r="F280" s="54">
        <f>'个人技术逐级'!E280</f>
        <v/>
      </c>
      <c r="G280" s="55">
        <f>'个人技术逐级'!F280</f>
        <v/>
      </c>
      <c r="H280" s="56">
        <f>'个人技术逐级'!G280</f>
        <v/>
      </c>
      <c r="I280" s="52" t="inlineStr">
        <is>
          <t>个人技术计时升级</t>
        </is>
      </c>
      <c r="J280" s="57">
        <f>'个人技术逐级'!M280</f>
        <v/>
      </c>
      <c r="K280" s="35">
        <f>J280/3600</f>
        <v/>
      </c>
      <c r="L280" s="35">
        <f>SUMIFS($K$5:$K$692,$A$5:$A$692,A280,$B$5:$B$692,B280,$F$5:$F$692,"&lt;="&amp;F280)</f>
        <v/>
      </c>
      <c r="M280" s="58">
        <f>'个人技术逐级'!N280</f>
        <v/>
      </c>
      <c r="N280" s="58">
        <f>SUMIFS($M$5:$M$692,$A$5:$A$692,A280,$B$5:$B$692,B280,$F$5:$F$692,"&lt;="&amp;F280)</f>
        <v/>
      </c>
      <c r="O280" s="58">
        <f>0</f>
        <v/>
      </c>
      <c r="P280" s="58">
        <f>SUMIFS($O$5:$O$692,$A$5:$A$692,A280,$B$5:$B$692,B280,$F$5:$F$692,"&lt;="&amp;F280)</f>
        <v/>
      </c>
      <c r="Q280" s="58">
        <f>0</f>
        <v/>
      </c>
      <c r="R280" s="58">
        <f>SUMIFS($Q$5:$Q$692,$A$5:$A$692,A280,$B$5:$B$692,B280,$F$5:$F$692,"&lt;="&amp;F280)</f>
        <v/>
      </c>
      <c r="S280" s="58">
        <f>0</f>
        <v/>
      </c>
      <c r="T280" s="58">
        <f>SUMIFS($S$5:$S$692,$A$5:$A$692,A280,$B$5:$B$692,B280,$F$5:$F$692,"&lt;="&amp;F280)</f>
        <v/>
      </c>
      <c r="U280" s="52">
        <f>'个人技术逐级'!O280</f>
        <v/>
      </c>
    </row>
    <row r="281">
      <c r="A281" s="33" t="inlineStr">
        <is>
          <t>个人技术</t>
        </is>
      </c>
      <c r="B281" s="33">
        <f>'个人技术逐级'!A281</f>
        <v/>
      </c>
      <c r="C281" s="33">
        <f>'个人技术逐级'!B281</f>
        <v/>
      </c>
      <c r="D281" s="33">
        <f>'个人技术逐级'!C281</f>
        <v/>
      </c>
      <c r="E281">
        <f>'个人技术逐级'!D281</f>
        <v/>
      </c>
      <c r="F281" s="54">
        <f>'个人技术逐级'!E281</f>
        <v/>
      </c>
      <c r="G281" s="55">
        <f>'个人技术逐级'!F281</f>
        <v/>
      </c>
      <c r="H281" s="56">
        <f>'个人技术逐级'!G281</f>
        <v/>
      </c>
      <c r="I281" s="52" t="inlineStr">
        <is>
          <t>个人技术计时升级</t>
        </is>
      </c>
      <c r="J281" s="57">
        <f>'个人技术逐级'!M281</f>
        <v/>
      </c>
      <c r="K281" s="35">
        <f>J281/3600</f>
        <v/>
      </c>
      <c r="L281" s="35">
        <f>SUMIFS($K$5:$K$692,$A$5:$A$692,A281,$B$5:$B$692,B281,$F$5:$F$692,"&lt;="&amp;F281)</f>
        <v/>
      </c>
      <c r="M281" s="58">
        <f>'个人技术逐级'!N281</f>
        <v/>
      </c>
      <c r="N281" s="58">
        <f>SUMIFS($M$5:$M$692,$A$5:$A$692,A281,$B$5:$B$692,B281,$F$5:$F$692,"&lt;="&amp;F281)</f>
        <v/>
      </c>
      <c r="O281" s="58">
        <f>0</f>
        <v/>
      </c>
      <c r="P281" s="58">
        <f>SUMIFS($O$5:$O$692,$A$5:$A$692,A281,$B$5:$B$692,B281,$F$5:$F$692,"&lt;="&amp;F281)</f>
        <v/>
      </c>
      <c r="Q281" s="58">
        <f>0</f>
        <v/>
      </c>
      <c r="R281" s="58">
        <f>SUMIFS($Q$5:$Q$692,$A$5:$A$692,A281,$B$5:$B$692,B281,$F$5:$F$692,"&lt;="&amp;F281)</f>
        <v/>
      </c>
      <c r="S281" s="58">
        <f>0</f>
        <v/>
      </c>
      <c r="T281" s="58">
        <f>SUMIFS($S$5:$S$692,$A$5:$A$692,A281,$B$5:$B$692,B281,$F$5:$F$692,"&lt;="&amp;F281)</f>
        <v/>
      </c>
      <c r="U281" s="52">
        <f>'个人技术逐级'!O281</f>
        <v/>
      </c>
    </row>
    <row r="282">
      <c r="A282" s="33" t="inlineStr">
        <is>
          <t>个人技术</t>
        </is>
      </c>
      <c r="B282" s="33">
        <f>'个人技术逐级'!A282</f>
        <v/>
      </c>
      <c r="C282" s="33">
        <f>'个人技术逐级'!B282</f>
        <v/>
      </c>
      <c r="D282" s="33">
        <f>'个人技术逐级'!C282</f>
        <v/>
      </c>
      <c r="E282">
        <f>'个人技术逐级'!D282</f>
        <v/>
      </c>
      <c r="F282" s="54">
        <f>'个人技术逐级'!E282</f>
        <v/>
      </c>
      <c r="G282" s="55">
        <f>'个人技术逐级'!F282</f>
        <v/>
      </c>
      <c r="H282" s="56">
        <f>'个人技术逐级'!G282</f>
        <v/>
      </c>
      <c r="I282" s="52" t="inlineStr">
        <is>
          <t>个人技术计时升级</t>
        </is>
      </c>
      <c r="J282" s="57">
        <f>'个人技术逐级'!M282</f>
        <v/>
      </c>
      <c r="K282" s="35">
        <f>J282/3600</f>
        <v/>
      </c>
      <c r="L282" s="35">
        <f>SUMIFS($K$5:$K$692,$A$5:$A$692,A282,$B$5:$B$692,B282,$F$5:$F$692,"&lt;="&amp;F282)</f>
        <v/>
      </c>
      <c r="M282" s="58">
        <f>'个人技术逐级'!N282</f>
        <v/>
      </c>
      <c r="N282" s="58">
        <f>SUMIFS($M$5:$M$692,$A$5:$A$692,A282,$B$5:$B$692,B282,$F$5:$F$692,"&lt;="&amp;F282)</f>
        <v/>
      </c>
      <c r="O282" s="58">
        <f>0</f>
        <v/>
      </c>
      <c r="P282" s="58">
        <f>SUMIFS($O$5:$O$692,$A$5:$A$692,A282,$B$5:$B$692,B282,$F$5:$F$692,"&lt;="&amp;F282)</f>
        <v/>
      </c>
      <c r="Q282" s="58">
        <f>0</f>
        <v/>
      </c>
      <c r="R282" s="58">
        <f>SUMIFS($Q$5:$Q$692,$A$5:$A$692,A282,$B$5:$B$692,B282,$F$5:$F$692,"&lt;="&amp;F282)</f>
        <v/>
      </c>
      <c r="S282" s="58">
        <f>0</f>
        <v/>
      </c>
      <c r="T282" s="58">
        <f>SUMIFS($S$5:$S$692,$A$5:$A$692,A282,$B$5:$B$692,B282,$F$5:$F$692,"&lt;="&amp;F282)</f>
        <v/>
      </c>
      <c r="U282" s="52">
        <f>'个人技术逐级'!O282</f>
        <v/>
      </c>
    </row>
    <row r="283">
      <c r="A283" s="33" t="inlineStr">
        <is>
          <t>个人技术</t>
        </is>
      </c>
      <c r="B283" s="33">
        <f>'个人技术逐级'!A283</f>
        <v/>
      </c>
      <c r="C283" s="33">
        <f>'个人技术逐级'!B283</f>
        <v/>
      </c>
      <c r="D283" s="33">
        <f>'个人技术逐级'!C283</f>
        <v/>
      </c>
      <c r="E283">
        <f>'个人技术逐级'!D283</f>
        <v/>
      </c>
      <c r="F283" s="54">
        <f>'个人技术逐级'!E283</f>
        <v/>
      </c>
      <c r="G283" s="55">
        <f>'个人技术逐级'!F283</f>
        <v/>
      </c>
      <c r="H283" s="56">
        <f>'个人技术逐级'!G283</f>
        <v/>
      </c>
      <c r="I283" s="52" t="inlineStr">
        <is>
          <t>个人技术计时升级</t>
        </is>
      </c>
      <c r="J283" s="57">
        <f>'个人技术逐级'!M283</f>
        <v/>
      </c>
      <c r="K283" s="35">
        <f>J283/3600</f>
        <v/>
      </c>
      <c r="L283" s="35">
        <f>SUMIFS($K$5:$K$692,$A$5:$A$692,A283,$B$5:$B$692,B283,$F$5:$F$692,"&lt;="&amp;F283)</f>
        <v/>
      </c>
      <c r="M283" s="58">
        <f>'个人技术逐级'!N283</f>
        <v/>
      </c>
      <c r="N283" s="58">
        <f>SUMIFS($M$5:$M$692,$A$5:$A$692,A283,$B$5:$B$692,B283,$F$5:$F$692,"&lt;="&amp;F283)</f>
        <v/>
      </c>
      <c r="O283" s="58">
        <f>0</f>
        <v/>
      </c>
      <c r="P283" s="58">
        <f>SUMIFS($O$5:$O$692,$A$5:$A$692,A283,$B$5:$B$692,B283,$F$5:$F$692,"&lt;="&amp;F283)</f>
        <v/>
      </c>
      <c r="Q283" s="58">
        <f>0</f>
        <v/>
      </c>
      <c r="R283" s="58">
        <f>SUMIFS($Q$5:$Q$692,$A$5:$A$692,A283,$B$5:$B$692,B283,$F$5:$F$692,"&lt;="&amp;F283)</f>
        <v/>
      </c>
      <c r="S283" s="58">
        <f>0</f>
        <v/>
      </c>
      <c r="T283" s="58">
        <f>SUMIFS($S$5:$S$692,$A$5:$A$692,A283,$B$5:$B$692,B283,$F$5:$F$692,"&lt;="&amp;F283)</f>
        <v/>
      </c>
      <c r="U283" s="52">
        <f>'个人技术逐级'!O283</f>
        <v/>
      </c>
    </row>
    <row r="284">
      <c r="A284" s="33" t="inlineStr">
        <is>
          <t>个人技术</t>
        </is>
      </c>
      <c r="B284" s="33">
        <f>'个人技术逐级'!A284</f>
        <v/>
      </c>
      <c r="C284" s="33">
        <f>'个人技术逐级'!B284</f>
        <v/>
      </c>
      <c r="D284" s="33">
        <f>'个人技术逐级'!C284</f>
        <v/>
      </c>
      <c r="E284">
        <f>'个人技术逐级'!D284</f>
        <v/>
      </c>
      <c r="F284" s="54">
        <f>'个人技术逐级'!E284</f>
        <v/>
      </c>
      <c r="G284" s="55">
        <f>'个人技术逐级'!F284</f>
        <v/>
      </c>
      <c r="H284" s="56">
        <f>'个人技术逐级'!G284</f>
        <v/>
      </c>
      <c r="I284" s="52" t="inlineStr">
        <is>
          <t>个人技术计时升级</t>
        </is>
      </c>
      <c r="J284" s="57">
        <f>'个人技术逐级'!M284</f>
        <v/>
      </c>
      <c r="K284" s="35">
        <f>J284/3600</f>
        <v/>
      </c>
      <c r="L284" s="35">
        <f>SUMIFS($K$5:$K$692,$A$5:$A$692,A284,$B$5:$B$692,B284,$F$5:$F$692,"&lt;="&amp;F284)</f>
        <v/>
      </c>
      <c r="M284" s="58">
        <f>'个人技术逐级'!N284</f>
        <v/>
      </c>
      <c r="N284" s="58">
        <f>SUMIFS($M$5:$M$692,$A$5:$A$692,A284,$B$5:$B$692,B284,$F$5:$F$692,"&lt;="&amp;F284)</f>
        <v/>
      </c>
      <c r="O284" s="58">
        <f>0</f>
        <v/>
      </c>
      <c r="P284" s="58">
        <f>SUMIFS($O$5:$O$692,$A$5:$A$692,A284,$B$5:$B$692,B284,$F$5:$F$692,"&lt;="&amp;F284)</f>
        <v/>
      </c>
      <c r="Q284" s="58">
        <f>0</f>
        <v/>
      </c>
      <c r="R284" s="58">
        <f>SUMIFS($Q$5:$Q$692,$A$5:$A$692,A284,$B$5:$B$692,B284,$F$5:$F$692,"&lt;="&amp;F284)</f>
        <v/>
      </c>
      <c r="S284" s="58">
        <f>0</f>
        <v/>
      </c>
      <c r="T284" s="58">
        <f>SUMIFS($S$5:$S$692,$A$5:$A$692,A284,$B$5:$B$692,B284,$F$5:$F$692,"&lt;="&amp;F284)</f>
        <v/>
      </c>
      <c r="U284" s="52">
        <f>'个人技术逐级'!O284</f>
        <v/>
      </c>
    </row>
    <row r="285">
      <c r="A285" s="33" t="inlineStr">
        <is>
          <t>个人技术</t>
        </is>
      </c>
      <c r="B285" s="33">
        <f>'个人技术逐级'!A285</f>
        <v/>
      </c>
      <c r="C285" s="33">
        <f>'个人技术逐级'!B285</f>
        <v/>
      </c>
      <c r="D285" s="33">
        <f>'个人技术逐级'!C285</f>
        <v/>
      </c>
      <c r="E285">
        <f>'个人技术逐级'!D285</f>
        <v/>
      </c>
      <c r="F285" s="54">
        <f>'个人技术逐级'!E285</f>
        <v/>
      </c>
      <c r="G285" s="55">
        <f>'个人技术逐级'!F285</f>
        <v/>
      </c>
      <c r="H285" s="56">
        <f>'个人技术逐级'!G285</f>
        <v/>
      </c>
      <c r="I285" s="52" t="inlineStr">
        <is>
          <t>个人技术计时升级</t>
        </is>
      </c>
      <c r="J285" s="57">
        <f>'个人技术逐级'!M285</f>
        <v/>
      </c>
      <c r="K285" s="35">
        <f>J285/3600</f>
        <v/>
      </c>
      <c r="L285" s="35">
        <f>SUMIFS($K$5:$K$692,$A$5:$A$692,A285,$B$5:$B$692,B285,$F$5:$F$692,"&lt;="&amp;F285)</f>
        <v/>
      </c>
      <c r="M285" s="58">
        <f>'个人技术逐级'!N285</f>
        <v/>
      </c>
      <c r="N285" s="58">
        <f>SUMIFS($M$5:$M$692,$A$5:$A$692,A285,$B$5:$B$692,B285,$F$5:$F$692,"&lt;="&amp;F285)</f>
        <v/>
      </c>
      <c r="O285" s="58">
        <f>0</f>
        <v/>
      </c>
      <c r="P285" s="58">
        <f>SUMIFS($O$5:$O$692,$A$5:$A$692,A285,$B$5:$B$692,B285,$F$5:$F$692,"&lt;="&amp;F285)</f>
        <v/>
      </c>
      <c r="Q285" s="58">
        <f>0</f>
        <v/>
      </c>
      <c r="R285" s="58">
        <f>SUMIFS($Q$5:$Q$692,$A$5:$A$692,A285,$B$5:$B$692,B285,$F$5:$F$692,"&lt;="&amp;F285)</f>
        <v/>
      </c>
      <c r="S285" s="58">
        <f>0</f>
        <v/>
      </c>
      <c r="T285" s="58">
        <f>SUMIFS($S$5:$S$692,$A$5:$A$692,A285,$B$5:$B$692,B285,$F$5:$F$692,"&lt;="&amp;F285)</f>
        <v/>
      </c>
      <c r="U285" s="52">
        <f>'个人技术逐级'!O285</f>
        <v/>
      </c>
    </row>
    <row r="286">
      <c r="A286" s="33" t="inlineStr">
        <is>
          <t>个人技术</t>
        </is>
      </c>
      <c r="B286" s="33">
        <f>'个人技术逐级'!A286</f>
        <v/>
      </c>
      <c r="C286" s="33">
        <f>'个人技术逐级'!B286</f>
        <v/>
      </c>
      <c r="D286" s="33">
        <f>'个人技术逐级'!C286</f>
        <v/>
      </c>
      <c r="E286">
        <f>'个人技术逐级'!D286</f>
        <v/>
      </c>
      <c r="F286" s="54">
        <f>'个人技术逐级'!E286</f>
        <v/>
      </c>
      <c r="G286" s="55">
        <f>'个人技术逐级'!F286</f>
        <v/>
      </c>
      <c r="H286" s="56">
        <f>'个人技术逐级'!G286</f>
        <v/>
      </c>
      <c r="I286" s="52" t="inlineStr">
        <is>
          <t>个人技术计时升级</t>
        </is>
      </c>
      <c r="J286" s="57">
        <f>'个人技术逐级'!M286</f>
        <v/>
      </c>
      <c r="K286" s="35">
        <f>J286/3600</f>
        <v/>
      </c>
      <c r="L286" s="35">
        <f>SUMIFS($K$5:$K$692,$A$5:$A$692,A286,$B$5:$B$692,B286,$F$5:$F$692,"&lt;="&amp;F286)</f>
        <v/>
      </c>
      <c r="M286" s="58">
        <f>'个人技术逐级'!N286</f>
        <v/>
      </c>
      <c r="N286" s="58">
        <f>SUMIFS($M$5:$M$692,$A$5:$A$692,A286,$B$5:$B$692,B286,$F$5:$F$692,"&lt;="&amp;F286)</f>
        <v/>
      </c>
      <c r="O286" s="58">
        <f>0</f>
        <v/>
      </c>
      <c r="P286" s="58">
        <f>SUMIFS($O$5:$O$692,$A$5:$A$692,A286,$B$5:$B$692,B286,$F$5:$F$692,"&lt;="&amp;F286)</f>
        <v/>
      </c>
      <c r="Q286" s="58">
        <f>0</f>
        <v/>
      </c>
      <c r="R286" s="58">
        <f>SUMIFS($Q$5:$Q$692,$A$5:$A$692,A286,$B$5:$B$692,B286,$F$5:$F$692,"&lt;="&amp;F286)</f>
        <v/>
      </c>
      <c r="S286" s="58">
        <f>0</f>
        <v/>
      </c>
      <c r="T286" s="58">
        <f>SUMIFS($S$5:$S$692,$A$5:$A$692,A286,$B$5:$B$692,B286,$F$5:$F$692,"&lt;="&amp;F286)</f>
        <v/>
      </c>
      <c r="U286" s="52">
        <f>'个人技术逐级'!O286</f>
        <v/>
      </c>
    </row>
    <row r="287">
      <c r="A287" s="33" t="inlineStr">
        <is>
          <t>个人技术</t>
        </is>
      </c>
      <c r="B287" s="33">
        <f>'个人技术逐级'!A287</f>
        <v/>
      </c>
      <c r="C287" s="33">
        <f>'个人技术逐级'!B287</f>
        <v/>
      </c>
      <c r="D287" s="33">
        <f>'个人技术逐级'!C287</f>
        <v/>
      </c>
      <c r="E287">
        <f>'个人技术逐级'!D287</f>
        <v/>
      </c>
      <c r="F287" s="54">
        <f>'个人技术逐级'!E287</f>
        <v/>
      </c>
      <c r="G287" s="55">
        <f>'个人技术逐级'!F287</f>
        <v/>
      </c>
      <c r="H287" s="56">
        <f>'个人技术逐级'!G287</f>
        <v/>
      </c>
      <c r="I287" s="52" t="inlineStr">
        <is>
          <t>个人技术计时升级</t>
        </is>
      </c>
      <c r="J287" s="57">
        <f>'个人技术逐级'!M287</f>
        <v/>
      </c>
      <c r="K287" s="35">
        <f>J287/3600</f>
        <v/>
      </c>
      <c r="L287" s="35">
        <f>SUMIFS($K$5:$K$692,$A$5:$A$692,A287,$B$5:$B$692,B287,$F$5:$F$692,"&lt;="&amp;F287)</f>
        <v/>
      </c>
      <c r="M287" s="58">
        <f>'个人技术逐级'!N287</f>
        <v/>
      </c>
      <c r="N287" s="58">
        <f>SUMIFS($M$5:$M$692,$A$5:$A$692,A287,$B$5:$B$692,B287,$F$5:$F$692,"&lt;="&amp;F287)</f>
        <v/>
      </c>
      <c r="O287" s="58">
        <f>0</f>
        <v/>
      </c>
      <c r="P287" s="58">
        <f>SUMIFS($O$5:$O$692,$A$5:$A$692,A287,$B$5:$B$692,B287,$F$5:$F$692,"&lt;="&amp;F287)</f>
        <v/>
      </c>
      <c r="Q287" s="58">
        <f>0</f>
        <v/>
      </c>
      <c r="R287" s="58">
        <f>SUMIFS($Q$5:$Q$692,$A$5:$A$692,A287,$B$5:$B$692,B287,$F$5:$F$692,"&lt;="&amp;F287)</f>
        <v/>
      </c>
      <c r="S287" s="58">
        <f>0</f>
        <v/>
      </c>
      <c r="T287" s="58">
        <f>SUMIFS($S$5:$S$692,$A$5:$A$692,A287,$B$5:$B$692,B287,$F$5:$F$692,"&lt;="&amp;F287)</f>
        <v/>
      </c>
      <c r="U287" s="52">
        <f>'个人技术逐级'!O287</f>
        <v/>
      </c>
    </row>
    <row r="288">
      <c r="A288" s="33" t="inlineStr">
        <is>
          <t>个人技术</t>
        </is>
      </c>
      <c r="B288" s="33">
        <f>'个人技术逐级'!A288</f>
        <v/>
      </c>
      <c r="C288" s="33">
        <f>'个人技术逐级'!B288</f>
        <v/>
      </c>
      <c r="D288" s="33">
        <f>'个人技术逐级'!C288</f>
        <v/>
      </c>
      <c r="E288">
        <f>'个人技术逐级'!D288</f>
        <v/>
      </c>
      <c r="F288" s="54">
        <f>'个人技术逐级'!E288</f>
        <v/>
      </c>
      <c r="G288" s="55">
        <f>'个人技术逐级'!F288</f>
        <v/>
      </c>
      <c r="H288" s="56">
        <f>'个人技术逐级'!G288</f>
        <v/>
      </c>
      <c r="I288" s="52" t="inlineStr">
        <is>
          <t>个人技术计时升级</t>
        </is>
      </c>
      <c r="J288" s="57">
        <f>'个人技术逐级'!M288</f>
        <v/>
      </c>
      <c r="K288" s="35">
        <f>J288/3600</f>
        <v/>
      </c>
      <c r="L288" s="35">
        <f>SUMIFS($K$5:$K$692,$A$5:$A$692,A288,$B$5:$B$692,B288,$F$5:$F$692,"&lt;="&amp;F288)</f>
        <v/>
      </c>
      <c r="M288" s="58">
        <f>'个人技术逐级'!N288</f>
        <v/>
      </c>
      <c r="N288" s="58">
        <f>SUMIFS($M$5:$M$692,$A$5:$A$692,A288,$B$5:$B$692,B288,$F$5:$F$692,"&lt;="&amp;F288)</f>
        <v/>
      </c>
      <c r="O288" s="58">
        <f>0</f>
        <v/>
      </c>
      <c r="P288" s="58">
        <f>SUMIFS($O$5:$O$692,$A$5:$A$692,A288,$B$5:$B$692,B288,$F$5:$F$692,"&lt;="&amp;F288)</f>
        <v/>
      </c>
      <c r="Q288" s="58">
        <f>0</f>
        <v/>
      </c>
      <c r="R288" s="58">
        <f>SUMIFS($Q$5:$Q$692,$A$5:$A$692,A288,$B$5:$B$692,B288,$F$5:$F$692,"&lt;="&amp;F288)</f>
        <v/>
      </c>
      <c r="S288" s="58">
        <f>0</f>
        <v/>
      </c>
      <c r="T288" s="58">
        <f>SUMIFS($S$5:$S$692,$A$5:$A$692,A288,$B$5:$B$692,B288,$F$5:$F$692,"&lt;="&amp;F288)</f>
        <v/>
      </c>
      <c r="U288" s="52">
        <f>'个人技术逐级'!O288</f>
        <v/>
      </c>
    </row>
    <row r="289">
      <c r="A289" s="33" t="inlineStr">
        <is>
          <t>个人技术</t>
        </is>
      </c>
      <c r="B289" s="33">
        <f>'个人技术逐级'!A289</f>
        <v/>
      </c>
      <c r="C289" s="33">
        <f>'个人技术逐级'!B289</f>
        <v/>
      </c>
      <c r="D289" s="33">
        <f>'个人技术逐级'!C289</f>
        <v/>
      </c>
      <c r="E289">
        <f>'个人技术逐级'!D289</f>
        <v/>
      </c>
      <c r="F289" s="54">
        <f>'个人技术逐级'!E289</f>
        <v/>
      </c>
      <c r="G289" s="55">
        <f>'个人技术逐级'!F289</f>
        <v/>
      </c>
      <c r="H289" s="56">
        <f>'个人技术逐级'!G289</f>
        <v/>
      </c>
      <c r="I289" s="52" t="inlineStr">
        <is>
          <t>个人技术计时升级</t>
        </is>
      </c>
      <c r="J289" s="57">
        <f>'个人技术逐级'!M289</f>
        <v/>
      </c>
      <c r="K289" s="35">
        <f>J289/3600</f>
        <v/>
      </c>
      <c r="L289" s="35">
        <f>SUMIFS($K$5:$K$692,$A$5:$A$692,A289,$B$5:$B$692,B289,$F$5:$F$692,"&lt;="&amp;F289)</f>
        <v/>
      </c>
      <c r="M289" s="58">
        <f>'个人技术逐级'!N289</f>
        <v/>
      </c>
      <c r="N289" s="58">
        <f>SUMIFS($M$5:$M$692,$A$5:$A$692,A289,$B$5:$B$692,B289,$F$5:$F$692,"&lt;="&amp;F289)</f>
        <v/>
      </c>
      <c r="O289" s="58">
        <f>0</f>
        <v/>
      </c>
      <c r="P289" s="58">
        <f>SUMIFS($O$5:$O$692,$A$5:$A$692,A289,$B$5:$B$692,B289,$F$5:$F$692,"&lt;="&amp;F289)</f>
        <v/>
      </c>
      <c r="Q289" s="58">
        <f>0</f>
        <v/>
      </c>
      <c r="R289" s="58">
        <f>SUMIFS($Q$5:$Q$692,$A$5:$A$692,A289,$B$5:$B$692,B289,$F$5:$F$692,"&lt;="&amp;F289)</f>
        <v/>
      </c>
      <c r="S289" s="58">
        <f>0</f>
        <v/>
      </c>
      <c r="T289" s="58">
        <f>SUMIFS($S$5:$S$692,$A$5:$A$692,A289,$B$5:$B$692,B289,$F$5:$F$692,"&lt;="&amp;F289)</f>
        <v/>
      </c>
      <c r="U289" s="52">
        <f>'个人技术逐级'!O289</f>
        <v/>
      </c>
    </row>
    <row r="290">
      <c r="A290" s="33" t="inlineStr">
        <is>
          <t>个人技术</t>
        </is>
      </c>
      <c r="B290" s="33">
        <f>'个人技术逐级'!A290</f>
        <v/>
      </c>
      <c r="C290" s="33">
        <f>'个人技术逐级'!B290</f>
        <v/>
      </c>
      <c r="D290" s="33">
        <f>'个人技术逐级'!C290</f>
        <v/>
      </c>
      <c r="E290">
        <f>'个人技术逐级'!D290</f>
        <v/>
      </c>
      <c r="F290" s="54">
        <f>'个人技术逐级'!E290</f>
        <v/>
      </c>
      <c r="G290" s="55">
        <f>'个人技术逐级'!F290</f>
        <v/>
      </c>
      <c r="H290" s="56">
        <f>'个人技术逐级'!G290</f>
        <v/>
      </c>
      <c r="I290" s="52" t="inlineStr">
        <is>
          <t>个人技术计时升级</t>
        </is>
      </c>
      <c r="J290" s="57">
        <f>'个人技术逐级'!M290</f>
        <v/>
      </c>
      <c r="K290" s="35">
        <f>J290/3600</f>
        <v/>
      </c>
      <c r="L290" s="35">
        <f>SUMIFS($K$5:$K$692,$A$5:$A$692,A290,$B$5:$B$692,B290,$F$5:$F$692,"&lt;="&amp;F290)</f>
        <v/>
      </c>
      <c r="M290" s="58">
        <f>'个人技术逐级'!N290</f>
        <v/>
      </c>
      <c r="N290" s="58">
        <f>SUMIFS($M$5:$M$692,$A$5:$A$692,A290,$B$5:$B$692,B290,$F$5:$F$692,"&lt;="&amp;F290)</f>
        <v/>
      </c>
      <c r="O290" s="58">
        <f>0</f>
        <v/>
      </c>
      <c r="P290" s="58">
        <f>SUMIFS($O$5:$O$692,$A$5:$A$692,A290,$B$5:$B$692,B290,$F$5:$F$692,"&lt;="&amp;F290)</f>
        <v/>
      </c>
      <c r="Q290" s="58">
        <f>0</f>
        <v/>
      </c>
      <c r="R290" s="58">
        <f>SUMIFS($Q$5:$Q$692,$A$5:$A$692,A290,$B$5:$B$692,B290,$F$5:$F$692,"&lt;="&amp;F290)</f>
        <v/>
      </c>
      <c r="S290" s="58">
        <f>0</f>
        <v/>
      </c>
      <c r="T290" s="58">
        <f>SUMIFS($S$5:$S$692,$A$5:$A$692,A290,$B$5:$B$692,B290,$F$5:$F$692,"&lt;="&amp;F290)</f>
        <v/>
      </c>
      <c r="U290" s="52">
        <f>'个人技术逐级'!O290</f>
        <v/>
      </c>
    </row>
    <row r="291">
      <c r="A291" s="33" t="inlineStr">
        <is>
          <t>个人技术</t>
        </is>
      </c>
      <c r="B291" s="33">
        <f>'个人技术逐级'!A291</f>
        <v/>
      </c>
      <c r="C291" s="33">
        <f>'个人技术逐级'!B291</f>
        <v/>
      </c>
      <c r="D291" s="33">
        <f>'个人技术逐级'!C291</f>
        <v/>
      </c>
      <c r="E291">
        <f>'个人技术逐级'!D291</f>
        <v/>
      </c>
      <c r="F291" s="54">
        <f>'个人技术逐级'!E291</f>
        <v/>
      </c>
      <c r="G291" s="55">
        <f>'个人技术逐级'!F291</f>
        <v/>
      </c>
      <c r="H291" s="56">
        <f>'个人技术逐级'!G291</f>
        <v/>
      </c>
      <c r="I291" s="52" t="inlineStr">
        <is>
          <t>个人技术计时升级</t>
        </is>
      </c>
      <c r="J291" s="57">
        <f>'个人技术逐级'!M291</f>
        <v/>
      </c>
      <c r="K291" s="35">
        <f>J291/3600</f>
        <v/>
      </c>
      <c r="L291" s="35">
        <f>SUMIFS($K$5:$K$692,$A$5:$A$692,A291,$B$5:$B$692,B291,$F$5:$F$692,"&lt;="&amp;F291)</f>
        <v/>
      </c>
      <c r="M291" s="58">
        <f>'个人技术逐级'!N291</f>
        <v/>
      </c>
      <c r="N291" s="58">
        <f>SUMIFS($M$5:$M$692,$A$5:$A$692,A291,$B$5:$B$692,B291,$F$5:$F$692,"&lt;="&amp;F291)</f>
        <v/>
      </c>
      <c r="O291" s="58">
        <f>0</f>
        <v/>
      </c>
      <c r="P291" s="58">
        <f>SUMIFS($O$5:$O$692,$A$5:$A$692,A291,$B$5:$B$692,B291,$F$5:$F$692,"&lt;="&amp;F291)</f>
        <v/>
      </c>
      <c r="Q291" s="58">
        <f>0</f>
        <v/>
      </c>
      <c r="R291" s="58">
        <f>SUMIFS($Q$5:$Q$692,$A$5:$A$692,A291,$B$5:$B$692,B291,$F$5:$F$692,"&lt;="&amp;F291)</f>
        <v/>
      </c>
      <c r="S291" s="58">
        <f>0</f>
        <v/>
      </c>
      <c r="T291" s="58">
        <f>SUMIFS($S$5:$S$692,$A$5:$A$692,A291,$B$5:$B$692,B291,$F$5:$F$692,"&lt;="&amp;F291)</f>
        <v/>
      </c>
      <c r="U291" s="52">
        <f>'个人技术逐级'!O291</f>
        <v/>
      </c>
    </row>
    <row r="292">
      <c r="A292" s="33" t="inlineStr">
        <is>
          <t>个人技术</t>
        </is>
      </c>
      <c r="B292" s="33">
        <f>'个人技术逐级'!A292</f>
        <v/>
      </c>
      <c r="C292" s="33">
        <f>'个人技术逐级'!B292</f>
        <v/>
      </c>
      <c r="D292" s="33">
        <f>'个人技术逐级'!C292</f>
        <v/>
      </c>
      <c r="E292">
        <f>'个人技术逐级'!D292</f>
        <v/>
      </c>
      <c r="F292" s="54">
        <f>'个人技术逐级'!E292</f>
        <v/>
      </c>
      <c r="G292" s="55">
        <f>'个人技术逐级'!F292</f>
        <v/>
      </c>
      <c r="H292" s="56">
        <f>'个人技术逐级'!G292</f>
        <v/>
      </c>
      <c r="I292" s="52" t="inlineStr">
        <is>
          <t>个人技术计时升级</t>
        </is>
      </c>
      <c r="J292" s="57">
        <f>'个人技术逐级'!M292</f>
        <v/>
      </c>
      <c r="K292" s="35">
        <f>J292/3600</f>
        <v/>
      </c>
      <c r="L292" s="35">
        <f>SUMIFS($K$5:$K$692,$A$5:$A$692,A292,$B$5:$B$692,B292,$F$5:$F$692,"&lt;="&amp;F292)</f>
        <v/>
      </c>
      <c r="M292" s="58">
        <f>'个人技术逐级'!N292</f>
        <v/>
      </c>
      <c r="N292" s="58">
        <f>SUMIFS($M$5:$M$692,$A$5:$A$692,A292,$B$5:$B$692,B292,$F$5:$F$692,"&lt;="&amp;F292)</f>
        <v/>
      </c>
      <c r="O292" s="58">
        <f>0</f>
        <v/>
      </c>
      <c r="P292" s="58">
        <f>SUMIFS($O$5:$O$692,$A$5:$A$692,A292,$B$5:$B$692,B292,$F$5:$F$692,"&lt;="&amp;F292)</f>
        <v/>
      </c>
      <c r="Q292" s="58">
        <f>0</f>
        <v/>
      </c>
      <c r="R292" s="58">
        <f>SUMIFS($Q$5:$Q$692,$A$5:$A$692,A292,$B$5:$B$692,B292,$F$5:$F$692,"&lt;="&amp;F292)</f>
        <v/>
      </c>
      <c r="S292" s="58">
        <f>0</f>
        <v/>
      </c>
      <c r="T292" s="58">
        <f>SUMIFS($S$5:$S$692,$A$5:$A$692,A292,$B$5:$B$692,B292,$F$5:$F$692,"&lt;="&amp;F292)</f>
        <v/>
      </c>
      <c r="U292" s="52">
        <f>'个人技术逐级'!O292</f>
        <v/>
      </c>
    </row>
    <row r="293">
      <c r="A293" s="33" t="inlineStr">
        <is>
          <t>个人技术</t>
        </is>
      </c>
      <c r="B293" s="33">
        <f>'个人技术逐级'!A293</f>
        <v/>
      </c>
      <c r="C293" s="33">
        <f>'个人技术逐级'!B293</f>
        <v/>
      </c>
      <c r="D293" s="33">
        <f>'个人技术逐级'!C293</f>
        <v/>
      </c>
      <c r="E293">
        <f>'个人技术逐级'!D293</f>
        <v/>
      </c>
      <c r="F293" s="54">
        <f>'个人技术逐级'!E293</f>
        <v/>
      </c>
      <c r="G293" s="55">
        <f>'个人技术逐级'!F293</f>
        <v/>
      </c>
      <c r="H293" s="56">
        <f>'个人技术逐级'!G293</f>
        <v/>
      </c>
      <c r="I293" s="52" t="inlineStr">
        <is>
          <t>个人技术计时升级</t>
        </is>
      </c>
      <c r="J293" s="57">
        <f>'个人技术逐级'!M293</f>
        <v/>
      </c>
      <c r="K293" s="35">
        <f>J293/3600</f>
        <v/>
      </c>
      <c r="L293" s="35">
        <f>SUMIFS($K$5:$K$692,$A$5:$A$692,A293,$B$5:$B$692,B293,$F$5:$F$692,"&lt;="&amp;F293)</f>
        <v/>
      </c>
      <c r="M293" s="58">
        <f>'个人技术逐级'!N293</f>
        <v/>
      </c>
      <c r="N293" s="58">
        <f>SUMIFS($M$5:$M$692,$A$5:$A$692,A293,$B$5:$B$692,B293,$F$5:$F$692,"&lt;="&amp;F293)</f>
        <v/>
      </c>
      <c r="O293" s="58">
        <f>0</f>
        <v/>
      </c>
      <c r="P293" s="58">
        <f>SUMIFS($O$5:$O$692,$A$5:$A$692,A293,$B$5:$B$692,B293,$F$5:$F$692,"&lt;="&amp;F293)</f>
        <v/>
      </c>
      <c r="Q293" s="58">
        <f>0</f>
        <v/>
      </c>
      <c r="R293" s="58">
        <f>SUMIFS($Q$5:$Q$692,$A$5:$A$692,A293,$B$5:$B$692,B293,$F$5:$F$692,"&lt;="&amp;F293)</f>
        <v/>
      </c>
      <c r="S293" s="58">
        <f>0</f>
        <v/>
      </c>
      <c r="T293" s="58">
        <f>SUMIFS($S$5:$S$692,$A$5:$A$692,A293,$B$5:$B$692,B293,$F$5:$F$692,"&lt;="&amp;F293)</f>
        <v/>
      </c>
      <c r="U293" s="52">
        <f>'个人技术逐级'!O293</f>
        <v/>
      </c>
    </row>
    <row r="294">
      <c r="A294" s="33" t="inlineStr">
        <is>
          <t>个人技术</t>
        </is>
      </c>
      <c r="B294" s="33">
        <f>'个人技术逐级'!A294</f>
        <v/>
      </c>
      <c r="C294" s="33">
        <f>'个人技术逐级'!B294</f>
        <v/>
      </c>
      <c r="D294" s="33">
        <f>'个人技术逐级'!C294</f>
        <v/>
      </c>
      <c r="E294">
        <f>'个人技术逐级'!D294</f>
        <v/>
      </c>
      <c r="F294" s="54">
        <f>'个人技术逐级'!E294</f>
        <v/>
      </c>
      <c r="G294" s="55">
        <f>'个人技术逐级'!F294</f>
        <v/>
      </c>
      <c r="H294" s="56">
        <f>'个人技术逐级'!G294</f>
        <v/>
      </c>
      <c r="I294" s="52" t="inlineStr">
        <is>
          <t>个人技术计时升级</t>
        </is>
      </c>
      <c r="J294" s="57">
        <f>'个人技术逐级'!M294</f>
        <v/>
      </c>
      <c r="K294" s="35">
        <f>J294/3600</f>
        <v/>
      </c>
      <c r="L294" s="35">
        <f>SUMIFS($K$5:$K$692,$A$5:$A$692,A294,$B$5:$B$692,B294,$F$5:$F$692,"&lt;="&amp;F294)</f>
        <v/>
      </c>
      <c r="M294" s="58">
        <f>'个人技术逐级'!N294</f>
        <v/>
      </c>
      <c r="N294" s="58">
        <f>SUMIFS($M$5:$M$692,$A$5:$A$692,A294,$B$5:$B$692,B294,$F$5:$F$692,"&lt;="&amp;F294)</f>
        <v/>
      </c>
      <c r="O294" s="58">
        <f>0</f>
        <v/>
      </c>
      <c r="P294" s="58">
        <f>SUMIFS($O$5:$O$692,$A$5:$A$692,A294,$B$5:$B$692,B294,$F$5:$F$692,"&lt;="&amp;F294)</f>
        <v/>
      </c>
      <c r="Q294" s="58">
        <f>0</f>
        <v/>
      </c>
      <c r="R294" s="58">
        <f>SUMIFS($Q$5:$Q$692,$A$5:$A$692,A294,$B$5:$B$692,B294,$F$5:$F$692,"&lt;="&amp;F294)</f>
        <v/>
      </c>
      <c r="S294" s="58">
        <f>0</f>
        <v/>
      </c>
      <c r="T294" s="58">
        <f>SUMIFS($S$5:$S$692,$A$5:$A$692,A294,$B$5:$B$692,B294,$F$5:$F$692,"&lt;="&amp;F294)</f>
        <v/>
      </c>
      <c r="U294" s="52">
        <f>'个人技术逐级'!O294</f>
        <v/>
      </c>
    </row>
    <row r="295">
      <c r="A295" s="33" t="inlineStr">
        <is>
          <t>个人技术</t>
        </is>
      </c>
      <c r="B295" s="33">
        <f>'个人技术逐级'!A295</f>
        <v/>
      </c>
      <c r="C295" s="33">
        <f>'个人技术逐级'!B295</f>
        <v/>
      </c>
      <c r="D295" s="33">
        <f>'个人技术逐级'!C295</f>
        <v/>
      </c>
      <c r="E295">
        <f>'个人技术逐级'!D295</f>
        <v/>
      </c>
      <c r="F295" s="54">
        <f>'个人技术逐级'!E295</f>
        <v/>
      </c>
      <c r="G295" s="55">
        <f>'个人技术逐级'!F295</f>
        <v/>
      </c>
      <c r="H295" s="56">
        <f>'个人技术逐级'!G295</f>
        <v/>
      </c>
      <c r="I295" s="52" t="inlineStr">
        <is>
          <t>个人技术计时升级</t>
        </is>
      </c>
      <c r="J295" s="57">
        <f>'个人技术逐级'!M295</f>
        <v/>
      </c>
      <c r="K295" s="35">
        <f>J295/3600</f>
        <v/>
      </c>
      <c r="L295" s="35">
        <f>SUMIFS($K$5:$K$692,$A$5:$A$692,A295,$B$5:$B$692,B295,$F$5:$F$692,"&lt;="&amp;F295)</f>
        <v/>
      </c>
      <c r="M295" s="58">
        <f>'个人技术逐级'!N295</f>
        <v/>
      </c>
      <c r="N295" s="58">
        <f>SUMIFS($M$5:$M$692,$A$5:$A$692,A295,$B$5:$B$692,B295,$F$5:$F$692,"&lt;="&amp;F295)</f>
        <v/>
      </c>
      <c r="O295" s="58">
        <f>0</f>
        <v/>
      </c>
      <c r="P295" s="58">
        <f>SUMIFS($O$5:$O$692,$A$5:$A$692,A295,$B$5:$B$692,B295,$F$5:$F$692,"&lt;="&amp;F295)</f>
        <v/>
      </c>
      <c r="Q295" s="58">
        <f>0</f>
        <v/>
      </c>
      <c r="R295" s="58">
        <f>SUMIFS($Q$5:$Q$692,$A$5:$A$692,A295,$B$5:$B$692,B295,$F$5:$F$692,"&lt;="&amp;F295)</f>
        <v/>
      </c>
      <c r="S295" s="58">
        <f>0</f>
        <v/>
      </c>
      <c r="T295" s="58">
        <f>SUMIFS($S$5:$S$692,$A$5:$A$692,A295,$B$5:$B$692,B295,$F$5:$F$692,"&lt;="&amp;F295)</f>
        <v/>
      </c>
      <c r="U295" s="52">
        <f>'个人技术逐级'!O295</f>
        <v/>
      </c>
    </row>
    <row r="296">
      <c r="A296" s="33" t="inlineStr">
        <is>
          <t>个人技术</t>
        </is>
      </c>
      <c r="B296" s="33">
        <f>'个人技术逐级'!A296</f>
        <v/>
      </c>
      <c r="C296" s="33">
        <f>'个人技术逐级'!B296</f>
        <v/>
      </c>
      <c r="D296" s="33">
        <f>'个人技术逐级'!C296</f>
        <v/>
      </c>
      <c r="E296">
        <f>'个人技术逐级'!D296</f>
        <v/>
      </c>
      <c r="F296" s="54">
        <f>'个人技术逐级'!E296</f>
        <v/>
      </c>
      <c r="G296" s="55">
        <f>'个人技术逐级'!F296</f>
        <v/>
      </c>
      <c r="H296" s="56">
        <f>'个人技术逐级'!G296</f>
        <v/>
      </c>
      <c r="I296" s="52" t="inlineStr">
        <is>
          <t>个人技术计时升级</t>
        </is>
      </c>
      <c r="J296" s="57">
        <f>'个人技术逐级'!M296</f>
        <v/>
      </c>
      <c r="K296" s="35">
        <f>J296/3600</f>
        <v/>
      </c>
      <c r="L296" s="35">
        <f>SUMIFS($K$5:$K$692,$A$5:$A$692,A296,$B$5:$B$692,B296,$F$5:$F$692,"&lt;="&amp;F296)</f>
        <v/>
      </c>
      <c r="M296" s="58">
        <f>'个人技术逐级'!N296</f>
        <v/>
      </c>
      <c r="N296" s="58">
        <f>SUMIFS($M$5:$M$692,$A$5:$A$692,A296,$B$5:$B$692,B296,$F$5:$F$692,"&lt;="&amp;F296)</f>
        <v/>
      </c>
      <c r="O296" s="58">
        <f>0</f>
        <v/>
      </c>
      <c r="P296" s="58">
        <f>SUMIFS($O$5:$O$692,$A$5:$A$692,A296,$B$5:$B$692,B296,$F$5:$F$692,"&lt;="&amp;F296)</f>
        <v/>
      </c>
      <c r="Q296" s="58">
        <f>0</f>
        <v/>
      </c>
      <c r="R296" s="58">
        <f>SUMIFS($Q$5:$Q$692,$A$5:$A$692,A296,$B$5:$B$692,B296,$F$5:$F$692,"&lt;="&amp;F296)</f>
        <v/>
      </c>
      <c r="S296" s="58">
        <f>0</f>
        <v/>
      </c>
      <c r="T296" s="58">
        <f>SUMIFS($S$5:$S$692,$A$5:$A$692,A296,$B$5:$B$692,B296,$F$5:$F$692,"&lt;="&amp;F296)</f>
        <v/>
      </c>
      <c r="U296" s="52">
        <f>'个人技术逐级'!O296</f>
        <v/>
      </c>
    </row>
    <row r="297">
      <c r="A297" s="33" t="inlineStr">
        <is>
          <t>个人技术</t>
        </is>
      </c>
      <c r="B297" s="33">
        <f>'个人技术逐级'!A297</f>
        <v/>
      </c>
      <c r="C297" s="33">
        <f>'个人技术逐级'!B297</f>
        <v/>
      </c>
      <c r="D297" s="33">
        <f>'个人技术逐级'!C297</f>
        <v/>
      </c>
      <c r="E297">
        <f>'个人技术逐级'!D297</f>
        <v/>
      </c>
      <c r="F297" s="54">
        <f>'个人技术逐级'!E297</f>
        <v/>
      </c>
      <c r="G297" s="55">
        <f>'个人技术逐级'!F297</f>
        <v/>
      </c>
      <c r="H297" s="56">
        <f>'个人技术逐级'!G297</f>
        <v/>
      </c>
      <c r="I297" s="52" t="inlineStr">
        <is>
          <t>个人技术计时升级</t>
        </is>
      </c>
      <c r="J297" s="57">
        <f>'个人技术逐级'!M297</f>
        <v/>
      </c>
      <c r="K297" s="35">
        <f>J297/3600</f>
        <v/>
      </c>
      <c r="L297" s="35">
        <f>SUMIFS($K$5:$K$692,$A$5:$A$692,A297,$B$5:$B$692,B297,$F$5:$F$692,"&lt;="&amp;F297)</f>
        <v/>
      </c>
      <c r="M297" s="58">
        <f>'个人技术逐级'!N297</f>
        <v/>
      </c>
      <c r="N297" s="58">
        <f>SUMIFS($M$5:$M$692,$A$5:$A$692,A297,$B$5:$B$692,B297,$F$5:$F$692,"&lt;="&amp;F297)</f>
        <v/>
      </c>
      <c r="O297" s="58">
        <f>0</f>
        <v/>
      </c>
      <c r="P297" s="58">
        <f>SUMIFS($O$5:$O$692,$A$5:$A$692,A297,$B$5:$B$692,B297,$F$5:$F$692,"&lt;="&amp;F297)</f>
        <v/>
      </c>
      <c r="Q297" s="58">
        <f>0</f>
        <v/>
      </c>
      <c r="R297" s="58">
        <f>SUMIFS($Q$5:$Q$692,$A$5:$A$692,A297,$B$5:$B$692,B297,$F$5:$F$692,"&lt;="&amp;F297)</f>
        <v/>
      </c>
      <c r="S297" s="58">
        <f>0</f>
        <v/>
      </c>
      <c r="T297" s="58">
        <f>SUMIFS($S$5:$S$692,$A$5:$A$692,A297,$B$5:$B$692,B297,$F$5:$F$692,"&lt;="&amp;F297)</f>
        <v/>
      </c>
      <c r="U297" s="52">
        <f>'个人技术逐级'!O297</f>
        <v/>
      </c>
    </row>
    <row r="298">
      <c r="A298" s="33" t="inlineStr">
        <is>
          <t>个人技术</t>
        </is>
      </c>
      <c r="B298" s="33">
        <f>'个人技术逐级'!A298</f>
        <v/>
      </c>
      <c r="C298" s="33">
        <f>'个人技术逐级'!B298</f>
        <v/>
      </c>
      <c r="D298" s="33">
        <f>'个人技术逐级'!C298</f>
        <v/>
      </c>
      <c r="E298">
        <f>'个人技术逐级'!D298</f>
        <v/>
      </c>
      <c r="F298" s="54">
        <f>'个人技术逐级'!E298</f>
        <v/>
      </c>
      <c r="G298" s="55">
        <f>'个人技术逐级'!F298</f>
        <v/>
      </c>
      <c r="H298" s="56">
        <f>'个人技术逐级'!G298</f>
        <v/>
      </c>
      <c r="I298" s="52" t="inlineStr">
        <is>
          <t>个人技术计时升级</t>
        </is>
      </c>
      <c r="J298" s="57">
        <f>'个人技术逐级'!M298</f>
        <v/>
      </c>
      <c r="K298" s="35">
        <f>J298/3600</f>
        <v/>
      </c>
      <c r="L298" s="35">
        <f>SUMIFS($K$5:$K$692,$A$5:$A$692,A298,$B$5:$B$692,B298,$F$5:$F$692,"&lt;="&amp;F298)</f>
        <v/>
      </c>
      <c r="M298" s="58">
        <f>'个人技术逐级'!N298</f>
        <v/>
      </c>
      <c r="N298" s="58">
        <f>SUMIFS($M$5:$M$692,$A$5:$A$692,A298,$B$5:$B$692,B298,$F$5:$F$692,"&lt;="&amp;F298)</f>
        <v/>
      </c>
      <c r="O298" s="58">
        <f>0</f>
        <v/>
      </c>
      <c r="P298" s="58">
        <f>SUMIFS($O$5:$O$692,$A$5:$A$692,A298,$B$5:$B$692,B298,$F$5:$F$692,"&lt;="&amp;F298)</f>
        <v/>
      </c>
      <c r="Q298" s="58">
        <f>0</f>
        <v/>
      </c>
      <c r="R298" s="58">
        <f>SUMIFS($Q$5:$Q$692,$A$5:$A$692,A298,$B$5:$B$692,B298,$F$5:$F$692,"&lt;="&amp;F298)</f>
        <v/>
      </c>
      <c r="S298" s="58">
        <f>0</f>
        <v/>
      </c>
      <c r="T298" s="58">
        <f>SUMIFS($S$5:$S$692,$A$5:$A$692,A298,$B$5:$B$692,B298,$F$5:$F$692,"&lt;="&amp;F298)</f>
        <v/>
      </c>
      <c r="U298" s="52">
        <f>'个人技术逐级'!O298</f>
        <v/>
      </c>
    </row>
    <row r="299">
      <c r="A299" s="33" t="inlineStr">
        <is>
          <t>个人技术</t>
        </is>
      </c>
      <c r="B299" s="33">
        <f>'个人技术逐级'!A299</f>
        <v/>
      </c>
      <c r="C299" s="33">
        <f>'个人技术逐级'!B299</f>
        <v/>
      </c>
      <c r="D299" s="33">
        <f>'个人技术逐级'!C299</f>
        <v/>
      </c>
      <c r="E299">
        <f>'个人技术逐级'!D299</f>
        <v/>
      </c>
      <c r="F299" s="54">
        <f>'个人技术逐级'!E299</f>
        <v/>
      </c>
      <c r="G299" s="55">
        <f>'个人技术逐级'!F299</f>
        <v/>
      </c>
      <c r="H299" s="56">
        <f>'个人技术逐级'!G299</f>
        <v/>
      </c>
      <c r="I299" s="52" t="inlineStr">
        <is>
          <t>个人技术计时升级</t>
        </is>
      </c>
      <c r="J299" s="57">
        <f>'个人技术逐级'!M299</f>
        <v/>
      </c>
      <c r="K299" s="35">
        <f>J299/3600</f>
        <v/>
      </c>
      <c r="L299" s="35">
        <f>SUMIFS($K$5:$K$692,$A$5:$A$692,A299,$B$5:$B$692,B299,$F$5:$F$692,"&lt;="&amp;F299)</f>
        <v/>
      </c>
      <c r="M299" s="58">
        <f>'个人技术逐级'!N299</f>
        <v/>
      </c>
      <c r="N299" s="58">
        <f>SUMIFS($M$5:$M$692,$A$5:$A$692,A299,$B$5:$B$692,B299,$F$5:$F$692,"&lt;="&amp;F299)</f>
        <v/>
      </c>
      <c r="O299" s="58">
        <f>0</f>
        <v/>
      </c>
      <c r="P299" s="58">
        <f>SUMIFS($O$5:$O$692,$A$5:$A$692,A299,$B$5:$B$692,B299,$F$5:$F$692,"&lt;="&amp;F299)</f>
        <v/>
      </c>
      <c r="Q299" s="58">
        <f>0</f>
        <v/>
      </c>
      <c r="R299" s="58">
        <f>SUMIFS($Q$5:$Q$692,$A$5:$A$692,A299,$B$5:$B$692,B299,$F$5:$F$692,"&lt;="&amp;F299)</f>
        <v/>
      </c>
      <c r="S299" s="58">
        <f>0</f>
        <v/>
      </c>
      <c r="T299" s="58">
        <f>SUMIFS($S$5:$S$692,$A$5:$A$692,A299,$B$5:$B$692,B299,$F$5:$F$692,"&lt;="&amp;F299)</f>
        <v/>
      </c>
      <c r="U299" s="52">
        <f>'个人技术逐级'!O299</f>
        <v/>
      </c>
    </row>
    <row r="300">
      <c r="A300" s="33" t="inlineStr">
        <is>
          <t>个人技术</t>
        </is>
      </c>
      <c r="B300" s="33">
        <f>'个人技术逐级'!A300</f>
        <v/>
      </c>
      <c r="C300" s="33">
        <f>'个人技术逐级'!B300</f>
        <v/>
      </c>
      <c r="D300" s="33">
        <f>'个人技术逐级'!C300</f>
        <v/>
      </c>
      <c r="E300">
        <f>'个人技术逐级'!D300</f>
        <v/>
      </c>
      <c r="F300" s="54">
        <f>'个人技术逐级'!E300</f>
        <v/>
      </c>
      <c r="G300" s="55">
        <f>'个人技术逐级'!F300</f>
        <v/>
      </c>
      <c r="H300" s="56">
        <f>'个人技术逐级'!G300</f>
        <v/>
      </c>
      <c r="I300" s="52" t="inlineStr">
        <is>
          <t>个人技术计时升级</t>
        </is>
      </c>
      <c r="J300" s="57">
        <f>'个人技术逐级'!M300</f>
        <v/>
      </c>
      <c r="K300" s="35">
        <f>J300/3600</f>
        <v/>
      </c>
      <c r="L300" s="35">
        <f>SUMIFS($K$5:$K$692,$A$5:$A$692,A300,$B$5:$B$692,B300,$F$5:$F$692,"&lt;="&amp;F300)</f>
        <v/>
      </c>
      <c r="M300" s="58">
        <f>'个人技术逐级'!N300</f>
        <v/>
      </c>
      <c r="N300" s="58">
        <f>SUMIFS($M$5:$M$692,$A$5:$A$692,A300,$B$5:$B$692,B300,$F$5:$F$692,"&lt;="&amp;F300)</f>
        <v/>
      </c>
      <c r="O300" s="58">
        <f>0</f>
        <v/>
      </c>
      <c r="P300" s="58">
        <f>SUMIFS($O$5:$O$692,$A$5:$A$692,A300,$B$5:$B$692,B300,$F$5:$F$692,"&lt;="&amp;F300)</f>
        <v/>
      </c>
      <c r="Q300" s="58">
        <f>0</f>
        <v/>
      </c>
      <c r="R300" s="58">
        <f>SUMIFS($Q$5:$Q$692,$A$5:$A$692,A300,$B$5:$B$692,B300,$F$5:$F$692,"&lt;="&amp;F300)</f>
        <v/>
      </c>
      <c r="S300" s="58">
        <f>0</f>
        <v/>
      </c>
      <c r="T300" s="58">
        <f>SUMIFS($S$5:$S$692,$A$5:$A$692,A300,$B$5:$B$692,B300,$F$5:$F$692,"&lt;="&amp;F300)</f>
        <v/>
      </c>
      <c r="U300" s="52">
        <f>'个人技术逐级'!O300</f>
        <v/>
      </c>
    </row>
    <row r="301">
      <c r="A301" s="33" t="inlineStr">
        <is>
          <t>个人技术</t>
        </is>
      </c>
      <c r="B301" s="33">
        <f>'个人技术逐级'!A301</f>
        <v/>
      </c>
      <c r="C301" s="33">
        <f>'个人技术逐级'!B301</f>
        <v/>
      </c>
      <c r="D301" s="33">
        <f>'个人技术逐级'!C301</f>
        <v/>
      </c>
      <c r="E301">
        <f>'个人技术逐级'!D301</f>
        <v/>
      </c>
      <c r="F301" s="54">
        <f>'个人技术逐级'!E301</f>
        <v/>
      </c>
      <c r="G301" s="55">
        <f>'个人技术逐级'!F301</f>
        <v/>
      </c>
      <c r="H301" s="56">
        <f>'个人技术逐级'!G301</f>
        <v/>
      </c>
      <c r="I301" s="52" t="inlineStr">
        <is>
          <t>个人技术计时升级</t>
        </is>
      </c>
      <c r="J301" s="57">
        <f>'个人技术逐级'!M301</f>
        <v/>
      </c>
      <c r="K301" s="35">
        <f>J301/3600</f>
        <v/>
      </c>
      <c r="L301" s="35">
        <f>SUMIFS($K$5:$K$692,$A$5:$A$692,A301,$B$5:$B$692,B301,$F$5:$F$692,"&lt;="&amp;F301)</f>
        <v/>
      </c>
      <c r="M301" s="58">
        <f>'个人技术逐级'!N301</f>
        <v/>
      </c>
      <c r="N301" s="58">
        <f>SUMIFS($M$5:$M$692,$A$5:$A$692,A301,$B$5:$B$692,B301,$F$5:$F$692,"&lt;="&amp;F301)</f>
        <v/>
      </c>
      <c r="O301" s="58">
        <f>0</f>
        <v/>
      </c>
      <c r="P301" s="58">
        <f>SUMIFS($O$5:$O$692,$A$5:$A$692,A301,$B$5:$B$692,B301,$F$5:$F$692,"&lt;="&amp;F301)</f>
        <v/>
      </c>
      <c r="Q301" s="58">
        <f>0</f>
        <v/>
      </c>
      <c r="R301" s="58">
        <f>SUMIFS($Q$5:$Q$692,$A$5:$A$692,A301,$B$5:$B$692,B301,$F$5:$F$692,"&lt;="&amp;F301)</f>
        <v/>
      </c>
      <c r="S301" s="58">
        <f>0</f>
        <v/>
      </c>
      <c r="T301" s="58">
        <f>SUMIFS($S$5:$S$692,$A$5:$A$692,A301,$B$5:$B$692,B301,$F$5:$F$692,"&lt;="&amp;F301)</f>
        <v/>
      </c>
      <c r="U301" s="52">
        <f>'个人技术逐级'!O301</f>
        <v/>
      </c>
    </row>
    <row r="302">
      <c r="A302" s="33" t="inlineStr">
        <is>
          <t>个人技术</t>
        </is>
      </c>
      <c r="B302" s="33">
        <f>'个人技术逐级'!A302</f>
        <v/>
      </c>
      <c r="C302" s="33">
        <f>'个人技术逐级'!B302</f>
        <v/>
      </c>
      <c r="D302" s="33">
        <f>'个人技术逐级'!C302</f>
        <v/>
      </c>
      <c r="E302">
        <f>'个人技术逐级'!D302</f>
        <v/>
      </c>
      <c r="F302" s="54">
        <f>'个人技术逐级'!E302</f>
        <v/>
      </c>
      <c r="G302" s="55">
        <f>'个人技术逐级'!F302</f>
        <v/>
      </c>
      <c r="H302" s="56">
        <f>'个人技术逐级'!G302</f>
        <v/>
      </c>
      <c r="I302" s="52" t="inlineStr">
        <is>
          <t>个人技术计时升级</t>
        </is>
      </c>
      <c r="J302" s="57">
        <f>'个人技术逐级'!M302</f>
        <v/>
      </c>
      <c r="K302" s="35">
        <f>J302/3600</f>
        <v/>
      </c>
      <c r="L302" s="35">
        <f>SUMIFS($K$5:$K$692,$A$5:$A$692,A302,$B$5:$B$692,B302,$F$5:$F$692,"&lt;="&amp;F302)</f>
        <v/>
      </c>
      <c r="M302" s="58">
        <f>'个人技术逐级'!N302</f>
        <v/>
      </c>
      <c r="N302" s="58">
        <f>SUMIFS($M$5:$M$692,$A$5:$A$692,A302,$B$5:$B$692,B302,$F$5:$F$692,"&lt;="&amp;F302)</f>
        <v/>
      </c>
      <c r="O302" s="58">
        <f>0</f>
        <v/>
      </c>
      <c r="P302" s="58">
        <f>SUMIFS($O$5:$O$692,$A$5:$A$692,A302,$B$5:$B$692,B302,$F$5:$F$692,"&lt;="&amp;F302)</f>
        <v/>
      </c>
      <c r="Q302" s="58">
        <f>0</f>
        <v/>
      </c>
      <c r="R302" s="58">
        <f>SUMIFS($Q$5:$Q$692,$A$5:$A$692,A302,$B$5:$B$692,B302,$F$5:$F$692,"&lt;="&amp;F302)</f>
        <v/>
      </c>
      <c r="S302" s="58">
        <f>0</f>
        <v/>
      </c>
      <c r="T302" s="58">
        <f>SUMIFS($S$5:$S$692,$A$5:$A$692,A302,$B$5:$B$692,B302,$F$5:$F$692,"&lt;="&amp;F302)</f>
        <v/>
      </c>
      <c r="U302" s="52">
        <f>'个人技术逐级'!O302</f>
        <v/>
      </c>
    </row>
    <row r="303">
      <c r="A303" s="33" t="inlineStr">
        <is>
          <t>个人技术</t>
        </is>
      </c>
      <c r="B303" s="33">
        <f>'个人技术逐级'!A303</f>
        <v/>
      </c>
      <c r="C303" s="33">
        <f>'个人技术逐级'!B303</f>
        <v/>
      </c>
      <c r="D303" s="33">
        <f>'个人技术逐级'!C303</f>
        <v/>
      </c>
      <c r="E303">
        <f>'个人技术逐级'!D303</f>
        <v/>
      </c>
      <c r="F303" s="54">
        <f>'个人技术逐级'!E303</f>
        <v/>
      </c>
      <c r="G303" s="55">
        <f>'个人技术逐级'!F303</f>
        <v/>
      </c>
      <c r="H303" s="56">
        <f>'个人技术逐级'!G303</f>
        <v/>
      </c>
      <c r="I303" s="52" t="inlineStr">
        <is>
          <t>个人技术计时升级</t>
        </is>
      </c>
      <c r="J303" s="57">
        <f>'个人技术逐级'!M303</f>
        <v/>
      </c>
      <c r="K303" s="35">
        <f>J303/3600</f>
        <v/>
      </c>
      <c r="L303" s="35">
        <f>SUMIFS($K$5:$K$692,$A$5:$A$692,A303,$B$5:$B$692,B303,$F$5:$F$692,"&lt;="&amp;F303)</f>
        <v/>
      </c>
      <c r="M303" s="58">
        <f>'个人技术逐级'!N303</f>
        <v/>
      </c>
      <c r="N303" s="58">
        <f>SUMIFS($M$5:$M$692,$A$5:$A$692,A303,$B$5:$B$692,B303,$F$5:$F$692,"&lt;="&amp;F303)</f>
        <v/>
      </c>
      <c r="O303" s="58">
        <f>0</f>
        <v/>
      </c>
      <c r="P303" s="58">
        <f>SUMIFS($O$5:$O$692,$A$5:$A$692,A303,$B$5:$B$692,B303,$F$5:$F$692,"&lt;="&amp;F303)</f>
        <v/>
      </c>
      <c r="Q303" s="58">
        <f>0</f>
        <v/>
      </c>
      <c r="R303" s="58">
        <f>SUMIFS($Q$5:$Q$692,$A$5:$A$692,A303,$B$5:$B$692,B303,$F$5:$F$692,"&lt;="&amp;F303)</f>
        <v/>
      </c>
      <c r="S303" s="58">
        <f>0</f>
        <v/>
      </c>
      <c r="T303" s="58">
        <f>SUMIFS($S$5:$S$692,$A$5:$A$692,A303,$B$5:$B$692,B303,$F$5:$F$692,"&lt;="&amp;F303)</f>
        <v/>
      </c>
      <c r="U303" s="52">
        <f>'个人技术逐级'!O303</f>
        <v/>
      </c>
    </row>
    <row r="304">
      <c r="A304" s="33" t="inlineStr">
        <is>
          <t>个人技术</t>
        </is>
      </c>
      <c r="B304" s="33">
        <f>'个人技术逐级'!A304</f>
        <v/>
      </c>
      <c r="C304" s="33">
        <f>'个人技术逐级'!B304</f>
        <v/>
      </c>
      <c r="D304" s="33">
        <f>'个人技术逐级'!C304</f>
        <v/>
      </c>
      <c r="E304">
        <f>'个人技术逐级'!D304</f>
        <v/>
      </c>
      <c r="F304" s="54">
        <f>'个人技术逐级'!E304</f>
        <v/>
      </c>
      <c r="G304" s="55">
        <f>'个人技术逐级'!F304</f>
        <v/>
      </c>
      <c r="H304" s="56">
        <f>'个人技术逐级'!G304</f>
        <v/>
      </c>
      <c r="I304" s="52" t="inlineStr">
        <is>
          <t>个人技术计时升级</t>
        </is>
      </c>
      <c r="J304" s="57">
        <f>'个人技术逐级'!M304</f>
        <v/>
      </c>
      <c r="K304" s="35">
        <f>J304/3600</f>
        <v/>
      </c>
      <c r="L304" s="35">
        <f>SUMIFS($K$5:$K$692,$A$5:$A$692,A304,$B$5:$B$692,B304,$F$5:$F$692,"&lt;="&amp;F304)</f>
        <v/>
      </c>
      <c r="M304" s="58">
        <f>'个人技术逐级'!N304</f>
        <v/>
      </c>
      <c r="N304" s="58">
        <f>SUMIFS($M$5:$M$692,$A$5:$A$692,A304,$B$5:$B$692,B304,$F$5:$F$692,"&lt;="&amp;F304)</f>
        <v/>
      </c>
      <c r="O304" s="58">
        <f>0</f>
        <v/>
      </c>
      <c r="P304" s="58">
        <f>SUMIFS($O$5:$O$692,$A$5:$A$692,A304,$B$5:$B$692,B304,$F$5:$F$692,"&lt;="&amp;F304)</f>
        <v/>
      </c>
      <c r="Q304" s="58">
        <f>0</f>
        <v/>
      </c>
      <c r="R304" s="58">
        <f>SUMIFS($Q$5:$Q$692,$A$5:$A$692,A304,$B$5:$B$692,B304,$F$5:$F$692,"&lt;="&amp;F304)</f>
        <v/>
      </c>
      <c r="S304" s="58">
        <f>0</f>
        <v/>
      </c>
      <c r="T304" s="58">
        <f>SUMIFS($S$5:$S$692,$A$5:$A$692,A304,$B$5:$B$692,B304,$F$5:$F$692,"&lt;="&amp;F304)</f>
        <v/>
      </c>
      <c r="U304" s="52">
        <f>'个人技术逐级'!O304</f>
        <v/>
      </c>
    </row>
    <row r="305">
      <c r="A305" s="33" t="inlineStr">
        <is>
          <t>个人技术</t>
        </is>
      </c>
      <c r="B305" s="33">
        <f>'个人技术逐级'!A305</f>
        <v/>
      </c>
      <c r="C305" s="33">
        <f>'个人技术逐级'!B305</f>
        <v/>
      </c>
      <c r="D305" s="33">
        <f>'个人技术逐级'!C305</f>
        <v/>
      </c>
      <c r="E305">
        <f>'个人技术逐级'!D305</f>
        <v/>
      </c>
      <c r="F305" s="54">
        <f>'个人技术逐级'!E305</f>
        <v/>
      </c>
      <c r="G305" s="55">
        <f>'个人技术逐级'!F305</f>
        <v/>
      </c>
      <c r="H305" s="56">
        <f>'个人技术逐级'!G305</f>
        <v/>
      </c>
      <c r="I305" s="52" t="inlineStr">
        <is>
          <t>个人技术计时升级</t>
        </is>
      </c>
      <c r="J305" s="57">
        <f>'个人技术逐级'!M305</f>
        <v/>
      </c>
      <c r="K305" s="35">
        <f>J305/3600</f>
        <v/>
      </c>
      <c r="L305" s="35">
        <f>SUMIFS($K$5:$K$692,$A$5:$A$692,A305,$B$5:$B$692,B305,$F$5:$F$692,"&lt;="&amp;F305)</f>
        <v/>
      </c>
      <c r="M305" s="58">
        <f>'个人技术逐级'!N305</f>
        <v/>
      </c>
      <c r="N305" s="58">
        <f>SUMIFS($M$5:$M$692,$A$5:$A$692,A305,$B$5:$B$692,B305,$F$5:$F$692,"&lt;="&amp;F305)</f>
        <v/>
      </c>
      <c r="O305" s="58">
        <f>0</f>
        <v/>
      </c>
      <c r="P305" s="58">
        <f>SUMIFS($O$5:$O$692,$A$5:$A$692,A305,$B$5:$B$692,B305,$F$5:$F$692,"&lt;="&amp;F305)</f>
        <v/>
      </c>
      <c r="Q305" s="58">
        <f>0</f>
        <v/>
      </c>
      <c r="R305" s="58">
        <f>SUMIFS($Q$5:$Q$692,$A$5:$A$692,A305,$B$5:$B$692,B305,$F$5:$F$692,"&lt;="&amp;F305)</f>
        <v/>
      </c>
      <c r="S305" s="58">
        <f>0</f>
        <v/>
      </c>
      <c r="T305" s="58">
        <f>SUMIFS($S$5:$S$692,$A$5:$A$692,A305,$B$5:$B$692,B305,$F$5:$F$692,"&lt;="&amp;F305)</f>
        <v/>
      </c>
      <c r="U305" s="52">
        <f>'个人技术逐级'!O305</f>
        <v/>
      </c>
    </row>
    <row r="306">
      <c r="A306" s="33" t="inlineStr">
        <is>
          <t>个人技术</t>
        </is>
      </c>
      <c r="B306" s="33">
        <f>'个人技术逐级'!A306</f>
        <v/>
      </c>
      <c r="C306" s="33">
        <f>'个人技术逐级'!B306</f>
        <v/>
      </c>
      <c r="D306" s="33">
        <f>'个人技术逐级'!C306</f>
        <v/>
      </c>
      <c r="E306">
        <f>'个人技术逐级'!D306</f>
        <v/>
      </c>
      <c r="F306" s="54">
        <f>'个人技术逐级'!E306</f>
        <v/>
      </c>
      <c r="G306" s="55">
        <f>'个人技术逐级'!F306</f>
        <v/>
      </c>
      <c r="H306" s="56">
        <f>'个人技术逐级'!G306</f>
        <v/>
      </c>
      <c r="I306" s="52" t="inlineStr">
        <is>
          <t>个人技术计时升级</t>
        </is>
      </c>
      <c r="J306" s="57">
        <f>'个人技术逐级'!M306</f>
        <v/>
      </c>
      <c r="K306" s="35">
        <f>J306/3600</f>
        <v/>
      </c>
      <c r="L306" s="35">
        <f>SUMIFS($K$5:$K$692,$A$5:$A$692,A306,$B$5:$B$692,B306,$F$5:$F$692,"&lt;="&amp;F306)</f>
        <v/>
      </c>
      <c r="M306" s="58">
        <f>'个人技术逐级'!N306</f>
        <v/>
      </c>
      <c r="N306" s="58">
        <f>SUMIFS($M$5:$M$692,$A$5:$A$692,A306,$B$5:$B$692,B306,$F$5:$F$692,"&lt;="&amp;F306)</f>
        <v/>
      </c>
      <c r="O306" s="58">
        <f>0</f>
        <v/>
      </c>
      <c r="P306" s="58">
        <f>SUMIFS($O$5:$O$692,$A$5:$A$692,A306,$B$5:$B$692,B306,$F$5:$F$692,"&lt;="&amp;F306)</f>
        <v/>
      </c>
      <c r="Q306" s="58">
        <f>0</f>
        <v/>
      </c>
      <c r="R306" s="58">
        <f>SUMIFS($Q$5:$Q$692,$A$5:$A$692,A306,$B$5:$B$692,B306,$F$5:$F$692,"&lt;="&amp;F306)</f>
        <v/>
      </c>
      <c r="S306" s="58">
        <f>0</f>
        <v/>
      </c>
      <c r="T306" s="58">
        <f>SUMIFS($S$5:$S$692,$A$5:$A$692,A306,$B$5:$B$692,B306,$F$5:$F$692,"&lt;="&amp;F306)</f>
        <v/>
      </c>
      <c r="U306" s="52">
        <f>'个人技术逐级'!O306</f>
        <v/>
      </c>
    </row>
    <row r="307">
      <c r="A307" s="33" t="inlineStr">
        <is>
          <t>个人技术</t>
        </is>
      </c>
      <c r="B307" s="33">
        <f>'个人技术逐级'!A307</f>
        <v/>
      </c>
      <c r="C307" s="33">
        <f>'个人技术逐级'!B307</f>
        <v/>
      </c>
      <c r="D307" s="33">
        <f>'个人技术逐级'!C307</f>
        <v/>
      </c>
      <c r="E307">
        <f>'个人技术逐级'!D307</f>
        <v/>
      </c>
      <c r="F307" s="54">
        <f>'个人技术逐级'!E307</f>
        <v/>
      </c>
      <c r="G307" s="55">
        <f>'个人技术逐级'!F307</f>
        <v/>
      </c>
      <c r="H307" s="56">
        <f>'个人技术逐级'!G307</f>
        <v/>
      </c>
      <c r="I307" s="52" t="inlineStr">
        <is>
          <t>个人技术计时升级</t>
        </is>
      </c>
      <c r="J307" s="57">
        <f>'个人技术逐级'!M307</f>
        <v/>
      </c>
      <c r="K307" s="35">
        <f>J307/3600</f>
        <v/>
      </c>
      <c r="L307" s="35">
        <f>SUMIFS($K$5:$K$692,$A$5:$A$692,A307,$B$5:$B$692,B307,$F$5:$F$692,"&lt;="&amp;F307)</f>
        <v/>
      </c>
      <c r="M307" s="58">
        <f>'个人技术逐级'!N307</f>
        <v/>
      </c>
      <c r="N307" s="58">
        <f>SUMIFS($M$5:$M$692,$A$5:$A$692,A307,$B$5:$B$692,B307,$F$5:$F$692,"&lt;="&amp;F307)</f>
        <v/>
      </c>
      <c r="O307" s="58">
        <f>0</f>
        <v/>
      </c>
      <c r="P307" s="58">
        <f>SUMIFS($O$5:$O$692,$A$5:$A$692,A307,$B$5:$B$692,B307,$F$5:$F$692,"&lt;="&amp;F307)</f>
        <v/>
      </c>
      <c r="Q307" s="58">
        <f>0</f>
        <v/>
      </c>
      <c r="R307" s="58">
        <f>SUMIFS($Q$5:$Q$692,$A$5:$A$692,A307,$B$5:$B$692,B307,$F$5:$F$692,"&lt;="&amp;F307)</f>
        <v/>
      </c>
      <c r="S307" s="58">
        <f>0</f>
        <v/>
      </c>
      <c r="T307" s="58">
        <f>SUMIFS($S$5:$S$692,$A$5:$A$692,A307,$B$5:$B$692,B307,$F$5:$F$692,"&lt;="&amp;F307)</f>
        <v/>
      </c>
      <c r="U307" s="52">
        <f>'个人技术逐级'!O307</f>
        <v/>
      </c>
    </row>
    <row r="308">
      <c r="A308" s="33" t="inlineStr">
        <is>
          <t>个人技术</t>
        </is>
      </c>
      <c r="B308" s="33">
        <f>'个人技术逐级'!A308</f>
        <v/>
      </c>
      <c r="C308" s="33">
        <f>'个人技术逐级'!B308</f>
        <v/>
      </c>
      <c r="D308" s="33">
        <f>'个人技术逐级'!C308</f>
        <v/>
      </c>
      <c r="E308">
        <f>'个人技术逐级'!D308</f>
        <v/>
      </c>
      <c r="F308" s="54">
        <f>'个人技术逐级'!E308</f>
        <v/>
      </c>
      <c r="G308" s="55">
        <f>'个人技术逐级'!F308</f>
        <v/>
      </c>
      <c r="H308" s="56">
        <f>'个人技术逐级'!G308</f>
        <v/>
      </c>
      <c r="I308" s="52" t="inlineStr">
        <is>
          <t>个人技术计时升级</t>
        </is>
      </c>
      <c r="J308" s="57">
        <f>'个人技术逐级'!M308</f>
        <v/>
      </c>
      <c r="K308" s="35">
        <f>J308/3600</f>
        <v/>
      </c>
      <c r="L308" s="35">
        <f>SUMIFS($K$5:$K$692,$A$5:$A$692,A308,$B$5:$B$692,B308,$F$5:$F$692,"&lt;="&amp;F308)</f>
        <v/>
      </c>
      <c r="M308" s="58">
        <f>'个人技术逐级'!N308</f>
        <v/>
      </c>
      <c r="N308" s="58">
        <f>SUMIFS($M$5:$M$692,$A$5:$A$692,A308,$B$5:$B$692,B308,$F$5:$F$692,"&lt;="&amp;F308)</f>
        <v/>
      </c>
      <c r="O308" s="58">
        <f>0</f>
        <v/>
      </c>
      <c r="P308" s="58">
        <f>SUMIFS($O$5:$O$692,$A$5:$A$692,A308,$B$5:$B$692,B308,$F$5:$F$692,"&lt;="&amp;F308)</f>
        <v/>
      </c>
      <c r="Q308" s="58">
        <f>0</f>
        <v/>
      </c>
      <c r="R308" s="58">
        <f>SUMIFS($Q$5:$Q$692,$A$5:$A$692,A308,$B$5:$B$692,B308,$F$5:$F$692,"&lt;="&amp;F308)</f>
        <v/>
      </c>
      <c r="S308" s="58">
        <f>0</f>
        <v/>
      </c>
      <c r="T308" s="58">
        <f>SUMIFS($S$5:$S$692,$A$5:$A$692,A308,$B$5:$B$692,B308,$F$5:$F$692,"&lt;="&amp;F308)</f>
        <v/>
      </c>
      <c r="U308" s="52">
        <f>'个人技术逐级'!O308</f>
        <v/>
      </c>
    </row>
    <row r="309">
      <c r="A309" s="33" t="inlineStr">
        <is>
          <t>个人技术</t>
        </is>
      </c>
      <c r="B309" s="33">
        <f>'个人技术逐级'!A309</f>
        <v/>
      </c>
      <c r="C309" s="33">
        <f>'个人技术逐级'!B309</f>
        <v/>
      </c>
      <c r="D309" s="33">
        <f>'个人技术逐级'!C309</f>
        <v/>
      </c>
      <c r="E309">
        <f>'个人技术逐级'!D309</f>
        <v/>
      </c>
      <c r="F309" s="54">
        <f>'个人技术逐级'!E309</f>
        <v/>
      </c>
      <c r="G309" s="55">
        <f>'个人技术逐级'!F309</f>
        <v/>
      </c>
      <c r="H309" s="56">
        <f>'个人技术逐级'!G309</f>
        <v/>
      </c>
      <c r="I309" s="52" t="inlineStr">
        <is>
          <t>个人技术计时升级</t>
        </is>
      </c>
      <c r="J309" s="57">
        <f>'个人技术逐级'!M309</f>
        <v/>
      </c>
      <c r="K309" s="35">
        <f>J309/3600</f>
        <v/>
      </c>
      <c r="L309" s="35">
        <f>SUMIFS($K$5:$K$692,$A$5:$A$692,A309,$B$5:$B$692,B309,$F$5:$F$692,"&lt;="&amp;F309)</f>
        <v/>
      </c>
      <c r="M309" s="58">
        <f>'个人技术逐级'!N309</f>
        <v/>
      </c>
      <c r="N309" s="58">
        <f>SUMIFS($M$5:$M$692,$A$5:$A$692,A309,$B$5:$B$692,B309,$F$5:$F$692,"&lt;="&amp;F309)</f>
        <v/>
      </c>
      <c r="O309" s="58">
        <f>0</f>
        <v/>
      </c>
      <c r="P309" s="58">
        <f>SUMIFS($O$5:$O$692,$A$5:$A$692,A309,$B$5:$B$692,B309,$F$5:$F$692,"&lt;="&amp;F309)</f>
        <v/>
      </c>
      <c r="Q309" s="58">
        <f>0</f>
        <v/>
      </c>
      <c r="R309" s="58">
        <f>SUMIFS($Q$5:$Q$692,$A$5:$A$692,A309,$B$5:$B$692,B309,$F$5:$F$692,"&lt;="&amp;F309)</f>
        <v/>
      </c>
      <c r="S309" s="58">
        <f>0</f>
        <v/>
      </c>
      <c r="T309" s="58">
        <f>SUMIFS($S$5:$S$692,$A$5:$A$692,A309,$B$5:$B$692,B309,$F$5:$F$692,"&lt;="&amp;F309)</f>
        <v/>
      </c>
      <c r="U309" s="52">
        <f>'个人技术逐级'!O309</f>
        <v/>
      </c>
    </row>
    <row r="310">
      <c r="A310" s="33" t="inlineStr">
        <is>
          <t>个人技术</t>
        </is>
      </c>
      <c r="B310" s="33">
        <f>'个人技术逐级'!A310</f>
        <v/>
      </c>
      <c r="C310" s="33">
        <f>'个人技术逐级'!B310</f>
        <v/>
      </c>
      <c r="D310" s="33">
        <f>'个人技术逐级'!C310</f>
        <v/>
      </c>
      <c r="E310">
        <f>'个人技术逐级'!D310</f>
        <v/>
      </c>
      <c r="F310" s="54">
        <f>'个人技术逐级'!E310</f>
        <v/>
      </c>
      <c r="G310" s="55">
        <f>'个人技术逐级'!F310</f>
        <v/>
      </c>
      <c r="H310" s="56">
        <f>'个人技术逐级'!G310</f>
        <v/>
      </c>
      <c r="I310" s="52" t="inlineStr">
        <is>
          <t>个人技术计时升级</t>
        </is>
      </c>
      <c r="J310" s="57">
        <f>'个人技术逐级'!M310</f>
        <v/>
      </c>
      <c r="K310" s="35">
        <f>J310/3600</f>
        <v/>
      </c>
      <c r="L310" s="35">
        <f>SUMIFS($K$5:$K$692,$A$5:$A$692,A310,$B$5:$B$692,B310,$F$5:$F$692,"&lt;="&amp;F310)</f>
        <v/>
      </c>
      <c r="M310" s="58">
        <f>'个人技术逐级'!N310</f>
        <v/>
      </c>
      <c r="N310" s="58">
        <f>SUMIFS($M$5:$M$692,$A$5:$A$692,A310,$B$5:$B$692,B310,$F$5:$F$692,"&lt;="&amp;F310)</f>
        <v/>
      </c>
      <c r="O310" s="58">
        <f>0</f>
        <v/>
      </c>
      <c r="P310" s="58">
        <f>SUMIFS($O$5:$O$692,$A$5:$A$692,A310,$B$5:$B$692,B310,$F$5:$F$692,"&lt;="&amp;F310)</f>
        <v/>
      </c>
      <c r="Q310" s="58">
        <f>0</f>
        <v/>
      </c>
      <c r="R310" s="58">
        <f>SUMIFS($Q$5:$Q$692,$A$5:$A$692,A310,$B$5:$B$692,B310,$F$5:$F$692,"&lt;="&amp;F310)</f>
        <v/>
      </c>
      <c r="S310" s="58">
        <f>0</f>
        <v/>
      </c>
      <c r="T310" s="58">
        <f>SUMIFS($S$5:$S$692,$A$5:$A$692,A310,$B$5:$B$692,B310,$F$5:$F$692,"&lt;="&amp;F310)</f>
        <v/>
      </c>
      <c r="U310" s="52">
        <f>'个人技术逐级'!O310</f>
        <v/>
      </c>
    </row>
    <row r="311">
      <c r="A311" s="33" t="inlineStr">
        <is>
          <t>个人技术</t>
        </is>
      </c>
      <c r="B311" s="33">
        <f>'个人技术逐级'!A311</f>
        <v/>
      </c>
      <c r="C311" s="33">
        <f>'个人技术逐级'!B311</f>
        <v/>
      </c>
      <c r="D311" s="33">
        <f>'个人技术逐级'!C311</f>
        <v/>
      </c>
      <c r="E311">
        <f>'个人技术逐级'!D311</f>
        <v/>
      </c>
      <c r="F311" s="54">
        <f>'个人技术逐级'!E311</f>
        <v/>
      </c>
      <c r="G311" s="55">
        <f>'个人技术逐级'!F311</f>
        <v/>
      </c>
      <c r="H311" s="56">
        <f>'个人技术逐级'!G311</f>
        <v/>
      </c>
      <c r="I311" s="52" t="inlineStr">
        <is>
          <t>个人技术计时升级</t>
        </is>
      </c>
      <c r="J311" s="57">
        <f>'个人技术逐级'!M311</f>
        <v/>
      </c>
      <c r="K311" s="35">
        <f>J311/3600</f>
        <v/>
      </c>
      <c r="L311" s="35">
        <f>SUMIFS($K$5:$K$692,$A$5:$A$692,A311,$B$5:$B$692,B311,$F$5:$F$692,"&lt;="&amp;F311)</f>
        <v/>
      </c>
      <c r="M311" s="58">
        <f>'个人技术逐级'!N311</f>
        <v/>
      </c>
      <c r="N311" s="58">
        <f>SUMIFS($M$5:$M$692,$A$5:$A$692,A311,$B$5:$B$692,B311,$F$5:$F$692,"&lt;="&amp;F311)</f>
        <v/>
      </c>
      <c r="O311" s="58">
        <f>0</f>
        <v/>
      </c>
      <c r="P311" s="58">
        <f>SUMIFS($O$5:$O$692,$A$5:$A$692,A311,$B$5:$B$692,B311,$F$5:$F$692,"&lt;="&amp;F311)</f>
        <v/>
      </c>
      <c r="Q311" s="58">
        <f>0</f>
        <v/>
      </c>
      <c r="R311" s="58">
        <f>SUMIFS($Q$5:$Q$692,$A$5:$A$692,A311,$B$5:$B$692,B311,$F$5:$F$692,"&lt;="&amp;F311)</f>
        <v/>
      </c>
      <c r="S311" s="58">
        <f>0</f>
        <v/>
      </c>
      <c r="T311" s="58">
        <f>SUMIFS($S$5:$S$692,$A$5:$A$692,A311,$B$5:$B$692,B311,$F$5:$F$692,"&lt;="&amp;F311)</f>
        <v/>
      </c>
      <c r="U311" s="52">
        <f>'个人技术逐级'!O311</f>
        <v/>
      </c>
    </row>
    <row r="312">
      <c r="A312" s="33" t="inlineStr">
        <is>
          <t>个人技术</t>
        </is>
      </c>
      <c r="B312" s="33">
        <f>'个人技术逐级'!A312</f>
        <v/>
      </c>
      <c r="C312" s="33">
        <f>'个人技术逐级'!B312</f>
        <v/>
      </c>
      <c r="D312" s="33">
        <f>'个人技术逐级'!C312</f>
        <v/>
      </c>
      <c r="E312">
        <f>'个人技术逐级'!D312</f>
        <v/>
      </c>
      <c r="F312" s="54">
        <f>'个人技术逐级'!E312</f>
        <v/>
      </c>
      <c r="G312" s="55">
        <f>'个人技术逐级'!F312</f>
        <v/>
      </c>
      <c r="H312" s="56">
        <f>'个人技术逐级'!G312</f>
        <v/>
      </c>
      <c r="I312" s="52" t="inlineStr">
        <is>
          <t>个人技术计时升级</t>
        </is>
      </c>
      <c r="J312" s="57">
        <f>'个人技术逐级'!M312</f>
        <v/>
      </c>
      <c r="K312" s="35">
        <f>J312/3600</f>
        <v/>
      </c>
      <c r="L312" s="35">
        <f>SUMIFS($K$5:$K$692,$A$5:$A$692,A312,$B$5:$B$692,B312,$F$5:$F$692,"&lt;="&amp;F312)</f>
        <v/>
      </c>
      <c r="M312" s="58">
        <f>'个人技术逐级'!N312</f>
        <v/>
      </c>
      <c r="N312" s="58">
        <f>SUMIFS($M$5:$M$692,$A$5:$A$692,A312,$B$5:$B$692,B312,$F$5:$F$692,"&lt;="&amp;F312)</f>
        <v/>
      </c>
      <c r="O312" s="58">
        <f>0</f>
        <v/>
      </c>
      <c r="P312" s="58">
        <f>SUMIFS($O$5:$O$692,$A$5:$A$692,A312,$B$5:$B$692,B312,$F$5:$F$692,"&lt;="&amp;F312)</f>
        <v/>
      </c>
      <c r="Q312" s="58">
        <f>0</f>
        <v/>
      </c>
      <c r="R312" s="58">
        <f>SUMIFS($Q$5:$Q$692,$A$5:$A$692,A312,$B$5:$B$692,B312,$F$5:$F$692,"&lt;="&amp;F312)</f>
        <v/>
      </c>
      <c r="S312" s="58">
        <f>0</f>
        <v/>
      </c>
      <c r="T312" s="58">
        <f>SUMIFS($S$5:$S$692,$A$5:$A$692,A312,$B$5:$B$692,B312,$F$5:$F$692,"&lt;="&amp;F312)</f>
        <v/>
      </c>
      <c r="U312" s="52">
        <f>'个人技术逐级'!O312</f>
        <v/>
      </c>
    </row>
    <row r="313">
      <c r="A313" s="33" t="inlineStr">
        <is>
          <t>个人技术</t>
        </is>
      </c>
      <c r="B313" s="33">
        <f>'个人技术逐级'!A313</f>
        <v/>
      </c>
      <c r="C313" s="33">
        <f>'个人技术逐级'!B313</f>
        <v/>
      </c>
      <c r="D313" s="33">
        <f>'个人技术逐级'!C313</f>
        <v/>
      </c>
      <c r="E313">
        <f>'个人技术逐级'!D313</f>
        <v/>
      </c>
      <c r="F313" s="54">
        <f>'个人技术逐级'!E313</f>
        <v/>
      </c>
      <c r="G313" s="55">
        <f>'个人技术逐级'!F313</f>
        <v/>
      </c>
      <c r="H313" s="56">
        <f>'个人技术逐级'!G313</f>
        <v/>
      </c>
      <c r="I313" s="52" t="inlineStr">
        <is>
          <t>个人技术计时升级</t>
        </is>
      </c>
      <c r="J313" s="57">
        <f>'个人技术逐级'!M313</f>
        <v/>
      </c>
      <c r="K313" s="35">
        <f>J313/3600</f>
        <v/>
      </c>
      <c r="L313" s="35">
        <f>SUMIFS($K$5:$K$692,$A$5:$A$692,A313,$B$5:$B$692,B313,$F$5:$F$692,"&lt;="&amp;F313)</f>
        <v/>
      </c>
      <c r="M313" s="58">
        <f>'个人技术逐级'!N313</f>
        <v/>
      </c>
      <c r="N313" s="58">
        <f>SUMIFS($M$5:$M$692,$A$5:$A$692,A313,$B$5:$B$692,B313,$F$5:$F$692,"&lt;="&amp;F313)</f>
        <v/>
      </c>
      <c r="O313" s="58">
        <f>0</f>
        <v/>
      </c>
      <c r="P313" s="58">
        <f>SUMIFS($O$5:$O$692,$A$5:$A$692,A313,$B$5:$B$692,B313,$F$5:$F$692,"&lt;="&amp;F313)</f>
        <v/>
      </c>
      <c r="Q313" s="58">
        <f>0</f>
        <v/>
      </c>
      <c r="R313" s="58">
        <f>SUMIFS($Q$5:$Q$692,$A$5:$A$692,A313,$B$5:$B$692,B313,$F$5:$F$692,"&lt;="&amp;F313)</f>
        <v/>
      </c>
      <c r="S313" s="58">
        <f>0</f>
        <v/>
      </c>
      <c r="T313" s="58">
        <f>SUMIFS($S$5:$S$692,$A$5:$A$692,A313,$B$5:$B$692,B313,$F$5:$F$692,"&lt;="&amp;F313)</f>
        <v/>
      </c>
      <c r="U313" s="52">
        <f>'个人技术逐级'!O313</f>
        <v/>
      </c>
    </row>
    <row r="314">
      <c r="A314" s="33" t="inlineStr">
        <is>
          <t>个人技术</t>
        </is>
      </c>
      <c r="B314" s="33">
        <f>'个人技术逐级'!A314</f>
        <v/>
      </c>
      <c r="C314" s="33">
        <f>'个人技术逐级'!B314</f>
        <v/>
      </c>
      <c r="D314" s="33">
        <f>'个人技术逐级'!C314</f>
        <v/>
      </c>
      <c r="E314">
        <f>'个人技术逐级'!D314</f>
        <v/>
      </c>
      <c r="F314" s="54">
        <f>'个人技术逐级'!E314</f>
        <v/>
      </c>
      <c r="G314" s="55">
        <f>'个人技术逐级'!F314</f>
        <v/>
      </c>
      <c r="H314" s="56">
        <f>'个人技术逐级'!G314</f>
        <v/>
      </c>
      <c r="I314" s="52" t="inlineStr">
        <is>
          <t>个人技术计时升级</t>
        </is>
      </c>
      <c r="J314" s="57">
        <f>'个人技术逐级'!M314</f>
        <v/>
      </c>
      <c r="K314" s="35">
        <f>J314/3600</f>
        <v/>
      </c>
      <c r="L314" s="35">
        <f>SUMIFS($K$5:$K$692,$A$5:$A$692,A314,$B$5:$B$692,B314,$F$5:$F$692,"&lt;="&amp;F314)</f>
        <v/>
      </c>
      <c r="M314" s="58">
        <f>'个人技术逐级'!N314</f>
        <v/>
      </c>
      <c r="N314" s="58">
        <f>SUMIFS($M$5:$M$692,$A$5:$A$692,A314,$B$5:$B$692,B314,$F$5:$F$692,"&lt;="&amp;F314)</f>
        <v/>
      </c>
      <c r="O314" s="58">
        <f>0</f>
        <v/>
      </c>
      <c r="P314" s="58">
        <f>SUMIFS($O$5:$O$692,$A$5:$A$692,A314,$B$5:$B$692,B314,$F$5:$F$692,"&lt;="&amp;F314)</f>
        <v/>
      </c>
      <c r="Q314" s="58">
        <f>0</f>
        <v/>
      </c>
      <c r="R314" s="58">
        <f>SUMIFS($Q$5:$Q$692,$A$5:$A$692,A314,$B$5:$B$692,B314,$F$5:$F$692,"&lt;="&amp;F314)</f>
        <v/>
      </c>
      <c r="S314" s="58">
        <f>0</f>
        <v/>
      </c>
      <c r="T314" s="58">
        <f>SUMIFS($S$5:$S$692,$A$5:$A$692,A314,$B$5:$B$692,B314,$F$5:$F$692,"&lt;="&amp;F314)</f>
        <v/>
      </c>
      <c r="U314" s="52">
        <f>'个人技术逐级'!O314</f>
        <v/>
      </c>
    </row>
    <row r="315">
      <c r="A315" s="33" t="inlineStr">
        <is>
          <t>个人技术</t>
        </is>
      </c>
      <c r="B315" s="33">
        <f>'个人技术逐级'!A315</f>
        <v/>
      </c>
      <c r="C315" s="33">
        <f>'个人技术逐级'!B315</f>
        <v/>
      </c>
      <c r="D315" s="33">
        <f>'个人技术逐级'!C315</f>
        <v/>
      </c>
      <c r="E315">
        <f>'个人技术逐级'!D315</f>
        <v/>
      </c>
      <c r="F315" s="54">
        <f>'个人技术逐级'!E315</f>
        <v/>
      </c>
      <c r="G315" s="55">
        <f>'个人技术逐级'!F315</f>
        <v/>
      </c>
      <c r="H315" s="56">
        <f>'个人技术逐级'!G315</f>
        <v/>
      </c>
      <c r="I315" s="52" t="inlineStr">
        <is>
          <t>个人技术计时升级</t>
        </is>
      </c>
      <c r="J315" s="57">
        <f>'个人技术逐级'!M315</f>
        <v/>
      </c>
      <c r="K315" s="35">
        <f>J315/3600</f>
        <v/>
      </c>
      <c r="L315" s="35">
        <f>SUMIFS($K$5:$K$692,$A$5:$A$692,A315,$B$5:$B$692,B315,$F$5:$F$692,"&lt;="&amp;F315)</f>
        <v/>
      </c>
      <c r="M315" s="58">
        <f>'个人技术逐级'!N315</f>
        <v/>
      </c>
      <c r="N315" s="58">
        <f>SUMIFS($M$5:$M$692,$A$5:$A$692,A315,$B$5:$B$692,B315,$F$5:$F$692,"&lt;="&amp;F315)</f>
        <v/>
      </c>
      <c r="O315" s="58">
        <f>0</f>
        <v/>
      </c>
      <c r="P315" s="58">
        <f>SUMIFS($O$5:$O$692,$A$5:$A$692,A315,$B$5:$B$692,B315,$F$5:$F$692,"&lt;="&amp;F315)</f>
        <v/>
      </c>
      <c r="Q315" s="58">
        <f>0</f>
        <v/>
      </c>
      <c r="R315" s="58">
        <f>SUMIFS($Q$5:$Q$692,$A$5:$A$692,A315,$B$5:$B$692,B315,$F$5:$F$692,"&lt;="&amp;F315)</f>
        <v/>
      </c>
      <c r="S315" s="58">
        <f>0</f>
        <v/>
      </c>
      <c r="T315" s="58">
        <f>SUMIFS($S$5:$S$692,$A$5:$A$692,A315,$B$5:$B$692,B315,$F$5:$F$692,"&lt;="&amp;F315)</f>
        <v/>
      </c>
      <c r="U315" s="52">
        <f>'个人技术逐级'!O315</f>
        <v/>
      </c>
    </row>
    <row r="316">
      <c r="A316" s="33" t="inlineStr">
        <is>
          <t>个人技术</t>
        </is>
      </c>
      <c r="B316" s="33">
        <f>'个人技术逐级'!A316</f>
        <v/>
      </c>
      <c r="C316" s="33">
        <f>'个人技术逐级'!B316</f>
        <v/>
      </c>
      <c r="D316" s="33">
        <f>'个人技术逐级'!C316</f>
        <v/>
      </c>
      <c r="E316">
        <f>'个人技术逐级'!D316</f>
        <v/>
      </c>
      <c r="F316" s="54">
        <f>'个人技术逐级'!E316</f>
        <v/>
      </c>
      <c r="G316" s="55">
        <f>'个人技术逐级'!F316</f>
        <v/>
      </c>
      <c r="H316" s="56">
        <f>'个人技术逐级'!G316</f>
        <v/>
      </c>
      <c r="I316" s="52" t="inlineStr">
        <is>
          <t>个人技术计时升级</t>
        </is>
      </c>
      <c r="J316" s="57">
        <f>'个人技术逐级'!M316</f>
        <v/>
      </c>
      <c r="K316" s="35">
        <f>J316/3600</f>
        <v/>
      </c>
      <c r="L316" s="35">
        <f>SUMIFS($K$5:$K$692,$A$5:$A$692,A316,$B$5:$B$692,B316,$F$5:$F$692,"&lt;="&amp;F316)</f>
        <v/>
      </c>
      <c r="M316" s="58">
        <f>'个人技术逐级'!N316</f>
        <v/>
      </c>
      <c r="N316" s="58">
        <f>SUMIFS($M$5:$M$692,$A$5:$A$692,A316,$B$5:$B$692,B316,$F$5:$F$692,"&lt;="&amp;F316)</f>
        <v/>
      </c>
      <c r="O316" s="58">
        <f>0</f>
        <v/>
      </c>
      <c r="P316" s="58">
        <f>SUMIFS($O$5:$O$692,$A$5:$A$692,A316,$B$5:$B$692,B316,$F$5:$F$692,"&lt;="&amp;F316)</f>
        <v/>
      </c>
      <c r="Q316" s="58">
        <f>0</f>
        <v/>
      </c>
      <c r="R316" s="58">
        <f>SUMIFS($Q$5:$Q$692,$A$5:$A$692,A316,$B$5:$B$692,B316,$F$5:$F$692,"&lt;="&amp;F316)</f>
        <v/>
      </c>
      <c r="S316" s="58">
        <f>0</f>
        <v/>
      </c>
      <c r="T316" s="58">
        <f>SUMIFS($S$5:$S$692,$A$5:$A$692,A316,$B$5:$B$692,B316,$F$5:$F$692,"&lt;="&amp;F316)</f>
        <v/>
      </c>
      <c r="U316" s="52">
        <f>'个人技术逐级'!O316</f>
        <v/>
      </c>
    </row>
    <row r="317">
      <c r="A317" s="33" t="inlineStr">
        <is>
          <t>个人技术</t>
        </is>
      </c>
      <c r="B317" s="33">
        <f>'个人技术逐级'!A317</f>
        <v/>
      </c>
      <c r="C317" s="33">
        <f>'个人技术逐级'!B317</f>
        <v/>
      </c>
      <c r="D317" s="33">
        <f>'个人技术逐级'!C317</f>
        <v/>
      </c>
      <c r="E317">
        <f>'个人技术逐级'!D317</f>
        <v/>
      </c>
      <c r="F317" s="54">
        <f>'个人技术逐级'!E317</f>
        <v/>
      </c>
      <c r="G317" s="55">
        <f>'个人技术逐级'!F317</f>
        <v/>
      </c>
      <c r="H317" s="56">
        <f>'个人技术逐级'!G317</f>
        <v/>
      </c>
      <c r="I317" s="52" t="inlineStr">
        <is>
          <t>个人技术计时升级</t>
        </is>
      </c>
      <c r="J317" s="57">
        <f>'个人技术逐级'!M317</f>
        <v/>
      </c>
      <c r="K317" s="35">
        <f>J317/3600</f>
        <v/>
      </c>
      <c r="L317" s="35">
        <f>SUMIFS($K$5:$K$692,$A$5:$A$692,A317,$B$5:$B$692,B317,$F$5:$F$692,"&lt;="&amp;F317)</f>
        <v/>
      </c>
      <c r="M317" s="58">
        <f>'个人技术逐级'!N317</f>
        <v/>
      </c>
      <c r="N317" s="58">
        <f>SUMIFS($M$5:$M$692,$A$5:$A$692,A317,$B$5:$B$692,B317,$F$5:$F$692,"&lt;="&amp;F317)</f>
        <v/>
      </c>
      <c r="O317" s="58">
        <f>0</f>
        <v/>
      </c>
      <c r="P317" s="58">
        <f>SUMIFS($O$5:$O$692,$A$5:$A$692,A317,$B$5:$B$692,B317,$F$5:$F$692,"&lt;="&amp;F317)</f>
        <v/>
      </c>
      <c r="Q317" s="58">
        <f>0</f>
        <v/>
      </c>
      <c r="R317" s="58">
        <f>SUMIFS($Q$5:$Q$692,$A$5:$A$692,A317,$B$5:$B$692,B317,$F$5:$F$692,"&lt;="&amp;F317)</f>
        <v/>
      </c>
      <c r="S317" s="58">
        <f>0</f>
        <v/>
      </c>
      <c r="T317" s="58">
        <f>SUMIFS($S$5:$S$692,$A$5:$A$692,A317,$B$5:$B$692,B317,$F$5:$F$692,"&lt;="&amp;F317)</f>
        <v/>
      </c>
      <c r="U317" s="52">
        <f>'个人技术逐级'!O317</f>
        <v/>
      </c>
    </row>
    <row r="318">
      <c r="A318" s="33" t="inlineStr">
        <is>
          <t>个人技术</t>
        </is>
      </c>
      <c r="B318" s="33">
        <f>'个人技术逐级'!A318</f>
        <v/>
      </c>
      <c r="C318" s="33">
        <f>'个人技术逐级'!B318</f>
        <v/>
      </c>
      <c r="D318" s="33">
        <f>'个人技术逐级'!C318</f>
        <v/>
      </c>
      <c r="E318">
        <f>'个人技术逐级'!D318</f>
        <v/>
      </c>
      <c r="F318" s="54">
        <f>'个人技术逐级'!E318</f>
        <v/>
      </c>
      <c r="G318" s="55">
        <f>'个人技术逐级'!F318</f>
        <v/>
      </c>
      <c r="H318" s="56">
        <f>'个人技术逐级'!G318</f>
        <v/>
      </c>
      <c r="I318" s="52" t="inlineStr">
        <is>
          <t>个人技术计时升级</t>
        </is>
      </c>
      <c r="J318" s="57">
        <f>'个人技术逐级'!M318</f>
        <v/>
      </c>
      <c r="K318" s="35">
        <f>J318/3600</f>
        <v/>
      </c>
      <c r="L318" s="35">
        <f>SUMIFS($K$5:$K$692,$A$5:$A$692,A318,$B$5:$B$692,B318,$F$5:$F$692,"&lt;="&amp;F318)</f>
        <v/>
      </c>
      <c r="M318" s="58">
        <f>'个人技术逐级'!N318</f>
        <v/>
      </c>
      <c r="N318" s="58">
        <f>SUMIFS($M$5:$M$692,$A$5:$A$692,A318,$B$5:$B$692,B318,$F$5:$F$692,"&lt;="&amp;F318)</f>
        <v/>
      </c>
      <c r="O318" s="58">
        <f>0</f>
        <v/>
      </c>
      <c r="P318" s="58">
        <f>SUMIFS($O$5:$O$692,$A$5:$A$692,A318,$B$5:$B$692,B318,$F$5:$F$692,"&lt;="&amp;F318)</f>
        <v/>
      </c>
      <c r="Q318" s="58">
        <f>0</f>
        <v/>
      </c>
      <c r="R318" s="58">
        <f>SUMIFS($Q$5:$Q$692,$A$5:$A$692,A318,$B$5:$B$692,B318,$F$5:$F$692,"&lt;="&amp;F318)</f>
        <v/>
      </c>
      <c r="S318" s="58">
        <f>0</f>
        <v/>
      </c>
      <c r="T318" s="58">
        <f>SUMIFS($S$5:$S$692,$A$5:$A$692,A318,$B$5:$B$692,B318,$F$5:$F$692,"&lt;="&amp;F318)</f>
        <v/>
      </c>
      <c r="U318" s="52">
        <f>'个人技术逐级'!O318</f>
        <v/>
      </c>
    </row>
    <row r="319">
      <c r="A319" s="33" t="inlineStr">
        <is>
          <t>个人技术</t>
        </is>
      </c>
      <c r="B319" s="33">
        <f>'个人技术逐级'!A319</f>
        <v/>
      </c>
      <c r="C319" s="33">
        <f>'个人技术逐级'!B319</f>
        <v/>
      </c>
      <c r="D319" s="33">
        <f>'个人技术逐级'!C319</f>
        <v/>
      </c>
      <c r="E319">
        <f>'个人技术逐级'!D319</f>
        <v/>
      </c>
      <c r="F319" s="54">
        <f>'个人技术逐级'!E319</f>
        <v/>
      </c>
      <c r="G319" s="55">
        <f>'个人技术逐级'!F319</f>
        <v/>
      </c>
      <c r="H319" s="56">
        <f>'个人技术逐级'!G319</f>
        <v/>
      </c>
      <c r="I319" s="52" t="inlineStr">
        <is>
          <t>个人技术计时升级</t>
        </is>
      </c>
      <c r="J319" s="57">
        <f>'个人技术逐级'!M319</f>
        <v/>
      </c>
      <c r="K319" s="35">
        <f>J319/3600</f>
        <v/>
      </c>
      <c r="L319" s="35">
        <f>SUMIFS($K$5:$K$692,$A$5:$A$692,A319,$B$5:$B$692,B319,$F$5:$F$692,"&lt;="&amp;F319)</f>
        <v/>
      </c>
      <c r="M319" s="58">
        <f>'个人技术逐级'!N319</f>
        <v/>
      </c>
      <c r="N319" s="58">
        <f>SUMIFS($M$5:$M$692,$A$5:$A$692,A319,$B$5:$B$692,B319,$F$5:$F$692,"&lt;="&amp;F319)</f>
        <v/>
      </c>
      <c r="O319" s="58">
        <f>0</f>
        <v/>
      </c>
      <c r="P319" s="58">
        <f>SUMIFS($O$5:$O$692,$A$5:$A$692,A319,$B$5:$B$692,B319,$F$5:$F$692,"&lt;="&amp;F319)</f>
        <v/>
      </c>
      <c r="Q319" s="58">
        <f>0</f>
        <v/>
      </c>
      <c r="R319" s="58">
        <f>SUMIFS($Q$5:$Q$692,$A$5:$A$692,A319,$B$5:$B$692,B319,$F$5:$F$692,"&lt;="&amp;F319)</f>
        <v/>
      </c>
      <c r="S319" s="58">
        <f>0</f>
        <v/>
      </c>
      <c r="T319" s="58">
        <f>SUMIFS($S$5:$S$692,$A$5:$A$692,A319,$B$5:$B$692,B319,$F$5:$F$692,"&lt;="&amp;F319)</f>
        <v/>
      </c>
      <c r="U319" s="52">
        <f>'个人技术逐级'!O319</f>
        <v/>
      </c>
    </row>
    <row r="320">
      <c r="A320" s="33" t="inlineStr">
        <is>
          <t>个人技术</t>
        </is>
      </c>
      <c r="B320" s="33">
        <f>'个人技术逐级'!A320</f>
        <v/>
      </c>
      <c r="C320" s="33">
        <f>'个人技术逐级'!B320</f>
        <v/>
      </c>
      <c r="D320" s="33">
        <f>'个人技术逐级'!C320</f>
        <v/>
      </c>
      <c r="E320">
        <f>'个人技术逐级'!D320</f>
        <v/>
      </c>
      <c r="F320" s="54">
        <f>'个人技术逐级'!E320</f>
        <v/>
      </c>
      <c r="G320" s="55">
        <f>'个人技术逐级'!F320</f>
        <v/>
      </c>
      <c r="H320" s="56">
        <f>'个人技术逐级'!G320</f>
        <v/>
      </c>
      <c r="I320" s="52" t="inlineStr">
        <is>
          <t>个人技术计时升级</t>
        </is>
      </c>
      <c r="J320" s="57">
        <f>'个人技术逐级'!M320</f>
        <v/>
      </c>
      <c r="K320" s="35">
        <f>J320/3600</f>
        <v/>
      </c>
      <c r="L320" s="35">
        <f>SUMIFS($K$5:$K$692,$A$5:$A$692,A320,$B$5:$B$692,B320,$F$5:$F$692,"&lt;="&amp;F320)</f>
        <v/>
      </c>
      <c r="M320" s="58">
        <f>'个人技术逐级'!N320</f>
        <v/>
      </c>
      <c r="N320" s="58">
        <f>SUMIFS($M$5:$M$692,$A$5:$A$692,A320,$B$5:$B$692,B320,$F$5:$F$692,"&lt;="&amp;F320)</f>
        <v/>
      </c>
      <c r="O320" s="58">
        <f>0</f>
        <v/>
      </c>
      <c r="P320" s="58">
        <f>SUMIFS($O$5:$O$692,$A$5:$A$692,A320,$B$5:$B$692,B320,$F$5:$F$692,"&lt;="&amp;F320)</f>
        <v/>
      </c>
      <c r="Q320" s="58">
        <f>0</f>
        <v/>
      </c>
      <c r="R320" s="58">
        <f>SUMIFS($Q$5:$Q$692,$A$5:$A$692,A320,$B$5:$B$692,B320,$F$5:$F$692,"&lt;="&amp;F320)</f>
        <v/>
      </c>
      <c r="S320" s="58">
        <f>0</f>
        <v/>
      </c>
      <c r="T320" s="58">
        <f>SUMIFS($S$5:$S$692,$A$5:$A$692,A320,$B$5:$B$692,B320,$F$5:$F$692,"&lt;="&amp;F320)</f>
        <v/>
      </c>
      <c r="U320" s="52">
        <f>'个人技术逐级'!O320</f>
        <v/>
      </c>
    </row>
    <row r="321">
      <c r="A321" s="33" t="inlineStr">
        <is>
          <t>个人技术</t>
        </is>
      </c>
      <c r="B321" s="33">
        <f>'个人技术逐级'!A321</f>
        <v/>
      </c>
      <c r="C321" s="33">
        <f>'个人技术逐级'!B321</f>
        <v/>
      </c>
      <c r="D321" s="33">
        <f>'个人技术逐级'!C321</f>
        <v/>
      </c>
      <c r="E321">
        <f>'个人技术逐级'!D321</f>
        <v/>
      </c>
      <c r="F321" s="54">
        <f>'个人技术逐级'!E321</f>
        <v/>
      </c>
      <c r="G321" s="55">
        <f>'个人技术逐级'!F321</f>
        <v/>
      </c>
      <c r="H321" s="56">
        <f>'个人技术逐级'!G321</f>
        <v/>
      </c>
      <c r="I321" s="52" t="inlineStr">
        <is>
          <t>个人技术计时升级</t>
        </is>
      </c>
      <c r="J321" s="57">
        <f>'个人技术逐级'!M321</f>
        <v/>
      </c>
      <c r="K321" s="35">
        <f>J321/3600</f>
        <v/>
      </c>
      <c r="L321" s="35">
        <f>SUMIFS($K$5:$K$692,$A$5:$A$692,A321,$B$5:$B$692,B321,$F$5:$F$692,"&lt;="&amp;F321)</f>
        <v/>
      </c>
      <c r="M321" s="58">
        <f>'个人技术逐级'!N321</f>
        <v/>
      </c>
      <c r="N321" s="58">
        <f>SUMIFS($M$5:$M$692,$A$5:$A$692,A321,$B$5:$B$692,B321,$F$5:$F$692,"&lt;="&amp;F321)</f>
        <v/>
      </c>
      <c r="O321" s="58">
        <f>0</f>
        <v/>
      </c>
      <c r="P321" s="58">
        <f>SUMIFS($O$5:$O$692,$A$5:$A$692,A321,$B$5:$B$692,B321,$F$5:$F$692,"&lt;="&amp;F321)</f>
        <v/>
      </c>
      <c r="Q321" s="58">
        <f>0</f>
        <v/>
      </c>
      <c r="R321" s="58">
        <f>SUMIFS($Q$5:$Q$692,$A$5:$A$692,A321,$B$5:$B$692,B321,$F$5:$F$692,"&lt;="&amp;F321)</f>
        <v/>
      </c>
      <c r="S321" s="58">
        <f>0</f>
        <v/>
      </c>
      <c r="T321" s="58">
        <f>SUMIFS($S$5:$S$692,$A$5:$A$692,A321,$B$5:$B$692,B321,$F$5:$F$692,"&lt;="&amp;F321)</f>
        <v/>
      </c>
      <c r="U321" s="52">
        <f>'个人技术逐级'!O321</f>
        <v/>
      </c>
    </row>
    <row r="322">
      <c r="A322" s="33" t="inlineStr">
        <is>
          <t>个人技术</t>
        </is>
      </c>
      <c r="B322" s="33">
        <f>'个人技术逐级'!A322</f>
        <v/>
      </c>
      <c r="C322" s="33">
        <f>'个人技术逐级'!B322</f>
        <v/>
      </c>
      <c r="D322" s="33">
        <f>'个人技术逐级'!C322</f>
        <v/>
      </c>
      <c r="E322">
        <f>'个人技术逐级'!D322</f>
        <v/>
      </c>
      <c r="F322" s="54">
        <f>'个人技术逐级'!E322</f>
        <v/>
      </c>
      <c r="G322" s="55">
        <f>'个人技术逐级'!F322</f>
        <v/>
      </c>
      <c r="H322" s="56">
        <f>'个人技术逐级'!G322</f>
        <v/>
      </c>
      <c r="I322" s="52" t="inlineStr">
        <is>
          <t>个人技术计时升级</t>
        </is>
      </c>
      <c r="J322" s="57">
        <f>'个人技术逐级'!M322</f>
        <v/>
      </c>
      <c r="K322" s="35">
        <f>J322/3600</f>
        <v/>
      </c>
      <c r="L322" s="35">
        <f>SUMIFS($K$5:$K$692,$A$5:$A$692,A322,$B$5:$B$692,B322,$F$5:$F$692,"&lt;="&amp;F322)</f>
        <v/>
      </c>
      <c r="M322" s="58">
        <f>'个人技术逐级'!N322</f>
        <v/>
      </c>
      <c r="N322" s="58">
        <f>SUMIFS($M$5:$M$692,$A$5:$A$692,A322,$B$5:$B$692,B322,$F$5:$F$692,"&lt;="&amp;F322)</f>
        <v/>
      </c>
      <c r="O322" s="58">
        <f>0</f>
        <v/>
      </c>
      <c r="P322" s="58">
        <f>SUMIFS($O$5:$O$692,$A$5:$A$692,A322,$B$5:$B$692,B322,$F$5:$F$692,"&lt;="&amp;F322)</f>
        <v/>
      </c>
      <c r="Q322" s="58">
        <f>0</f>
        <v/>
      </c>
      <c r="R322" s="58">
        <f>SUMIFS($Q$5:$Q$692,$A$5:$A$692,A322,$B$5:$B$692,B322,$F$5:$F$692,"&lt;="&amp;F322)</f>
        <v/>
      </c>
      <c r="S322" s="58">
        <f>0</f>
        <v/>
      </c>
      <c r="T322" s="58">
        <f>SUMIFS($S$5:$S$692,$A$5:$A$692,A322,$B$5:$B$692,B322,$F$5:$F$692,"&lt;="&amp;F322)</f>
        <v/>
      </c>
      <c r="U322" s="52">
        <f>'个人技术逐级'!O322</f>
        <v/>
      </c>
    </row>
    <row r="323">
      <c r="A323" s="33" t="inlineStr">
        <is>
          <t>个人技术</t>
        </is>
      </c>
      <c r="B323" s="33">
        <f>'个人技术逐级'!A323</f>
        <v/>
      </c>
      <c r="C323" s="33">
        <f>'个人技术逐级'!B323</f>
        <v/>
      </c>
      <c r="D323" s="33">
        <f>'个人技术逐级'!C323</f>
        <v/>
      </c>
      <c r="E323">
        <f>'个人技术逐级'!D323</f>
        <v/>
      </c>
      <c r="F323" s="54">
        <f>'个人技术逐级'!E323</f>
        <v/>
      </c>
      <c r="G323" s="55">
        <f>'个人技术逐级'!F323</f>
        <v/>
      </c>
      <c r="H323" s="56">
        <f>'个人技术逐级'!G323</f>
        <v/>
      </c>
      <c r="I323" s="52" t="inlineStr">
        <is>
          <t>个人技术计时升级</t>
        </is>
      </c>
      <c r="J323" s="57">
        <f>'个人技术逐级'!M323</f>
        <v/>
      </c>
      <c r="K323" s="35">
        <f>J323/3600</f>
        <v/>
      </c>
      <c r="L323" s="35">
        <f>SUMIFS($K$5:$K$692,$A$5:$A$692,A323,$B$5:$B$692,B323,$F$5:$F$692,"&lt;="&amp;F323)</f>
        <v/>
      </c>
      <c r="M323" s="58">
        <f>'个人技术逐级'!N323</f>
        <v/>
      </c>
      <c r="N323" s="58">
        <f>SUMIFS($M$5:$M$692,$A$5:$A$692,A323,$B$5:$B$692,B323,$F$5:$F$692,"&lt;="&amp;F323)</f>
        <v/>
      </c>
      <c r="O323" s="58">
        <f>0</f>
        <v/>
      </c>
      <c r="P323" s="58">
        <f>SUMIFS($O$5:$O$692,$A$5:$A$692,A323,$B$5:$B$692,B323,$F$5:$F$692,"&lt;="&amp;F323)</f>
        <v/>
      </c>
      <c r="Q323" s="58">
        <f>0</f>
        <v/>
      </c>
      <c r="R323" s="58">
        <f>SUMIFS($Q$5:$Q$692,$A$5:$A$692,A323,$B$5:$B$692,B323,$F$5:$F$692,"&lt;="&amp;F323)</f>
        <v/>
      </c>
      <c r="S323" s="58">
        <f>0</f>
        <v/>
      </c>
      <c r="T323" s="58">
        <f>SUMIFS($S$5:$S$692,$A$5:$A$692,A323,$B$5:$B$692,B323,$F$5:$F$692,"&lt;="&amp;F323)</f>
        <v/>
      </c>
      <c r="U323" s="52">
        <f>'个人技术逐级'!O323</f>
        <v/>
      </c>
    </row>
    <row r="324">
      <c r="A324" s="33" t="inlineStr">
        <is>
          <t>个人技术</t>
        </is>
      </c>
      <c r="B324" s="33">
        <f>'个人技术逐级'!A324</f>
        <v/>
      </c>
      <c r="C324" s="33">
        <f>'个人技术逐级'!B324</f>
        <v/>
      </c>
      <c r="D324" s="33">
        <f>'个人技术逐级'!C324</f>
        <v/>
      </c>
      <c r="E324">
        <f>'个人技术逐级'!D324</f>
        <v/>
      </c>
      <c r="F324" s="54">
        <f>'个人技术逐级'!E324</f>
        <v/>
      </c>
      <c r="G324" s="55">
        <f>'个人技术逐级'!F324</f>
        <v/>
      </c>
      <c r="H324" s="56">
        <f>'个人技术逐级'!G324</f>
        <v/>
      </c>
      <c r="I324" s="52" t="inlineStr">
        <is>
          <t>个人技术计时升级</t>
        </is>
      </c>
      <c r="J324" s="57">
        <f>'个人技术逐级'!M324</f>
        <v/>
      </c>
      <c r="K324" s="35">
        <f>J324/3600</f>
        <v/>
      </c>
      <c r="L324" s="35">
        <f>SUMIFS($K$5:$K$692,$A$5:$A$692,A324,$B$5:$B$692,B324,$F$5:$F$692,"&lt;="&amp;F324)</f>
        <v/>
      </c>
      <c r="M324" s="58">
        <f>'个人技术逐级'!N324</f>
        <v/>
      </c>
      <c r="N324" s="58">
        <f>SUMIFS($M$5:$M$692,$A$5:$A$692,A324,$B$5:$B$692,B324,$F$5:$F$692,"&lt;="&amp;F324)</f>
        <v/>
      </c>
      <c r="O324" s="58">
        <f>0</f>
        <v/>
      </c>
      <c r="P324" s="58">
        <f>SUMIFS($O$5:$O$692,$A$5:$A$692,A324,$B$5:$B$692,B324,$F$5:$F$692,"&lt;="&amp;F324)</f>
        <v/>
      </c>
      <c r="Q324" s="58">
        <f>0</f>
        <v/>
      </c>
      <c r="R324" s="58">
        <f>SUMIFS($Q$5:$Q$692,$A$5:$A$692,A324,$B$5:$B$692,B324,$F$5:$F$692,"&lt;="&amp;F324)</f>
        <v/>
      </c>
      <c r="S324" s="58">
        <f>0</f>
        <v/>
      </c>
      <c r="T324" s="58">
        <f>SUMIFS($S$5:$S$692,$A$5:$A$692,A324,$B$5:$B$692,B324,$F$5:$F$692,"&lt;="&amp;F324)</f>
        <v/>
      </c>
      <c r="U324" s="52">
        <f>'个人技术逐级'!O324</f>
        <v/>
      </c>
    </row>
    <row r="325">
      <c r="A325" s="33" t="inlineStr">
        <is>
          <t>个人技术</t>
        </is>
      </c>
      <c r="B325" s="33">
        <f>'个人技术逐级'!A325</f>
        <v/>
      </c>
      <c r="C325" s="33">
        <f>'个人技术逐级'!B325</f>
        <v/>
      </c>
      <c r="D325" s="33">
        <f>'个人技术逐级'!C325</f>
        <v/>
      </c>
      <c r="E325">
        <f>'个人技术逐级'!D325</f>
        <v/>
      </c>
      <c r="F325" s="54">
        <f>'个人技术逐级'!E325</f>
        <v/>
      </c>
      <c r="G325" s="55">
        <f>'个人技术逐级'!F325</f>
        <v/>
      </c>
      <c r="H325" s="56">
        <f>'个人技术逐级'!G325</f>
        <v/>
      </c>
      <c r="I325" s="52" t="inlineStr">
        <is>
          <t>个人技术计时升级</t>
        </is>
      </c>
      <c r="J325" s="57">
        <f>'个人技术逐级'!M325</f>
        <v/>
      </c>
      <c r="K325" s="35">
        <f>J325/3600</f>
        <v/>
      </c>
      <c r="L325" s="35">
        <f>SUMIFS($K$5:$K$692,$A$5:$A$692,A325,$B$5:$B$692,B325,$F$5:$F$692,"&lt;="&amp;F325)</f>
        <v/>
      </c>
      <c r="M325" s="58">
        <f>'个人技术逐级'!N325</f>
        <v/>
      </c>
      <c r="N325" s="58">
        <f>SUMIFS($M$5:$M$692,$A$5:$A$692,A325,$B$5:$B$692,B325,$F$5:$F$692,"&lt;="&amp;F325)</f>
        <v/>
      </c>
      <c r="O325" s="58">
        <f>0</f>
        <v/>
      </c>
      <c r="P325" s="58">
        <f>SUMIFS($O$5:$O$692,$A$5:$A$692,A325,$B$5:$B$692,B325,$F$5:$F$692,"&lt;="&amp;F325)</f>
        <v/>
      </c>
      <c r="Q325" s="58">
        <f>0</f>
        <v/>
      </c>
      <c r="R325" s="58">
        <f>SUMIFS($Q$5:$Q$692,$A$5:$A$692,A325,$B$5:$B$692,B325,$F$5:$F$692,"&lt;="&amp;F325)</f>
        <v/>
      </c>
      <c r="S325" s="58">
        <f>0</f>
        <v/>
      </c>
      <c r="T325" s="58">
        <f>SUMIFS($S$5:$S$692,$A$5:$A$692,A325,$B$5:$B$692,B325,$F$5:$F$692,"&lt;="&amp;F325)</f>
        <v/>
      </c>
      <c r="U325" s="52">
        <f>'个人技术逐级'!O325</f>
        <v/>
      </c>
    </row>
    <row r="326">
      <c r="A326" s="33" t="inlineStr">
        <is>
          <t>个人技术</t>
        </is>
      </c>
      <c r="B326" s="33">
        <f>'个人技术逐级'!A326</f>
        <v/>
      </c>
      <c r="C326" s="33">
        <f>'个人技术逐级'!B326</f>
        <v/>
      </c>
      <c r="D326" s="33">
        <f>'个人技术逐级'!C326</f>
        <v/>
      </c>
      <c r="E326">
        <f>'个人技术逐级'!D326</f>
        <v/>
      </c>
      <c r="F326" s="54">
        <f>'个人技术逐级'!E326</f>
        <v/>
      </c>
      <c r="G326" s="55">
        <f>'个人技术逐级'!F326</f>
        <v/>
      </c>
      <c r="H326" s="56">
        <f>'个人技术逐级'!G326</f>
        <v/>
      </c>
      <c r="I326" s="52" t="inlineStr">
        <is>
          <t>个人技术计时升级</t>
        </is>
      </c>
      <c r="J326" s="57">
        <f>'个人技术逐级'!M326</f>
        <v/>
      </c>
      <c r="K326" s="35">
        <f>J326/3600</f>
        <v/>
      </c>
      <c r="L326" s="35">
        <f>SUMIFS($K$5:$K$692,$A$5:$A$692,A326,$B$5:$B$692,B326,$F$5:$F$692,"&lt;="&amp;F326)</f>
        <v/>
      </c>
      <c r="M326" s="58">
        <f>'个人技术逐级'!N326</f>
        <v/>
      </c>
      <c r="N326" s="58">
        <f>SUMIFS($M$5:$M$692,$A$5:$A$692,A326,$B$5:$B$692,B326,$F$5:$F$692,"&lt;="&amp;F326)</f>
        <v/>
      </c>
      <c r="O326" s="58">
        <f>0</f>
        <v/>
      </c>
      <c r="P326" s="58">
        <f>SUMIFS($O$5:$O$692,$A$5:$A$692,A326,$B$5:$B$692,B326,$F$5:$F$692,"&lt;="&amp;F326)</f>
        <v/>
      </c>
      <c r="Q326" s="58">
        <f>0</f>
        <v/>
      </c>
      <c r="R326" s="58">
        <f>SUMIFS($Q$5:$Q$692,$A$5:$A$692,A326,$B$5:$B$692,B326,$F$5:$F$692,"&lt;="&amp;F326)</f>
        <v/>
      </c>
      <c r="S326" s="58">
        <f>0</f>
        <v/>
      </c>
      <c r="T326" s="58">
        <f>SUMIFS($S$5:$S$692,$A$5:$A$692,A326,$B$5:$B$692,B326,$F$5:$F$692,"&lt;="&amp;F326)</f>
        <v/>
      </c>
      <c r="U326" s="52">
        <f>'个人技术逐级'!O326</f>
        <v/>
      </c>
    </row>
    <row r="327">
      <c r="A327" s="33" t="inlineStr">
        <is>
          <t>个人技术</t>
        </is>
      </c>
      <c r="B327" s="33">
        <f>'个人技术逐级'!A327</f>
        <v/>
      </c>
      <c r="C327" s="33">
        <f>'个人技术逐级'!B327</f>
        <v/>
      </c>
      <c r="D327" s="33">
        <f>'个人技术逐级'!C327</f>
        <v/>
      </c>
      <c r="E327">
        <f>'个人技术逐级'!D327</f>
        <v/>
      </c>
      <c r="F327" s="54">
        <f>'个人技术逐级'!E327</f>
        <v/>
      </c>
      <c r="G327" s="55">
        <f>'个人技术逐级'!F327</f>
        <v/>
      </c>
      <c r="H327" s="56">
        <f>'个人技术逐级'!G327</f>
        <v/>
      </c>
      <c r="I327" s="52" t="inlineStr">
        <is>
          <t>个人技术计时升级</t>
        </is>
      </c>
      <c r="J327" s="57">
        <f>'个人技术逐级'!M327</f>
        <v/>
      </c>
      <c r="K327" s="35">
        <f>J327/3600</f>
        <v/>
      </c>
      <c r="L327" s="35">
        <f>SUMIFS($K$5:$K$692,$A$5:$A$692,A327,$B$5:$B$692,B327,$F$5:$F$692,"&lt;="&amp;F327)</f>
        <v/>
      </c>
      <c r="M327" s="58">
        <f>'个人技术逐级'!N327</f>
        <v/>
      </c>
      <c r="N327" s="58">
        <f>SUMIFS($M$5:$M$692,$A$5:$A$692,A327,$B$5:$B$692,B327,$F$5:$F$692,"&lt;="&amp;F327)</f>
        <v/>
      </c>
      <c r="O327" s="58">
        <f>0</f>
        <v/>
      </c>
      <c r="P327" s="58">
        <f>SUMIFS($O$5:$O$692,$A$5:$A$692,A327,$B$5:$B$692,B327,$F$5:$F$692,"&lt;="&amp;F327)</f>
        <v/>
      </c>
      <c r="Q327" s="58">
        <f>0</f>
        <v/>
      </c>
      <c r="R327" s="58">
        <f>SUMIFS($Q$5:$Q$692,$A$5:$A$692,A327,$B$5:$B$692,B327,$F$5:$F$692,"&lt;="&amp;F327)</f>
        <v/>
      </c>
      <c r="S327" s="58">
        <f>0</f>
        <v/>
      </c>
      <c r="T327" s="58">
        <f>SUMIFS($S$5:$S$692,$A$5:$A$692,A327,$B$5:$B$692,B327,$F$5:$F$692,"&lt;="&amp;F327)</f>
        <v/>
      </c>
      <c r="U327" s="52">
        <f>'个人技术逐级'!O327</f>
        <v/>
      </c>
    </row>
    <row r="328">
      <c r="A328" s="33" t="inlineStr">
        <is>
          <t>个人技术</t>
        </is>
      </c>
      <c r="B328" s="33">
        <f>'个人技术逐级'!A328</f>
        <v/>
      </c>
      <c r="C328" s="33">
        <f>'个人技术逐级'!B328</f>
        <v/>
      </c>
      <c r="D328" s="33">
        <f>'个人技术逐级'!C328</f>
        <v/>
      </c>
      <c r="E328">
        <f>'个人技术逐级'!D328</f>
        <v/>
      </c>
      <c r="F328" s="54">
        <f>'个人技术逐级'!E328</f>
        <v/>
      </c>
      <c r="G328" s="55">
        <f>'个人技术逐级'!F328</f>
        <v/>
      </c>
      <c r="H328" s="56">
        <f>'个人技术逐级'!G328</f>
        <v/>
      </c>
      <c r="I328" s="52" t="inlineStr">
        <is>
          <t>个人技术计时升级</t>
        </is>
      </c>
      <c r="J328" s="57">
        <f>'个人技术逐级'!M328</f>
        <v/>
      </c>
      <c r="K328" s="35">
        <f>J328/3600</f>
        <v/>
      </c>
      <c r="L328" s="35">
        <f>SUMIFS($K$5:$K$692,$A$5:$A$692,A328,$B$5:$B$692,B328,$F$5:$F$692,"&lt;="&amp;F328)</f>
        <v/>
      </c>
      <c r="M328" s="58">
        <f>'个人技术逐级'!N328</f>
        <v/>
      </c>
      <c r="N328" s="58">
        <f>SUMIFS($M$5:$M$692,$A$5:$A$692,A328,$B$5:$B$692,B328,$F$5:$F$692,"&lt;="&amp;F328)</f>
        <v/>
      </c>
      <c r="O328" s="58">
        <f>0</f>
        <v/>
      </c>
      <c r="P328" s="58">
        <f>SUMIFS($O$5:$O$692,$A$5:$A$692,A328,$B$5:$B$692,B328,$F$5:$F$692,"&lt;="&amp;F328)</f>
        <v/>
      </c>
      <c r="Q328" s="58">
        <f>0</f>
        <v/>
      </c>
      <c r="R328" s="58">
        <f>SUMIFS($Q$5:$Q$692,$A$5:$A$692,A328,$B$5:$B$692,B328,$F$5:$F$692,"&lt;="&amp;F328)</f>
        <v/>
      </c>
      <c r="S328" s="58">
        <f>0</f>
        <v/>
      </c>
      <c r="T328" s="58">
        <f>SUMIFS($S$5:$S$692,$A$5:$A$692,A328,$B$5:$B$692,B328,$F$5:$F$692,"&lt;="&amp;F328)</f>
        <v/>
      </c>
      <c r="U328" s="52">
        <f>'个人技术逐级'!O328</f>
        <v/>
      </c>
    </row>
    <row r="329">
      <c r="A329" s="33" t="inlineStr">
        <is>
          <t>个人技术</t>
        </is>
      </c>
      <c r="B329" s="33">
        <f>'个人技术逐级'!A329</f>
        <v/>
      </c>
      <c r="C329" s="33">
        <f>'个人技术逐级'!B329</f>
        <v/>
      </c>
      <c r="D329" s="33">
        <f>'个人技术逐级'!C329</f>
        <v/>
      </c>
      <c r="E329">
        <f>'个人技术逐级'!D329</f>
        <v/>
      </c>
      <c r="F329" s="54">
        <f>'个人技术逐级'!E329</f>
        <v/>
      </c>
      <c r="G329" s="55">
        <f>'个人技术逐级'!F329</f>
        <v/>
      </c>
      <c r="H329" s="56">
        <f>'个人技术逐级'!G329</f>
        <v/>
      </c>
      <c r="I329" s="52" t="inlineStr">
        <is>
          <t>个人技术计时升级</t>
        </is>
      </c>
      <c r="J329" s="57">
        <f>'个人技术逐级'!M329</f>
        <v/>
      </c>
      <c r="K329" s="35">
        <f>J329/3600</f>
        <v/>
      </c>
      <c r="L329" s="35">
        <f>SUMIFS($K$5:$K$692,$A$5:$A$692,A329,$B$5:$B$692,B329,$F$5:$F$692,"&lt;="&amp;F329)</f>
        <v/>
      </c>
      <c r="M329" s="58">
        <f>'个人技术逐级'!N329</f>
        <v/>
      </c>
      <c r="N329" s="58">
        <f>SUMIFS($M$5:$M$692,$A$5:$A$692,A329,$B$5:$B$692,B329,$F$5:$F$692,"&lt;="&amp;F329)</f>
        <v/>
      </c>
      <c r="O329" s="58">
        <f>0</f>
        <v/>
      </c>
      <c r="P329" s="58">
        <f>SUMIFS($O$5:$O$692,$A$5:$A$692,A329,$B$5:$B$692,B329,$F$5:$F$692,"&lt;="&amp;F329)</f>
        <v/>
      </c>
      <c r="Q329" s="58">
        <f>0</f>
        <v/>
      </c>
      <c r="R329" s="58">
        <f>SUMIFS($Q$5:$Q$692,$A$5:$A$692,A329,$B$5:$B$692,B329,$F$5:$F$692,"&lt;="&amp;F329)</f>
        <v/>
      </c>
      <c r="S329" s="58">
        <f>0</f>
        <v/>
      </c>
      <c r="T329" s="58">
        <f>SUMIFS($S$5:$S$692,$A$5:$A$692,A329,$B$5:$B$692,B329,$F$5:$F$692,"&lt;="&amp;F329)</f>
        <v/>
      </c>
      <c r="U329" s="52">
        <f>'个人技术逐级'!O329</f>
        <v/>
      </c>
    </row>
    <row r="330">
      <c r="A330" s="33" t="inlineStr">
        <is>
          <t>个人技术</t>
        </is>
      </c>
      <c r="B330" s="33">
        <f>'个人技术逐级'!A330</f>
        <v/>
      </c>
      <c r="C330" s="33">
        <f>'个人技术逐级'!B330</f>
        <v/>
      </c>
      <c r="D330" s="33">
        <f>'个人技术逐级'!C330</f>
        <v/>
      </c>
      <c r="E330">
        <f>'个人技术逐级'!D330</f>
        <v/>
      </c>
      <c r="F330" s="54">
        <f>'个人技术逐级'!E330</f>
        <v/>
      </c>
      <c r="G330" s="55">
        <f>'个人技术逐级'!F330</f>
        <v/>
      </c>
      <c r="H330" s="56">
        <f>'个人技术逐级'!G330</f>
        <v/>
      </c>
      <c r="I330" s="52" t="inlineStr">
        <is>
          <t>个人技术计时升级</t>
        </is>
      </c>
      <c r="J330" s="57">
        <f>'个人技术逐级'!M330</f>
        <v/>
      </c>
      <c r="K330" s="35">
        <f>J330/3600</f>
        <v/>
      </c>
      <c r="L330" s="35">
        <f>SUMIFS($K$5:$K$692,$A$5:$A$692,A330,$B$5:$B$692,B330,$F$5:$F$692,"&lt;="&amp;F330)</f>
        <v/>
      </c>
      <c r="M330" s="58">
        <f>'个人技术逐级'!N330</f>
        <v/>
      </c>
      <c r="N330" s="58">
        <f>SUMIFS($M$5:$M$692,$A$5:$A$692,A330,$B$5:$B$692,B330,$F$5:$F$692,"&lt;="&amp;F330)</f>
        <v/>
      </c>
      <c r="O330" s="58">
        <f>0</f>
        <v/>
      </c>
      <c r="P330" s="58">
        <f>SUMIFS($O$5:$O$692,$A$5:$A$692,A330,$B$5:$B$692,B330,$F$5:$F$692,"&lt;="&amp;F330)</f>
        <v/>
      </c>
      <c r="Q330" s="58">
        <f>0</f>
        <v/>
      </c>
      <c r="R330" s="58">
        <f>SUMIFS($Q$5:$Q$692,$A$5:$A$692,A330,$B$5:$B$692,B330,$F$5:$F$692,"&lt;="&amp;F330)</f>
        <v/>
      </c>
      <c r="S330" s="58">
        <f>0</f>
        <v/>
      </c>
      <c r="T330" s="58">
        <f>SUMIFS($S$5:$S$692,$A$5:$A$692,A330,$B$5:$B$692,B330,$F$5:$F$692,"&lt;="&amp;F330)</f>
        <v/>
      </c>
      <c r="U330" s="52">
        <f>'个人技术逐级'!O330</f>
        <v/>
      </c>
    </row>
    <row r="331">
      <c r="A331" s="33" t="inlineStr">
        <is>
          <t>个人技术</t>
        </is>
      </c>
      <c r="B331" s="33">
        <f>'个人技术逐级'!A331</f>
        <v/>
      </c>
      <c r="C331" s="33">
        <f>'个人技术逐级'!B331</f>
        <v/>
      </c>
      <c r="D331" s="33">
        <f>'个人技术逐级'!C331</f>
        <v/>
      </c>
      <c r="E331">
        <f>'个人技术逐级'!D331</f>
        <v/>
      </c>
      <c r="F331" s="54">
        <f>'个人技术逐级'!E331</f>
        <v/>
      </c>
      <c r="G331" s="55">
        <f>'个人技术逐级'!F331</f>
        <v/>
      </c>
      <c r="H331" s="56">
        <f>'个人技术逐级'!G331</f>
        <v/>
      </c>
      <c r="I331" s="52" t="inlineStr">
        <is>
          <t>个人技术计时升级</t>
        </is>
      </c>
      <c r="J331" s="57">
        <f>'个人技术逐级'!M331</f>
        <v/>
      </c>
      <c r="K331" s="35">
        <f>J331/3600</f>
        <v/>
      </c>
      <c r="L331" s="35">
        <f>SUMIFS($K$5:$K$692,$A$5:$A$692,A331,$B$5:$B$692,B331,$F$5:$F$692,"&lt;="&amp;F331)</f>
        <v/>
      </c>
      <c r="M331" s="58">
        <f>'个人技术逐级'!N331</f>
        <v/>
      </c>
      <c r="N331" s="58">
        <f>SUMIFS($M$5:$M$692,$A$5:$A$692,A331,$B$5:$B$692,B331,$F$5:$F$692,"&lt;="&amp;F331)</f>
        <v/>
      </c>
      <c r="O331" s="58">
        <f>0</f>
        <v/>
      </c>
      <c r="P331" s="58">
        <f>SUMIFS($O$5:$O$692,$A$5:$A$692,A331,$B$5:$B$692,B331,$F$5:$F$692,"&lt;="&amp;F331)</f>
        <v/>
      </c>
      <c r="Q331" s="58">
        <f>0</f>
        <v/>
      </c>
      <c r="R331" s="58">
        <f>SUMIFS($Q$5:$Q$692,$A$5:$A$692,A331,$B$5:$B$692,B331,$F$5:$F$692,"&lt;="&amp;F331)</f>
        <v/>
      </c>
      <c r="S331" s="58">
        <f>0</f>
        <v/>
      </c>
      <c r="T331" s="58">
        <f>SUMIFS($S$5:$S$692,$A$5:$A$692,A331,$B$5:$B$692,B331,$F$5:$F$692,"&lt;="&amp;F331)</f>
        <v/>
      </c>
      <c r="U331" s="52">
        <f>'个人技术逐级'!O331</f>
        <v/>
      </c>
    </row>
    <row r="332">
      <c r="A332" s="33" t="inlineStr">
        <is>
          <t>个人技术</t>
        </is>
      </c>
      <c r="B332" s="33">
        <f>'个人技术逐级'!A332</f>
        <v/>
      </c>
      <c r="C332" s="33">
        <f>'个人技术逐级'!B332</f>
        <v/>
      </c>
      <c r="D332" s="33">
        <f>'个人技术逐级'!C332</f>
        <v/>
      </c>
      <c r="E332">
        <f>'个人技术逐级'!D332</f>
        <v/>
      </c>
      <c r="F332" s="54">
        <f>'个人技术逐级'!E332</f>
        <v/>
      </c>
      <c r="G332" s="55">
        <f>'个人技术逐级'!F332</f>
        <v/>
      </c>
      <c r="H332" s="56">
        <f>'个人技术逐级'!G332</f>
        <v/>
      </c>
      <c r="I332" s="52" t="inlineStr">
        <is>
          <t>个人技术计时升级</t>
        </is>
      </c>
      <c r="J332" s="57">
        <f>'个人技术逐级'!M332</f>
        <v/>
      </c>
      <c r="K332" s="35">
        <f>J332/3600</f>
        <v/>
      </c>
      <c r="L332" s="35">
        <f>SUMIFS($K$5:$K$692,$A$5:$A$692,A332,$B$5:$B$692,B332,$F$5:$F$692,"&lt;="&amp;F332)</f>
        <v/>
      </c>
      <c r="M332" s="58">
        <f>'个人技术逐级'!N332</f>
        <v/>
      </c>
      <c r="N332" s="58">
        <f>SUMIFS($M$5:$M$692,$A$5:$A$692,A332,$B$5:$B$692,B332,$F$5:$F$692,"&lt;="&amp;F332)</f>
        <v/>
      </c>
      <c r="O332" s="58">
        <f>0</f>
        <v/>
      </c>
      <c r="P332" s="58">
        <f>SUMIFS($O$5:$O$692,$A$5:$A$692,A332,$B$5:$B$692,B332,$F$5:$F$692,"&lt;="&amp;F332)</f>
        <v/>
      </c>
      <c r="Q332" s="58">
        <f>0</f>
        <v/>
      </c>
      <c r="R332" s="58">
        <f>SUMIFS($Q$5:$Q$692,$A$5:$A$692,A332,$B$5:$B$692,B332,$F$5:$F$692,"&lt;="&amp;F332)</f>
        <v/>
      </c>
      <c r="S332" s="58">
        <f>0</f>
        <v/>
      </c>
      <c r="T332" s="58">
        <f>SUMIFS($S$5:$S$692,$A$5:$A$692,A332,$B$5:$B$692,B332,$F$5:$F$692,"&lt;="&amp;F332)</f>
        <v/>
      </c>
      <c r="U332" s="52">
        <f>'个人技术逐级'!O332</f>
        <v/>
      </c>
    </row>
    <row r="333">
      <c r="A333" s="33" t="inlineStr">
        <is>
          <t>个人技术</t>
        </is>
      </c>
      <c r="B333" s="33">
        <f>'个人技术逐级'!A333</f>
        <v/>
      </c>
      <c r="C333" s="33">
        <f>'个人技术逐级'!B333</f>
        <v/>
      </c>
      <c r="D333" s="33">
        <f>'个人技术逐级'!C333</f>
        <v/>
      </c>
      <c r="E333">
        <f>'个人技术逐级'!D333</f>
        <v/>
      </c>
      <c r="F333" s="54">
        <f>'个人技术逐级'!E333</f>
        <v/>
      </c>
      <c r="G333" s="55">
        <f>'个人技术逐级'!F333</f>
        <v/>
      </c>
      <c r="H333" s="56">
        <f>'个人技术逐级'!G333</f>
        <v/>
      </c>
      <c r="I333" s="52" t="inlineStr">
        <is>
          <t>个人技术计时升级</t>
        </is>
      </c>
      <c r="J333" s="57">
        <f>'个人技术逐级'!M333</f>
        <v/>
      </c>
      <c r="K333" s="35">
        <f>J333/3600</f>
        <v/>
      </c>
      <c r="L333" s="35">
        <f>SUMIFS($K$5:$K$692,$A$5:$A$692,A333,$B$5:$B$692,B333,$F$5:$F$692,"&lt;="&amp;F333)</f>
        <v/>
      </c>
      <c r="M333" s="58">
        <f>'个人技术逐级'!N333</f>
        <v/>
      </c>
      <c r="N333" s="58">
        <f>SUMIFS($M$5:$M$692,$A$5:$A$692,A333,$B$5:$B$692,B333,$F$5:$F$692,"&lt;="&amp;F333)</f>
        <v/>
      </c>
      <c r="O333" s="58">
        <f>0</f>
        <v/>
      </c>
      <c r="P333" s="58">
        <f>SUMIFS($O$5:$O$692,$A$5:$A$692,A333,$B$5:$B$692,B333,$F$5:$F$692,"&lt;="&amp;F333)</f>
        <v/>
      </c>
      <c r="Q333" s="58">
        <f>0</f>
        <v/>
      </c>
      <c r="R333" s="58">
        <f>SUMIFS($Q$5:$Q$692,$A$5:$A$692,A333,$B$5:$B$692,B333,$F$5:$F$692,"&lt;="&amp;F333)</f>
        <v/>
      </c>
      <c r="S333" s="58">
        <f>0</f>
        <v/>
      </c>
      <c r="T333" s="58">
        <f>SUMIFS($S$5:$S$692,$A$5:$A$692,A333,$B$5:$B$692,B333,$F$5:$F$692,"&lt;="&amp;F333)</f>
        <v/>
      </c>
      <c r="U333" s="52">
        <f>'个人技术逐级'!O333</f>
        <v/>
      </c>
    </row>
    <row r="334">
      <c r="A334" s="33" t="inlineStr">
        <is>
          <t>个人技术</t>
        </is>
      </c>
      <c r="B334" s="33">
        <f>'个人技术逐级'!A334</f>
        <v/>
      </c>
      <c r="C334" s="33">
        <f>'个人技术逐级'!B334</f>
        <v/>
      </c>
      <c r="D334" s="33">
        <f>'个人技术逐级'!C334</f>
        <v/>
      </c>
      <c r="E334">
        <f>'个人技术逐级'!D334</f>
        <v/>
      </c>
      <c r="F334" s="54">
        <f>'个人技术逐级'!E334</f>
        <v/>
      </c>
      <c r="G334" s="55">
        <f>'个人技术逐级'!F334</f>
        <v/>
      </c>
      <c r="H334" s="56">
        <f>'个人技术逐级'!G334</f>
        <v/>
      </c>
      <c r="I334" s="52" t="inlineStr">
        <is>
          <t>个人技术计时升级</t>
        </is>
      </c>
      <c r="J334" s="57">
        <f>'个人技术逐级'!M334</f>
        <v/>
      </c>
      <c r="K334" s="35">
        <f>J334/3600</f>
        <v/>
      </c>
      <c r="L334" s="35">
        <f>SUMIFS($K$5:$K$692,$A$5:$A$692,A334,$B$5:$B$692,B334,$F$5:$F$692,"&lt;="&amp;F334)</f>
        <v/>
      </c>
      <c r="M334" s="58">
        <f>'个人技术逐级'!N334</f>
        <v/>
      </c>
      <c r="N334" s="58">
        <f>SUMIFS($M$5:$M$692,$A$5:$A$692,A334,$B$5:$B$692,B334,$F$5:$F$692,"&lt;="&amp;F334)</f>
        <v/>
      </c>
      <c r="O334" s="58">
        <f>0</f>
        <v/>
      </c>
      <c r="P334" s="58">
        <f>SUMIFS($O$5:$O$692,$A$5:$A$692,A334,$B$5:$B$692,B334,$F$5:$F$692,"&lt;="&amp;F334)</f>
        <v/>
      </c>
      <c r="Q334" s="58">
        <f>0</f>
        <v/>
      </c>
      <c r="R334" s="58">
        <f>SUMIFS($Q$5:$Q$692,$A$5:$A$692,A334,$B$5:$B$692,B334,$F$5:$F$692,"&lt;="&amp;F334)</f>
        <v/>
      </c>
      <c r="S334" s="58">
        <f>0</f>
        <v/>
      </c>
      <c r="T334" s="58">
        <f>SUMIFS($S$5:$S$692,$A$5:$A$692,A334,$B$5:$B$692,B334,$F$5:$F$692,"&lt;="&amp;F334)</f>
        <v/>
      </c>
      <c r="U334" s="52">
        <f>'个人技术逐级'!O334</f>
        <v/>
      </c>
    </row>
    <row r="335">
      <c r="A335" s="33" t="inlineStr">
        <is>
          <t>个人技术</t>
        </is>
      </c>
      <c r="B335" s="33">
        <f>'个人技术逐级'!A335</f>
        <v/>
      </c>
      <c r="C335" s="33">
        <f>'个人技术逐级'!B335</f>
        <v/>
      </c>
      <c r="D335" s="33">
        <f>'个人技术逐级'!C335</f>
        <v/>
      </c>
      <c r="E335">
        <f>'个人技术逐级'!D335</f>
        <v/>
      </c>
      <c r="F335" s="54">
        <f>'个人技术逐级'!E335</f>
        <v/>
      </c>
      <c r="G335" s="55">
        <f>'个人技术逐级'!F335</f>
        <v/>
      </c>
      <c r="H335" s="56">
        <f>'个人技术逐级'!G335</f>
        <v/>
      </c>
      <c r="I335" s="52" t="inlineStr">
        <is>
          <t>个人技术计时升级</t>
        </is>
      </c>
      <c r="J335" s="57">
        <f>'个人技术逐级'!M335</f>
        <v/>
      </c>
      <c r="K335" s="35">
        <f>J335/3600</f>
        <v/>
      </c>
      <c r="L335" s="35">
        <f>SUMIFS($K$5:$K$692,$A$5:$A$692,A335,$B$5:$B$692,B335,$F$5:$F$692,"&lt;="&amp;F335)</f>
        <v/>
      </c>
      <c r="M335" s="58">
        <f>'个人技术逐级'!N335</f>
        <v/>
      </c>
      <c r="N335" s="58">
        <f>SUMIFS($M$5:$M$692,$A$5:$A$692,A335,$B$5:$B$692,B335,$F$5:$F$692,"&lt;="&amp;F335)</f>
        <v/>
      </c>
      <c r="O335" s="58">
        <f>0</f>
        <v/>
      </c>
      <c r="P335" s="58">
        <f>SUMIFS($O$5:$O$692,$A$5:$A$692,A335,$B$5:$B$692,B335,$F$5:$F$692,"&lt;="&amp;F335)</f>
        <v/>
      </c>
      <c r="Q335" s="58">
        <f>0</f>
        <v/>
      </c>
      <c r="R335" s="58">
        <f>SUMIFS($Q$5:$Q$692,$A$5:$A$692,A335,$B$5:$B$692,B335,$F$5:$F$692,"&lt;="&amp;F335)</f>
        <v/>
      </c>
      <c r="S335" s="58">
        <f>0</f>
        <v/>
      </c>
      <c r="T335" s="58">
        <f>SUMIFS($S$5:$S$692,$A$5:$A$692,A335,$B$5:$B$692,B335,$F$5:$F$692,"&lt;="&amp;F335)</f>
        <v/>
      </c>
      <c r="U335" s="52">
        <f>'个人技术逐级'!O335</f>
        <v/>
      </c>
    </row>
    <row r="336">
      <c r="A336" s="33" t="inlineStr">
        <is>
          <t>个人技术</t>
        </is>
      </c>
      <c r="B336" s="33">
        <f>'个人技术逐级'!A336</f>
        <v/>
      </c>
      <c r="C336" s="33">
        <f>'个人技术逐级'!B336</f>
        <v/>
      </c>
      <c r="D336" s="33">
        <f>'个人技术逐级'!C336</f>
        <v/>
      </c>
      <c r="E336">
        <f>'个人技术逐级'!D336</f>
        <v/>
      </c>
      <c r="F336" s="54">
        <f>'个人技术逐级'!E336</f>
        <v/>
      </c>
      <c r="G336" s="55">
        <f>'个人技术逐级'!F336</f>
        <v/>
      </c>
      <c r="H336" s="56">
        <f>'个人技术逐级'!G336</f>
        <v/>
      </c>
      <c r="I336" s="52" t="inlineStr">
        <is>
          <t>个人技术计时升级</t>
        </is>
      </c>
      <c r="J336" s="57">
        <f>'个人技术逐级'!M336</f>
        <v/>
      </c>
      <c r="K336" s="35">
        <f>J336/3600</f>
        <v/>
      </c>
      <c r="L336" s="35">
        <f>SUMIFS($K$5:$K$692,$A$5:$A$692,A336,$B$5:$B$692,B336,$F$5:$F$692,"&lt;="&amp;F336)</f>
        <v/>
      </c>
      <c r="M336" s="58">
        <f>'个人技术逐级'!N336</f>
        <v/>
      </c>
      <c r="N336" s="58">
        <f>SUMIFS($M$5:$M$692,$A$5:$A$692,A336,$B$5:$B$692,B336,$F$5:$F$692,"&lt;="&amp;F336)</f>
        <v/>
      </c>
      <c r="O336" s="58">
        <f>0</f>
        <v/>
      </c>
      <c r="P336" s="58">
        <f>SUMIFS($O$5:$O$692,$A$5:$A$692,A336,$B$5:$B$692,B336,$F$5:$F$692,"&lt;="&amp;F336)</f>
        <v/>
      </c>
      <c r="Q336" s="58">
        <f>0</f>
        <v/>
      </c>
      <c r="R336" s="58">
        <f>SUMIFS($Q$5:$Q$692,$A$5:$A$692,A336,$B$5:$B$692,B336,$F$5:$F$692,"&lt;="&amp;F336)</f>
        <v/>
      </c>
      <c r="S336" s="58">
        <f>0</f>
        <v/>
      </c>
      <c r="T336" s="58">
        <f>SUMIFS($S$5:$S$692,$A$5:$A$692,A336,$B$5:$B$692,B336,$F$5:$F$692,"&lt;="&amp;F336)</f>
        <v/>
      </c>
      <c r="U336" s="52">
        <f>'个人技术逐级'!O336</f>
        <v/>
      </c>
    </row>
    <row r="337">
      <c r="A337" s="33" t="inlineStr">
        <is>
          <t>个人技术</t>
        </is>
      </c>
      <c r="B337" s="33">
        <f>'个人技术逐级'!A337</f>
        <v/>
      </c>
      <c r="C337" s="33">
        <f>'个人技术逐级'!B337</f>
        <v/>
      </c>
      <c r="D337" s="33">
        <f>'个人技术逐级'!C337</f>
        <v/>
      </c>
      <c r="E337">
        <f>'个人技术逐级'!D337</f>
        <v/>
      </c>
      <c r="F337" s="54">
        <f>'个人技术逐级'!E337</f>
        <v/>
      </c>
      <c r="G337" s="55">
        <f>'个人技术逐级'!F337</f>
        <v/>
      </c>
      <c r="H337" s="56">
        <f>'个人技术逐级'!G337</f>
        <v/>
      </c>
      <c r="I337" s="52" t="inlineStr">
        <is>
          <t>个人技术计时升级</t>
        </is>
      </c>
      <c r="J337" s="57">
        <f>'个人技术逐级'!M337</f>
        <v/>
      </c>
      <c r="K337" s="35">
        <f>J337/3600</f>
        <v/>
      </c>
      <c r="L337" s="35">
        <f>SUMIFS($K$5:$K$692,$A$5:$A$692,A337,$B$5:$B$692,B337,$F$5:$F$692,"&lt;="&amp;F337)</f>
        <v/>
      </c>
      <c r="M337" s="58">
        <f>'个人技术逐级'!N337</f>
        <v/>
      </c>
      <c r="N337" s="58">
        <f>SUMIFS($M$5:$M$692,$A$5:$A$692,A337,$B$5:$B$692,B337,$F$5:$F$692,"&lt;="&amp;F337)</f>
        <v/>
      </c>
      <c r="O337" s="58">
        <f>0</f>
        <v/>
      </c>
      <c r="P337" s="58">
        <f>SUMIFS($O$5:$O$692,$A$5:$A$692,A337,$B$5:$B$692,B337,$F$5:$F$692,"&lt;="&amp;F337)</f>
        <v/>
      </c>
      <c r="Q337" s="58">
        <f>0</f>
        <v/>
      </c>
      <c r="R337" s="58">
        <f>SUMIFS($Q$5:$Q$692,$A$5:$A$692,A337,$B$5:$B$692,B337,$F$5:$F$692,"&lt;="&amp;F337)</f>
        <v/>
      </c>
      <c r="S337" s="58">
        <f>0</f>
        <v/>
      </c>
      <c r="T337" s="58">
        <f>SUMIFS($S$5:$S$692,$A$5:$A$692,A337,$B$5:$B$692,B337,$F$5:$F$692,"&lt;="&amp;F337)</f>
        <v/>
      </c>
      <c r="U337" s="52">
        <f>'个人技术逐级'!O337</f>
        <v/>
      </c>
    </row>
    <row r="338">
      <c r="A338" s="33" t="inlineStr">
        <is>
          <t>个人技术</t>
        </is>
      </c>
      <c r="B338" s="33">
        <f>'个人技术逐级'!A338</f>
        <v/>
      </c>
      <c r="C338" s="33">
        <f>'个人技术逐级'!B338</f>
        <v/>
      </c>
      <c r="D338" s="33">
        <f>'个人技术逐级'!C338</f>
        <v/>
      </c>
      <c r="E338">
        <f>'个人技术逐级'!D338</f>
        <v/>
      </c>
      <c r="F338" s="54">
        <f>'个人技术逐级'!E338</f>
        <v/>
      </c>
      <c r="G338" s="55">
        <f>'个人技术逐级'!F338</f>
        <v/>
      </c>
      <c r="H338" s="56">
        <f>'个人技术逐级'!G338</f>
        <v/>
      </c>
      <c r="I338" s="52" t="inlineStr">
        <is>
          <t>个人技术计时升级</t>
        </is>
      </c>
      <c r="J338" s="57">
        <f>'个人技术逐级'!M338</f>
        <v/>
      </c>
      <c r="K338" s="35">
        <f>J338/3600</f>
        <v/>
      </c>
      <c r="L338" s="35">
        <f>SUMIFS($K$5:$K$692,$A$5:$A$692,A338,$B$5:$B$692,B338,$F$5:$F$692,"&lt;="&amp;F338)</f>
        <v/>
      </c>
      <c r="M338" s="58">
        <f>'个人技术逐级'!N338</f>
        <v/>
      </c>
      <c r="N338" s="58">
        <f>SUMIFS($M$5:$M$692,$A$5:$A$692,A338,$B$5:$B$692,B338,$F$5:$F$692,"&lt;="&amp;F338)</f>
        <v/>
      </c>
      <c r="O338" s="58">
        <f>0</f>
        <v/>
      </c>
      <c r="P338" s="58">
        <f>SUMIFS($O$5:$O$692,$A$5:$A$692,A338,$B$5:$B$692,B338,$F$5:$F$692,"&lt;="&amp;F338)</f>
        <v/>
      </c>
      <c r="Q338" s="58">
        <f>0</f>
        <v/>
      </c>
      <c r="R338" s="58">
        <f>SUMIFS($Q$5:$Q$692,$A$5:$A$692,A338,$B$5:$B$692,B338,$F$5:$F$692,"&lt;="&amp;F338)</f>
        <v/>
      </c>
      <c r="S338" s="58">
        <f>0</f>
        <v/>
      </c>
      <c r="T338" s="58">
        <f>SUMIFS($S$5:$S$692,$A$5:$A$692,A338,$B$5:$B$692,B338,$F$5:$F$692,"&lt;="&amp;F338)</f>
        <v/>
      </c>
      <c r="U338" s="52">
        <f>'个人技术逐级'!O338</f>
        <v/>
      </c>
    </row>
    <row r="339">
      <c r="A339" s="33" t="inlineStr">
        <is>
          <t>个人技术</t>
        </is>
      </c>
      <c r="B339" s="33">
        <f>'个人技术逐级'!A339</f>
        <v/>
      </c>
      <c r="C339" s="33">
        <f>'个人技术逐级'!B339</f>
        <v/>
      </c>
      <c r="D339" s="33">
        <f>'个人技术逐级'!C339</f>
        <v/>
      </c>
      <c r="E339">
        <f>'个人技术逐级'!D339</f>
        <v/>
      </c>
      <c r="F339" s="54">
        <f>'个人技术逐级'!E339</f>
        <v/>
      </c>
      <c r="G339" s="55">
        <f>'个人技术逐级'!F339</f>
        <v/>
      </c>
      <c r="H339" s="56">
        <f>'个人技术逐级'!G339</f>
        <v/>
      </c>
      <c r="I339" s="52" t="inlineStr">
        <is>
          <t>个人技术计时升级</t>
        </is>
      </c>
      <c r="J339" s="57">
        <f>'个人技术逐级'!M339</f>
        <v/>
      </c>
      <c r="K339" s="35">
        <f>J339/3600</f>
        <v/>
      </c>
      <c r="L339" s="35">
        <f>SUMIFS($K$5:$K$692,$A$5:$A$692,A339,$B$5:$B$692,B339,$F$5:$F$692,"&lt;="&amp;F339)</f>
        <v/>
      </c>
      <c r="M339" s="58">
        <f>'个人技术逐级'!N339</f>
        <v/>
      </c>
      <c r="N339" s="58">
        <f>SUMIFS($M$5:$M$692,$A$5:$A$692,A339,$B$5:$B$692,B339,$F$5:$F$692,"&lt;="&amp;F339)</f>
        <v/>
      </c>
      <c r="O339" s="58">
        <f>0</f>
        <v/>
      </c>
      <c r="P339" s="58">
        <f>SUMIFS($O$5:$O$692,$A$5:$A$692,A339,$B$5:$B$692,B339,$F$5:$F$692,"&lt;="&amp;F339)</f>
        <v/>
      </c>
      <c r="Q339" s="58">
        <f>0</f>
        <v/>
      </c>
      <c r="R339" s="58">
        <f>SUMIFS($Q$5:$Q$692,$A$5:$A$692,A339,$B$5:$B$692,B339,$F$5:$F$692,"&lt;="&amp;F339)</f>
        <v/>
      </c>
      <c r="S339" s="58">
        <f>0</f>
        <v/>
      </c>
      <c r="T339" s="58">
        <f>SUMIFS($S$5:$S$692,$A$5:$A$692,A339,$B$5:$B$692,B339,$F$5:$F$692,"&lt;="&amp;F339)</f>
        <v/>
      </c>
      <c r="U339" s="52">
        <f>'个人技术逐级'!O339</f>
        <v/>
      </c>
    </row>
    <row r="340">
      <c r="A340" s="33" t="inlineStr">
        <is>
          <t>个人技术</t>
        </is>
      </c>
      <c r="B340" s="33">
        <f>'个人技术逐级'!A340</f>
        <v/>
      </c>
      <c r="C340" s="33">
        <f>'个人技术逐级'!B340</f>
        <v/>
      </c>
      <c r="D340" s="33">
        <f>'个人技术逐级'!C340</f>
        <v/>
      </c>
      <c r="E340">
        <f>'个人技术逐级'!D340</f>
        <v/>
      </c>
      <c r="F340" s="54">
        <f>'个人技术逐级'!E340</f>
        <v/>
      </c>
      <c r="G340" s="55">
        <f>'个人技术逐级'!F340</f>
        <v/>
      </c>
      <c r="H340" s="56">
        <f>'个人技术逐级'!G340</f>
        <v/>
      </c>
      <c r="I340" s="52" t="inlineStr">
        <is>
          <t>个人技术计时升级</t>
        </is>
      </c>
      <c r="J340" s="57">
        <f>'个人技术逐级'!M340</f>
        <v/>
      </c>
      <c r="K340" s="35">
        <f>J340/3600</f>
        <v/>
      </c>
      <c r="L340" s="35">
        <f>SUMIFS($K$5:$K$692,$A$5:$A$692,A340,$B$5:$B$692,B340,$F$5:$F$692,"&lt;="&amp;F340)</f>
        <v/>
      </c>
      <c r="M340" s="58">
        <f>'个人技术逐级'!N340</f>
        <v/>
      </c>
      <c r="N340" s="58">
        <f>SUMIFS($M$5:$M$692,$A$5:$A$692,A340,$B$5:$B$692,B340,$F$5:$F$692,"&lt;="&amp;F340)</f>
        <v/>
      </c>
      <c r="O340" s="58">
        <f>0</f>
        <v/>
      </c>
      <c r="P340" s="58">
        <f>SUMIFS($O$5:$O$692,$A$5:$A$692,A340,$B$5:$B$692,B340,$F$5:$F$692,"&lt;="&amp;F340)</f>
        <v/>
      </c>
      <c r="Q340" s="58">
        <f>0</f>
        <v/>
      </c>
      <c r="R340" s="58">
        <f>SUMIFS($Q$5:$Q$692,$A$5:$A$692,A340,$B$5:$B$692,B340,$F$5:$F$692,"&lt;="&amp;F340)</f>
        <v/>
      </c>
      <c r="S340" s="58">
        <f>0</f>
        <v/>
      </c>
      <c r="T340" s="58">
        <f>SUMIFS($S$5:$S$692,$A$5:$A$692,A340,$B$5:$B$692,B340,$F$5:$F$692,"&lt;="&amp;F340)</f>
        <v/>
      </c>
      <c r="U340" s="52">
        <f>'个人技术逐级'!O340</f>
        <v/>
      </c>
    </row>
    <row r="341">
      <c r="A341" s="33" t="inlineStr">
        <is>
          <t>个人技术</t>
        </is>
      </c>
      <c r="B341" s="33">
        <f>'个人技术逐级'!A341</f>
        <v/>
      </c>
      <c r="C341" s="33">
        <f>'个人技术逐级'!B341</f>
        <v/>
      </c>
      <c r="D341" s="33">
        <f>'个人技术逐级'!C341</f>
        <v/>
      </c>
      <c r="E341">
        <f>'个人技术逐级'!D341</f>
        <v/>
      </c>
      <c r="F341" s="54">
        <f>'个人技术逐级'!E341</f>
        <v/>
      </c>
      <c r="G341" s="55">
        <f>'个人技术逐级'!F341</f>
        <v/>
      </c>
      <c r="H341" s="56">
        <f>'个人技术逐级'!G341</f>
        <v/>
      </c>
      <c r="I341" s="52" t="inlineStr">
        <is>
          <t>个人技术计时升级</t>
        </is>
      </c>
      <c r="J341" s="57">
        <f>'个人技术逐级'!M341</f>
        <v/>
      </c>
      <c r="K341" s="35">
        <f>J341/3600</f>
        <v/>
      </c>
      <c r="L341" s="35">
        <f>SUMIFS($K$5:$K$692,$A$5:$A$692,A341,$B$5:$B$692,B341,$F$5:$F$692,"&lt;="&amp;F341)</f>
        <v/>
      </c>
      <c r="M341" s="58">
        <f>'个人技术逐级'!N341</f>
        <v/>
      </c>
      <c r="N341" s="58">
        <f>SUMIFS($M$5:$M$692,$A$5:$A$692,A341,$B$5:$B$692,B341,$F$5:$F$692,"&lt;="&amp;F341)</f>
        <v/>
      </c>
      <c r="O341" s="58">
        <f>0</f>
        <v/>
      </c>
      <c r="P341" s="58">
        <f>SUMIFS($O$5:$O$692,$A$5:$A$692,A341,$B$5:$B$692,B341,$F$5:$F$692,"&lt;="&amp;F341)</f>
        <v/>
      </c>
      <c r="Q341" s="58">
        <f>0</f>
        <v/>
      </c>
      <c r="R341" s="58">
        <f>SUMIFS($Q$5:$Q$692,$A$5:$A$692,A341,$B$5:$B$692,B341,$F$5:$F$692,"&lt;="&amp;F341)</f>
        <v/>
      </c>
      <c r="S341" s="58">
        <f>0</f>
        <v/>
      </c>
      <c r="T341" s="58">
        <f>SUMIFS($S$5:$S$692,$A$5:$A$692,A341,$B$5:$B$692,B341,$F$5:$F$692,"&lt;="&amp;F341)</f>
        <v/>
      </c>
      <c r="U341" s="52">
        <f>'个人技术逐级'!O341</f>
        <v/>
      </c>
    </row>
    <row r="342">
      <c r="A342" s="33" t="inlineStr">
        <is>
          <t>个人技术</t>
        </is>
      </c>
      <c r="B342" s="33">
        <f>'个人技术逐级'!A342</f>
        <v/>
      </c>
      <c r="C342" s="33">
        <f>'个人技术逐级'!B342</f>
        <v/>
      </c>
      <c r="D342" s="33">
        <f>'个人技术逐级'!C342</f>
        <v/>
      </c>
      <c r="E342">
        <f>'个人技术逐级'!D342</f>
        <v/>
      </c>
      <c r="F342" s="54">
        <f>'个人技术逐级'!E342</f>
        <v/>
      </c>
      <c r="G342" s="55">
        <f>'个人技术逐级'!F342</f>
        <v/>
      </c>
      <c r="H342" s="56">
        <f>'个人技术逐级'!G342</f>
        <v/>
      </c>
      <c r="I342" s="52" t="inlineStr">
        <is>
          <t>个人技术计时升级</t>
        </is>
      </c>
      <c r="J342" s="57">
        <f>'个人技术逐级'!M342</f>
        <v/>
      </c>
      <c r="K342" s="35">
        <f>J342/3600</f>
        <v/>
      </c>
      <c r="L342" s="35">
        <f>SUMIFS($K$5:$K$692,$A$5:$A$692,A342,$B$5:$B$692,B342,$F$5:$F$692,"&lt;="&amp;F342)</f>
        <v/>
      </c>
      <c r="M342" s="58">
        <f>'个人技术逐级'!N342</f>
        <v/>
      </c>
      <c r="N342" s="58">
        <f>SUMIFS($M$5:$M$692,$A$5:$A$692,A342,$B$5:$B$692,B342,$F$5:$F$692,"&lt;="&amp;F342)</f>
        <v/>
      </c>
      <c r="O342" s="58">
        <f>0</f>
        <v/>
      </c>
      <c r="P342" s="58">
        <f>SUMIFS($O$5:$O$692,$A$5:$A$692,A342,$B$5:$B$692,B342,$F$5:$F$692,"&lt;="&amp;F342)</f>
        <v/>
      </c>
      <c r="Q342" s="58">
        <f>0</f>
        <v/>
      </c>
      <c r="R342" s="58">
        <f>SUMIFS($Q$5:$Q$692,$A$5:$A$692,A342,$B$5:$B$692,B342,$F$5:$F$692,"&lt;="&amp;F342)</f>
        <v/>
      </c>
      <c r="S342" s="58">
        <f>0</f>
        <v/>
      </c>
      <c r="T342" s="58">
        <f>SUMIFS($S$5:$S$692,$A$5:$A$692,A342,$B$5:$B$692,B342,$F$5:$F$692,"&lt;="&amp;F342)</f>
        <v/>
      </c>
      <c r="U342" s="52">
        <f>'个人技术逐级'!O342</f>
        <v/>
      </c>
    </row>
    <row r="343">
      <c r="A343" s="33" t="inlineStr">
        <is>
          <t>个人技术</t>
        </is>
      </c>
      <c r="B343" s="33">
        <f>'个人技术逐级'!A343</f>
        <v/>
      </c>
      <c r="C343" s="33">
        <f>'个人技术逐级'!B343</f>
        <v/>
      </c>
      <c r="D343" s="33">
        <f>'个人技术逐级'!C343</f>
        <v/>
      </c>
      <c r="E343">
        <f>'个人技术逐级'!D343</f>
        <v/>
      </c>
      <c r="F343" s="54">
        <f>'个人技术逐级'!E343</f>
        <v/>
      </c>
      <c r="G343" s="55">
        <f>'个人技术逐级'!F343</f>
        <v/>
      </c>
      <c r="H343" s="56">
        <f>'个人技术逐级'!G343</f>
        <v/>
      </c>
      <c r="I343" s="52" t="inlineStr">
        <is>
          <t>个人技术计时升级</t>
        </is>
      </c>
      <c r="J343" s="57">
        <f>'个人技术逐级'!M343</f>
        <v/>
      </c>
      <c r="K343" s="35">
        <f>J343/3600</f>
        <v/>
      </c>
      <c r="L343" s="35">
        <f>SUMIFS($K$5:$K$692,$A$5:$A$692,A343,$B$5:$B$692,B343,$F$5:$F$692,"&lt;="&amp;F343)</f>
        <v/>
      </c>
      <c r="M343" s="58">
        <f>'个人技术逐级'!N343</f>
        <v/>
      </c>
      <c r="N343" s="58">
        <f>SUMIFS($M$5:$M$692,$A$5:$A$692,A343,$B$5:$B$692,B343,$F$5:$F$692,"&lt;="&amp;F343)</f>
        <v/>
      </c>
      <c r="O343" s="58">
        <f>0</f>
        <v/>
      </c>
      <c r="P343" s="58">
        <f>SUMIFS($O$5:$O$692,$A$5:$A$692,A343,$B$5:$B$692,B343,$F$5:$F$692,"&lt;="&amp;F343)</f>
        <v/>
      </c>
      <c r="Q343" s="58">
        <f>0</f>
        <v/>
      </c>
      <c r="R343" s="58">
        <f>SUMIFS($Q$5:$Q$692,$A$5:$A$692,A343,$B$5:$B$692,B343,$F$5:$F$692,"&lt;="&amp;F343)</f>
        <v/>
      </c>
      <c r="S343" s="58">
        <f>0</f>
        <v/>
      </c>
      <c r="T343" s="58">
        <f>SUMIFS($S$5:$S$692,$A$5:$A$692,A343,$B$5:$B$692,B343,$F$5:$F$692,"&lt;="&amp;F343)</f>
        <v/>
      </c>
      <c r="U343" s="52">
        <f>'个人技术逐级'!O343</f>
        <v/>
      </c>
    </row>
    <row r="344">
      <c r="A344" s="33" t="inlineStr">
        <is>
          <t>个人技术</t>
        </is>
      </c>
      <c r="B344" s="33">
        <f>'个人技术逐级'!A344</f>
        <v/>
      </c>
      <c r="C344" s="33">
        <f>'个人技术逐级'!B344</f>
        <v/>
      </c>
      <c r="D344" s="33">
        <f>'个人技术逐级'!C344</f>
        <v/>
      </c>
      <c r="E344">
        <f>'个人技术逐级'!D344</f>
        <v/>
      </c>
      <c r="F344" s="54">
        <f>'个人技术逐级'!E344</f>
        <v/>
      </c>
      <c r="G344" s="55">
        <f>'个人技术逐级'!F344</f>
        <v/>
      </c>
      <c r="H344" s="56">
        <f>'个人技术逐级'!G344</f>
        <v/>
      </c>
      <c r="I344" s="52" t="inlineStr">
        <is>
          <t>个人技术计时升级</t>
        </is>
      </c>
      <c r="J344" s="57">
        <f>'个人技术逐级'!M344</f>
        <v/>
      </c>
      <c r="K344" s="35">
        <f>J344/3600</f>
        <v/>
      </c>
      <c r="L344" s="35">
        <f>SUMIFS($K$5:$K$692,$A$5:$A$692,A344,$B$5:$B$692,B344,$F$5:$F$692,"&lt;="&amp;F344)</f>
        <v/>
      </c>
      <c r="M344" s="58">
        <f>'个人技术逐级'!N344</f>
        <v/>
      </c>
      <c r="N344" s="58">
        <f>SUMIFS($M$5:$M$692,$A$5:$A$692,A344,$B$5:$B$692,B344,$F$5:$F$692,"&lt;="&amp;F344)</f>
        <v/>
      </c>
      <c r="O344" s="58">
        <f>0</f>
        <v/>
      </c>
      <c r="P344" s="58">
        <f>SUMIFS($O$5:$O$692,$A$5:$A$692,A344,$B$5:$B$692,B344,$F$5:$F$692,"&lt;="&amp;F344)</f>
        <v/>
      </c>
      <c r="Q344" s="58">
        <f>0</f>
        <v/>
      </c>
      <c r="R344" s="58">
        <f>SUMIFS($Q$5:$Q$692,$A$5:$A$692,A344,$B$5:$B$692,B344,$F$5:$F$692,"&lt;="&amp;F344)</f>
        <v/>
      </c>
      <c r="S344" s="58">
        <f>0</f>
        <v/>
      </c>
      <c r="T344" s="58">
        <f>SUMIFS($S$5:$S$692,$A$5:$A$692,A344,$B$5:$B$692,B344,$F$5:$F$692,"&lt;="&amp;F344)</f>
        <v/>
      </c>
      <c r="U344" s="52">
        <f>'个人技术逐级'!O344</f>
        <v/>
      </c>
    </row>
    <row r="345">
      <c r="A345" s="33" t="inlineStr">
        <is>
          <t>个人技术</t>
        </is>
      </c>
      <c r="B345" s="33">
        <f>'个人技术逐级'!A345</f>
        <v/>
      </c>
      <c r="C345" s="33">
        <f>'个人技术逐级'!B345</f>
        <v/>
      </c>
      <c r="D345" s="33">
        <f>'个人技术逐级'!C345</f>
        <v/>
      </c>
      <c r="E345">
        <f>'个人技术逐级'!D345</f>
        <v/>
      </c>
      <c r="F345" s="54">
        <f>'个人技术逐级'!E345</f>
        <v/>
      </c>
      <c r="G345" s="55">
        <f>'个人技术逐级'!F345</f>
        <v/>
      </c>
      <c r="H345" s="56">
        <f>'个人技术逐级'!G345</f>
        <v/>
      </c>
      <c r="I345" s="52" t="inlineStr">
        <is>
          <t>个人技术计时升级</t>
        </is>
      </c>
      <c r="J345" s="57">
        <f>'个人技术逐级'!M345</f>
        <v/>
      </c>
      <c r="K345" s="35">
        <f>J345/3600</f>
        <v/>
      </c>
      <c r="L345" s="35">
        <f>SUMIFS($K$5:$K$692,$A$5:$A$692,A345,$B$5:$B$692,B345,$F$5:$F$692,"&lt;="&amp;F345)</f>
        <v/>
      </c>
      <c r="M345" s="58">
        <f>'个人技术逐级'!N345</f>
        <v/>
      </c>
      <c r="N345" s="58">
        <f>SUMIFS($M$5:$M$692,$A$5:$A$692,A345,$B$5:$B$692,B345,$F$5:$F$692,"&lt;="&amp;F345)</f>
        <v/>
      </c>
      <c r="O345" s="58">
        <f>0</f>
        <v/>
      </c>
      <c r="P345" s="58">
        <f>SUMIFS($O$5:$O$692,$A$5:$A$692,A345,$B$5:$B$692,B345,$F$5:$F$692,"&lt;="&amp;F345)</f>
        <v/>
      </c>
      <c r="Q345" s="58">
        <f>0</f>
        <v/>
      </c>
      <c r="R345" s="58">
        <f>SUMIFS($Q$5:$Q$692,$A$5:$A$692,A345,$B$5:$B$692,B345,$F$5:$F$692,"&lt;="&amp;F345)</f>
        <v/>
      </c>
      <c r="S345" s="58">
        <f>0</f>
        <v/>
      </c>
      <c r="T345" s="58">
        <f>SUMIFS($S$5:$S$692,$A$5:$A$692,A345,$B$5:$B$692,B345,$F$5:$F$692,"&lt;="&amp;F345)</f>
        <v/>
      </c>
      <c r="U345" s="52">
        <f>'个人技术逐级'!O345</f>
        <v/>
      </c>
    </row>
    <row r="346">
      <c r="A346" s="33" t="inlineStr">
        <is>
          <t>个人技术</t>
        </is>
      </c>
      <c r="B346" s="33">
        <f>'个人技术逐级'!A346</f>
        <v/>
      </c>
      <c r="C346" s="33">
        <f>'个人技术逐级'!B346</f>
        <v/>
      </c>
      <c r="D346" s="33">
        <f>'个人技术逐级'!C346</f>
        <v/>
      </c>
      <c r="E346">
        <f>'个人技术逐级'!D346</f>
        <v/>
      </c>
      <c r="F346" s="54">
        <f>'个人技术逐级'!E346</f>
        <v/>
      </c>
      <c r="G346" s="55">
        <f>'个人技术逐级'!F346</f>
        <v/>
      </c>
      <c r="H346" s="56">
        <f>'个人技术逐级'!G346</f>
        <v/>
      </c>
      <c r="I346" s="52" t="inlineStr">
        <is>
          <t>个人技术计时升级</t>
        </is>
      </c>
      <c r="J346" s="57">
        <f>'个人技术逐级'!M346</f>
        <v/>
      </c>
      <c r="K346" s="35">
        <f>J346/3600</f>
        <v/>
      </c>
      <c r="L346" s="35">
        <f>SUMIFS($K$5:$K$692,$A$5:$A$692,A346,$B$5:$B$692,B346,$F$5:$F$692,"&lt;="&amp;F346)</f>
        <v/>
      </c>
      <c r="M346" s="58">
        <f>'个人技术逐级'!N346</f>
        <v/>
      </c>
      <c r="N346" s="58">
        <f>SUMIFS($M$5:$M$692,$A$5:$A$692,A346,$B$5:$B$692,B346,$F$5:$F$692,"&lt;="&amp;F346)</f>
        <v/>
      </c>
      <c r="O346" s="58">
        <f>0</f>
        <v/>
      </c>
      <c r="P346" s="58">
        <f>SUMIFS($O$5:$O$692,$A$5:$A$692,A346,$B$5:$B$692,B346,$F$5:$F$692,"&lt;="&amp;F346)</f>
        <v/>
      </c>
      <c r="Q346" s="58">
        <f>0</f>
        <v/>
      </c>
      <c r="R346" s="58">
        <f>SUMIFS($Q$5:$Q$692,$A$5:$A$692,A346,$B$5:$B$692,B346,$F$5:$F$692,"&lt;="&amp;F346)</f>
        <v/>
      </c>
      <c r="S346" s="58">
        <f>0</f>
        <v/>
      </c>
      <c r="T346" s="58">
        <f>SUMIFS($S$5:$S$692,$A$5:$A$692,A346,$B$5:$B$692,B346,$F$5:$F$692,"&lt;="&amp;F346)</f>
        <v/>
      </c>
      <c r="U346" s="52">
        <f>'个人技术逐级'!O346</f>
        <v/>
      </c>
    </row>
    <row r="347">
      <c r="A347" s="33" t="inlineStr">
        <is>
          <t>个人技术</t>
        </is>
      </c>
      <c r="B347" s="33">
        <f>'个人技术逐级'!A347</f>
        <v/>
      </c>
      <c r="C347" s="33">
        <f>'个人技术逐级'!B347</f>
        <v/>
      </c>
      <c r="D347" s="33">
        <f>'个人技术逐级'!C347</f>
        <v/>
      </c>
      <c r="E347">
        <f>'个人技术逐级'!D347</f>
        <v/>
      </c>
      <c r="F347" s="54">
        <f>'个人技术逐级'!E347</f>
        <v/>
      </c>
      <c r="G347" s="55">
        <f>'个人技术逐级'!F347</f>
        <v/>
      </c>
      <c r="H347" s="56">
        <f>'个人技术逐级'!G347</f>
        <v/>
      </c>
      <c r="I347" s="52" t="inlineStr">
        <is>
          <t>个人技术计时升级</t>
        </is>
      </c>
      <c r="J347" s="57">
        <f>'个人技术逐级'!M347</f>
        <v/>
      </c>
      <c r="K347" s="35">
        <f>J347/3600</f>
        <v/>
      </c>
      <c r="L347" s="35">
        <f>SUMIFS($K$5:$K$692,$A$5:$A$692,A347,$B$5:$B$692,B347,$F$5:$F$692,"&lt;="&amp;F347)</f>
        <v/>
      </c>
      <c r="M347" s="58">
        <f>'个人技术逐级'!N347</f>
        <v/>
      </c>
      <c r="N347" s="58">
        <f>SUMIFS($M$5:$M$692,$A$5:$A$692,A347,$B$5:$B$692,B347,$F$5:$F$692,"&lt;="&amp;F347)</f>
        <v/>
      </c>
      <c r="O347" s="58">
        <f>0</f>
        <v/>
      </c>
      <c r="P347" s="58">
        <f>SUMIFS($O$5:$O$692,$A$5:$A$692,A347,$B$5:$B$692,B347,$F$5:$F$692,"&lt;="&amp;F347)</f>
        <v/>
      </c>
      <c r="Q347" s="58">
        <f>0</f>
        <v/>
      </c>
      <c r="R347" s="58">
        <f>SUMIFS($Q$5:$Q$692,$A$5:$A$692,A347,$B$5:$B$692,B347,$F$5:$F$692,"&lt;="&amp;F347)</f>
        <v/>
      </c>
      <c r="S347" s="58">
        <f>0</f>
        <v/>
      </c>
      <c r="T347" s="58">
        <f>SUMIFS($S$5:$S$692,$A$5:$A$692,A347,$B$5:$B$692,B347,$F$5:$F$692,"&lt;="&amp;F347)</f>
        <v/>
      </c>
      <c r="U347" s="52">
        <f>'个人技术逐级'!O347</f>
        <v/>
      </c>
    </row>
    <row r="348">
      <c r="A348" s="33" t="inlineStr">
        <is>
          <t>个人技术</t>
        </is>
      </c>
      <c r="B348" s="33">
        <f>'个人技术逐级'!A348</f>
        <v/>
      </c>
      <c r="C348" s="33">
        <f>'个人技术逐级'!B348</f>
        <v/>
      </c>
      <c r="D348" s="33">
        <f>'个人技术逐级'!C348</f>
        <v/>
      </c>
      <c r="E348">
        <f>'个人技术逐级'!D348</f>
        <v/>
      </c>
      <c r="F348" s="54">
        <f>'个人技术逐级'!E348</f>
        <v/>
      </c>
      <c r="G348" s="55">
        <f>'个人技术逐级'!F348</f>
        <v/>
      </c>
      <c r="H348" s="56">
        <f>'个人技术逐级'!G348</f>
        <v/>
      </c>
      <c r="I348" s="52" t="inlineStr">
        <is>
          <t>个人技术计时升级</t>
        </is>
      </c>
      <c r="J348" s="57">
        <f>'个人技术逐级'!M348</f>
        <v/>
      </c>
      <c r="K348" s="35">
        <f>J348/3600</f>
        <v/>
      </c>
      <c r="L348" s="35">
        <f>SUMIFS($K$5:$K$692,$A$5:$A$692,A348,$B$5:$B$692,B348,$F$5:$F$692,"&lt;="&amp;F348)</f>
        <v/>
      </c>
      <c r="M348" s="58">
        <f>'个人技术逐级'!N348</f>
        <v/>
      </c>
      <c r="N348" s="58">
        <f>SUMIFS($M$5:$M$692,$A$5:$A$692,A348,$B$5:$B$692,B348,$F$5:$F$692,"&lt;="&amp;F348)</f>
        <v/>
      </c>
      <c r="O348" s="58">
        <f>0</f>
        <v/>
      </c>
      <c r="P348" s="58">
        <f>SUMIFS($O$5:$O$692,$A$5:$A$692,A348,$B$5:$B$692,B348,$F$5:$F$692,"&lt;="&amp;F348)</f>
        <v/>
      </c>
      <c r="Q348" s="58">
        <f>0</f>
        <v/>
      </c>
      <c r="R348" s="58">
        <f>SUMIFS($Q$5:$Q$692,$A$5:$A$692,A348,$B$5:$B$692,B348,$F$5:$F$692,"&lt;="&amp;F348)</f>
        <v/>
      </c>
      <c r="S348" s="58">
        <f>0</f>
        <v/>
      </c>
      <c r="T348" s="58">
        <f>SUMIFS($S$5:$S$692,$A$5:$A$692,A348,$B$5:$B$692,B348,$F$5:$F$692,"&lt;="&amp;F348)</f>
        <v/>
      </c>
      <c r="U348" s="52">
        <f>'个人技术逐级'!O348</f>
        <v/>
      </c>
    </row>
    <row r="349">
      <c r="A349" s="33" t="inlineStr">
        <is>
          <t>个人技术</t>
        </is>
      </c>
      <c r="B349" s="33">
        <f>'个人技术逐级'!A349</f>
        <v/>
      </c>
      <c r="C349" s="33">
        <f>'个人技术逐级'!B349</f>
        <v/>
      </c>
      <c r="D349" s="33">
        <f>'个人技术逐级'!C349</f>
        <v/>
      </c>
      <c r="E349">
        <f>'个人技术逐级'!D349</f>
        <v/>
      </c>
      <c r="F349" s="54">
        <f>'个人技术逐级'!E349</f>
        <v/>
      </c>
      <c r="G349" s="55">
        <f>'个人技术逐级'!F349</f>
        <v/>
      </c>
      <c r="H349" s="56">
        <f>'个人技术逐级'!G349</f>
        <v/>
      </c>
      <c r="I349" s="52" t="inlineStr">
        <is>
          <t>个人技术计时升级</t>
        </is>
      </c>
      <c r="J349" s="57">
        <f>'个人技术逐级'!M349</f>
        <v/>
      </c>
      <c r="K349" s="35">
        <f>J349/3600</f>
        <v/>
      </c>
      <c r="L349" s="35">
        <f>SUMIFS($K$5:$K$692,$A$5:$A$692,A349,$B$5:$B$692,B349,$F$5:$F$692,"&lt;="&amp;F349)</f>
        <v/>
      </c>
      <c r="M349" s="58">
        <f>'个人技术逐级'!N349</f>
        <v/>
      </c>
      <c r="N349" s="58">
        <f>SUMIFS($M$5:$M$692,$A$5:$A$692,A349,$B$5:$B$692,B349,$F$5:$F$692,"&lt;="&amp;F349)</f>
        <v/>
      </c>
      <c r="O349" s="58">
        <f>0</f>
        <v/>
      </c>
      <c r="P349" s="58">
        <f>SUMIFS($O$5:$O$692,$A$5:$A$692,A349,$B$5:$B$692,B349,$F$5:$F$692,"&lt;="&amp;F349)</f>
        <v/>
      </c>
      <c r="Q349" s="58">
        <f>0</f>
        <v/>
      </c>
      <c r="R349" s="58">
        <f>SUMIFS($Q$5:$Q$692,$A$5:$A$692,A349,$B$5:$B$692,B349,$F$5:$F$692,"&lt;="&amp;F349)</f>
        <v/>
      </c>
      <c r="S349" s="58">
        <f>0</f>
        <v/>
      </c>
      <c r="T349" s="58">
        <f>SUMIFS($S$5:$S$692,$A$5:$A$692,A349,$B$5:$B$692,B349,$F$5:$F$692,"&lt;="&amp;F349)</f>
        <v/>
      </c>
      <c r="U349" s="52">
        <f>'个人技术逐级'!O349</f>
        <v/>
      </c>
    </row>
    <row r="350">
      <c r="A350" s="33" t="inlineStr">
        <is>
          <t>个人技术</t>
        </is>
      </c>
      <c r="B350" s="33">
        <f>'个人技术逐级'!A350</f>
        <v/>
      </c>
      <c r="C350" s="33">
        <f>'个人技术逐级'!B350</f>
        <v/>
      </c>
      <c r="D350" s="33">
        <f>'个人技术逐级'!C350</f>
        <v/>
      </c>
      <c r="E350">
        <f>'个人技术逐级'!D350</f>
        <v/>
      </c>
      <c r="F350" s="54">
        <f>'个人技术逐级'!E350</f>
        <v/>
      </c>
      <c r="G350" s="55">
        <f>'个人技术逐级'!F350</f>
        <v/>
      </c>
      <c r="H350" s="56">
        <f>'个人技术逐级'!G350</f>
        <v/>
      </c>
      <c r="I350" s="52" t="inlineStr">
        <is>
          <t>个人技术计时升级</t>
        </is>
      </c>
      <c r="J350" s="57">
        <f>'个人技术逐级'!M350</f>
        <v/>
      </c>
      <c r="K350" s="35">
        <f>J350/3600</f>
        <v/>
      </c>
      <c r="L350" s="35">
        <f>SUMIFS($K$5:$K$692,$A$5:$A$692,A350,$B$5:$B$692,B350,$F$5:$F$692,"&lt;="&amp;F350)</f>
        <v/>
      </c>
      <c r="M350" s="58">
        <f>'个人技术逐级'!N350</f>
        <v/>
      </c>
      <c r="N350" s="58">
        <f>SUMIFS($M$5:$M$692,$A$5:$A$692,A350,$B$5:$B$692,B350,$F$5:$F$692,"&lt;="&amp;F350)</f>
        <v/>
      </c>
      <c r="O350" s="58">
        <f>0</f>
        <v/>
      </c>
      <c r="P350" s="58">
        <f>SUMIFS($O$5:$O$692,$A$5:$A$692,A350,$B$5:$B$692,B350,$F$5:$F$692,"&lt;="&amp;F350)</f>
        <v/>
      </c>
      <c r="Q350" s="58">
        <f>0</f>
        <v/>
      </c>
      <c r="R350" s="58">
        <f>SUMIFS($Q$5:$Q$692,$A$5:$A$692,A350,$B$5:$B$692,B350,$F$5:$F$692,"&lt;="&amp;F350)</f>
        <v/>
      </c>
      <c r="S350" s="58">
        <f>0</f>
        <v/>
      </c>
      <c r="T350" s="58">
        <f>SUMIFS($S$5:$S$692,$A$5:$A$692,A350,$B$5:$B$692,B350,$F$5:$F$692,"&lt;="&amp;F350)</f>
        <v/>
      </c>
      <c r="U350" s="52">
        <f>'个人技术逐级'!O350</f>
        <v/>
      </c>
    </row>
    <row r="351">
      <c r="A351" s="33" t="inlineStr">
        <is>
          <t>个人技术</t>
        </is>
      </c>
      <c r="B351" s="33">
        <f>'个人技术逐级'!A351</f>
        <v/>
      </c>
      <c r="C351" s="33">
        <f>'个人技术逐级'!B351</f>
        <v/>
      </c>
      <c r="D351" s="33">
        <f>'个人技术逐级'!C351</f>
        <v/>
      </c>
      <c r="E351">
        <f>'个人技术逐级'!D351</f>
        <v/>
      </c>
      <c r="F351" s="54">
        <f>'个人技术逐级'!E351</f>
        <v/>
      </c>
      <c r="G351" s="55">
        <f>'个人技术逐级'!F351</f>
        <v/>
      </c>
      <c r="H351" s="56">
        <f>'个人技术逐级'!G351</f>
        <v/>
      </c>
      <c r="I351" s="52" t="inlineStr">
        <is>
          <t>个人技术计时升级</t>
        </is>
      </c>
      <c r="J351" s="57">
        <f>'个人技术逐级'!M351</f>
        <v/>
      </c>
      <c r="K351" s="35">
        <f>J351/3600</f>
        <v/>
      </c>
      <c r="L351" s="35">
        <f>SUMIFS($K$5:$K$692,$A$5:$A$692,A351,$B$5:$B$692,B351,$F$5:$F$692,"&lt;="&amp;F351)</f>
        <v/>
      </c>
      <c r="M351" s="58">
        <f>'个人技术逐级'!N351</f>
        <v/>
      </c>
      <c r="N351" s="58">
        <f>SUMIFS($M$5:$M$692,$A$5:$A$692,A351,$B$5:$B$692,B351,$F$5:$F$692,"&lt;="&amp;F351)</f>
        <v/>
      </c>
      <c r="O351" s="58">
        <f>0</f>
        <v/>
      </c>
      <c r="P351" s="58">
        <f>SUMIFS($O$5:$O$692,$A$5:$A$692,A351,$B$5:$B$692,B351,$F$5:$F$692,"&lt;="&amp;F351)</f>
        <v/>
      </c>
      <c r="Q351" s="58">
        <f>0</f>
        <v/>
      </c>
      <c r="R351" s="58">
        <f>SUMIFS($Q$5:$Q$692,$A$5:$A$692,A351,$B$5:$B$692,B351,$F$5:$F$692,"&lt;="&amp;F351)</f>
        <v/>
      </c>
      <c r="S351" s="58">
        <f>0</f>
        <v/>
      </c>
      <c r="T351" s="58">
        <f>SUMIFS($S$5:$S$692,$A$5:$A$692,A351,$B$5:$B$692,B351,$F$5:$F$692,"&lt;="&amp;F351)</f>
        <v/>
      </c>
      <c r="U351" s="52">
        <f>'个人技术逐级'!O351</f>
        <v/>
      </c>
    </row>
    <row r="352">
      <c r="A352" s="33" t="inlineStr">
        <is>
          <t>个人技术</t>
        </is>
      </c>
      <c r="B352" s="33">
        <f>'个人技术逐级'!A352</f>
        <v/>
      </c>
      <c r="C352" s="33">
        <f>'个人技术逐级'!B352</f>
        <v/>
      </c>
      <c r="D352" s="33">
        <f>'个人技术逐级'!C352</f>
        <v/>
      </c>
      <c r="E352">
        <f>'个人技术逐级'!D352</f>
        <v/>
      </c>
      <c r="F352" s="54">
        <f>'个人技术逐级'!E352</f>
        <v/>
      </c>
      <c r="G352" s="55">
        <f>'个人技术逐级'!F352</f>
        <v/>
      </c>
      <c r="H352" s="56">
        <f>'个人技术逐级'!G352</f>
        <v/>
      </c>
      <c r="I352" s="52" t="inlineStr">
        <is>
          <t>个人技术计时升级</t>
        </is>
      </c>
      <c r="J352" s="57">
        <f>'个人技术逐级'!M352</f>
        <v/>
      </c>
      <c r="K352" s="35">
        <f>J352/3600</f>
        <v/>
      </c>
      <c r="L352" s="35">
        <f>SUMIFS($K$5:$K$692,$A$5:$A$692,A352,$B$5:$B$692,B352,$F$5:$F$692,"&lt;="&amp;F352)</f>
        <v/>
      </c>
      <c r="M352" s="58">
        <f>'个人技术逐级'!N352</f>
        <v/>
      </c>
      <c r="N352" s="58">
        <f>SUMIFS($M$5:$M$692,$A$5:$A$692,A352,$B$5:$B$692,B352,$F$5:$F$692,"&lt;="&amp;F352)</f>
        <v/>
      </c>
      <c r="O352" s="58">
        <f>0</f>
        <v/>
      </c>
      <c r="P352" s="58">
        <f>SUMIFS($O$5:$O$692,$A$5:$A$692,A352,$B$5:$B$692,B352,$F$5:$F$692,"&lt;="&amp;F352)</f>
        <v/>
      </c>
      <c r="Q352" s="58">
        <f>0</f>
        <v/>
      </c>
      <c r="R352" s="58">
        <f>SUMIFS($Q$5:$Q$692,$A$5:$A$692,A352,$B$5:$B$692,B352,$F$5:$F$692,"&lt;="&amp;F352)</f>
        <v/>
      </c>
      <c r="S352" s="58">
        <f>0</f>
        <v/>
      </c>
      <c r="T352" s="58">
        <f>SUMIFS($S$5:$S$692,$A$5:$A$692,A352,$B$5:$B$692,B352,$F$5:$F$692,"&lt;="&amp;F352)</f>
        <v/>
      </c>
      <c r="U352" s="52">
        <f>'个人技术逐级'!O352</f>
        <v/>
      </c>
    </row>
    <row r="353">
      <c r="A353" s="33" t="inlineStr">
        <is>
          <t>个人技术</t>
        </is>
      </c>
      <c r="B353" s="33">
        <f>'个人技术逐级'!A353</f>
        <v/>
      </c>
      <c r="C353" s="33">
        <f>'个人技术逐级'!B353</f>
        <v/>
      </c>
      <c r="D353" s="33">
        <f>'个人技术逐级'!C353</f>
        <v/>
      </c>
      <c r="E353">
        <f>'个人技术逐级'!D353</f>
        <v/>
      </c>
      <c r="F353" s="54">
        <f>'个人技术逐级'!E353</f>
        <v/>
      </c>
      <c r="G353" s="55">
        <f>'个人技术逐级'!F353</f>
        <v/>
      </c>
      <c r="H353" s="56">
        <f>'个人技术逐级'!G353</f>
        <v/>
      </c>
      <c r="I353" s="52" t="inlineStr">
        <is>
          <t>个人技术计时升级</t>
        </is>
      </c>
      <c r="J353" s="57">
        <f>'个人技术逐级'!M353</f>
        <v/>
      </c>
      <c r="K353" s="35">
        <f>J353/3600</f>
        <v/>
      </c>
      <c r="L353" s="35">
        <f>SUMIFS($K$5:$K$692,$A$5:$A$692,A353,$B$5:$B$692,B353,$F$5:$F$692,"&lt;="&amp;F353)</f>
        <v/>
      </c>
      <c r="M353" s="58">
        <f>'个人技术逐级'!N353</f>
        <v/>
      </c>
      <c r="N353" s="58">
        <f>SUMIFS($M$5:$M$692,$A$5:$A$692,A353,$B$5:$B$692,B353,$F$5:$F$692,"&lt;="&amp;F353)</f>
        <v/>
      </c>
      <c r="O353" s="58">
        <f>0</f>
        <v/>
      </c>
      <c r="P353" s="58">
        <f>SUMIFS($O$5:$O$692,$A$5:$A$692,A353,$B$5:$B$692,B353,$F$5:$F$692,"&lt;="&amp;F353)</f>
        <v/>
      </c>
      <c r="Q353" s="58">
        <f>0</f>
        <v/>
      </c>
      <c r="R353" s="58">
        <f>SUMIFS($Q$5:$Q$692,$A$5:$A$692,A353,$B$5:$B$692,B353,$F$5:$F$692,"&lt;="&amp;F353)</f>
        <v/>
      </c>
      <c r="S353" s="58">
        <f>0</f>
        <v/>
      </c>
      <c r="T353" s="58">
        <f>SUMIFS($S$5:$S$692,$A$5:$A$692,A353,$B$5:$B$692,B353,$F$5:$F$692,"&lt;="&amp;F353)</f>
        <v/>
      </c>
      <c r="U353" s="52">
        <f>'个人技术逐级'!O353</f>
        <v/>
      </c>
    </row>
    <row r="354">
      <c r="A354" s="33" t="inlineStr">
        <is>
          <t>个人技术</t>
        </is>
      </c>
      <c r="B354" s="33">
        <f>'个人技术逐级'!A354</f>
        <v/>
      </c>
      <c r="C354" s="33">
        <f>'个人技术逐级'!B354</f>
        <v/>
      </c>
      <c r="D354" s="33">
        <f>'个人技术逐级'!C354</f>
        <v/>
      </c>
      <c r="E354">
        <f>'个人技术逐级'!D354</f>
        <v/>
      </c>
      <c r="F354" s="54">
        <f>'个人技术逐级'!E354</f>
        <v/>
      </c>
      <c r="G354" s="55">
        <f>'个人技术逐级'!F354</f>
        <v/>
      </c>
      <c r="H354" s="56">
        <f>'个人技术逐级'!G354</f>
        <v/>
      </c>
      <c r="I354" s="52" t="inlineStr">
        <is>
          <t>个人技术计时升级</t>
        </is>
      </c>
      <c r="J354" s="57">
        <f>'个人技术逐级'!M354</f>
        <v/>
      </c>
      <c r="K354" s="35">
        <f>J354/3600</f>
        <v/>
      </c>
      <c r="L354" s="35">
        <f>SUMIFS($K$5:$K$692,$A$5:$A$692,A354,$B$5:$B$692,B354,$F$5:$F$692,"&lt;="&amp;F354)</f>
        <v/>
      </c>
      <c r="M354" s="58">
        <f>'个人技术逐级'!N354</f>
        <v/>
      </c>
      <c r="N354" s="58">
        <f>SUMIFS($M$5:$M$692,$A$5:$A$692,A354,$B$5:$B$692,B354,$F$5:$F$692,"&lt;="&amp;F354)</f>
        <v/>
      </c>
      <c r="O354" s="58">
        <f>0</f>
        <v/>
      </c>
      <c r="P354" s="58">
        <f>SUMIFS($O$5:$O$692,$A$5:$A$692,A354,$B$5:$B$692,B354,$F$5:$F$692,"&lt;="&amp;F354)</f>
        <v/>
      </c>
      <c r="Q354" s="58">
        <f>0</f>
        <v/>
      </c>
      <c r="R354" s="58">
        <f>SUMIFS($Q$5:$Q$692,$A$5:$A$692,A354,$B$5:$B$692,B354,$F$5:$F$692,"&lt;="&amp;F354)</f>
        <v/>
      </c>
      <c r="S354" s="58">
        <f>0</f>
        <v/>
      </c>
      <c r="T354" s="58">
        <f>SUMIFS($S$5:$S$692,$A$5:$A$692,A354,$B$5:$B$692,B354,$F$5:$F$692,"&lt;="&amp;F354)</f>
        <v/>
      </c>
      <c r="U354" s="52">
        <f>'个人技术逐级'!O354</f>
        <v/>
      </c>
    </row>
    <row r="355">
      <c r="A355" s="33" t="inlineStr">
        <is>
          <t>个人技术</t>
        </is>
      </c>
      <c r="B355" s="33">
        <f>'个人技术逐级'!A355</f>
        <v/>
      </c>
      <c r="C355" s="33">
        <f>'个人技术逐级'!B355</f>
        <v/>
      </c>
      <c r="D355" s="33">
        <f>'个人技术逐级'!C355</f>
        <v/>
      </c>
      <c r="E355">
        <f>'个人技术逐级'!D355</f>
        <v/>
      </c>
      <c r="F355" s="54">
        <f>'个人技术逐级'!E355</f>
        <v/>
      </c>
      <c r="G355" s="55">
        <f>'个人技术逐级'!F355</f>
        <v/>
      </c>
      <c r="H355" s="56">
        <f>'个人技术逐级'!G355</f>
        <v/>
      </c>
      <c r="I355" s="52" t="inlineStr">
        <is>
          <t>个人技术计时升级</t>
        </is>
      </c>
      <c r="J355" s="57">
        <f>'个人技术逐级'!M355</f>
        <v/>
      </c>
      <c r="K355" s="35">
        <f>J355/3600</f>
        <v/>
      </c>
      <c r="L355" s="35">
        <f>SUMIFS($K$5:$K$692,$A$5:$A$692,A355,$B$5:$B$692,B355,$F$5:$F$692,"&lt;="&amp;F355)</f>
        <v/>
      </c>
      <c r="M355" s="58">
        <f>'个人技术逐级'!N355</f>
        <v/>
      </c>
      <c r="N355" s="58">
        <f>SUMIFS($M$5:$M$692,$A$5:$A$692,A355,$B$5:$B$692,B355,$F$5:$F$692,"&lt;="&amp;F355)</f>
        <v/>
      </c>
      <c r="O355" s="58">
        <f>0</f>
        <v/>
      </c>
      <c r="P355" s="58">
        <f>SUMIFS($O$5:$O$692,$A$5:$A$692,A355,$B$5:$B$692,B355,$F$5:$F$692,"&lt;="&amp;F355)</f>
        <v/>
      </c>
      <c r="Q355" s="58">
        <f>0</f>
        <v/>
      </c>
      <c r="R355" s="58">
        <f>SUMIFS($Q$5:$Q$692,$A$5:$A$692,A355,$B$5:$B$692,B355,$F$5:$F$692,"&lt;="&amp;F355)</f>
        <v/>
      </c>
      <c r="S355" s="58">
        <f>0</f>
        <v/>
      </c>
      <c r="T355" s="58">
        <f>SUMIFS($S$5:$S$692,$A$5:$A$692,A355,$B$5:$B$692,B355,$F$5:$F$692,"&lt;="&amp;F355)</f>
        <v/>
      </c>
      <c r="U355" s="52">
        <f>'个人技术逐级'!O355</f>
        <v/>
      </c>
    </row>
    <row r="356">
      <c r="A356" s="33" t="inlineStr">
        <is>
          <t>个人技术</t>
        </is>
      </c>
      <c r="B356" s="33">
        <f>'个人技术逐级'!A356</f>
        <v/>
      </c>
      <c r="C356" s="33">
        <f>'个人技术逐级'!B356</f>
        <v/>
      </c>
      <c r="D356" s="33">
        <f>'个人技术逐级'!C356</f>
        <v/>
      </c>
      <c r="E356">
        <f>'个人技术逐级'!D356</f>
        <v/>
      </c>
      <c r="F356" s="54">
        <f>'个人技术逐级'!E356</f>
        <v/>
      </c>
      <c r="G356" s="55">
        <f>'个人技术逐级'!F356</f>
        <v/>
      </c>
      <c r="H356" s="56">
        <f>'个人技术逐级'!G356</f>
        <v/>
      </c>
      <c r="I356" s="52" t="inlineStr">
        <is>
          <t>个人技术计时升级</t>
        </is>
      </c>
      <c r="J356" s="57">
        <f>'个人技术逐级'!M356</f>
        <v/>
      </c>
      <c r="K356" s="35">
        <f>J356/3600</f>
        <v/>
      </c>
      <c r="L356" s="35">
        <f>SUMIFS($K$5:$K$692,$A$5:$A$692,A356,$B$5:$B$692,B356,$F$5:$F$692,"&lt;="&amp;F356)</f>
        <v/>
      </c>
      <c r="M356" s="58">
        <f>'个人技术逐级'!N356</f>
        <v/>
      </c>
      <c r="N356" s="58">
        <f>SUMIFS($M$5:$M$692,$A$5:$A$692,A356,$B$5:$B$692,B356,$F$5:$F$692,"&lt;="&amp;F356)</f>
        <v/>
      </c>
      <c r="O356" s="58">
        <f>0</f>
        <v/>
      </c>
      <c r="P356" s="58">
        <f>SUMIFS($O$5:$O$692,$A$5:$A$692,A356,$B$5:$B$692,B356,$F$5:$F$692,"&lt;="&amp;F356)</f>
        <v/>
      </c>
      <c r="Q356" s="58">
        <f>0</f>
        <v/>
      </c>
      <c r="R356" s="58">
        <f>SUMIFS($Q$5:$Q$692,$A$5:$A$692,A356,$B$5:$B$692,B356,$F$5:$F$692,"&lt;="&amp;F356)</f>
        <v/>
      </c>
      <c r="S356" s="58">
        <f>0</f>
        <v/>
      </c>
      <c r="T356" s="58">
        <f>SUMIFS($S$5:$S$692,$A$5:$A$692,A356,$B$5:$B$692,B356,$F$5:$F$692,"&lt;="&amp;F356)</f>
        <v/>
      </c>
      <c r="U356" s="52">
        <f>'个人技术逐级'!O356</f>
        <v/>
      </c>
    </row>
    <row r="357">
      <c r="A357" s="33" t="inlineStr">
        <is>
          <t>个人技术</t>
        </is>
      </c>
      <c r="B357" s="33">
        <f>'个人技术逐级'!A357</f>
        <v/>
      </c>
      <c r="C357" s="33">
        <f>'个人技术逐级'!B357</f>
        <v/>
      </c>
      <c r="D357" s="33">
        <f>'个人技术逐级'!C357</f>
        <v/>
      </c>
      <c r="E357">
        <f>'个人技术逐级'!D357</f>
        <v/>
      </c>
      <c r="F357" s="54">
        <f>'个人技术逐级'!E357</f>
        <v/>
      </c>
      <c r="G357" s="55">
        <f>'个人技术逐级'!F357</f>
        <v/>
      </c>
      <c r="H357" s="56">
        <f>'个人技术逐级'!G357</f>
        <v/>
      </c>
      <c r="I357" s="52" t="inlineStr">
        <is>
          <t>个人技术计时升级</t>
        </is>
      </c>
      <c r="J357" s="57">
        <f>'个人技术逐级'!M357</f>
        <v/>
      </c>
      <c r="K357" s="35">
        <f>J357/3600</f>
        <v/>
      </c>
      <c r="L357" s="35">
        <f>SUMIFS($K$5:$K$692,$A$5:$A$692,A357,$B$5:$B$692,B357,$F$5:$F$692,"&lt;="&amp;F357)</f>
        <v/>
      </c>
      <c r="M357" s="58">
        <f>'个人技术逐级'!N357</f>
        <v/>
      </c>
      <c r="N357" s="58">
        <f>SUMIFS($M$5:$M$692,$A$5:$A$692,A357,$B$5:$B$692,B357,$F$5:$F$692,"&lt;="&amp;F357)</f>
        <v/>
      </c>
      <c r="O357" s="58">
        <f>0</f>
        <v/>
      </c>
      <c r="P357" s="58">
        <f>SUMIFS($O$5:$O$692,$A$5:$A$692,A357,$B$5:$B$692,B357,$F$5:$F$692,"&lt;="&amp;F357)</f>
        <v/>
      </c>
      <c r="Q357" s="58">
        <f>0</f>
        <v/>
      </c>
      <c r="R357" s="58">
        <f>SUMIFS($Q$5:$Q$692,$A$5:$A$692,A357,$B$5:$B$692,B357,$F$5:$F$692,"&lt;="&amp;F357)</f>
        <v/>
      </c>
      <c r="S357" s="58">
        <f>0</f>
        <v/>
      </c>
      <c r="T357" s="58">
        <f>SUMIFS($S$5:$S$692,$A$5:$A$692,A357,$B$5:$B$692,B357,$F$5:$F$692,"&lt;="&amp;F357)</f>
        <v/>
      </c>
      <c r="U357" s="52">
        <f>'个人技术逐级'!O357</f>
        <v/>
      </c>
    </row>
    <row r="358">
      <c r="A358" s="33" t="inlineStr">
        <is>
          <t>个人技术</t>
        </is>
      </c>
      <c r="B358" s="33">
        <f>'个人技术逐级'!A358</f>
        <v/>
      </c>
      <c r="C358" s="33">
        <f>'个人技术逐级'!B358</f>
        <v/>
      </c>
      <c r="D358" s="33">
        <f>'个人技术逐级'!C358</f>
        <v/>
      </c>
      <c r="E358">
        <f>'个人技术逐级'!D358</f>
        <v/>
      </c>
      <c r="F358" s="54">
        <f>'个人技术逐级'!E358</f>
        <v/>
      </c>
      <c r="G358" s="55">
        <f>'个人技术逐级'!F358</f>
        <v/>
      </c>
      <c r="H358" s="56">
        <f>'个人技术逐级'!G358</f>
        <v/>
      </c>
      <c r="I358" s="52" t="inlineStr">
        <is>
          <t>个人技术计时升级</t>
        </is>
      </c>
      <c r="J358" s="57">
        <f>'个人技术逐级'!M358</f>
        <v/>
      </c>
      <c r="K358" s="35">
        <f>J358/3600</f>
        <v/>
      </c>
      <c r="L358" s="35">
        <f>SUMIFS($K$5:$K$692,$A$5:$A$692,A358,$B$5:$B$692,B358,$F$5:$F$692,"&lt;="&amp;F358)</f>
        <v/>
      </c>
      <c r="M358" s="58">
        <f>'个人技术逐级'!N358</f>
        <v/>
      </c>
      <c r="N358" s="58">
        <f>SUMIFS($M$5:$M$692,$A$5:$A$692,A358,$B$5:$B$692,B358,$F$5:$F$692,"&lt;="&amp;F358)</f>
        <v/>
      </c>
      <c r="O358" s="58">
        <f>0</f>
        <v/>
      </c>
      <c r="P358" s="58">
        <f>SUMIFS($O$5:$O$692,$A$5:$A$692,A358,$B$5:$B$692,B358,$F$5:$F$692,"&lt;="&amp;F358)</f>
        <v/>
      </c>
      <c r="Q358" s="58">
        <f>0</f>
        <v/>
      </c>
      <c r="R358" s="58">
        <f>SUMIFS($Q$5:$Q$692,$A$5:$A$692,A358,$B$5:$B$692,B358,$F$5:$F$692,"&lt;="&amp;F358)</f>
        <v/>
      </c>
      <c r="S358" s="58">
        <f>0</f>
        <v/>
      </c>
      <c r="T358" s="58">
        <f>SUMIFS($S$5:$S$692,$A$5:$A$692,A358,$B$5:$B$692,B358,$F$5:$F$692,"&lt;="&amp;F358)</f>
        <v/>
      </c>
      <c r="U358" s="52">
        <f>'个人技术逐级'!O358</f>
        <v/>
      </c>
    </row>
    <row r="359">
      <c r="A359" s="33" t="inlineStr">
        <is>
          <t>个人技术</t>
        </is>
      </c>
      <c r="B359" s="33">
        <f>'个人技术逐级'!A359</f>
        <v/>
      </c>
      <c r="C359" s="33">
        <f>'个人技术逐级'!B359</f>
        <v/>
      </c>
      <c r="D359" s="33">
        <f>'个人技术逐级'!C359</f>
        <v/>
      </c>
      <c r="E359">
        <f>'个人技术逐级'!D359</f>
        <v/>
      </c>
      <c r="F359" s="54">
        <f>'个人技术逐级'!E359</f>
        <v/>
      </c>
      <c r="G359" s="55">
        <f>'个人技术逐级'!F359</f>
        <v/>
      </c>
      <c r="H359" s="56">
        <f>'个人技术逐级'!G359</f>
        <v/>
      </c>
      <c r="I359" s="52" t="inlineStr">
        <is>
          <t>个人技术计时升级</t>
        </is>
      </c>
      <c r="J359" s="57">
        <f>'个人技术逐级'!M359</f>
        <v/>
      </c>
      <c r="K359" s="35">
        <f>J359/3600</f>
        <v/>
      </c>
      <c r="L359" s="35">
        <f>SUMIFS($K$5:$K$692,$A$5:$A$692,A359,$B$5:$B$692,B359,$F$5:$F$692,"&lt;="&amp;F359)</f>
        <v/>
      </c>
      <c r="M359" s="58">
        <f>'个人技术逐级'!N359</f>
        <v/>
      </c>
      <c r="N359" s="58">
        <f>SUMIFS($M$5:$M$692,$A$5:$A$692,A359,$B$5:$B$692,B359,$F$5:$F$692,"&lt;="&amp;F359)</f>
        <v/>
      </c>
      <c r="O359" s="58">
        <f>0</f>
        <v/>
      </c>
      <c r="P359" s="58">
        <f>SUMIFS($O$5:$O$692,$A$5:$A$692,A359,$B$5:$B$692,B359,$F$5:$F$692,"&lt;="&amp;F359)</f>
        <v/>
      </c>
      <c r="Q359" s="58">
        <f>0</f>
        <v/>
      </c>
      <c r="R359" s="58">
        <f>SUMIFS($Q$5:$Q$692,$A$5:$A$692,A359,$B$5:$B$692,B359,$F$5:$F$692,"&lt;="&amp;F359)</f>
        <v/>
      </c>
      <c r="S359" s="58">
        <f>0</f>
        <v/>
      </c>
      <c r="T359" s="58">
        <f>SUMIFS($S$5:$S$692,$A$5:$A$692,A359,$B$5:$B$692,B359,$F$5:$F$692,"&lt;="&amp;F359)</f>
        <v/>
      </c>
      <c r="U359" s="52">
        <f>'个人技术逐级'!O359</f>
        <v/>
      </c>
    </row>
    <row r="360">
      <c r="A360" s="33" t="inlineStr">
        <is>
          <t>个人技术</t>
        </is>
      </c>
      <c r="B360" s="33">
        <f>'个人技术逐级'!A360</f>
        <v/>
      </c>
      <c r="C360" s="33">
        <f>'个人技术逐级'!B360</f>
        <v/>
      </c>
      <c r="D360" s="33">
        <f>'个人技术逐级'!C360</f>
        <v/>
      </c>
      <c r="E360">
        <f>'个人技术逐级'!D360</f>
        <v/>
      </c>
      <c r="F360" s="54">
        <f>'个人技术逐级'!E360</f>
        <v/>
      </c>
      <c r="G360" s="55">
        <f>'个人技术逐级'!F360</f>
        <v/>
      </c>
      <c r="H360" s="56">
        <f>'个人技术逐级'!G360</f>
        <v/>
      </c>
      <c r="I360" s="52" t="inlineStr">
        <is>
          <t>个人技术计时升级</t>
        </is>
      </c>
      <c r="J360" s="57">
        <f>'个人技术逐级'!M360</f>
        <v/>
      </c>
      <c r="K360" s="35">
        <f>J360/3600</f>
        <v/>
      </c>
      <c r="L360" s="35">
        <f>SUMIFS($K$5:$K$692,$A$5:$A$692,A360,$B$5:$B$692,B360,$F$5:$F$692,"&lt;="&amp;F360)</f>
        <v/>
      </c>
      <c r="M360" s="58">
        <f>'个人技术逐级'!N360</f>
        <v/>
      </c>
      <c r="N360" s="58">
        <f>SUMIFS($M$5:$M$692,$A$5:$A$692,A360,$B$5:$B$692,B360,$F$5:$F$692,"&lt;="&amp;F360)</f>
        <v/>
      </c>
      <c r="O360" s="58">
        <f>0</f>
        <v/>
      </c>
      <c r="P360" s="58">
        <f>SUMIFS($O$5:$O$692,$A$5:$A$692,A360,$B$5:$B$692,B360,$F$5:$F$692,"&lt;="&amp;F360)</f>
        <v/>
      </c>
      <c r="Q360" s="58">
        <f>0</f>
        <v/>
      </c>
      <c r="R360" s="58">
        <f>SUMIFS($Q$5:$Q$692,$A$5:$A$692,A360,$B$5:$B$692,B360,$F$5:$F$692,"&lt;="&amp;F360)</f>
        <v/>
      </c>
      <c r="S360" s="58">
        <f>0</f>
        <v/>
      </c>
      <c r="T360" s="58">
        <f>SUMIFS($S$5:$S$692,$A$5:$A$692,A360,$B$5:$B$692,B360,$F$5:$F$692,"&lt;="&amp;F360)</f>
        <v/>
      </c>
      <c r="U360" s="52">
        <f>'个人技术逐级'!O360</f>
        <v/>
      </c>
    </row>
    <row r="361">
      <c r="A361" s="33" t="inlineStr">
        <is>
          <t>个人技术</t>
        </is>
      </c>
      <c r="B361" s="33">
        <f>'个人技术逐级'!A361</f>
        <v/>
      </c>
      <c r="C361" s="33">
        <f>'个人技术逐级'!B361</f>
        <v/>
      </c>
      <c r="D361" s="33">
        <f>'个人技术逐级'!C361</f>
        <v/>
      </c>
      <c r="E361">
        <f>'个人技术逐级'!D361</f>
        <v/>
      </c>
      <c r="F361" s="54">
        <f>'个人技术逐级'!E361</f>
        <v/>
      </c>
      <c r="G361" s="55">
        <f>'个人技术逐级'!F361</f>
        <v/>
      </c>
      <c r="H361" s="56">
        <f>'个人技术逐级'!G361</f>
        <v/>
      </c>
      <c r="I361" s="52" t="inlineStr">
        <is>
          <t>个人技术计时升级</t>
        </is>
      </c>
      <c r="J361" s="57">
        <f>'个人技术逐级'!M361</f>
        <v/>
      </c>
      <c r="K361" s="35">
        <f>J361/3600</f>
        <v/>
      </c>
      <c r="L361" s="35">
        <f>SUMIFS($K$5:$K$692,$A$5:$A$692,A361,$B$5:$B$692,B361,$F$5:$F$692,"&lt;="&amp;F361)</f>
        <v/>
      </c>
      <c r="M361" s="58">
        <f>'个人技术逐级'!N361</f>
        <v/>
      </c>
      <c r="N361" s="58">
        <f>SUMIFS($M$5:$M$692,$A$5:$A$692,A361,$B$5:$B$692,B361,$F$5:$F$692,"&lt;="&amp;F361)</f>
        <v/>
      </c>
      <c r="O361" s="58">
        <f>0</f>
        <v/>
      </c>
      <c r="P361" s="58">
        <f>SUMIFS($O$5:$O$692,$A$5:$A$692,A361,$B$5:$B$692,B361,$F$5:$F$692,"&lt;="&amp;F361)</f>
        <v/>
      </c>
      <c r="Q361" s="58">
        <f>0</f>
        <v/>
      </c>
      <c r="R361" s="58">
        <f>SUMIFS($Q$5:$Q$692,$A$5:$A$692,A361,$B$5:$B$692,B361,$F$5:$F$692,"&lt;="&amp;F361)</f>
        <v/>
      </c>
      <c r="S361" s="58">
        <f>0</f>
        <v/>
      </c>
      <c r="T361" s="58">
        <f>SUMIFS($S$5:$S$692,$A$5:$A$692,A361,$B$5:$B$692,B361,$F$5:$F$692,"&lt;="&amp;F361)</f>
        <v/>
      </c>
      <c r="U361" s="52">
        <f>'个人技术逐级'!O361</f>
        <v/>
      </c>
    </row>
    <row r="362">
      <c r="A362" s="33" t="inlineStr">
        <is>
          <t>个人技术</t>
        </is>
      </c>
      <c r="B362" s="33">
        <f>'个人技术逐级'!A362</f>
        <v/>
      </c>
      <c r="C362" s="33">
        <f>'个人技术逐级'!B362</f>
        <v/>
      </c>
      <c r="D362" s="33">
        <f>'个人技术逐级'!C362</f>
        <v/>
      </c>
      <c r="E362">
        <f>'个人技术逐级'!D362</f>
        <v/>
      </c>
      <c r="F362" s="54">
        <f>'个人技术逐级'!E362</f>
        <v/>
      </c>
      <c r="G362" s="55">
        <f>'个人技术逐级'!F362</f>
        <v/>
      </c>
      <c r="H362" s="56">
        <f>'个人技术逐级'!G362</f>
        <v/>
      </c>
      <c r="I362" s="52" t="inlineStr">
        <is>
          <t>个人技术计时升级</t>
        </is>
      </c>
      <c r="J362" s="57">
        <f>'个人技术逐级'!M362</f>
        <v/>
      </c>
      <c r="K362" s="35">
        <f>J362/3600</f>
        <v/>
      </c>
      <c r="L362" s="35">
        <f>SUMIFS($K$5:$K$692,$A$5:$A$692,A362,$B$5:$B$692,B362,$F$5:$F$692,"&lt;="&amp;F362)</f>
        <v/>
      </c>
      <c r="M362" s="58">
        <f>'个人技术逐级'!N362</f>
        <v/>
      </c>
      <c r="N362" s="58">
        <f>SUMIFS($M$5:$M$692,$A$5:$A$692,A362,$B$5:$B$692,B362,$F$5:$F$692,"&lt;="&amp;F362)</f>
        <v/>
      </c>
      <c r="O362" s="58">
        <f>0</f>
        <v/>
      </c>
      <c r="P362" s="58">
        <f>SUMIFS($O$5:$O$692,$A$5:$A$692,A362,$B$5:$B$692,B362,$F$5:$F$692,"&lt;="&amp;F362)</f>
        <v/>
      </c>
      <c r="Q362" s="58">
        <f>0</f>
        <v/>
      </c>
      <c r="R362" s="58">
        <f>SUMIFS($Q$5:$Q$692,$A$5:$A$692,A362,$B$5:$B$692,B362,$F$5:$F$692,"&lt;="&amp;F362)</f>
        <v/>
      </c>
      <c r="S362" s="58">
        <f>0</f>
        <v/>
      </c>
      <c r="T362" s="58">
        <f>SUMIFS($S$5:$S$692,$A$5:$A$692,A362,$B$5:$B$692,B362,$F$5:$F$692,"&lt;="&amp;F362)</f>
        <v/>
      </c>
      <c r="U362" s="52">
        <f>'个人技术逐级'!O362</f>
        <v/>
      </c>
    </row>
    <row r="363">
      <c r="A363" s="33" t="inlineStr">
        <is>
          <t>个人技术</t>
        </is>
      </c>
      <c r="B363" s="33">
        <f>'个人技术逐级'!A363</f>
        <v/>
      </c>
      <c r="C363" s="33">
        <f>'个人技术逐级'!B363</f>
        <v/>
      </c>
      <c r="D363" s="33">
        <f>'个人技术逐级'!C363</f>
        <v/>
      </c>
      <c r="E363">
        <f>'个人技术逐级'!D363</f>
        <v/>
      </c>
      <c r="F363" s="54">
        <f>'个人技术逐级'!E363</f>
        <v/>
      </c>
      <c r="G363" s="55">
        <f>'个人技术逐级'!F363</f>
        <v/>
      </c>
      <c r="H363" s="56">
        <f>'个人技术逐级'!G363</f>
        <v/>
      </c>
      <c r="I363" s="52" t="inlineStr">
        <is>
          <t>个人技术计时升级</t>
        </is>
      </c>
      <c r="J363" s="57">
        <f>'个人技术逐级'!M363</f>
        <v/>
      </c>
      <c r="K363" s="35">
        <f>J363/3600</f>
        <v/>
      </c>
      <c r="L363" s="35">
        <f>SUMIFS($K$5:$K$692,$A$5:$A$692,A363,$B$5:$B$692,B363,$F$5:$F$692,"&lt;="&amp;F363)</f>
        <v/>
      </c>
      <c r="M363" s="58">
        <f>'个人技术逐级'!N363</f>
        <v/>
      </c>
      <c r="N363" s="58">
        <f>SUMIFS($M$5:$M$692,$A$5:$A$692,A363,$B$5:$B$692,B363,$F$5:$F$692,"&lt;="&amp;F363)</f>
        <v/>
      </c>
      <c r="O363" s="58">
        <f>0</f>
        <v/>
      </c>
      <c r="P363" s="58">
        <f>SUMIFS($O$5:$O$692,$A$5:$A$692,A363,$B$5:$B$692,B363,$F$5:$F$692,"&lt;="&amp;F363)</f>
        <v/>
      </c>
      <c r="Q363" s="58">
        <f>0</f>
        <v/>
      </c>
      <c r="R363" s="58">
        <f>SUMIFS($Q$5:$Q$692,$A$5:$A$692,A363,$B$5:$B$692,B363,$F$5:$F$692,"&lt;="&amp;F363)</f>
        <v/>
      </c>
      <c r="S363" s="58">
        <f>0</f>
        <v/>
      </c>
      <c r="T363" s="58">
        <f>SUMIFS($S$5:$S$692,$A$5:$A$692,A363,$B$5:$B$692,B363,$F$5:$F$692,"&lt;="&amp;F363)</f>
        <v/>
      </c>
      <c r="U363" s="52">
        <f>'个人技术逐级'!O363</f>
        <v/>
      </c>
    </row>
    <row r="364">
      <c r="A364" s="33" t="inlineStr">
        <is>
          <t>个人技术</t>
        </is>
      </c>
      <c r="B364" s="33">
        <f>'个人技术逐级'!A364</f>
        <v/>
      </c>
      <c r="C364" s="33">
        <f>'个人技术逐级'!B364</f>
        <v/>
      </c>
      <c r="D364" s="33">
        <f>'个人技术逐级'!C364</f>
        <v/>
      </c>
      <c r="E364">
        <f>'个人技术逐级'!D364</f>
        <v/>
      </c>
      <c r="F364" s="54">
        <f>'个人技术逐级'!E364</f>
        <v/>
      </c>
      <c r="G364" s="55">
        <f>'个人技术逐级'!F364</f>
        <v/>
      </c>
      <c r="H364" s="56">
        <f>'个人技术逐级'!G364</f>
        <v/>
      </c>
      <c r="I364" s="52" t="inlineStr">
        <is>
          <t>个人技术计时升级</t>
        </is>
      </c>
      <c r="J364" s="57">
        <f>'个人技术逐级'!M364</f>
        <v/>
      </c>
      <c r="K364" s="35">
        <f>J364/3600</f>
        <v/>
      </c>
      <c r="L364" s="35">
        <f>SUMIFS($K$5:$K$692,$A$5:$A$692,A364,$B$5:$B$692,B364,$F$5:$F$692,"&lt;="&amp;F364)</f>
        <v/>
      </c>
      <c r="M364" s="58">
        <f>'个人技术逐级'!N364</f>
        <v/>
      </c>
      <c r="N364" s="58">
        <f>SUMIFS($M$5:$M$692,$A$5:$A$692,A364,$B$5:$B$692,B364,$F$5:$F$692,"&lt;="&amp;F364)</f>
        <v/>
      </c>
      <c r="O364" s="58">
        <f>0</f>
        <v/>
      </c>
      <c r="P364" s="58">
        <f>SUMIFS($O$5:$O$692,$A$5:$A$692,A364,$B$5:$B$692,B364,$F$5:$F$692,"&lt;="&amp;F364)</f>
        <v/>
      </c>
      <c r="Q364" s="58">
        <f>0</f>
        <v/>
      </c>
      <c r="R364" s="58">
        <f>SUMIFS($Q$5:$Q$692,$A$5:$A$692,A364,$B$5:$B$692,B364,$F$5:$F$692,"&lt;="&amp;F364)</f>
        <v/>
      </c>
      <c r="S364" s="58">
        <f>0</f>
        <v/>
      </c>
      <c r="T364" s="58">
        <f>SUMIFS($S$5:$S$692,$A$5:$A$692,A364,$B$5:$B$692,B364,$F$5:$F$692,"&lt;="&amp;F364)</f>
        <v/>
      </c>
      <c r="U364" s="52">
        <f>'个人技术逐级'!O364</f>
        <v/>
      </c>
    </row>
    <row r="365">
      <c r="A365" s="33" t="inlineStr">
        <is>
          <t>个人技术</t>
        </is>
      </c>
      <c r="B365" s="33">
        <f>'个人技术逐级'!A365</f>
        <v/>
      </c>
      <c r="C365" s="33">
        <f>'个人技术逐级'!B365</f>
        <v/>
      </c>
      <c r="D365" s="33">
        <f>'个人技术逐级'!C365</f>
        <v/>
      </c>
      <c r="E365">
        <f>'个人技术逐级'!D365</f>
        <v/>
      </c>
      <c r="F365" s="54">
        <f>'个人技术逐级'!E365</f>
        <v/>
      </c>
      <c r="G365" s="55">
        <f>'个人技术逐级'!F365</f>
        <v/>
      </c>
      <c r="H365" s="56">
        <f>'个人技术逐级'!G365</f>
        <v/>
      </c>
      <c r="I365" s="52" t="inlineStr">
        <is>
          <t>个人技术计时升级</t>
        </is>
      </c>
      <c r="J365" s="57">
        <f>'个人技术逐级'!M365</f>
        <v/>
      </c>
      <c r="K365" s="35">
        <f>J365/3600</f>
        <v/>
      </c>
      <c r="L365" s="35">
        <f>SUMIFS($K$5:$K$692,$A$5:$A$692,A365,$B$5:$B$692,B365,$F$5:$F$692,"&lt;="&amp;F365)</f>
        <v/>
      </c>
      <c r="M365" s="58">
        <f>'个人技术逐级'!N365</f>
        <v/>
      </c>
      <c r="N365" s="58">
        <f>SUMIFS($M$5:$M$692,$A$5:$A$692,A365,$B$5:$B$692,B365,$F$5:$F$692,"&lt;="&amp;F365)</f>
        <v/>
      </c>
      <c r="O365" s="58">
        <f>0</f>
        <v/>
      </c>
      <c r="P365" s="58">
        <f>SUMIFS($O$5:$O$692,$A$5:$A$692,A365,$B$5:$B$692,B365,$F$5:$F$692,"&lt;="&amp;F365)</f>
        <v/>
      </c>
      <c r="Q365" s="58">
        <f>0</f>
        <v/>
      </c>
      <c r="R365" s="58">
        <f>SUMIFS($Q$5:$Q$692,$A$5:$A$692,A365,$B$5:$B$692,B365,$F$5:$F$692,"&lt;="&amp;F365)</f>
        <v/>
      </c>
      <c r="S365" s="58">
        <f>0</f>
        <v/>
      </c>
      <c r="T365" s="58">
        <f>SUMIFS($S$5:$S$692,$A$5:$A$692,A365,$B$5:$B$692,B365,$F$5:$F$692,"&lt;="&amp;F365)</f>
        <v/>
      </c>
      <c r="U365" s="52">
        <f>'个人技术逐级'!O365</f>
        <v/>
      </c>
    </row>
    <row r="366">
      <c r="A366" s="33" t="inlineStr">
        <is>
          <t>个人技术</t>
        </is>
      </c>
      <c r="B366" s="33">
        <f>'个人技术逐级'!A366</f>
        <v/>
      </c>
      <c r="C366" s="33">
        <f>'个人技术逐级'!B366</f>
        <v/>
      </c>
      <c r="D366" s="33">
        <f>'个人技术逐级'!C366</f>
        <v/>
      </c>
      <c r="E366">
        <f>'个人技术逐级'!D366</f>
        <v/>
      </c>
      <c r="F366" s="54">
        <f>'个人技术逐级'!E366</f>
        <v/>
      </c>
      <c r="G366" s="55">
        <f>'个人技术逐级'!F366</f>
        <v/>
      </c>
      <c r="H366" s="56">
        <f>'个人技术逐级'!G366</f>
        <v/>
      </c>
      <c r="I366" s="52" t="inlineStr">
        <is>
          <t>个人技术计时升级</t>
        </is>
      </c>
      <c r="J366" s="57">
        <f>'个人技术逐级'!M366</f>
        <v/>
      </c>
      <c r="K366" s="35">
        <f>J366/3600</f>
        <v/>
      </c>
      <c r="L366" s="35">
        <f>SUMIFS($K$5:$K$692,$A$5:$A$692,A366,$B$5:$B$692,B366,$F$5:$F$692,"&lt;="&amp;F366)</f>
        <v/>
      </c>
      <c r="M366" s="58">
        <f>'个人技术逐级'!N366</f>
        <v/>
      </c>
      <c r="N366" s="58">
        <f>SUMIFS($M$5:$M$692,$A$5:$A$692,A366,$B$5:$B$692,B366,$F$5:$F$692,"&lt;="&amp;F366)</f>
        <v/>
      </c>
      <c r="O366" s="58">
        <f>0</f>
        <v/>
      </c>
      <c r="P366" s="58">
        <f>SUMIFS($O$5:$O$692,$A$5:$A$692,A366,$B$5:$B$692,B366,$F$5:$F$692,"&lt;="&amp;F366)</f>
        <v/>
      </c>
      <c r="Q366" s="58">
        <f>0</f>
        <v/>
      </c>
      <c r="R366" s="58">
        <f>SUMIFS($Q$5:$Q$692,$A$5:$A$692,A366,$B$5:$B$692,B366,$F$5:$F$692,"&lt;="&amp;F366)</f>
        <v/>
      </c>
      <c r="S366" s="58">
        <f>0</f>
        <v/>
      </c>
      <c r="T366" s="58">
        <f>SUMIFS($S$5:$S$692,$A$5:$A$692,A366,$B$5:$B$692,B366,$F$5:$F$692,"&lt;="&amp;F366)</f>
        <v/>
      </c>
      <c r="U366" s="52">
        <f>'个人技术逐级'!O366</f>
        <v/>
      </c>
    </row>
    <row r="367">
      <c r="A367" s="33" t="inlineStr">
        <is>
          <t>个人技术</t>
        </is>
      </c>
      <c r="B367" s="33">
        <f>'个人技术逐级'!A367</f>
        <v/>
      </c>
      <c r="C367" s="33">
        <f>'个人技术逐级'!B367</f>
        <v/>
      </c>
      <c r="D367" s="33">
        <f>'个人技术逐级'!C367</f>
        <v/>
      </c>
      <c r="E367">
        <f>'个人技术逐级'!D367</f>
        <v/>
      </c>
      <c r="F367" s="54">
        <f>'个人技术逐级'!E367</f>
        <v/>
      </c>
      <c r="G367" s="55">
        <f>'个人技术逐级'!F367</f>
        <v/>
      </c>
      <c r="H367" s="56">
        <f>'个人技术逐级'!G367</f>
        <v/>
      </c>
      <c r="I367" s="52" t="inlineStr">
        <is>
          <t>个人技术计时升级</t>
        </is>
      </c>
      <c r="J367" s="57">
        <f>'个人技术逐级'!M367</f>
        <v/>
      </c>
      <c r="K367" s="35">
        <f>J367/3600</f>
        <v/>
      </c>
      <c r="L367" s="35">
        <f>SUMIFS($K$5:$K$692,$A$5:$A$692,A367,$B$5:$B$692,B367,$F$5:$F$692,"&lt;="&amp;F367)</f>
        <v/>
      </c>
      <c r="M367" s="58">
        <f>'个人技术逐级'!N367</f>
        <v/>
      </c>
      <c r="N367" s="58">
        <f>SUMIFS($M$5:$M$692,$A$5:$A$692,A367,$B$5:$B$692,B367,$F$5:$F$692,"&lt;="&amp;F367)</f>
        <v/>
      </c>
      <c r="O367" s="58">
        <f>0</f>
        <v/>
      </c>
      <c r="P367" s="58">
        <f>SUMIFS($O$5:$O$692,$A$5:$A$692,A367,$B$5:$B$692,B367,$F$5:$F$692,"&lt;="&amp;F367)</f>
        <v/>
      </c>
      <c r="Q367" s="58">
        <f>0</f>
        <v/>
      </c>
      <c r="R367" s="58">
        <f>SUMIFS($Q$5:$Q$692,$A$5:$A$692,A367,$B$5:$B$692,B367,$F$5:$F$692,"&lt;="&amp;F367)</f>
        <v/>
      </c>
      <c r="S367" s="58">
        <f>0</f>
        <v/>
      </c>
      <c r="T367" s="58">
        <f>SUMIFS($S$5:$S$692,$A$5:$A$692,A367,$B$5:$B$692,B367,$F$5:$F$692,"&lt;="&amp;F367)</f>
        <v/>
      </c>
      <c r="U367" s="52">
        <f>'个人技术逐级'!O367</f>
        <v/>
      </c>
    </row>
    <row r="368">
      <c r="A368" s="33" t="inlineStr">
        <is>
          <t>个人技术</t>
        </is>
      </c>
      <c r="B368" s="33">
        <f>'个人技术逐级'!A368</f>
        <v/>
      </c>
      <c r="C368" s="33">
        <f>'个人技术逐级'!B368</f>
        <v/>
      </c>
      <c r="D368" s="33">
        <f>'个人技术逐级'!C368</f>
        <v/>
      </c>
      <c r="E368">
        <f>'个人技术逐级'!D368</f>
        <v/>
      </c>
      <c r="F368" s="54">
        <f>'个人技术逐级'!E368</f>
        <v/>
      </c>
      <c r="G368" s="55">
        <f>'个人技术逐级'!F368</f>
        <v/>
      </c>
      <c r="H368" s="56">
        <f>'个人技术逐级'!G368</f>
        <v/>
      </c>
      <c r="I368" s="52" t="inlineStr">
        <is>
          <t>个人技术计时升级</t>
        </is>
      </c>
      <c r="J368" s="57">
        <f>'个人技术逐级'!M368</f>
        <v/>
      </c>
      <c r="K368" s="35">
        <f>J368/3600</f>
        <v/>
      </c>
      <c r="L368" s="35">
        <f>SUMIFS($K$5:$K$692,$A$5:$A$692,A368,$B$5:$B$692,B368,$F$5:$F$692,"&lt;="&amp;F368)</f>
        <v/>
      </c>
      <c r="M368" s="58">
        <f>'个人技术逐级'!N368</f>
        <v/>
      </c>
      <c r="N368" s="58">
        <f>SUMIFS($M$5:$M$692,$A$5:$A$692,A368,$B$5:$B$692,B368,$F$5:$F$692,"&lt;="&amp;F368)</f>
        <v/>
      </c>
      <c r="O368" s="58">
        <f>0</f>
        <v/>
      </c>
      <c r="P368" s="58">
        <f>SUMIFS($O$5:$O$692,$A$5:$A$692,A368,$B$5:$B$692,B368,$F$5:$F$692,"&lt;="&amp;F368)</f>
        <v/>
      </c>
      <c r="Q368" s="58">
        <f>0</f>
        <v/>
      </c>
      <c r="R368" s="58">
        <f>SUMIFS($Q$5:$Q$692,$A$5:$A$692,A368,$B$5:$B$692,B368,$F$5:$F$692,"&lt;="&amp;F368)</f>
        <v/>
      </c>
      <c r="S368" s="58">
        <f>0</f>
        <v/>
      </c>
      <c r="T368" s="58">
        <f>SUMIFS($S$5:$S$692,$A$5:$A$692,A368,$B$5:$B$692,B368,$F$5:$F$692,"&lt;="&amp;F368)</f>
        <v/>
      </c>
      <c r="U368" s="52">
        <f>'个人技术逐级'!O368</f>
        <v/>
      </c>
    </row>
    <row r="369">
      <c r="A369" s="33" t="inlineStr">
        <is>
          <t>个人技术</t>
        </is>
      </c>
      <c r="B369" s="33">
        <f>'个人技术逐级'!A369</f>
        <v/>
      </c>
      <c r="C369" s="33">
        <f>'个人技术逐级'!B369</f>
        <v/>
      </c>
      <c r="D369" s="33">
        <f>'个人技术逐级'!C369</f>
        <v/>
      </c>
      <c r="E369">
        <f>'个人技术逐级'!D369</f>
        <v/>
      </c>
      <c r="F369" s="54">
        <f>'个人技术逐级'!E369</f>
        <v/>
      </c>
      <c r="G369" s="55">
        <f>'个人技术逐级'!F369</f>
        <v/>
      </c>
      <c r="H369" s="56">
        <f>'个人技术逐级'!G369</f>
        <v/>
      </c>
      <c r="I369" s="52" t="inlineStr">
        <is>
          <t>个人技术计时升级</t>
        </is>
      </c>
      <c r="J369" s="57">
        <f>'个人技术逐级'!M369</f>
        <v/>
      </c>
      <c r="K369" s="35">
        <f>J369/3600</f>
        <v/>
      </c>
      <c r="L369" s="35">
        <f>SUMIFS($K$5:$K$692,$A$5:$A$692,A369,$B$5:$B$692,B369,$F$5:$F$692,"&lt;="&amp;F369)</f>
        <v/>
      </c>
      <c r="M369" s="58">
        <f>'个人技术逐级'!N369</f>
        <v/>
      </c>
      <c r="N369" s="58">
        <f>SUMIFS($M$5:$M$692,$A$5:$A$692,A369,$B$5:$B$692,B369,$F$5:$F$692,"&lt;="&amp;F369)</f>
        <v/>
      </c>
      <c r="O369" s="58">
        <f>0</f>
        <v/>
      </c>
      <c r="P369" s="58">
        <f>SUMIFS($O$5:$O$692,$A$5:$A$692,A369,$B$5:$B$692,B369,$F$5:$F$692,"&lt;="&amp;F369)</f>
        <v/>
      </c>
      <c r="Q369" s="58">
        <f>0</f>
        <v/>
      </c>
      <c r="R369" s="58">
        <f>SUMIFS($Q$5:$Q$692,$A$5:$A$692,A369,$B$5:$B$692,B369,$F$5:$F$692,"&lt;="&amp;F369)</f>
        <v/>
      </c>
      <c r="S369" s="58">
        <f>0</f>
        <v/>
      </c>
      <c r="T369" s="58">
        <f>SUMIFS($S$5:$S$692,$A$5:$A$692,A369,$B$5:$B$692,B369,$F$5:$F$692,"&lt;="&amp;F369)</f>
        <v/>
      </c>
      <c r="U369" s="52">
        <f>'个人技术逐级'!O369</f>
        <v/>
      </c>
    </row>
    <row r="370">
      <c r="A370" s="33" t="inlineStr">
        <is>
          <t>个人技术</t>
        </is>
      </c>
      <c r="B370" s="33">
        <f>'个人技术逐级'!A370</f>
        <v/>
      </c>
      <c r="C370" s="33">
        <f>'个人技术逐级'!B370</f>
        <v/>
      </c>
      <c r="D370" s="33">
        <f>'个人技术逐级'!C370</f>
        <v/>
      </c>
      <c r="E370">
        <f>'个人技术逐级'!D370</f>
        <v/>
      </c>
      <c r="F370" s="54">
        <f>'个人技术逐级'!E370</f>
        <v/>
      </c>
      <c r="G370" s="55">
        <f>'个人技术逐级'!F370</f>
        <v/>
      </c>
      <c r="H370" s="56">
        <f>'个人技术逐级'!G370</f>
        <v/>
      </c>
      <c r="I370" s="52" t="inlineStr">
        <is>
          <t>个人技术计时升级</t>
        </is>
      </c>
      <c r="J370" s="57">
        <f>'个人技术逐级'!M370</f>
        <v/>
      </c>
      <c r="K370" s="35">
        <f>J370/3600</f>
        <v/>
      </c>
      <c r="L370" s="35">
        <f>SUMIFS($K$5:$K$692,$A$5:$A$692,A370,$B$5:$B$692,B370,$F$5:$F$692,"&lt;="&amp;F370)</f>
        <v/>
      </c>
      <c r="M370" s="58">
        <f>'个人技术逐级'!N370</f>
        <v/>
      </c>
      <c r="N370" s="58">
        <f>SUMIFS($M$5:$M$692,$A$5:$A$692,A370,$B$5:$B$692,B370,$F$5:$F$692,"&lt;="&amp;F370)</f>
        <v/>
      </c>
      <c r="O370" s="58">
        <f>0</f>
        <v/>
      </c>
      <c r="P370" s="58">
        <f>SUMIFS($O$5:$O$692,$A$5:$A$692,A370,$B$5:$B$692,B370,$F$5:$F$692,"&lt;="&amp;F370)</f>
        <v/>
      </c>
      <c r="Q370" s="58">
        <f>0</f>
        <v/>
      </c>
      <c r="R370" s="58">
        <f>SUMIFS($Q$5:$Q$692,$A$5:$A$692,A370,$B$5:$B$692,B370,$F$5:$F$692,"&lt;="&amp;F370)</f>
        <v/>
      </c>
      <c r="S370" s="58">
        <f>0</f>
        <v/>
      </c>
      <c r="T370" s="58">
        <f>SUMIFS($S$5:$S$692,$A$5:$A$692,A370,$B$5:$B$692,B370,$F$5:$F$692,"&lt;="&amp;F370)</f>
        <v/>
      </c>
      <c r="U370" s="52">
        <f>'个人技术逐级'!O370</f>
        <v/>
      </c>
    </row>
    <row r="371">
      <c r="A371" s="33" t="inlineStr">
        <is>
          <t>个人技术</t>
        </is>
      </c>
      <c r="B371" s="33">
        <f>'个人技术逐级'!A371</f>
        <v/>
      </c>
      <c r="C371" s="33">
        <f>'个人技术逐级'!B371</f>
        <v/>
      </c>
      <c r="D371" s="33">
        <f>'个人技术逐级'!C371</f>
        <v/>
      </c>
      <c r="E371">
        <f>'个人技术逐级'!D371</f>
        <v/>
      </c>
      <c r="F371" s="54">
        <f>'个人技术逐级'!E371</f>
        <v/>
      </c>
      <c r="G371" s="55">
        <f>'个人技术逐级'!F371</f>
        <v/>
      </c>
      <c r="H371" s="56">
        <f>'个人技术逐级'!G371</f>
        <v/>
      </c>
      <c r="I371" s="52" t="inlineStr">
        <is>
          <t>个人技术计时升级</t>
        </is>
      </c>
      <c r="J371" s="57">
        <f>'个人技术逐级'!M371</f>
        <v/>
      </c>
      <c r="K371" s="35">
        <f>J371/3600</f>
        <v/>
      </c>
      <c r="L371" s="35">
        <f>SUMIFS($K$5:$K$692,$A$5:$A$692,A371,$B$5:$B$692,B371,$F$5:$F$692,"&lt;="&amp;F371)</f>
        <v/>
      </c>
      <c r="M371" s="58">
        <f>'个人技术逐级'!N371</f>
        <v/>
      </c>
      <c r="N371" s="58">
        <f>SUMIFS($M$5:$M$692,$A$5:$A$692,A371,$B$5:$B$692,B371,$F$5:$F$692,"&lt;="&amp;F371)</f>
        <v/>
      </c>
      <c r="O371" s="58">
        <f>0</f>
        <v/>
      </c>
      <c r="P371" s="58">
        <f>SUMIFS($O$5:$O$692,$A$5:$A$692,A371,$B$5:$B$692,B371,$F$5:$F$692,"&lt;="&amp;F371)</f>
        <v/>
      </c>
      <c r="Q371" s="58">
        <f>0</f>
        <v/>
      </c>
      <c r="R371" s="58">
        <f>SUMIFS($Q$5:$Q$692,$A$5:$A$692,A371,$B$5:$B$692,B371,$F$5:$F$692,"&lt;="&amp;F371)</f>
        <v/>
      </c>
      <c r="S371" s="58">
        <f>0</f>
        <v/>
      </c>
      <c r="T371" s="58">
        <f>SUMIFS($S$5:$S$692,$A$5:$A$692,A371,$B$5:$B$692,B371,$F$5:$F$692,"&lt;="&amp;F371)</f>
        <v/>
      </c>
      <c r="U371" s="52">
        <f>'个人技术逐级'!O371</f>
        <v/>
      </c>
    </row>
    <row r="372">
      <c r="A372" s="33" t="inlineStr">
        <is>
          <t>个人技术</t>
        </is>
      </c>
      <c r="B372" s="33">
        <f>'个人技术逐级'!A372</f>
        <v/>
      </c>
      <c r="C372" s="33">
        <f>'个人技术逐级'!B372</f>
        <v/>
      </c>
      <c r="D372" s="33">
        <f>'个人技术逐级'!C372</f>
        <v/>
      </c>
      <c r="E372">
        <f>'个人技术逐级'!D372</f>
        <v/>
      </c>
      <c r="F372" s="54">
        <f>'个人技术逐级'!E372</f>
        <v/>
      </c>
      <c r="G372" s="55">
        <f>'个人技术逐级'!F372</f>
        <v/>
      </c>
      <c r="H372" s="56">
        <f>'个人技术逐级'!G372</f>
        <v/>
      </c>
      <c r="I372" s="52" t="inlineStr">
        <is>
          <t>个人技术计时升级</t>
        </is>
      </c>
      <c r="J372" s="57">
        <f>'个人技术逐级'!M372</f>
        <v/>
      </c>
      <c r="K372" s="35">
        <f>J372/3600</f>
        <v/>
      </c>
      <c r="L372" s="35">
        <f>SUMIFS($K$5:$K$692,$A$5:$A$692,A372,$B$5:$B$692,B372,$F$5:$F$692,"&lt;="&amp;F372)</f>
        <v/>
      </c>
      <c r="M372" s="58">
        <f>'个人技术逐级'!N372</f>
        <v/>
      </c>
      <c r="N372" s="58">
        <f>SUMIFS($M$5:$M$692,$A$5:$A$692,A372,$B$5:$B$692,B372,$F$5:$F$692,"&lt;="&amp;F372)</f>
        <v/>
      </c>
      <c r="O372" s="58">
        <f>0</f>
        <v/>
      </c>
      <c r="P372" s="58">
        <f>SUMIFS($O$5:$O$692,$A$5:$A$692,A372,$B$5:$B$692,B372,$F$5:$F$692,"&lt;="&amp;F372)</f>
        <v/>
      </c>
      <c r="Q372" s="58">
        <f>0</f>
        <v/>
      </c>
      <c r="R372" s="58">
        <f>SUMIFS($Q$5:$Q$692,$A$5:$A$692,A372,$B$5:$B$692,B372,$F$5:$F$692,"&lt;="&amp;F372)</f>
        <v/>
      </c>
      <c r="S372" s="58">
        <f>0</f>
        <v/>
      </c>
      <c r="T372" s="58">
        <f>SUMIFS($S$5:$S$692,$A$5:$A$692,A372,$B$5:$B$692,B372,$F$5:$F$692,"&lt;="&amp;F372)</f>
        <v/>
      </c>
      <c r="U372" s="52">
        <f>'个人技术逐级'!O372</f>
        <v/>
      </c>
    </row>
    <row r="373">
      <c r="A373" s="33" t="inlineStr">
        <is>
          <t>个人技术</t>
        </is>
      </c>
      <c r="B373" s="33">
        <f>'个人技术逐级'!A373</f>
        <v/>
      </c>
      <c r="C373" s="33">
        <f>'个人技术逐级'!B373</f>
        <v/>
      </c>
      <c r="D373" s="33">
        <f>'个人技术逐级'!C373</f>
        <v/>
      </c>
      <c r="E373">
        <f>'个人技术逐级'!D373</f>
        <v/>
      </c>
      <c r="F373" s="54">
        <f>'个人技术逐级'!E373</f>
        <v/>
      </c>
      <c r="G373" s="55">
        <f>'个人技术逐级'!F373</f>
        <v/>
      </c>
      <c r="H373" s="56">
        <f>'个人技术逐级'!G373</f>
        <v/>
      </c>
      <c r="I373" s="52" t="inlineStr">
        <is>
          <t>个人技术计时升级</t>
        </is>
      </c>
      <c r="J373" s="57">
        <f>'个人技术逐级'!M373</f>
        <v/>
      </c>
      <c r="K373" s="35">
        <f>J373/3600</f>
        <v/>
      </c>
      <c r="L373" s="35">
        <f>SUMIFS($K$5:$K$692,$A$5:$A$692,A373,$B$5:$B$692,B373,$F$5:$F$692,"&lt;="&amp;F373)</f>
        <v/>
      </c>
      <c r="M373" s="58">
        <f>'个人技术逐级'!N373</f>
        <v/>
      </c>
      <c r="N373" s="58">
        <f>SUMIFS($M$5:$M$692,$A$5:$A$692,A373,$B$5:$B$692,B373,$F$5:$F$692,"&lt;="&amp;F373)</f>
        <v/>
      </c>
      <c r="O373" s="58">
        <f>0</f>
        <v/>
      </c>
      <c r="P373" s="58">
        <f>SUMIFS($O$5:$O$692,$A$5:$A$692,A373,$B$5:$B$692,B373,$F$5:$F$692,"&lt;="&amp;F373)</f>
        <v/>
      </c>
      <c r="Q373" s="58">
        <f>0</f>
        <v/>
      </c>
      <c r="R373" s="58">
        <f>SUMIFS($Q$5:$Q$692,$A$5:$A$692,A373,$B$5:$B$692,B373,$F$5:$F$692,"&lt;="&amp;F373)</f>
        <v/>
      </c>
      <c r="S373" s="58">
        <f>0</f>
        <v/>
      </c>
      <c r="T373" s="58">
        <f>SUMIFS($S$5:$S$692,$A$5:$A$692,A373,$B$5:$B$692,B373,$F$5:$F$692,"&lt;="&amp;F373)</f>
        <v/>
      </c>
      <c r="U373" s="52">
        <f>'个人技术逐级'!O373</f>
        <v/>
      </c>
    </row>
    <row r="374">
      <c r="A374" s="33" t="inlineStr">
        <is>
          <t>个人技术</t>
        </is>
      </c>
      <c r="B374" s="33">
        <f>'个人技术逐级'!A374</f>
        <v/>
      </c>
      <c r="C374" s="33">
        <f>'个人技术逐级'!B374</f>
        <v/>
      </c>
      <c r="D374" s="33">
        <f>'个人技术逐级'!C374</f>
        <v/>
      </c>
      <c r="E374">
        <f>'个人技术逐级'!D374</f>
        <v/>
      </c>
      <c r="F374" s="54">
        <f>'个人技术逐级'!E374</f>
        <v/>
      </c>
      <c r="G374" s="55">
        <f>'个人技术逐级'!F374</f>
        <v/>
      </c>
      <c r="H374" s="56">
        <f>'个人技术逐级'!G374</f>
        <v/>
      </c>
      <c r="I374" s="52" t="inlineStr">
        <is>
          <t>个人技术计时升级</t>
        </is>
      </c>
      <c r="J374" s="57">
        <f>'个人技术逐级'!M374</f>
        <v/>
      </c>
      <c r="K374" s="35">
        <f>J374/3600</f>
        <v/>
      </c>
      <c r="L374" s="35">
        <f>SUMIFS($K$5:$K$692,$A$5:$A$692,A374,$B$5:$B$692,B374,$F$5:$F$692,"&lt;="&amp;F374)</f>
        <v/>
      </c>
      <c r="M374" s="58">
        <f>'个人技术逐级'!N374</f>
        <v/>
      </c>
      <c r="N374" s="58">
        <f>SUMIFS($M$5:$M$692,$A$5:$A$692,A374,$B$5:$B$692,B374,$F$5:$F$692,"&lt;="&amp;F374)</f>
        <v/>
      </c>
      <c r="O374" s="58">
        <f>0</f>
        <v/>
      </c>
      <c r="P374" s="58">
        <f>SUMIFS($O$5:$O$692,$A$5:$A$692,A374,$B$5:$B$692,B374,$F$5:$F$692,"&lt;="&amp;F374)</f>
        <v/>
      </c>
      <c r="Q374" s="58">
        <f>0</f>
        <v/>
      </c>
      <c r="R374" s="58">
        <f>SUMIFS($Q$5:$Q$692,$A$5:$A$692,A374,$B$5:$B$692,B374,$F$5:$F$692,"&lt;="&amp;F374)</f>
        <v/>
      </c>
      <c r="S374" s="58">
        <f>0</f>
        <v/>
      </c>
      <c r="T374" s="58">
        <f>SUMIFS($S$5:$S$692,$A$5:$A$692,A374,$B$5:$B$692,B374,$F$5:$F$692,"&lt;="&amp;F374)</f>
        <v/>
      </c>
      <c r="U374" s="52">
        <f>'个人技术逐级'!O374</f>
        <v/>
      </c>
    </row>
    <row r="375">
      <c r="A375" s="33" t="inlineStr">
        <is>
          <t>个人技术</t>
        </is>
      </c>
      <c r="B375" s="33">
        <f>'个人技术逐级'!A375</f>
        <v/>
      </c>
      <c r="C375" s="33">
        <f>'个人技术逐级'!B375</f>
        <v/>
      </c>
      <c r="D375" s="33">
        <f>'个人技术逐级'!C375</f>
        <v/>
      </c>
      <c r="E375">
        <f>'个人技术逐级'!D375</f>
        <v/>
      </c>
      <c r="F375" s="54">
        <f>'个人技术逐级'!E375</f>
        <v/>
      </c>
      <c r="G375" s="55">
        <f>'个人技术逐级'!F375</f>
        <v/>
      </c>
      <c r="H375" s="56">
        <f>'个人技术逐级'!G375</f>
        <v/>
      </c>
      <c r="I375" s="52" t="inlineStr">
        <is>
          <t>个人技术计时升级</t>
        </is>
      </c>
      <c r="J375" s="57">
        <f>'个人技术逐级'!M375</f>
        <v/>
      </c>
      <c r="K375" s="35">
        <f>J375/3600</f>
        <v/>
      </c>
      <c r="L375" s="35">
        <f>SUMIFS($K$5:$K$692,$A$5:$A$692,A375,$B$5:$B$692,B375,$F$5:$F$692,"&lt;="&amp;F375)</f>
        <v/>
      </c>
      <c r="M375" s="58">
        <f>'个人技术逐级'!N375</f>
        <v/>
      </c>
      <c r="N375" s="58">
        <f>SUMIFS($M$5:$M$692,$A$5:$A$692,A375,$B$5:$B$692,B375,$F$5:$F$692,"&lt;="&amp;F375)</f>
        <v/>
      </c>
      <c r="O375" s="58">
        <f>0</f>
        <v/>
      </c>
      <c r="P375" s="58">
        <f>SUMIFS($O$5:$O$692,$A$5:$A$692,A375,$B$5:$B$692,B375,$F$5:$F$692,"&lt;="&amp;F375)</f>
        <v/>
      </c>
      <c r="Q375" s="58">
        <f>0</f>
        <v/>
      </c>
      <c r="R375" s="58">
        <f>SUMIFS($Q$5:$Q$692,$A$5:$A$692,A375,$B$5:$B$692,B375,$F$5:$F$692,"&lt;="&amp;F375)</f>
        <v/>
      </c>
      <c r="S375" s="58">
        <f>0</f>
        <v/>
      </c>
      <c r="T375" s="58">
        <f>SUMIFS($S$5:$S$692,$A$5:$A$692,A375,$B$5:$B$692,B375,$F$5:$F$692,"&lt;="&amp;F375)</f>
        <v/>
      </c>
      <c r="U375" s="52">
        <f>'个人技术逐级'!O375</f>
        <v/>
      </c>
    </row>
    <row r="376">
      <c r="A376" s="33" t="inlineStr">
        <is>
          <t>个人技术</t>
        </is>
      </c>
      <c r="B376" s="33">
        <f>'个人技术逐级'!A376</f>
        <v/>
      </c>
      <c r="C376" s="33">
        <f>'个人技术逐级'!B376</f>
        <v/>
      </c>
      <c r="D376" s="33">
        <f>'个人技术逐级'!C376</f>
        <v/>
      </c>
      <c r="E376">
        <f>'个人技术逐级'!D376</f>
        <v/>
      </c>
      <c r="F376" s="54">
        <f>'个人技术逐级'!E376</f>
        <v/>
      </c>
      <c r="G376" s="55">
        <f>'个人技术逐级'!F376</f>
        <v/>
      </c>
      <c r="H376" s="56">
        <f>'个人技术逐级'!G376</f>
        <v/>
      </c>
      <c r="I376" s="52" t="inlineStr">
        <is>
          <t>个人技术计时升级</t>
        </is>
      </c>
      <c r="J376" s="57">
        <f>'个人技术逐级'!M376</f>
        <v/>
      </c>
      <c r="K376" s="35">
        <f>J376/3600</f>
        <v/>
      </c>
      <c r="L376" s="35">
        <f>SUMIFS($K$5:$K$692,$A$5:$A$692,A376,$B$5:$B$692,B376,$F$5:$F$692,"&lt;="&amp;F376)</f>
        <v/>
      </c>
      <c r="M376" s="58">
        <f>'个人技术逐级'!N376</f>
        <v/>
      </c>
      <c r="N376" s="58">
        <f>SUMIFS($M$5:$M$692,$A$5:$A$692,A376,$B$5:$B$692,B376,$F$5:$F$692,"&lt;="&amp;F376)</f>
        <v/>
      </c>
      <c r="O376" s="58">
        <f>0</f>
        <v/>
      </c>
      <c r="P376" s="58">
        <f>SUMIFS($O$5:$O$692,$A$5:$A$692,A376,$B$5:$B$692,B376,$F$5:$F$692,"&lt;="&amp;F376)</f>
        <v/>
      </c>
      <c r="Q376" s="58">
        <f>0</f>
        <v/>
      </c>
      <c r="R376" s="58">
        <f>SUMIFS($Q$5:$Q$692,$A$5:$A$692,A376,$B$5:$B$692,B376,$F$5:$F$692,"&lt;="&amp;F376)</f>
        <v/>
      </c>
      <c r="S376" s="58">
        <f>0</f>
        <v/>
      </c>
      <c r="T376" s="58">
        <f>SUMIFS($S$5:$S$692,$A$5:$A$692,A376,$B$5:$B$692,B376,$F$5:$F$692,"&lt;="&amp;F376)</f>
        <v/>
      </c>
      <c r="U376" s="52">
        <f>'个人技术逐级'!O376</f>
        <v/>
      </c>
    </row>
    <row r="377">
      <c r="A377" s="33" t="inlineStr">
        <is>
          <t>个人技术</t>
        </is>
      </c>
      <c r="B377" s="33">
        <f>'个人技术逐级'!A377</f>
        <v/>
      </c>
      <c r="C377" s="33">
        <f>'个人技术逐级'!B377</f>
        <v/>
      </c>
      <c r="D377" s="33">
        <f>'个人技术逐级'!C377</f>
        <v/>
      </c>
      <c r="E377">
        <f>'个人技术逐级'!D377</f>
        <v/>
      </c>
      <c r="F377" s="54">
        <f>'个人技术逐级'!E377</f>
        <v/>
      </c>
      <c r="G377" s="55">
        <f>'个人技术逐级'!F377</f>
        <v/>
      </c>
      <c r="H377" s="56">
        <f>'个人技术逐级'!G377</f>
        <v/>
      </c>
      <c r="I377" s="52" t="inlineStr">
        <is>
          <t>个人技术计时升级</t>
        </is>
      </c>
      <c r="J377" s="57">
        <f>'个人技术逐级'!M377</f>
        <v/>
      </c>
      <c r="K377" s="35">
        <f>J377/3600</f>
        <v/>
      </c>
      <c r="L377" s="35">
        <f>SUMIFS($K$5:$K$692,$A$5:$A$692,A377,$B$5:$B$692,B377,$F$5:$F$692,"&lt;="&amp;F377)</f>
        <v/>
      </c>
      <c r="M377" s="58">
        <f>'个人技术逐级'!N377</f>
        <v/>
      </c>
      <c r="N377" s="58">
        <f>SUMIFS($M$5:$M$692,$A$5:$A$692,A377,$B$5:$B$692,B377,$F$5:$F$692,"&lt;="&amp;F377)</f>
        <v/>
      </c>
      <c r="O377" s="58">
        <f>0</f>
        <v/>
      </c>
      <c r="P377" s="58">
        <f>SUMIFS($O$5:$O$692,$A$5:$A$692,A377,$B$5:$B$692,B377,$F$5:$F$692,"&lt;="&amp;F377)</f>
        <v/>
      </c>
      <c r="Q377" s="58">
        <f>0</f>
        <v/>
      </c>
      <c r="R377" s="58">
        <f>SUMIFS($Q$5:$Q$692,$A$5:$A$692,A377,$B$5:$B$692,B377,$F$5:$F$692,"&lt;="&amp;F377)</f>
        <v/>
      </c>
      <c r="S377" s="58">
        <f>0</f>
        <v/>
      </c>
      <c r="T377" s="58">
        <f>SUMIFS($S$5:$S$692,$A$5:$A$692,A377,$B$5:$B$692,B377,$F$5:$F$692,"&lt;="&amp;F377)</f>
        <v/>
      </c>
      <c r="U377" s="52">
        <f>'个人技术逐级'!O377</f>
        <v/>
      </c>
    </row>
    <row r="378">
      <c r="A378" s="33" t="inlineStr">
        <is>
          <t>个人技术</t>
        </is>
      </c>
      <c r="B378" s="33">
        <f>'个人技术逐级'!A378</f>
        <v/>
      </c>
      <c r="C378" s="33">
        <f>'个人技术逐级'!B378</f>
        <v/>
      </c>
      <c r="D378" s="33">
        <f>'个人技术逐级'!C378</f>
        <v/>
      </c>
      <c r="E378">
        <f>'个人技术逐级'!D378</f>
        <v/>
      </c>
      <c r="F378" s="54">
        <f>'个人技术逐级'!E378</f>
        <v/>
      </c>
      <c r="G378" s="55">
        <f>'个人技术逐级'!F378</f>
        <v/>
      </c>
      <c r="H378" s="56">
        <f>'个人技术逐级'!G378</f>
        <v/>
      </c>
      <c r="I378" s="52" t="inlineStr">
        <is>
          <t>个人技术计时升级</t>
        </is>
      </c>
      <c r="J378" s="57">
        <f>'个人技术逐级'!M378</f>
        <v/>
      </c>
      <c r="K378" s="35">
        <f>J378/3600</f>
        <v/>
      </c>
      <c r="L378" s="35">
        <f>SUMIFS($K$5:$K$692,$A$5:$A$692,A378,$B$5:$B$692,B378,$F$5:$F$692,"&lt;="&amp;F378)</f>
        <v/>
      </c>
      <c r="M378" s="58">
        <f>'个人技术逐级'!N378</f>
        <v/>
      </c>
      <c r="N378" s="58">
        <f>SUMIFS($M$5:$M$692,$A$5:$A$692,A378,$B$5:$B$692,B378,$F$5:$F$692,"&lt;="&amp;F378)</f>
        <v/>
      </c>
      <c r="O378" s="58">
        <f>0</f>
        <v/>
      </c>
      <c r="P378" s="58">
        <f>SUMIFS($O$5:$O$692,$A$5:$A$692,A378,$B$5:$B$692,B378,$F$5:$F$692,"&lt;="&amp;F378)</f>
        <v/>
      </c>
      <c r="Q378" s="58">
        <f>0</f>
        <v/>
      </c>
      <c r="R378" s="58">
        <f>SUMIFS($Q$5:$Q$692,$A$5:$A$692,A378,$B$5:$B$692,B378,$F$5:$F$692,"&lt;="&amp;F378)</f>
        <v/>
      </c>
      <c r="S378" s="58">
        <f>0</f>
        <v/>
      </c>
      <c r="T378" s="58">
        <f>SUMIFS($S$5:$S$692,$A$5:$A$692,A378,$B$5:$B$692,B378,$F$5:$F$692,"&lt;="&amp;F378)</f>
        <v/>
      </c>
      <c r="U378" s="52">
        <f>'个人技术逐级'!O378</f>
        <v/>
      </c>
    </row>
    <row r="379">
      <c r="A379" s="33" t="inlineStr">
        <is>
          <t>个人技术</t>
        </is>
      </c>
      <c r="B379" s="33">
        <f>'个人技术逐级'!A379</f>
        <v/>
      </c>
      <c r="C379" s="33">
        <f>'个人技术逐级'!B379</f>
        <v/>
      </c>
      <c r="D379" s="33">
        <f>'个人技术逐级'!C379</f>
        <v/>
      </c>
      <c r="E379">
        <f>'个人技术逐级'!D379</f>
        <v/>
      </c>
      <c r="F379" s="54">
        <f>'个人技术逐级'!E379</f>
        <v/>
      </c>
      <c r="G379" s="55">
        <f>'个人技术逐级'!F379</f>
        <v/>
      </c>
      <c r="H379" s="56">
        <f>'个人技术逐级'!G379</f>
        <v/>
      </c>
      <c r="I379" s="52" t="inlineStr">
        <is>
          <t>个人技术计时升级</t>
        </is>
      </c>
      <c r="J379" s="57">
        <f>'个人技术逐级'!M379</f>
        <v/>
      </c>
      <c r="K379" s="35">
        <f>J379/3600</f>
        <v/>
      </c>
      <c r="L379" s="35">
        <f>SUMIFS($K$5:$K$692,$A$5:$A$692,A379,$B$5:$B$692,B379,$F$5:$F$692,"&lt;="&amp;F379)</f>
        <v/>
      </c>
      <c r="M379" s="58">
        <f>'个人技术逐级'!N379</f>
        <v/>
      </c>
      <c r="N379" s="58">
        <f>SUMIFS($M$5:$M$692,$A$5:$A$692,A379,$B$5:$B$692,B379,$F$5:$F$692,"&lt;="&amp;F379)</f>
        <v/>
      </c>
      <c r="O379" s="58">
        <f>0</f>
        <v/>
      </c>
      <c r="P379" s="58">
        <f>SUMIFS($O$5:$O$692,$A$5:$A$692,A379,$B$5:$B$692,B379,$F$5:$F$692,"&lt;="&amp;F379)</f>
        <v/>
      </c>
      <c r="Q379" s="58">
        <f>0</f>
        <v/>
      </c>
      <c r="R379" s="58">
        <f>SUMIFS($Q$5:$Q$692,$A$5:$A$692,A379,$B$5:$B$692,B379,$F$5:$F$692,"&lt;="&amp;F379)</f>
        <v/>
      </c>
      <c r="S379" s="58">
        <f>0</f>
        <v/>
      </c>
      <c r="T379" s="58">
        <f>SUMIFS($S$5:$S$692,$A$5:$A$692,A379,$B$5:$B$692,B379,$F$5:$F$692,"&lt;="&amp;F379)</f>
        <v/>
      </c>
      <c r="U379" s="52">
        <f>'个人技术逐级'!O379</f>
        <v/>
      </c>
    </row>
    <row r="380">
      <c r="A380" s="33" t="inlineStr">
        <is>
          <t>个人技术</t>
        </is>
      </c>
      <c r="B380" s="33">
        <f>'个人技术逐级'!A380</f>
        <v/>
      </c>
      <c r="C380" s="33">
        <f>'个人技术逐级'!B380</f>
        <v/>
      </c>
      <c r="D380" s="33">
        <f>'个人技术逐级'!C380</f>
        <v/>
      </c>
      <c r="E380">
        <f>'个人技术逐级'!D380</f>
        <v/>
      </c>
      <c r="F380" s="54">
        <f>'个人技术逐级'!E380</f>
        <v/>
      </c>
      <c r="G380" s="55">
        <f>'个人技术逐级'!F380</f>
        <v/>
      </c>
      <c r="H380" s="56">
        <f>'个人技术逐级'!G380</f>
        <v/>
      </c>
      <c r="I380" s="52" t="inlineStr">
        <is>
          <t>个人技术计时升级</t>
        </is>
      </c>
      <c r="J380" s="57">
        <f>'个人技术逐级'!M380</f>
        <v/>
      </c>
      <c r="K380" s="35">
        <f>J380/3600</f>
        <v/>
      </c>
      <c r="L380" s="35">
        <f>SUMIFS($K$5:$K$692,$A$5:$A$692,A380,$B$5:$B$692,B380,$F$5:$F$692,"&lt;="&amp;F380)</f>
        <v/>
      </c>
      <c r="M380" s="58">
        <f>'个人技术逐级'!N380</f>
        <v/>
      </c>
      <c r="N380" s="58">
        <f>SUMIFS($M$5:$M$692,$A$5:$A$692,A380,$B$5:$B$692,B380,$F$5:$F$692,"&lt;="&amp;F380)</f>
        <v/>
      </c>
      <c r="O380" s="58">
        <f>0</f>
        <v/>
      </c>
      <c r="P380" s="58">
        <f>SUMIFS($O$5:$O$692,$A$5:$A$692,A380,$B$5:$B$692,B380,$F$5:$F$692,"&lt;="&amp;F380)</f>
        <v/>
      </c>
      <c r="Q380" s="58">
        <f>0</f>
        <v/>
      </c>
      <c r="R380" s="58">
        <f>SUMIFS($Q$5:$Q$692,$A$5:$A$692,A380,$B$5:$B$692,B380,$F$5:$F$692,"&lt;="&amp;F380)</f>
        <v/>
      </c>
      <c r="S380" s="58">
        <f>0</f>
        <v/>
      </c>
      <c r="T380" s="58">
        <f>SUMIFS($S$5:$S$692,$A$5:$A$692,A380,$B$5:$B$692,B380,$F$5:$F$692,"&lt;="&amp;F380)</f>
        <v/>
      </c>
      <c r="U380" s="52">
        <f>'个人技术逐级'!O380</f>
        <v/>
      </c>
    </row>
    <row r="381">
      <c r="A381" s="33" t="inlineStr">
        <is>
          <t>个人技术</t>
        </is>
      </c>
      <c r="B381" s="33">
        <f>'个人技术逐级'!A381</f>
        <v/>
      </c>
      <c r="C381" s="33">
        <f>'个人技术逐级'!B381</f>
        <v/>
      </c>
      <c r="D381" s="33">
        <f>'个人技术逐级'!C381</f>
        <v/>
      </c>
      <c r="E381">
        <f>'个人技术逐级'!D381</f>
        <v/>
      </c>
      <c r="F381" s="54">
        <f>'个人技术逐级'!E381</f>
        <v/>
      </c>
      <c r="G381" s="55">
        <f>'个人技术逐级'!F381</f>
        <v/>
      </c>
      <c r="H381" s="56">
        <f>'个人技术逐级'!G381</f>
        <v/>
      </c>
      <c r="I381" s="52" t="inlineStr">
        <is>
          <t>个人技术计时升级</t>
        </is>
      </c>
      <c r="J381" s="57">
        <f>'个人技术逐级'!M381</f>
        <v/>
      </c>
      <c r="K381" s="35">
        <f>J381/3600</f>
        <v/>
      </c>
      <c r="L381" s="35">
        <f>SUMIFS($K$5:$K$692,$A$5:$A$692,A381,$B$5:$B$692,B381,$F$5:$F$692,"&lt;="&amp;F381)</f>
        <v/>
      </c>
      <c r="M381" s="58">
        <f>'个人技术逐级'!N381</f>
        <v/>
      </c>
      <c r="N381" s="58">
        <f>SUMIFS($M$5:$M$692,$A$5:$A$692,A381,$B$5:$B$692,B381,$F$5:$F$692,"&lt;="&amp;F381)</f>
        <v/>
      </c>
      <c r="O381" s="58">
        <f>0</f>
        <v/>
      </c>
      <c r="P381" s="58">
        <f>SUMIFS($O$5:$O$692,$A$5:$A$692,A381,$B$5:$B$692,B381,$F$5:$F$692,"&lt;="&amp;F381)</f>
        <v/>
      </c>
      <c r="Q381" s="58">
        <f>0</f>
        <v/>
      </c>
      <c r="R381" s="58">
        <f>SUMIFS($Q$5:$Q$692,$A$5:$A$692,A381,$B$5:$B$692,B381,$F$5:$F$692,"&lt;="&amp;F381)</f>
        <v/>
      </c>
      <c r="S381" s="58">
        <f>0</f>
        <v/>
      </c>
      <c r="T381" s="58">
        <f>SUMIFS($S$5:$S$692,$A$5:$A$692,A381,$B$5:$B$692,B381,$F$5:$F$692,"&lt;="&amp;F381)</f>
        <v/>
      </c>
      <c r="U381" s="52">
        <f>'个人技术逐级'!O381</f>
        <v/>
      </c>
    </row>
    <row r="382">
      <c r="A382" s="33" t="inlineStr">
        <is>
          <t>个人技术</t>
        </is>
      </c>
      <c r="B382" s="33">
        <f>'个人技术逐级'!A382</f>
        <v/>
      </c>
      <c r="C382" s="33">
        <f>'个人技术逐级'!B382</f>
        <v/>
      </c>
      <c r="D382" s="33">
        <f>'个人技术逐级'!C382</f>
        <v/>
      </c>
      <c r="E382">
        <f>'个人技术逐级'!D382</f>
        <v/>
      </c>
      <c r="F382" s="54">
        <f>'个人技术逐级'!E382</f>
        <v/>
      </c>
      <c r="G382" s="55">
        <f>'个人技术逐级'!F382</f>
        <v/>
      </c>
      <c r="H382" s="56">
        <f>'个人技术逐级'!G382</f>
        <v/>
      </c>
      <c r="I382" s="52" t="inlineStr">
        <is>
          <t>个人技术计时升级</t>
        </is>
      </c>
      <c r="J382" s="57">
        <f>'个人技术逐级'!M382</f>
        <v/>
      </c>
      <c r="K382" s="35">
        <f>J382/3600</f>
        <v/>
      </c>
      <c r="L382" s="35">
        <f>SUMIFS($K$5:$K$692,$A$5:$A$692,A382,$B$5:$B$692,B382,$F$5:$F$692,"&lt;="&amp;F382)</f>
        <v/>
      </c>
      <c r="M382" s="58">
        <f>'个人技术逐级'!N382</f>
        <v/>
      </c>
      <c r="N382" s="58">
        <f>SUMIFS($M$5:$M$692,$A$5:$A$692,A382,$B$5:$B$692,B382,$F$5:$F$692,"&lt;="&amp;F382)</f>
        <v/>
      </c>
      <c r="O382" s="58">
        <f>0</f>
        <v/>
      </c>
      <c r="P382" s="58">
        <f>SUMIFS($O$5:$O$692,$A$5:$A$692,A382,$B$5:$B$692,B382,$F$5:$F$692,"&lt;="&amp;F382)</f>
        <v/>
      </c>
      <c r="Q382" s="58">
        <f>0</f>
        <v/>
      </c>
      <c r="R382" s="58">
        <f>SUMIFS($Q$5:$Q$692,$A$5:$A$692,A382,$B$5:$B$692,B382,$F$5:$F$692,"&lt;="&amp;F382)</f>
        <v/>
      </c>
      <c r="S382" s="58">
        <f>0</f>
        <v/>
      </c>
      <c r="T382" s="58">
        <f>SUMIFS($S$5:$S$692,$A$5:$A$692,A382,$B$5:$B$692,B382,$F$5:$F$692,"&lt;="&amp;F382)</f>
        <v/>
      </c>
      <c r="U382" s="52">
        <f>'个人技术逐级'!O382</f>
        <v/>
      </c>
    </row>
    <row r="383">
      <c r="A383" s="33" t="inlineStr">
        <is>
          <t>个人技术</t>
        </is>
      </c>
      <c r="B383" s="33">
        <f>'个人技术逐级'!A383</f>
        <v/>
      </c>
      <c r="C383" s="33">
        <f>'个人技术逐级'!B383</f>
        <v/>
      </c>
      <c r="D383" s="33">
        <f>'个人技术逐级'!C383</f>
        <v/>
      </c>
      <c r="E383">
        <f>'个人技术逐级'!D383</f>
        <v/>
      </c>
      <c r="F383" s="54">
        <f>'个人技术逐级'!E383</f>
        <v/>
      </c>
      <c r="G383" s="55">
        <f>'个人技术逐级'!F383</f>
        <v/>
      </c>
      <c r="H383" s="56">
        <f>'个人技术逐级'!G383</f>
        <v/>
      </c>
      <c r="I383" s="52" t="inlineStr">
        <is>
          <t>个人技术计时升级</t>
        </is>
      </c>
      <c r="J383" s="57">
        <f>'个人技术逐级'!M383</f>
        <v/>
      </c>
      <c r="K383" s="35">
        <f>J383/3600</f>
        <v/>
      </c>
      <c r="L383" s="35">
        <f>SUMIFS($K$5:$K$692,$A$5:$A$692,A383,$B$5:$B$692,B383,$F$5:$F$692,"&lt;="&amp;F383)</f>
        <v/>
      </c>
      <c r="M383" s="58">
        <f>'个人技术逐级'!N383</f>
        <v/>
      </c>
      <c r="N383" s="58">
        <f>SUMIFS($M$5:$M$692,$A$5:$A$692,A383,$B$5:$B$692,B383,$F$5:$F$692,"&lt;="&amp;F383)</f>
        <v/>
      </c>
      <c r="O383" s="58">
        <f>0</f>
        <v/>
      </c>
      <c r="P383" s="58">
        <f>SUMIFS($O$5:$O$692,$A$5:$A$692,A383,$B$5:$B$692,B383,$F$5:$F$692,"&lt;="&amp;F383)</f>
        <v/>
      </c>
      <c r="Q383" s="58">
        <f>0</f>
        <v/>
      </c>
      <c r="R383" s="58">
        <f>SUMIFS($Q$5:$Q$692,$A$5:$A$692,A383,$B$5:$B$692,B383,$F$5:$F$692,"&lt;="&amp;F383)</f>
        <v/>
      </c>
      <c r="S383" s="58">
        <f>0</f>
        <v/>
      </c>
      <c r="T383" s="58">
        <f>SUMIFS($S$5:$S$692,$A$5:$A$692,A383,$B$5:$B$692,B383,$F$5:$F$692,"&lt;="&amp;F383)</f>
        <v/>
      </c>
      <c r="U383" s="52">
        <f>'个人技术逐级'!O383</f>
        <v/>
      </c>
    </row>
    <row r="384">
      <c r="A384" s="33" t="inlineStr">
        <is>
          <t>个人技术</t>
        </is>
      </c>
      <c r="B384" s="33">
        <f>'个人技术逐级'!A384</f>
        <v/>
      </c>
      <c r="C384" s="33">
        <f>'个人技术逐级'!B384</f>
        <v/>
      </c>
      <c r="D384" s="33">
        <f>'个人技术逐级'!C384</f>
        <v/>
      </c>
      <c r="E384">
        <f>'个人技术逐级'!D384</f>
        <v/>
      </c>
      <c r="F384" s="54">
        <f>'个人技术逐级'!E384</f>
        <v/>
      </c>
      <c r="G384" s="55">
        <f>'个人技术逐级'!F384</f>
        <v/>
      </c>
      <c r="H384" s="56">
        <f>'个人技术逐级'!G384</f>
        <v/>
      </c>
      <c r="I384" s="52" t="inlineStr">
        <is>
          <t>个人技术计时升级</t>
        </is>
      </c>
      <c r="J384" s="57">
        <f>'个人技术逐级'!M384</f>
        <v/>
      </c>
      <c r="K384" s="35">
        <f>J384/3600</f>
        <v/>
      </c>
      <c r="L384" s="35">
        <f>SUMIFS($K$5:$K$692,$A$5:$A$692,A384,$B$5:$B$692,B384,$F$5:$F$692,"&lt;="&amp;F384)</f>
        <v/>
      </c>
      <c r="M384" s="58">
        <f>'个人技术逐级'!N384</f>
        <v/>
      </c>
      <c r="N384" s="58">
        <f>SUMIFS($M$5:$M$692,$A$5:$A$692,A384,$B$5:$B$692,B384,$F$5:$F$692,"&lt;="&amp;F384)</f>
        <v/>
      </c>
      <c r="O384" s="58">
        <f>0</f>
        <v/>
      </c>
      <c r="P384" s="58">
        <f>SUMIFS($O$5:$O$692,$A$5:$A$692,A384,$B$5:$B$692,B384,$F$5:$F$692,"&lt;="&amp;F384)</f>
        <v/>
      </c>
      <c r="Q384" s="58">
        <f>0</f>
        <v/>
      </c>
      <c r="R384" s="58">
        <f>SUMIFS($Q$5:$Q$692,$A$5:$A$692,A384,$B$5:$B$692,B384,$F$5:$F$692,"&lt;="&amp;F384)</f>
        <v/>
      </c>
      <c r="S384" s="58">
        <f>0</f>
        <v/>
      </c>
      <c r="T384" s="58">
        <f>SUMIFS($S$5:$S$692,$A$5:$A$692,A384,$B$5:$B$692,B384,$F$5:$F$692,"&lt;="&amp;F384)</f>
        <v/>
      </c>
      <c r="U384" s="52">
        <f>'个人技术逐级'!O384</f>
        <v/>
      </c>
    </row>
    <row r="385">
      <c r="A385" s="33" t="inlineStr">
        <is>
          <t>个人技术</t>
        </is>
      </c>
      <c r="B385" s="33">
        <f>'个人技术逐级'!A385</f>
        <v/>
      </c>
      <c r="C385" s="33">
        <f>'个人技术逐级'!B385</f>
        <v/>
      </c>
      <c r="D385" s="33">
        <f>'个人技术逐级'!C385</f>
        <v/>
      </c>
      <c r="E385">
        <f>'个人技术逐级'!D385</f>
        <v/>
      </c>
      <c r="F385" s="54">
        <f>'个人技术逐级'!E385</f>
        <v/>
      </c>
      <c r="G385" s="55">
        <f>'个人技术逐级'!F385</f>
        <v/>
      </c>
      <c r="H385" s="56">
        <f>'个人技术逐级'!G385</f>
        <v/>
      </c>
      <c r="I385" s="52" t="inlineStr">
        <is>
          <t>个人技术计时升级</t>
        </is>
      </c>
      <c r="J385" s="57">
        <f>'个人技术逐级'!M385</f>
        <v/>
      </c>
      <c r="K385" s="35">
        <f>J385/3600</f>
        <v/>
      </c>
      <c r="L385" s="35">
        <f>SUMIFS($K$5:$K$692,$A$5:$A$692,A385,$B$5:$B$692,B385,$F$5:$F$692,"&lt;="&amp;F385)</f>
        <v/>
      </c>
      <c r="M385" s="58">
        <f>'个人技术逐级'!N385</f>
        <v/>
      </c>
      <c r="N385" s="58">
        <f>SUMIFS($M$5:$M$692,$A$5:$A$692,A385,$B$5:$B$692,B385,$F$5:$F$692,"&lt;="&amp;F385)</f>
        <v/>
      </c>
      <c r="O385" s="58">
        <f>0</f>
        <v/>
      </c>
      <c r="P385" s="58">
        <f>SUMIFS($O$5:$O$692,$A$5:$A$692,A385,$B$5:$B$692,B385,$F$5:$F$692,"&lt;="&amp;F385)</f>
        <v/>
      </c>
      <c r="Q385" s="58">
        <f>0</f>
        <v/>
      </c>
      <c r="R385" s="58">
        <f>SUMIFS($Q$5:$Q$692,$A$5:$A$692,A385,$B$5:$B$692,B385,$F$5:$F$692,"&lt;="&amp;F385)</f>
        <v/>
      </c>
      <c r="S385" s="58">
        <f>0</f>
        <v/>
      </c>
      <c r="T385" s="58">
        <f>SUMIFS($S$5:$S$692,$A$5:$A$692,A385,$B$5:$B$692,B385,$F$5:$F$692,"&lt;="&amp;F385)</f>
        <v/>
      </c>
      <c r="U385" s="52">
        <f>'个人技术逐级'!O385</f>
        <v/>
      </c>
    </row>
    <row r="386">
      <c r="A386" s="33" t="inlineStr">
        <is>
          <t>个人技术</t>
        </is>
      </c>
      <c r="B386" s="33">
        <f>'个人技术逐级'!A386</f>
        <v/>
      </c>
      <c r="C386" s="33">
        <f>'个人技术逐级'!B386</f>
        <v/>
      </c>
      <c r="D386" s="33">
        <f>'个人技术逐级'!C386</f>
        <v/>
      </c>
      <c r="E386">
        <f>'个人技术逐级'!D386</f>
        <v/>
      </c>
      <c r="F386" s="54">
        <f>'个人技术逐级'!E386</f>
        <v/>
      </c>
      <c r="G386" s="55">
        <f>'个人技术逐级'!F386</f>
        <v/>
      </c>
      <c r="H386" s="56">
        <f>'个人技术逐级'!G386</f>
        <v/>
      </c>
      <c r="I386" s="52" t="inlineStr">
        <is>
          <t>个人技术计时升级</t>
        </is>
      </c>
      <c r="J386" s="57">
        <f>'个人技术逐级'!M386</f>
        <v/>
      </c>
      <c r="K386" s="35">
        <f>J386/3600</f>
        <v/>
      </c>
      <c r="L386" s="35">
        <f>SUMIFS($K$5:$K$692,$A$5:$A$692,A386,$B$5:$B$692,B386,$F$5:$F$692,"&lt;="&amp;F386)</f>
        <v/>
      </c>
      <c r="M386" s="58">
        <f>'个人技术逐级'!N386</f>
        <v/>
      </c>
      <c r="N386" s="58">
        <f>SUMIFS($M$5:$M$692,$A$5:$A$692,A386,$B$5:$B$692,B386,$F$5:$F$692,"&lt;="&amp;F386)</f>
        <v/>
      </c>
      <c r="O386" s="58">
        <f>0</f>
        <v/>
      </c>
      <c r="P386" s="58">
        <f>SUMIFS($O$5:$O$692,$A$5:$A$692,A386,$B$5:$B$692,B386,$F$5:$F$692,"&lt;="&amp;F386)</f>
        <v/>
      </c>
      <c r="Q386" s="58">
        <f>0</f>
        <v/>
      </c>
      <c r="R386" s="58">
        <f>SUMIFS($Q$5:$Q$692,$A$5:$A$692,A386,$B$5:$B$692,B386,$F$5:$F$692,"&lt;="&amp;F386)</f>
        <v/>
      </c>
      <c r="S386" s="58">
        <f>0</f>
        <v/>
      </c>
      <c r="T386" s="58">
        <f>SUMIFS($S$5:$S$692,$A$5:$A$692,A386,$B$5:$B$692,B386,$F$5:$F$692,"&lt;="&amp;F386)</f>
        <v/>
      </c>
      <c r="U386" s="52">
        <f>'个人技术逐级'!O386</f>
        <v/>
      </c>
    </row>
    <row r="387">
      <c r="A387" s="33" t="inlineStr">
        <is>
          <t>个人技术</t>
        </is>
      </c>
      <c r="B387" s="33">
        <f>'个人技术逐级'!A387</f>
        <v/>
      </c>
      <c r="C387" s="33">
        <f>'个人技术逐级'!B387</f>
        <v/>
      </c>
      <c r="D387" s="33">
        <f>'个人技术逐级'!C387</f>
        <v/>
      </c>
      <c r="E387">
        <f>'个人技术逐级'!D387</f>
        <v/>
      </c>
      <c r="F387" s="54">
        <f>'个人技术逐级'!E387</f>
        <v/>
      </c>
      <c r="G387" s="55">
        <f>'个人技术逐级'!F387</f>
        <v/>
      </c>
      <c r="H387" s="56">
        <f>'个人技术逐级'!G387</f>
        <v/>
      </c>
      <c r="I387" s="52" t="inlineStr">
        <is>
          <t>个人技术计时升级</t>
        </is>
      </c>
      <c r="J387" s="57">
        <f>'个人技术逐级'!M387</f>
        <v/>
      </c>
      <c r="K387" s="35">
        <f>J387/3600</f>
        <v/>
      </c>
      <c r="L387" s="35">
        <f>SUMIFS($K$5:$K$692,$A$5:$A$692,A387,$B$5:$B$692,B387,$F$5:$F$692,"&lt;="&amp;F387)</f>
        <v/>
      </c>
      <c r="M387" s="58">
        <f>'个人技术逐级'!N387</f>
        <v/>
      </c>
      <c r="N387" s="58">
        <f>SUMIFS($M$5:$M$692,$A$5:$A$692,A387,$B$5:$B$692,B387,$F$5:$F$692,"&lt;="&amp;F387)</f>
        <v/>
      </c>
      <c r="O387" s="58">
        <f>0</f>
        <v/>
      </c>
      <c r="P387" s="58">
        <f>SUMIFS($O$5:$O$692,$A$5:$A$692,A387,$B$5:$B$692,B387,$F$5:$F$692,"&lt;="&amp;F387)</f>
        <v/>
      </c>
      <c r="Q387" s="58">
        <f>0</f>
        <v/>
      </c>
      <c r="R387" s="58">
        <f>SUMIFS($Q$5:$Q$692,$A$5:$A$692,A387,$B$5:$B$692,B387,$F$5:$F$692,"&lt;="&amp;F387)</f>
        <v/>
      </c>
      <c r="S387" s="58">
        <f>0</f>
        <v/>
      </c>
      <c r="T387" s="58">
        <f>SUMIFS($S$5:$S$692,$A$5:$A$692,A387,$B$5:$B$692,B387,$F$5:$F$692,"&lt;="&amp;F387)</f>
        <v/>
      </c>
      <c r="U387" s="52">
        <f>'个人技术逐级'!O387</f>
        <v/>
      </c>
    </row>
    <row r="388">
      <c r="A388" s="33" t="inlineStr">
        <is>
          <t>个人技术</t>
        </is>
      </c>
      <c r="B388" s="33">
        <f>'个人技术逐级'!A388</f>
        <v/>
      </c>
      <c r="C388" s="33">
        <f>'个人技术逐级'!B388</f>
        <v/>
      </c>
      <c r="D388" s="33">
        <f>'个人技术逐级'!C388</f>
        <v/>
      </c>
      <c r="E388">
        <f>'个人技术逐级'!D388</f>
        <v/>
      </c>
      <c r="F388" s="54">
        <f>'个人技术逐级'!E388</f>
        <v/>
      </c>
      <c r="G388" s="55">
        <f>'个人技术逐级'!F388</f>
        <v/>
      </c>
      <c r="H388" s="56">
        <f>'个人技术逐级'!G388</f>
        <v/>
      </c>
      <c r="I388" s="52" t="inlineStr">
        <is>
          <t>个人技术计时升级</t>
        </is>
      </c>
      <c r="J388" s="57">
        <f>'个人技术逐级'!M388</f>
        <v/>
      </c>
      <c r="K388" s="35">
        <f>J388/3600</f>
        <v/>
      </c>
      <c r="L388" s="35">
        <f>SUMIFS($K$5:$K$692,$A$5:$A$692,A388,$B$5:$B$692,B388,$F$5:$F$692,"&lt;="&amp;F388)</f>
        <v/>
      </c>
      <c r="M388" s="58">
        <f>'个人技术逐级'!N388</f>
        <v/>
      </c>
      <c r="N388" s="58">
        <f>SUMIFS($M$5:$M$692,$A$5:$A$692,A388,$B$5:$B$692,B388,$F$5:$F$692,"&lt;="&amp;F388)</f>
        <v/>
      </c>
      <c r="O388" s="58">
        <f>0</f>
        <v/>
      </c>
      <c r="P388" s="58">
        <f>SUMIFS($O$5:$O$692,$A$5:$A$692,A388,$B$5:$B$692,B388,$F$5:$F$692,"&lt;="&amp;F388)</f>
        <v/>
      </c>
      <c r="Q388" s="58">
        <f>0</f>
        <v/>
      </c>
      <c r="R388" s="58">
        <f>SUMIFS($Q$5:$Q$692,$A$5:$A$692,A388,$B$5:$B$692,B388,$F$5:$F$692,"&lt;="&amp;F388)</f>
        <v/>
      </c>
      <c r="S388" s="58">
        <f>0</f>
        <v/>
      </c>
      <c r="T388" s="58">
        <f>SUMIFS($S$5:$S$692,$A$5:$A$692,A388,$B$5:$B$692,B388,$F$5:$F$692,"&lt;="&amp;F388)</f>
        <v/>
      </c>
      <c r="U388" s="52">
        <f>'个人技术逐级'!O388</f>
        <v/>
      </c>
    </row>
    <row r="389">
      <c r="A389" s="33" t="inlineStr">
        <is>
          <t>个人技术</t>
        </is>
      </c>
      <c r="B389" s="33">
        <f>'个人技术逐级'!A389</f>
        <v/>
      </c>
      <c r="C389" s="33">
        <f>'个人技术逐级'!B389</f>
        <v/>
      </c>
      <c r="D389" s="33">
        <f>'个人技术逐级'!C389</f>
        <v/>
      </c>
      <c r="E389">
        <f>'个人技术逐级'!D389</f>
        <v/>
      </c>
      <c r="F389" s="54">
        <f>'个人技术逐级'!E389</f>
        <v/>
      </c>
      <c r="G389" s="55">
        <f>'个人技术逐级'!F389</f>
        <v/>
      </c>
      <c r="H389" s="56">
        <f>'个人技术逐级'!G389</f>
        <v/>
      </c>
      <c r="I389" s="52" t="inlineStr">
        <is>
          <t>个人技术计时升级</t>
        </is>
      </c>
      <c r="J389" s="57">
        <f>'个人技术逐级'!M389</f>
        <v/>
      </c>
      <c r="K389" s="35">
        <f>J389/3600</f>
        <v/>
      </c>
      <c r="L389" s="35">
        <f>SUMIFS($K$5:$K$692,$A$5:$A$692,A389,$B$5:$B$692,B389,$F$5:$F$692,"&lt;="&amp;F389)</f>
        <v/>
      </c>
      <c r="M389" s="58">
        <f>'个人技术逐级'!N389</f>
        <v/>
      </c>
      <c r="N389" s="58">
        <f>SUMIFS($M$5:$M$692,$A$5:$A$692,A389,$B$5:$B$692,B389,$F$5:$F$692,"&lt;="&amp;F389)</f>
        <v/>
      </c>
      <c r="O389" s="58">
        <f>0</f>
        <v/>
      </c>
      <c r="P389" s="58">
        <f>SUMIFS($O$5:$O$692,$A$5:$A$692,A389,$B$5:$B$692,B389,$F$5:$F$692,"&lt;="&amp;F389)</f>
        <v/>
      </c>
      <c r="Q389" s="58">
        <f>0</f>
        <v/>
      </c>
      <c r="R389" s="58">
        <f>SUMIFS($Q$5:$Q$692,$A$5:$A$692,A389,$B$5:$B$692,B389,$F$5:$F$692,"&lt;="&amp;F389)</f>
        <v/>
      </c>
      <c r="S389" s="58">
        <f>0</f>
        <v/>
      </c>
      <c r="T389" s="58">
        <f>SUMIFS($S$5:$S$692,$A$5:$A$692,A389,$B$5:$B$692,B389,$F$5:$F$692,"&lt;="&amp;F389)</f>
        <v/>
      </c>
      <c r="U389" s="52">
        <f>'个人技术逐级'!O389</f>
        <v/>
      </c>
    </row>
    <row r="390">
      <c r="A390" s="33" t="inlineStr">
        <is>
          <t>个人技术</t>
        </is>
      </c>
      <c r="B390" s="33">
        <f>'个人技术逐级'!A390</f>
        <v/>
      </c>
      <c r="C390" s="33">
        <f>'个人技术逐级'!B390</f>
        <v/>
      </c>
      <c r="D390" s="33">
        <f>'个人技术逐级'!C390</f>
        <v/>
      </c>
      <c r="E390">
        <f>'个人技术逐级'!D390</f>
        <v/>
      </c>
      <c r="F390" s="54">
        <f>'个人技术逐级'!E390</f>
        <v/>
      </c>
      <c r="G390" s="55">
        <f>'个人技术逐级'!F390</f>
        <v/>
      </c>
      <c r="H390" s="56">
        <f>'个人技术逐级'!G390</f>
        <v/>
      </c>
      <c r="I390" s="52" t="inlineStr">
        <is>
          <t>个人技术计时升级</t>
        </is>
      </c>
      <c r="J390" s="57">
        <f>'个人技术逐级'!M390</f>
        <v/>
      </c>
      <c r="K390" s="35">
        <f>J390/3600</f>
        <v/>
      </c>
      <c r="L390" s="35">
        <f>SUMIFS($K$5:$K$692,$A$5:$A$692,A390,$B$5:$B$692,B390,$F$5:$F$692,"&lt;="&amp;F390)</f>
        <v/>
      </c>
      <c r="M390" s="58">
        <f>'个人技术逐级'!N390</f>
        <v/>
      </c>
      <c r="N390" s="58">
        <f>SUMIFS($M$5:$M$692,$A$5:$A$692,A390,$B$5:$B$692,B390,$F$5:$F$692,"&lt;="&amp;F390)</f>
        <v/>
      </c>
      <c r="O390" s="58">
        <f>0</f>
        <v/>
      </c>
      <c r="P390" s="58">
        <f>SUMIFS($O$5:$O$692,$A$5:$A$692,A390,$B$5:$B$692,B390,$F$5:$F$692,"&lt;="&amp;F390)</f>
        <v/>
      </c>
      <c r="Q390" s="58">
        <f>0</f>
        <v/>
      </c>
      <c r="R390" s="58">
        <f>SUMIFS($Q$5:$Q$692,$A$5:$A$692,A390,$B$5:$B$692,B390,$F$5:$F$692,"&lt;="&amp;F390)</f>
        <v/>
      </c>
      <c r="S390" s="58">
        <f>0</f>
        <v/>
      </c>
      <c r="T390" s="58">
        <f>SUMIFS($S$5:$S$692,$A$5:$A$692,A390,$B$5:$B$692,B390,$F$5:$F$692,"&lt;="&amp;F390)</f>
        <v/>
      </c>
      <c r="U390" s="52">
        <f>'个人技术逐级'!O390</f>
        <v/>
      </c>
    </row>
    <row r="391">
      <c r="A391" s="33" t="inlineStr">
        <is>
          <t>个人技术</t>
        </is>
      </c>
      <c r="B391" s="33">
        <f>'个人技术逐级'!A391</f>
        <v/>
      </c>
      <c r="C391" s="33">
        <f>'个人技术逐级'!B391</f>
        <v/>
      </c>
      <c r="D391" s="33">
        <f>'个人技术逐级'!C391</f>
        <v/>
      </c>
      <c r="E391">
        <f>'个人技术逐级'!D391</f>
        <v/>
      </c>
      <c r="F391" s="54">
        <f>'个人技术逐级'!E391</f>
        <v/>
      </c>
      <c r="G391" s="55">
        <f>'个人技术逐级'!F391</f>
        <v/>
      </c>
      <c r="H391" s="56">
        <f>'个人技术逐级'!G391</f>
        <v/>
      </c>
      <c r="I391" s="52" t="inlineStr">
        <is>
          <t>个人技术计时升级</t>
        </is>
      </c>
      <c r="J391" s="57">
        <f>'个人技术逐级'!M391</f>
        <v/>
      </c>
      <c r="K391" s="35">
        <f>J391/3600</f>
        <v/>
      </c>
      <c r="L391" s="35">
        <f>SUMIFS($K$5:$K$692,$A$5:$A$692,A391,$B$5:$B$692,B391,$F$5:$F$692,"&lt;="&amp;F391)</f>
        <v/>
      </c>
      <c r="M391" s="58">
        <f>'个人技术逐级'!N391</f>
        <v/>
      </c>
      <c r="N391" s="58">
        <f>SUMIFS($M$5:$M$692,$A$5:$A$692,A391,$B$5:$B$692,B391,$F$5:$F$692,"&lt;="&amp;F391)</f>
        <v/>
      </c>
      <c r="O391" s="58">
        <f>0</f>
        <v/>
      </c>
      <c r="P391" s="58">
        <f>SUMIFS($O$5:$O$692,$A$5:$A$692,A391,$B$5:$B$692,B391,$F$5:$F$692,"&lt;="&amp;F391)</f>
        <v/>
      </c>
      <c r="Q391" s="58">
        <f>0</f>
        <v/>
      </c>
      <c r="R391" s="58">
        <f>SUMIFS($Q$5:$Q$692,$A$5:$A$692,A391,$B$5:$B$692,B391,$F$5:$F$692,"&lt;="&amp;F391)</f>
        <v/>
      </c>
      <c r="S391" s="58">
        <f>0</f>
        <v/>
      </c>
      <c r="T391" s="58">
        <f>SUMIFS($S$5:$S$692,$A$5:$A$692,A391,$B$5:$B$692,B391,$F$5:$F$692,"&lt;="&amp;F391)</f>
        <v/>
      </c>
      <c r="U391" s="52">
        <f>'个人技术逐级'!O391</f>
        <v/>
      </c>
    </row>
    <row r="392">
      <c r="A392" s="33" t="inlineStr">
        <is>
          <t>个人技术</t>
        </is>
      </c>
      <c r="B392" s="33">
        <f>'个人技术逐级'!A392</f>
        <v/>
      </c>
      <c r="C392" s="33">
        <f>'个人技术逐级'!B392</f>
        <v/>
      </c>
      <c r="D392" s="33">
        <f>'个人技术逐级'!C392</f>
        <v/>
      </c>
      <c r="E392">
        <f>'个人技术逐级'!D392</f>
        <v/>
      </c>
      <c r="F392" s="54">
        <f>'个人技术逐级'!E392</f>
        <v/>
      </c>
      <c r="G392" s="55">
        <f>'个人技术逐级'!F392</f>
        <v/>
      </c>
      <c r="H392" s="56">
        <f>'个人技术逐级'!G392</f>
        <v/>
      </c>
      <c r="I392" s="52" t="inlineStr">
        <is>
          <t>个人技术计时升级</t>
        </is>
      </c>
      <c r="J392" s="57">
        <f>'个人技术逐级'!M392</f>
        <v/>
      </c>
      <c r="K392" s="35">
        <f>J392/3600</f>
        <v/>
      </c>
      <c r="L392" s="35">
        <f>SUMIFS($K$5:$K$692,$A$5:$A$692,A392,$B$5:$B$692,B392,$F$5:$F$692,"&lt;="&amp;F392)</f>
        <v/>
      </c>
      <c r="M392" s="58">
        <f>'个人技术逐级'!N392</f>
        <v/>
      </c>
      <c r="N392" s="58">
        <f>SUMIFS($M$5:$M$692,$A$5:$A$692,A392,$B$5:$B$692,B392,$F$5:$F$692,"&lt;="&amp;F392)</f>
        <v/>
      </c>
      <c r="O392" s="58">
        <f>0</f>
        <v/>
      </c>
      <c r="P392" s="58">
        <f>SUMIFS($O$5:$O$692,$A$5:$A$692,A392,$B$5:$B$692,B392,$F$5:$F$692,"&lt;="&amp;F392)</f>
        <v/>
      </c>
      <c r="Q392" s="58">
        <f>0</f>
        <v/>
      </c>
      <c r="R392" s="58">
        <f>SUMIFS($Q$5:$Q$692,$A$5:$A$692,A392,$B$5:$B$692,B392,$F$5:$F$692,"&lt;="&amp;F392)</f>
        <v/>
      </c>
      <c r="S392" s="58">
        <f>0</f>
        <v/>
      </c>
      <c r="T392" s="58">
        <f>SUMIFS($S$5:$S$692,$A$5:$A$692,A392,$B$5:$B$692,B392,$F$5:$F$692,"&lt;="&amp;F392)</f>
        <v/>
      </c>
      <c r="U392" s="52">
        <f>'个人技术逐级'!O392</f>
        <v/>
      </c>
    </row>
    <row r="393">
      <c r="A393" s="33" t="inlineStr">
        <is>
          <t>个人技术</t>
        </is>
      </c>
      <c r="B393" s="33">
        <f>'个人技术逐级'!A393</f>
        <v/>
      </c>
      <c r="C393" s="33">
        <f>'个人技术逐级'!B393</f>
        <v/>
      </c>
      <c r="D393" s="33">
        <f>'个人技术逐级'!C393</f>
        <v/>
      </c>
      <c r="E393">
        <f>'个人技术逐级'!D393</f>
        <v/>
      </c>
      <c r="F393" s="54">
        <f>'个人技术逐级'!E393</f>
        <v/>
      </c>
      <c r="G393" s="55">
        <f>'个人技术逐级'!F393</f>
        <v/>
      </c>
      <c r="H393" s="56">
        <f>'个人技术逐级'!G393</f>
        <v/>
      </c>
      <c r="I393" s="52" t="inlineStr">
        <is>
          <t>个人技术计时升级</t>
        </is>
      </c>
      <c r="J393" s="57">
        <f>'个人技术逐级'!M393</f>
        <v/>
      </c>
      <c r="K393" s="35">
        <f>J393/3600</f>
        <v/>
      </c>
      <c r="L393" s="35">
        <f>SUMIFS($K$5:$K$692,$A$5:$A$692,A393,$B$5:$B$692,B393,$F$5:$F$692,"&lt;="&amp;F393)</f>
        <v/>
      </c>
      <c r="M393" s="58">
        <f>'个人技术逐级'!N393</f>
        <v/>
      </c>
      <c r="N393" s="58">
        <f>SUMIFS($M$5:$M$692,$A$5:$A$692,A393,$B$5:$B$692,B393,$F$5:$F$692,"&lt;="&amp;F393)</f>
        <v/>
      </c>
      <c r="O393" s="58">
        <f>0</f>
        <v/>
      </c>
      <c r="P393" s="58">
        <f>SUMIFS($O$5:$O$692,$A$5:$A$692,A393,$B$5:$B$692,B393,$F$5:$F$692,"&lt;="&amp;F393)</f>
        <v/>
      </c>
      <c r="Q393" s="58">
        <f>0</f>
        <v/>
      </c>
      <c r="R393" s="58">
        <f>SUMIFS($Q$5:$Q$692,$A$5:$A$692,A393,$B$5:$B$692,B393,$F$5:$F$692,"&lt;="&amp;F393)</f>
        <v/>
      </c>
      <c r="S393" s="58">
        <f>0</f>
        <v/>
      </c>
      <c r="T393" s="58">
        <f>SUMIFS($S$5:$S$692,$A$5:$A$692,A393,$B$5:$B$692,B393,$F$5:$F$692,"&lt;="&amp;F393)</f>
        <v/>
      </c>
      <c r="U393" s="52">
        <f>'个人技术逐级'!O393</f>
        <v/>
      </c>
    </row>
    <row r="394">
      <c r="A394" s="33" t="inlineStr">
        <is>
          <t>个人技术</t>
        </is>
      </c>
      <c r="B394" s="33">
        <f>'个人技术逐级'!A394</f>
        <v/>
      </c>
      <c r="C394" s="33">
        <f>'个人技术逐级'!B394</f>
        <v/>
      </c>
      <c r="D394" s="33">
        <f>'个人技术逐级'!C394</f>
        <v/>
      </c>
      <c r="E394">
        <f>'个人技术逐级'!D394</f>
        <v/>
      </c>
      <c r="F394" s="54">
        <f>'个人技术逐级'!E394</f>
        <v/>
      </c>
      <c r="G394" s="55">
        <f>'个人技术逐级'!F394</f>
        <v/>
      </c>
      <c r="H394" s="56">
        <f>'个人技术逐级'!G394</f>
        <v/>
      </c>
      <c r="I394" s="52" t="inlineStr">
        <is>
          <t>个人技术计时升级</t>
        </is>
      </c>
      <c r="J394" s="57">
        <f>'个人技术逐级'!M394</f>
        <v/>
      </c>
      <c r="K394" s="35">
        <f>J394/3600</f>
        <v/>
      </c>
      <c r="L394" s="35">
        <f>SUMIFS($K$5:$K$692,$A$5:$A$692,A394,$B$5:$B$692,B394,$F$5:$F$692,"&lt;="&amp;F394)</f>
        <v/>
      </c>
      <c r="M394" s="58">
        <f>'个人技术逐级'!N394</f>
        <v/>
      </c>
      <c r="N394" s="58">
        <f>SUMIFS($M$5:$M$692,$A$5:$A$692,A394,$B$5:$B$692,B394,$F$5:$F$692,"&lt;="&amp;F394)</f>
        <v/>
      </c>
      <c r="O394" s="58">
        <f>0</f>
        <v/>
      </c>
      <c r="P394" s="58">
        <f>SUMIFS($O$5:$O$692,$A$5:$A$692,A394,$B$5:$B$692,B394,$F$5:$F$692,"&lt;="&amp;F394)</f>
        <v/>
      </c>
      <c r="Q394" s="58">
        <f>0</f>
        <v/>
      </c>
      <c r="R394" s="58">
        <f>SUMIFS($Q$5:$Q$692,$A$5:$A$692,A394,$B$5:$B$692,B394,$F$5:$F$692,"&lt;="&amp;F394)</f>
        <v/>
      </c>
      <c r="S394" s="58">
        <f>0</f>
        <v/>
      </c>
      <c r="T394" s="58">
        <f>SUMIFS($S$5:$S$692,$A$5:$A$692,A394,$B$5:$B$692,B394,$F$5:$F$692,"&lt;="&amp;F394)</f>
        <v/>
      </c>
      <c r="U394" s="52">
        <f>'个人技术逐级'!O394</f>
        <v/>
      </c>
    </row>
    <row r="395">
      <c r="A395" s="33" t="inlineStr">
        <is>
          <t>个人技术</t>
        </is>
      </c>
      <c r="B395" s="33">
        <f>'个人技术逐级'!A395</f>
        <v/>
      </c>
      <c r="C395" s="33">
        <f>'个人技术逐级'!B395</f>
        <v/>
      </c>
      <c r="D395" s="33">
        <f>'个人技术逐级'!C395</f>
        <v/>
      </c>
      <c r="E395">
        <f>'个人技术逐级'!D395</f>
        <v/>
      </c>
      <c r="F395" s="54">
        <f>'个人技术逐级'!E395</f>
        <v/>
      </c>
      <c r="G395" s="55">
        <f>'个人技术逐级'!F395</f>
        <v/>
      </c>
      <c r="H395" s="56">
        <f>'个人技术逐级'!G395</f>
        <v/>
      </c>
      <c r="I395" s="52" t="inlineStr">
        <is>
          <t>个人技术计时升级</t>
        </is>
      </c>
      <c r="J395" s="57">
        <f>'个人技术逐级'!M395</f>
        <v/>
      </c>
      <c r="K395" s="35">
        <f>J395/3600</f>
        <v/>
      </c>
      <c r="L395" s="35">
        <f>SUMIFS($K$5:$K$692,$A$5:$A$692,A395,$B$5:$B$692,B395,$F$5:$F$692,"&lt;="&amp;F395)</f>
        <v/>
      </c>
      <c r="M395" s="58">
        <f>'个人技术逐级'!N395</f>
        <v/>
      </c>
      <c r="N395" s="58">
        <f>SUMIFS($M$5:$M$692,$A$5:$A$692,A395,$B$5:$B$692,B395,$F$5:$F$692,"&lt;="&amp;F395)</f>
        <v/>
      </c>
      <c r="O395" s="58">
        <f>0</f>
        <v/>
      </c>
      <c r="P395" s="58">
        <f>SUMIFS($O$5:$O$692,$A$5:$A$692,A395,$B$5:$B$692,B395,$F$5:$F$692,"&lt;="&amp;F395)</f>
        <v/>
      </c>
      <c r="Q395" s="58">
        <f>0</f>
        <v/>
      </c>
      <c r="R395" s="58">
        <f>SUMIFS($Q$5:$Q$692,$A$5:$A$692,A395,$B$5:$B$692,B395,$F$5:$F$692,"&lt;="&amp;F395)</f>
        <v/>
      </c>
      <c r="S395" s="58">
        <f>0</f>
        <v/>
      </c>
      <c r="T395" s="58">
        <f>SUMIFS($S$5:$S$692,$A$5:$A$692,A395,$B$5:$B$692,B395,$F$5:$F$692,"&lt;="&amp;F395)</f>
        <v/>
      </c>
      <c r="U395" s="52">
        <f>'个人技术逐级'!O395</f>
        <v/>
      </c>
    </row>
    <row r="396">
      <c r="A396" s="33" t="inlineStr">
        <is>
          <t>个人技术</t>
        </is>
      </c>
      <c r="B396" s="33">
        <f>'个人技术逐级'!A396</f>
        <v/>
      </c>
      <c r="C396" s="33">
        <f>'个人技术逐级'!B396</f>
        <v/>
      </c>
      <c r="D396" s="33">
        <f>'个人技术逐级'!C396</f>
        <v/>
      </c>
      <c r="E396">
        <f>'个人技术逐级'!D396</f>
        <v/>
      </c>
      <c r="F396" s="54">
        <f>'个人技术逐级'!E396</f>
        <v/>
      </c>
      <c r="G396" s="55">
        <f>'个人技术逐级'!F396</f>
        <v/>
      </c>
      <c r="H396" s="56">
        <f>'个人技术逐级'!G396</f>
        <v/>
      </c>
      <c r="I396" s="52" t="inlineStr">
        <is>
          <t>个人技术计时升级</t>
        </is>
      </c>
      <c r="J396" s="57">
        <f>'个人技术逐级'!M396</f>
        <v/>
      </c>
      <c r="K396" s="35">
        <f>J396/3600</f>
        <v/>
      </c>
      <c r="L396" s="35">
        <f>SUMIFS($K$5:$K$692,$A$5:$A$692,A396,$B$5:$B$692,B396,$F$5:$F$692,"&lt;="&amp;F396)</f>
        <v/>
      </c>
      <c r="M396" s="58">
        <f>'个人技术逐级'!N396</f>
        <v/>
      </c>
      <c r="N396" s="58">
        <f>SUMIFS($M$5:$M$692,$A$5:$A$692,A396,$B$5:$B$692,B396,$F$5:$F$692,"&lt;="&amp;F396)</f>
        <v/>
      </c>
      <c r="O396" s="58">
        <f>0</f>
        <v/>
      </c>
      <c r="P396" s="58">
        <f>SUMIFS($O$5:$O$692,$A$5:$A$692,A396,$B$5:$B$692,B396,$F$5:$F$692,"&lt;="&amp;F396)</f>
        <v/>
      </c>
      <c r="Q396" s="58">
        <f>0</f>
        <v/>
      </c>
      <c r="R396" s="58">
        <f>SUMIFS($Q$5:$Q$692,$A$5:$A$692,A396,$B$5:$B$692,B396,$F$5:$F$692,"&lt;="&amp;F396)</f>
        <v/>
      </c>
      <c r="S396" s="58">
        <f>0</f>
        <v/>
      </c>
      <c r="T396" s="58">
        <f>SUMIFS($S$5:$S$692,$A$5:$A$692,A396,$B$5:$B$692,B396,$F$5:$F$692,"&lt;="&amp;F396)</f>
        <v/>
      </c>
      <c r="U396" s="52">
        <f>'个人技术逐级'!O396</f>
        <v/>
      </c>
    </row>
    <row r="397">
      <c r="A397" s="33" t="inlineStr">
        <is>
          <t>个人技术</t>
        </is>
      </c>
      <c r="B397" s="33">
        <f>'个人技术逐级'!A397</f>
        <v/>
      </c>
      <c r="C397" s="33">
        <f>'个人技术逐级'!B397</f>
        <v/>
      </c>
      <c r="D397" s="33">
        <f>'个人技术逐级'!C397</f>
        <v/>
      </c>
      <c r="E397">
        <f>'个人技术逐级'!D397</f>
        <v/>
      </c>
      <c r="F397" s="54">
        <f>'个人技术逐级'!E397</f>
        <v/>
      </c>
      <c r="G397" s="55">
        <f>'个人技术逐级'!F397</f>
        <v/>
      </c>
      <c r="H397" s="56">
        <f>'个人技术逐级'!G397</f>
        <v/>
      </c>
      <c r="I397" s="52" t="inlineStr">
        <is>
          <t>个人技术计时升级</t>
        </is>
      </c>
      <c r="J397" s="57">
        <f>'个人技术逐级'!M397</f>
        <v/>
      </c>
      <c r="K397" s="35">
        <f>J397/3600</f>
        <v/>
      </c>
      <c r="L397" s="35">
        <f>SUMIFS($K$5:$K$692,$A$5:$A$692,A397,$B$5:$B$692,B397,$F$5:$F$692,"&lt;="&amp;F397)</f>
        <v/>
      </c>
      <c r="M397" s="58">
        <f>'个人技术逐级'!N397</f>
        <v/>
      </c>
      <c r="N397" s="58">
        <f>SUMIFS($M$5:$M$692,$A$5:$A$692,A397,$B$5:$B$692,B397,$F$5:$F$692,"&lt;="&amp;F397)</f>
        <v/>
      </c>
      <c r="O397" s="58">
        <f>0</f>
        <v/>
      </c>
      <c r="P397" s="58">
        <f>SUMIFS($O$5:$O$692,$A$5:$A$692,A397,$B$5:$B$692,B397,$F$5:$F$692,"&lt;="&amp;F397)</f>
        <v/>
      </c>
      <c r="Q397" s="58">
        <f>0</f>
        <v/>
      </c>
      <c r="R397" s="58">
        <f>SUMIFS($Q$5:$Q$692,$A$5:$A$692,A397,$B$5:$B$692,B397,$F$5:$F$692,"&lt;="&amp;F397)</f>
        <v/>
      </c>
      <c r="S397" s="58">
        <f>0</f>
        <v/>
      </c>
      <c r="T397" s="58">
        <f>SUMIFS($S$5:$S$692,$A$5:$A$692,A397,$B$5:$B$692,B397,$F$5:$F$692,"&lt;="&amp;F397)</f>
        <v/>
      </c>
      <c r="U397" s="52">
        <f>'个人技术逐级'!O397</f>
        <v/>
      </c>
    </row>
    <row r="398">
      <c r="A398" s="33" t="inlineStr">
        <is>
          <t>个人技术</t>
        </is>
      </c>
      <c r="B398" s="33">
        <f>'个人技术逐级'!A398</f>
        <v/>
      </c>
      <c r="C398" s="33">
        <f>'个人技术逐级'!B398</f>
        <v/>
      </c>
      <c r="D398" s="33">
        <f>'个人技术逐级'!C398</f>
        <v/>
      </c>
      <c r="E398">
        <f>'个人技术逐级'!D398</f>
        <v/>
      </c>
      <c r="F398" s="54">
        <f>'个人技术逐级'!E398</f>
        <v/>
      </c>
      <c r="G398" s="55">
        <f>'个人技术逐级'!F398</f>
        <v/>
      </c>
      <c r="H398" s="56">
        <f>'个人技术逐级'!G398</f>
        <v/>
      </c>
      <c r="I398" s="52" t="inlineStr">
        <is>
          <t>个人技术计时升级</t>
        </is>
      </c>
      <c r="J398" s="57">
        <f>'个人技术逐级'!M398</f>
        <v/>
      </c>
      <c r="K398" s="35">
        <f>J398/3600</f>
        <v/>
      </c>
      <c r="L398" s="35">
        <f>SUMIFS($K$5:$K$692,$A$5:$A$692,A398,$B$5:$B$692,B398,$F$5:$F$692,"&lt;="&amp;F398)</f>
        <v/>
      </c>
      <c r="M398" s="58">
        <f>'个人技术逐级'!N398</f>
        <v/>
      </c>
      <c r="N398" s="58">
        <f>SUMIFS($M$5:$M$692,$A$5:$A$692,A398,$B$5:$B$692,B398,$F$5:$F$692,"&lt;="&amp;F398)</f>
        <v/>
      </c>
      <c r="O398" s="58">
        <f>0</f>
        <v/>
      </c>
      <c r="P398" s="58">
        <f>SUMIFS($O$5:$O$692,$A$5:$A$692,A398,$B$5:$B$692,B398,$F$5:$F$692,"&lt;="&amp;F398)</f>
        <v/>
      </c>
      <c r="Q398" s="58">
        <f>0</f>
        <v/>
      </c>
      <c r="R398" s="58">
        <f>SUMIFS($Q$5:$Q$692,$A$5:$A$692,A398,$B$5:$B$692,B398,$F$5:$F$692,"&lt;="&amp;F398)</f>
        <v/>
      </c>
      <c r="S398" s="58">
        <f>0</f>
        <v/>
      </c>
      <c r="T398" s="58">
        <f>SUMIFS($S$5:$S$692,$A$5:$A$692,A398,$B$5:$B$692,B398,$F$5:$F$692,"&lt;="&amp;F398)</f>
        <v/>
      </c>
      <c r="U398" s="52">
        <f>'个人技术逐级'!O398</f>
        <v/>
      </c>
    </row>
    <row r="399">
      <c r="A399" s="33" t="inlineStr">
        <is>
          <t>个人技术</t>
        </is>
      </c>
      <c r="B399" s="33">
        <f>'个人技术逐级'!A399</f>
        <v/>
      </c>
      <c r="C399" s="33">
        <f>'个人技术逐级'!B399</f>
        <v/>
      </c>
      <c r="D399" s="33">
        <f>'个人技术逐级'!C399</f>
        <v/>
      </c>
      <c r="E399">
        <f>'个人技术逐级'!D399</f>
        <v/>
      </c>
      <c r="F399" s="54">
        <f>'个人技术逐级'!E399</f>
        <v/>
      </c>
      <c r="G399" s="55">
        <f>'个人技术逐级'!F399</f>
        <v/>
      </c>
      <c r="H399" s="56">
        <f>'个人技术逐级'!G399</f>
        <v/>
      </c>
      <c r="I399" s="52" t="inlineStr">
        <is>
          <t>个人技术计时升级</t>
        </is>
      </c>
      <c r="J399" s="57">
        <f>'个人技术逐级'!M399</f>
        <v/>
      </c>
      <c r="K399" s="35">
        <f>J399/3600</f>
        <v/>
      </c>
      <c r="L399" s="35">
        <f>SUMIFS($K$5:$K$692,$A$5:$A$692,A399,$B$5:$B$692,B399,$F$5:$F$692,"&lt;="&amp;F399)</f>
        <v/>
      </c>
      <c r="M399" s="58">
        <f>'个人技术逐级'!N399</f>
        <v/>
      </c>
      <c r="N399" s="58">
        <f>SUMIFS($M$5:$M$692,$A$5:$A$692,A399,$B$5:$B$692,B399,$F$5:$F$692,"&lt;="&amp;F399)</f>
        <v/>
      </c>
      <c r="O399" s="58">
        <f>0</f>
        <v/>
      </c>
      <c r="P399" s="58">
        <f>SUMIFS($O$5:$O$692,$A$5:$A$692,A399,$B$5:$B$692,B399,$F$5:$F$692,"&lt;="&amp;F399)</f>
        <v/>
      </c>
      <c r="Q399" s="58">
        <f>0</f>
        <v/>
      </c>
      <c r="R399" s="58">
        <f>SUMIFS($Q$5:$Q$692,$A$5:$A$692,A399,$B$5:$B$692,B399,$F$5:$F$692,"&lt;="&amp;F399)</f>
        <v/>
      </c>
      <c r="S399" s="58">
        <f>0</f>
        <v/>
      </c>
      <c r="T399" s="58">
        <f>SUMIFS($S$5:$S$692,$A$5:$A$692,A399,$B$5:$B$692,B399,$F$5:$F$692,"&lt;="&amp;F399)</f>
        <v/>
      </c>
      <c r="U399" s="52">
        <f>'个人技术逐级'!O399</f>
        <v/>
      </c>
    </row>
    <row r="400">
      <c r="A400" s="33" t="inlineStr">
        <is>
          <t>个人技术</t>
        </is>
      </c>
      <c r="B400" s="33">
        <f>'个人技术逐级'!A400</f>
        <v/>
      </c>
      <c r="C400" s="33">
        <f>'个人技术逐级'!B400</f>
        <v/>
      </c>
      <c r="D400" s="33">
        <f>'个人技术逐级'!C400</f>
        <v/>
      </c>
      <c r="E400">
        <f>'个人技术逐级'!D400</f>
        <v/>
      </c>
      <c r="F400" s="54">
        <f>'个人技术逐级'!E400</f>
        <v/>
      </c>
      <c r="G400" s="55">
        <f>'个人技术逐级'!F400</f>
        <v/>
      </c>
      <c r="H400" s="56">
        <f>'个人技术逐级'!G400</f>
        <v/>
      </c>
      <c r="I400" s="52" t="inlineStr">
        <is>
          <t>个人技术计时升级</t>
        </is>
      </c>
      <c r="J400" s="57">
        <f>'个人技术逐级'!M400</f>
        <v/>
      </c>
      <c r="K400" s="35">
        <f>J400/3600</f>
        <v/>
      </c>
      <c r="L400" s="35">
        <f>SUMIFS($K$5:$K$692,$A$5:$A$692,A400,$B$5:$B$692,B400,$F$5:$F$692,"&lt;="&amp;F400)</f>
        <v/>
      </c>
      <c r="M400" s="58">
        <f>'个人技术逐级'!N400</f>
        <v/>
      </c>
      <c r="N400" s="58">
        <f>SUMIFS($M$5:$M$692,$A$5:$A$692,A400,$B$5:$B$692,B400,$F$5:$F$692,"&lt;="&amp;F400)</f>
        <v/>
      </c>
      <c r="O400" s="58">
        <f>0</f>
        <v/>
      </c>
      <c r="P400" s="58">
        <f>SUMIFS($O$5:$O$692,$A$5:$A$692,A400,$B$5:$B$692,B400,$F$5:$F$692,"&lt;="&amp;F400)</f>
        <v/>
      </c>
      <c r="Q400" s="58">
        <f>0</f>
        <v/>
      </c>
      <c r="R400" s="58">
        <f>SUMIFS($Q$5:$Q$692,$A$5:$A$692,A400,$B$5:$B$692,B400,$F$5:$F$692,"&lt;="&amp;F400)</f>
        <v/>
      </c>
      <c r="S400" s="58">
        <f>0</f>
        <v/>
      </c>
      <c r="T400" s="58">
        <f>SUMIFS($S$5:$S$692,$A$5:$A$692,A400,$B$5:$B$692,B400,$F$5:$F$692,"&lt;="&amp;F400)</f>
        <v/>
      </c>
      <c r="U400" s="52">
        <f>'个人技术逐级'!O400</f>
        <v/>
      </c>
    </row>
    <row r="401">
      <c r="A401" s="33" t="inlineStr">
        <is>
          <t>个人技术</t>
        </is>
      </c>
      <c r="B401" s="33">
        <f>'个人技术逐级'!A401</f>
        <v/>
      </c>
      <c r="C401" s="33">
        <f>'个人技术逐级'!B401</f>
        <v/>
      </c>
      <c r="D401" s="33">
        <f>'个人技术逐级'!C401</f>
        <v/>
      </c>
      <c r="E401">
        <f>'个人技术逐级'!D401</f>
        <v/>
      </c>
      <c r="F401" s="54">
        <f>'个人技术逐级'!E401</f>
        <v/>
      </c>
      <c r="G401" s="55">
        <f>'个人技术逐级'!F401</f>
        <v/>
      </c>
      <c r="H401" s="56">
        <f>'个人技术逐级'!G401</f>
        <v/>
      </c>
      <c r="I401" s="52" t="inlineStr">
        <is>
          <t>个人技术计时升级</t>
        </is>
      </c>
      <c r="J401" s="57">
        <f>'个人技术逐级'!M401</f>
        <v/>
      </c>
      <c r="K401" s="35">
        <f>J401/3600</f>
        <v/>
      </c>
      <c r="L401" s="35">
        <f>SUMIFS($K$5:$K$692,$A$5:$A$692,A401,$B$5:$B$692,B401,$F$5:$F$692,"&lt;="&amp;F401)</f>
        <v/>
      </c>
      <c r="M401" s="58">
        <f>'个人技术逐级'!N401</f>
        <v/>
      </c>
      <c r="N401" s="58">
        <f>SUMIFS($M$5:$M$692,$A$5:$A$692,A401,$B$5:$B$692,B401,$F$5:$F$692,"&lt;="&amp;F401)</f>
        <v/>
      </c>
      <c r="O401" s="58">
        <f>0</f>
        <v/>
      </c>
      <c r="P401" s="58">
        <f>SUMIFS($O$5:$O$692,$A$5:$A$692,A401,$B$5:$B$692,B401,$F$5:$F$692,"&lt;="&amp;F401)</f>
        <v/>
      </c>
      <c r="Q401" s="58">
        <f>0</f>
        <v/>
      </c>
      <c r="R401" s="58">
        <f>SUMIFS($Q$5:$Q$692,$A$5:$A$692,A401,$B$5:$B$692,B401,$F$5:$F$692,"&lt;="&amp;F401)</f>
        <v/>
      </c>
      <c r="S401" s="58">
        <f>0</f>
        <v/>
      </c>
      <c r="T401" s="58">
        <f>SUMIFS($S$5:$S$692,$A$5:$A$692,A401,$B$5:$B$692,B401,$F$5:$F$692,"&lt;="&amp;F401)</f>
        <v/>
      </c>
      <c r="U401" s="52">
        <f>'个人技术逐级'!O401</f>
        <v/>
      </c>
    </row>
    <row r="402">
      <c r="A402" s="33" t="inlineStr">
        <is>
          <t>个人技术</t>
        </is>
      </c>
      <c r="B402" s="33">
        <f>'个人技术逐级'!A402</f>
        <v/>
      </c>
      <c r="C402" s="33">
        <f>'个人技术逐级'!B402</f>
        <v/>
      </c>
      <c r="D402" s="33">
        <f>'个人技术逐级'!C402</f>
        <v/>
      </c>
      <c r="E402">
        <f>'个人技术逐级'!D402</f>
        <v/>
      </c>
      <c r="F402" s="54">
        <f>'个人技术逐级'!E402</f>
        <v/>
      </c>
      <c r="G402" s="55">
        <f>'个人技术逐级'!F402</f>
        <v/>
      </c>
      <c r="H402" s="56">
        <f>'个人技术逐级'!G402</f>
        <v/>
      </c>
      <c r="I402" s="52" t="inlineStr">
        <is>
          <t>个人技术计时升级</t>
        </is>
      </c>
      <c r="J402" s="57">
        <f>'个人技术逐级'!M402</f>
        <v/>
      </c>
      <c r="K402" s="35">
        <f>J402/3600</f>
        <v/>
      </c>
      <c r="L402" s="35">
        <f>SUMIFS($K$5:$K$692,$A$5:$A$692,A402,$B$5:$B$692,B402,$F$5:$F$692,"&lt;="&amp;F402)</f>
        <v/>
      </c>
      <c r="M402" s="58">
        <f>'个人技术逐级'!N402</f>
        <v/>
      </c>
      <c r="N402" s="58">
        <f>SUMIFS($M$5:$M$692,$A$5:$A$692,A402,$B$5:$B$692,B402,$F$5:$F$692,"&lt;="&amp;F402)</f>
        <v/>
      </c>
      <c r="O402" s="58">
        <f>0</f>
        <v/>
      </c>
      <c r="P402" s="58">
        <f>SUMIFS($O$5:$O$692,$A$5:$A$692,A402,$B$5:$B$692,B402,$F$5:$F$692,"&lt;="&amp;F402)</f>
        <v/>
      </c>
      <c r="Q402" s="58">
        <f>0</f>
        <v/>
      </c>
      <c r="R402" s="58">
        <f>SUMIFS($Q$5:$Q$692,$A$5:$A$692,A402,$B$5:$B$692,B402,$F$5:$F$692,"&lt;="&amp;F402)</f>
        <v/>
      </c>
      <c r="S402" s="58">
        <f>0</f>
        <v/>
      </c>
      <c r="T402" s="58">
        <f>SUMIFS($S$5:$S$692,$A$5:$A$692,A402,$B$5:$B$692,B402,$F$5:$F$692,"&lt;="&amp;F402)</f>
        <v/>
      </c>
      <c r="U402" s="52">
        <f>'个人技术逐级'!O402</f>
        <v/>
      </c>
    </row>
    <row r="403">
      <c r="A403" s="33" t="inlineStr">
        <is>
          <t>个人技术</t>
        </is>
      </c>
      <c r="B403" s="33">
        <f>'个人技术逐级'!A403</f>
        <v/>
      </c>
      <c r="C403" s="33">
        <f>'个人技术逐级'!B403</f>
        <v/>
      </c>
      <c r="D403" s="33">
        <f>'个人技术逐级'!C403</f>
        <v/>
      </c>
      <c r="E403">
        <f>'个人技术逐级'!D403</f>
        <v/>
      </c>
      <c r="F403" s="54">
        <f>'个人技术逐级'!E403</f>
        <v/>
      </c>
      <c r="G403" s="55">
        <f>'个人技术逐级'!F403</f>
        <v/>
      </c>
      <c r="H403" s="56">
        <f>'个人技术逐级'!G403</f>
        <v/>
      </c>
      <c r="I403" s="52" t="inlineStr">
        <is>
          <t>个人技术计时升级</t>
        </is>
      </c>
      <c r="J403" s="57">
        <f>'个人技术逐级'!M403</f>
        <v/>
      </c>
      <c r="K403" s="35">
        <f>J403/3600</f>
        <v/>
      </c>
      <c r="L403" s="35">
        <f>SUMIFS($K$5:$K$692,$A$5:$A$692,A403,$B$5:$B$692,B403,$F$5:$F$692,"&lt;="&amp;F403)</f>
        <v/>
      </c>
      <c r="M403" s="58">
        <f>'个人技术逐级'!N403</f>
        <v/>
      </c>
      <c r="N403" s="58">
        <f>SUMIFS($M$5:$M$692,$A$5:$A$692,A403,$B$5:$B$692,B403,$F$5:$F$692,"&lt;="&amp;F403)</f>
        <v/>
      </c>
      <c r="O403" s="58">
        <f>0</f>
        <v/>
      </c>
      <c r="P403" s="58">
        <f>SUMIFS($O$5:$O$692,$A$5:$A$692,A403,$B$5:$B$692,B403,$F$5:$F$692,"&lt;="&amp;F403)</f>
        <v/>
      </c>
      <c r="Q403" s="58">
        <f>0</f>
        <v/>
      </c>
      <c r="R403" s="58">
        <f>SUMIFS($Q$5:$Q$692,$A$5:$A$692,A403,$B$5:$B$692,B403,$F$5:$F$692,"&lt;="&amp;F403)</f>
        <v/>
      </c>
      <c r="S403" s="58">
        <f>0</f>
        <v/>
      </c>
      <c r="T403" s="58">
        <f>SUMIFS($S$5:$S$692,$A$5:$A$692,A403,$B$5:$B$692,B403,$F$5:$F$692,"&lt;="&amp;F403)</f>
        <v/>
      </c>
      <c r="U403" s="52">
        <f>'个人技术逐级'!O403</f>
        <v/>
      </c>
    </row>
    <row r="404">
      <c r="A404" s="33" t="inlineStr">
        <is>
          <t>个人技术</t>
        </is>
      </c>
      <c r="B404" s="33">
        <f>'个人技术逐级'!A404</f>
        <v/>
      </c>
      <c r="C404" s="33">
        <f>'个人技术逐级'!B404</f>
        <v/>
      </c>
      <c r="D404" s="33">
        <f>'个人技术逐级'!C404</f>
        <v/>
      </c>
      <c r="E404">
        <f>'个人技术逐级'!D404</f>
        <v/>
      </c>
      <c r="F404" s="54">
        <f>'个人技术逐级'!E404</f>
        <v/>
      </c>
      <c r="G404" s="55">
        <f>'个人技术逐级'!F404</f>
        <v/>
      </c>
      <c r="H404" s="56">
        <f>'个人技术逐级'!G404</f>
        <v/>
      </c>
      <c r="I404" s="52" t="inlineStr">
        <is>
          <t>个人技术计时升级</t>
        </is>
      </c>
      <c r="J404" s="57">
        <f>'个人技术逐级'!M404</f>
        <v/>
      </c>
      <c r="K404" s="35">
        <f>J404/3600</f>
        <v/>
      </c>
      <c r="L404" s="35">
        <f>SUMIFS($K$5:$K$692,$A$5:$A$692,A404,$B$5:$B$692,B404,$F$5:$F$692,"&lt;="&amp;F404)</f>
        <v/>
      </c>
      <c r="M404" s="58">
        <f>'个人技术逐级'!N404</f>
        <v/>
      </c>
      <c r="N404" s="58">
        <f>SUMIFS($M$5:$M$692,$A$5:$A$692,A404,$B$5:$B$692,B404,$F$5:$F$692,"&lt;="&amp;F404)</f>
        <v/>
      </c>
      <c r="O404" s="58">
        <f>0</f>
        <v/>
      </c>
      <c r="P404" s="58">
        <f>SUMIFS($O$5:$O$692,$A$5:$A$692,A404,$B$5:$B$692,B404,$F$5:$F$692,"&lt;="&amp;F404)</f>
        <v/>
      </c>
      <c r="Q404" s="58">
        <f>0</f>
        <v/>
      </c>
      <c r="R404" s="58">
        <f>SUMIFS($Q$5:$Q$692,$A$5:$A$692,A404,$B$5:$B$692,B404,$F$5:$F$692,"&lt;="&amp;F404)</f>
        <v/>
      </c>
      <c r="S404" s="58">
        <f>0</f>
        <v/>
      </c>
      <c r="T404" s="58">
        <f>SUMIFS($S$5:$S$692,$A$5:$A$692,A404,$B$5:$B$692,B404,$F$5:$F$692,"&lt;="&amp;F404)</f>
        <v/>
      </c>
      <c r="U404" s="52">
        <f>'个人技术逐级'!O404</f>
        <v/>
      </c>
    </row>
    <row r="405">
      <c r="A405" s="33" t="inlineStr">
        <is>
          <t>个人技术</t>
        </is>
      </c>
      <c r="B405" s="33">
        <f>'个人技术逐级'!A405</f>
        <v/>
      </c>
      <c r="C405" s="33">
        <f>'个人技术逐级'!B405</f>
        <v/>
      </c>
      <c r="D405" s="33">
        <f>'个人技术逐级'!C405</f>
        <v/>
      </c>
      <c r="E405">
        <f>'个人技术逐级'!D405</f>
        <v/>
      </c>
      <c r="F405" s="54">
        <f>'个人技术逐级'!E405</f>
        <v/>
      </c>
      <c r="G405" s="55">
        <f>'个人技术逐级'!F405</f>
        <v/>
      </c>
      <c r="H405" s="56">
        <f>'个人技术逐级'!G405</f>
        <v/>
      </c>
      <c r="I405" s="52" t="inlineStr">
        <is>
          <t>个人技术计时升级</t>
        </is>
      </c>
      <c r="J405" s="57">
        <f>'个人技术逐级'!M405</f>
        <v/>
      </c>
      <c r="K405" s="35">
        <f>J405/3600</f>
        <v/>
      </c>
      <c r="L405" s="35">
        <f>SUMIFS($K$5:$K$692,$A$5:$A$692,A405,$B$5:$B$692,B405,$F$5:$F$692,"&lt;="&amp;F405)</f>
        <v/>
      </c>
      <c r="M405" s="58">
        <f>'个人技术逐级'!N405</f>
        <v/>
      </c>
      <c r="N405" s="58">
        <f>SUMIFS($M$5:$M$692,$A$5:$A$692,A405,$B$5:$B$692,B405,$F$5:$F$692,"&lt;="&amp;F405)</f>
        <v/>
      </c>
      <c r="O405" s="58">
        <f>0</f>
        <v/>
      </c>
      <c r="P405" s="58">
        <f>SUMIFS($O$5:$O$692,$A$5:$A$692,A405,$B$5:$B$692,B405,$F$5:$F$692,"&lt;="&amp;F405)</f>
        <v/>
      </c>
      <c r="Q405" s="58">
        <f>0</f>
        <v/>
      </c>
      <c r="R405" s="58">
        <f>SUMIFS($Q$5:$Q$692,$A$5:$A$692,A405,$B$5:$B$692,B405,$F$5:$F$692,"&lt;="&amp;F405)</f>
        <v/>
      </c>
      <c r="S405" s="58">
        <f>0</f>
        <v/>
      </c>
      <c r="T405" s="58">
        <f>SUMIFS($S$5:$S$692,$A$5:$A$692,A405,$B$5:$B$692,B405,$F$5:$F$692,"&lt;="&amp;F405)</f>
        <v/>
      </c>
      <c r="U405" s="52">
        <f>'个人技术逐级'!O405</f>
        <v/>
      </c>
    </row>
    <row r="406">
      <c r="A406" s="33" t="inlineStr">
        <is>
          <t>个人技术</t>
        </is>
      </c>
      <c r="B406" s="33">
        <f>'个人技术逐级'!A406</f>
        <v/>
      </c>
      <c r="C406" s="33">
        <f>'个人技术逐级'!B406</f>
        <v/>
      </c>
      <c r="D406" s="33">
        <f>'个人技术逐级'!C406</f>
        <v/>
      </c>
      <c r="E406">
        <f>'个人技术逐级'!D406</f>
        <v/>
      </c>
      <c r="F406" s="54">
        <f>'个人技术逐级'!E406</f>
        <v/>
      </c>
      <c r="G406" s="55">
        <f>'个人技术逐级'!F406</f>
        <v/>
      </c>
      <c r="H406" s="56">
        <f>'个人技术逐级'!G406</f>
        <v/>
      </c>
      <c r="I406" s="52" t="inlineStr">
        <is>
          <t>个人技术计时升级</t>
        </is>
      </c>
      <c r="J406" s="57">
        <f>'个人技术逐级'!M406</f>
        <v/>
      </c>
      <c r="K406" s="35">
        <f>J406/3600</f>
        <v/>
      </c>
      <c r="L406" s="35">
        <f>SUMIFS($K$5:$K$692,$A$5:$A$692,A406,$B$5:$B$692,B406,$F$5:$F$692,"&lt;="&amp;F406)</f>
        <v/>
      </c>
      <c r="M406" s="58">
        <f>'个人技术逐级'!N406</f>
        <v/>
      </c>
      <c r="N406" s="58">
        <f>SUMIFS($M$5:$M$692,$A$5:$A$692,A406,$B$5:$B$692,B406,$F$5:$F$692,"&lt;="&amp;F406)</f>
        <v/>
      </c>
      <c r="O406" s="58">
        <f>0</f>
        <v/>
      </c>
      <c r="P406" s="58">
        <f>SUMIFS($O$5:$O$692,$A$5:$A$692,A406,$B$5:$B$692,B406,$F$5:$F$692,"&lt;="&amp;F406)</f>
        <v/>
      </c>
      <c r="Q406" s="58">
        <f>0</f>
        <v/>
      </c>
      <c r="R406" s="58">
        <f>SUMIFS($Q$5:$Q$692,$A$5:$A$692,A406,$B$5:$B$692,B406,$F$5:$F$692,"&lt;="&amp;F406)</f>
        <v/>
      </c>
      <c r="S406" s="58">
        <f>0</f>
        <v/>
      </c>
      <c r="T406" s="58">
        <f>SUMIFS($S$5:$S$692,$A$5:$A$692,A406,$B$5:$B$692,B406,$F$5:$F$692,"&lt;="&amp;F406)</f>
        <v/>
      </c>
      <c r="U406" s="52">
        <f>'个人技术逐级'!O406</f>
        <v/>
      </c>
    </row>
    <row r="407">
      <c r="A407" s="33" t="inlineStr">
        <is>
          <t>个人技术</t>
        </is>
      </c>
      <c r="B407" s="33">
        <f>'个人技术逐级'!A407</f>
        <v/>
      </c>
      <c r="C407" s="33">
        <f>'个人技术逐级'!B407</f>
        <v/>
      </c>
      <c r="D407" s="33">
        <f>'个人技术逐级'!C407</f>
        <v/>
      </c>
      <c r="E407">
        <f>'个人技术逐级'!D407</f>
        <v/>
      </c>
      <c r="F407" s="54">
        <f>'个人技术逐级'!E407</f>
        <v/>
      </c>
      <c r="G407" s="55">
        <f>'个人技术逐级'!F407</f>
        <v/>
      </c>
      <c r="H407" s="56">
        <f>'个人技术逐级'!G407</f>
        <v/>
      </c>
      <c r="I407" s="52" t="inlineStr">
        <is>
          <t>个人技术计时升级</t>
        </is>
      </c>
      <c r="J407" s="57">
        <f>'个人技术逐级'!M407</f>
        <v/>
      </c>
      <c r="K407" s="35">
        <f>J407/3600</f>
        <v/>
      </c>
      <c r="L407" s="35">
        <f>SUMIFS($K$5:$K$692,$A$5:$A$692,A407,$B$5:$B$692,B407,$F$5:$F$692,"&lt;="&amp;F407)</f>
        <v/>
      </c>
      <c r="M407" s="58">
        <f>'个人技术逐级'!N407</f>
        <v/>
      </c>
      <c r="N407" s="58">
        <f>SUMIFS($M$5:$M$692,$A$5:$A$692,A407,$B$5:$B$692,B407,$F$5:$F$692,"&lt;="&amp;F407)</f>
        <v/>
      </c>
      <c r="O407" s="58">
        <f>0</f>
        <v/>
      </c>
      <c r="P407" s="58">
        <f>SUMIFS($O$5:$O$692,$A$5:$A$692,A407,$B$5:$B$692,B407,$F$5:$F$692,"&lt;="&amp;F407)</f>
        <v/>
      </c>
      <c r="Q407" s="58">
        <f>0</f>
        <v/>
      </c>
      <c r="R407" s="58">
        <f>SUMIFS($Q$5:$Q$692,$A$5:$A$692,A407,$B$5:$B$692,B407,$F$5:$F$692,"&lt;="&amp;F407)</f>
        <v/>
      </c>
      <c r="S407" s="58">
        <f>0</f>
        <v/>
      </c>
      <c r="T407" s="58">
        <f>SUMIFS($S$5:$S$692,$A$5:$A$692,A407,$B$5:$B$692,B407,$F$5:$F$692,"&lt;="&amp;F407)</f>
        <v/>
      </c>
      <c r="U407" s="52">
        <f>'个人技术逐级'!O407</f>
        <v/>
      </c>
    </row>
    <row r="408">
      <c r="A408" s="33" t="inlineStr">
        <is>
          <t>个人技术</t>
        </is>
      </c>
      <c r="B408" s="33">
        <f>'个人技术逐级'!A408</f>
        <v/>
      </c>
      <c r="C408" s="33">
        <f>'个人技术逐级'!B408</f>
        <v/>
      </c>
      <c r="D408" s="33">
        <f>'个人技术逐级'!C408</f>
        <v/>
      </c>
      <c r="E408">
        <f>'个人技术逐级'!D408</f>
        <v/>
      </c>
      <c r="F408" s="54">
        <f>'个人技术逐级'!E408</f>
        <v/>
      </c>
      <c r="G408" s="55">
        <f>'个人技术逐级'!F408</f>
        <v/>
      </c>
      <c r="H408" s="56">
        <f>'个人技术逐级'!G408</f>
        <v/>
      </c>
      <c r="I408" s="52" t="inlineStr">
        <is>
          <t>个人技术计时升级</t>
        </is>
      </c>
      <c r="J408" s="57">
        <f>'个人技术逐级'!M408</f>
        <v/>
      </c>
      <c r="K408" s="35">
        <f>J408/3600</f>
        <v/>
      </c>
      <c r="L408" s="35">
        <f>SUMIFS($K$5:$K$692,$A$5:$A$692,A408,$B$5:$B$692,B408,$F$5:$F$692,"&lt;="&amp;F408)</f>
        <v/>
      </c>
      <c r="M408" s="58">
        <f>'个人技术逐级'!N408</f>
        <v/>
      </c>
      <c r="N408" s="58">
        <f>SUMIFS($M$5:$M$692,$A$5:$A$692,A408,$B$5:$B$692,B408,$F$5:$F$692,"&lt;="&amp;F408)</f>
        <v/>
      </c>
      <c r="O408" s="58">
        <f>0</f>
        <v/>
      </c>
      <c r="P408" s="58">
        <f>SUMIFS($O$5:$O$692,$A$5:$A$692,A408,$B$5:$B$692,B408,$F$5:$F$692,"&lt;="&amp;F408)</f>
        <v/>
      </c>
      <c r="Q408" s="58">
        <f>0</f>
        <v/>
      </c>
      <c r="R408" s="58">
        <f>SUMIFS($Q$5:$Q$692,$A$5:$A$692,A408,$B$5:$B$692,B408,$F$5:$F$692,"&lt;="&amp;F408)</f>
        <v/>
      </c>
      <c r="S408" s="58">
        <f>0</f>
        <v/>
      </c>
      <c r="T408" s="58">
        <f>SUMIFS($S$5:$S$692,$A$5:$A$692,A408,$B$5:$B$692,B408,$F$5:$F$692,"&lt;="&amp;F408)</f>
        <v/>
      </c>
      <c r="U408" s="52">
        <f>'个人技术逐级'!O408</f>
        <v/>
      </c>
    </row>
    <row r="409">
      <c r="A409" s="33" t="inlineStr">
        <is>
          <t>个人技术</t>
        </is>
      </c>
      <c r="B409" s="33">
        <f>'个人技术逐级'!A409</f>
        <v/>
      </c>
      <c r="C409" s="33">
        <f>'个人技术逐级'!B409</f>
        <v/>
      </c>
      <c r="D409" s="33">
        <f>'个人技术逐级'!C409</f>
        <v/>
      </c>
      <c r="E409">
        <f>'个人技术逐级'!D409</f>
        <v/>
      </c>
      <c r="F409" s="54">
        <f>'个人技术逐级'!E409</f>
        <v/>
      </c>
      <c r="G409" s="55">
        <f>'个人技术逐级'!F409</f>
        <v/>
      </c>
      <c r="H409" s="56">
        <f>'个人技术逐级'!G409</f>
        <v/>
      </c>
      <c r="I409" s="52" t="inlineStr">
        <is>
          <t>个人技术计时升级</t>
        </is>
      </c>
      <c r="J409" s="57">
        <f>'个人技术逐级'!M409</f>
        <v/>
      </c>
      <c r="K409" s="35">
        <f>J409/3600</f>
        <v/>
      </c>
      <c r="L409" s="35">
        <f>SUMIFS($K$5:$K$692,$A$5:$A$692,A409,$B$5:$B$692,B409,$F$5:$F$692,"&lt;="&amp;F409)</f>
        <v/>
      </c>
      <c r="M409" s="58">
        <f>'个人技术逐级'!N409</f>
        <v/>
      </c>
      <c r="N409" s="58">
        <f>SUMIFS($M$5:$M$692,$A$5:$A$692,A409,$B$5:$B$692,B409,$F$5:$F$692,"&lt;="&amp;F409)</f>
        <v/>
      </c>
      <c r="O409" s="58">
        <f>0</f>
        <v/>
      </c>
      <c r="P409" s="58">
        <f>SUMIFS($O$5:$O$692,$A$5:$A$692,A409,$B$5:$B$692,B409,$F$5:$F$692,"&lt;="&amp;F409)</f>
        <v/>
      </c>
      <c r="Q409" s="58">
        <f>0</f>
        <v/>
      </c>
      <c r="R409" s="58">
        <f>SUMIFS($Q$5:$Q$692,$A$5:$A$692,A409,$B$5:$B$692,B409,$F$5:$F$692,"&lt;="&amp;F409)</f>
        <v/>
      </c>
      <c r="S409" s="58">
        <f>0</f>
        <v/>
      </c>
      <c r="T409" s="58">
        <f>SUMIFS($S$5:$S$692,$A$5:$A$692,A409,$B$5:$B$692,B409,$F$5:$F$692,"&lt;="&amp;F409)</f>
        <v/>
      </c>
      <c r="U409" s="52">
        <f>'个人技术逐级'!O409</f>
        <v/>
      </c>
    </row>
    <row r="410">
      <c r="A410" s="33" t="inlineStr">
        <is>
          <t>个人技术</t>
        </is>
      </c>
      <c r="B410" s="33">
        <f>'个人技术逐级'!A410</f>
        <v/>
      </c>
      <c r="C410" s="33">
        <f>'个人技术逐级'!B410</f>
        <v/>
      </c>
      <c r="D410" s="33">
        <f>'个人技术逐级'!C410</f>
        <v/>
      </c>
      <c r="E410">
        <f>'个人技术逐级'!D410</f>
        <v/>
      </c>
      <c r="F410" s="54">
        <f>'个人技术逐级'!E410</f>
        <v/>
      </c>
      <c r="G410" s="55">
        <f>'个人技术逐级'!F410</f>
        <v/>
      </c>
      <c r="H410" s="56">
        <f>'个人技术逐级'!G410</f>
        <v/>
      </c>
      <c r="I410" s="52" t="inlineStr">
        <is>
          <t>个人技术计时升级</t>
        </is>
      </c>
      <c r="J410" s="57">
        <f>'个人技术逐级'!M410</f>
        <v/>
      </c>
      <c r="K410" s="35">
        <f>J410/3600</f>
        <v/>
      </c>
      <c r="L410" s="35">
        <f>SUMIFS($K$5:$K$692,$A$5:$A$692,A410,$B$5:$B$692,B410,$F$5:$F$692,"&lt;="&amp;F410)</f>
        <v/>
      </c>
      <c r="M410" s="58">
        <f>'个人技术逐级'!N410</f>
        <v/>
      </c>
      <c r="N410" s="58">
        <f>SUMIFS($M$5:$M$692,$A$5:$A$692,A410,$B$5:$B$692,B410,$F$5:$F$692,"&lt;="&amp;F410)</f>
        <v/>
      </c>
      <c r="O410" s="58">
        <f>0</f>
        <v/>
      </c>
      <c r="P410" s="58">
        <f>SUMIFS($O$5:$O$692,$A$5:$A$692,A410,$B$5:$B$692,B410,$F$5:$F$692,"&lt;="&amp;F410)</f>
        <v/>
      </c>
      <c r="Q410" s="58">
        <f>0</f>
        <v/>
      </c>
      <c r="R410" s="58">
        <f>SUMIFS($Q$5:$Q$692,$A$5:$A$692,A410,$B$5:$B$692,B410,$F$5:$F$692,"&lt;="&amp;F410)</f>
        <v/>
      </c>
      <c r="S410" s="58">
        <f>0</f>
        <v/>
      </c>
      <c r="T410" s="58">
        <f>SUMIFS($S$5:$S$692,$A$5:$A$692,A410,$B$5:$B$692,B410,$F$5:$F$692,"&lt;="&amp;F410)</f>
        <v/>
      </c>
      <c r="U410" s="52">
        <f>'个人技术逐级'!O410</f>
        <v/>
      </c>
    </row>
    <row r="411">
      <c r="A411" s="33" t="inlineStr">
        <is>
          <t>个人技术</t>
        </is>
      </c>
      <c r="B411" s="33">
        <f>'个人技术逐级'!A411</f>
        <v/>
      </c>
      <c r="C411" s="33">
        <f>'个人技术逐级'!B411</f>
        <v/>
      </c>
      <c r="D411" s="33">
        <f>'个人技术逐级'!C411</f>
        <v/>
      </c>
      <c r="E411">
        <f>'个人技术逐级'!D411</f>
        <v/>
      </c>
      <c r="F411" s="54">
        <f>'个人技术逐级'!E411</f>
        <v/>
      </c>
      <c r="G411" s="55">
        <f>'个人技术逐级'!F411</f>
        <v/>
      </c>
      <c r="H411" s="56">
        <f>'个人技术逐级'!G411</f>
        <v/>
      </c>
      <c r="I411" s="52" t="inlineStr">
        <is>
          <t>个人技术计时升级</t>
        </is>
      </c>
      <c r="J411" s="57">
        <f>'个人技术逐级'!M411</f>
        <v/>
      </c>
      <c r="K411" s="35">
        <f>J411/3600</f>
        <v/>
      </c>
      <c r="L411" s="35">
        <f>SUMIFS($K$5:$K$692,$A$5:$A$692,A411,$B$5:$B$692,B411,$F$5:$F$692,"&lt;="&amp;F411)</f>
        <v/>
      </c>
      <c r="M411" s="58">
        <f>'个人技术逐级'!N411</f>
        <v/>
      </c>
      <c r="N411" s="58">
        <f>SUMIFS($M$5:$M$692,$A$5:$A$692,A411,$B$5:$B$692,B411,$F$5:$F$692,"&lt;="&amp;F411)</f>
        <v/>
      </c>
      <c r="O411" s="58">
        <f>0</f>
        <v/>
      </c>
      <c r="P411" s="58">
        <f>SUMIFS($O$5:$O$692,$A$5:$A$692,A411,$B$5:$B$692,B411,$F$5:$F$692,"&lt;="&amp;F411)</f>
        <v/>
      </c>
      <c r="Q411" s="58">
        <f>0</f>
        <v/>
      </c>
      <c r="R411" s="58">
        <f>SUMIFS($Q$5:$Q$692,$A$5:$A$692,A411,$B$5:$B$692,B411,$F$5:$F$692,"&lt;="&amp;F411)</f>
        <v/>
      </c>
      <c r="S411" s="58">
        <f>0</f>
        <v/>
      </c>
      <c r="T411" s="58">
        <f>SUMIFS($S$5:$S$692,$A$5:$A$692,A411,$B$5:$B$692,B411,$F$5:$F$692,"&lt;="&amp;F411)</f>
        <v/>
      </c>
      <c r="U411" s="52">
        <f>'个人技术逐级'!O411</f>
        <v/>
      </c>
    </row>
    <row r="412">
      <c r="A412" s="33" t="inlineStr">
        <is>
          <t>个人技术</t>
        </is>
      </c>
      <c r="B412" s="33">
        <f>'个人技术逐级'!A412</f>
        <v/>
      </c>
      <c r="C412" s="33">
        <f>'个人技术逐级'!B412</f>
        <v/>
      </c>
      <c r="D412" s="33">
        <f>'个人技术逐级'!C412</f>
        <v/>
      </c>
      <c r="E412">
        <f>'个人技术逐级'!D412</f>
        <v/>
      </c>
      <c r="F412" s="54">
        <f>'个人技术逐级'!E412</f>
        <v/>
      </c>
      <c r="G412" s="55">
        <f>'个人技术逐级'!F412</f>
        <v/>
      </c>
      <c r="H412" s="56">
        <f>'个人技术逐级'!G412</f>
        <v/>
      </c>
      <c r="I412" s="52" t="inlineStr">
        <is>
          <t>个人技术计时升级</t>
        </is>
      </c>
      <c r="J412" s="57">
        <f>'个人技术逐级'!M412</f>
        <v/>
      </c>
      <c r="K412" s="35">
        <f>J412/3600</f>
        <v/>
      </c>
      <c r="L412" s="35">
        <f>SUMIFS($K$5:$K$692,$A$5:$A$692,A412,$B$5:$B$692,B412,$F$5:$F$692,"&lt;="&amp;F412)</f>
        <v/>
      </c>
      <c r="M412" s="58">
        <f>'个人技术逐级'!N412</f>
        <v/>
      </c>
      <c r="N412" s="58">
        <f>SUMIFS($M$5:$M$692,$A$5:$A$692,A412,$B$5:$B$692,B412,$F$5:$F$692,"&lt;="&amp;F412)</f>
        <v/>
      </c>
      <c r="O412" s="58">
        <f>0</f>
        <v/>
      </c>
      <c r="P412" s="58">
        <f>SUMIFS($O$5:$O$692,$A$5:$A$692,A412,$B$5:$B$692,B412,$F$5:$F$692,"&lt;="&amp;F412)</f>
        <v/>
      </c>
      <c r="Q412" s="58">
        <f>0</f>
        <v/>
      </c>
      <c r="R412" s="58">
        <f>SUMIFS($Q$5:$Q$692,$A$5:$A$692,A412,$B$5:$B$692,B412,$F$5:$F$692,"&lt;="&amp;F412)</f>
        <v/>
      </c>
      <c r="S412" s="58">
        <f>0</f>
        <v/>
      </c>
      <c r="T412" s="58">
        <f>SUMIFS($S$5:$S$692,$A$5:$A$692,A412,$B$5:$B$692,B412,$F$5:$F$692,"&lt;="&amp;F412)</f>
        <v/>
      </c>
      <c r="U412" s="52">
        <f>'个人技术逐级'!O412</f>
        <v/>
      </c>
    </row>
    <row r="413">
      <c r="A413" s="33" t="inlineStr">
        <is>
          <t>个人技术</t>
        </is>
      </c>
      <c r="B413" s="33">
        <f>'个人技术逐级'!A413</f>
        <v/>
      </c>
      <c r="C413" s="33">
        <f>'个人技术逐级'!B413</f>
        <v/>
      </c>
      <c r="D413" s="33">
        <f>'个人技术逐级'!C413</f>
        <v/>
      </c>
      <c r="E413">
        <f>'个人技术逐级'!D413</f>
        <v/>
      </c>
      <c r="F413" s="54">
        <f>'个人技术逐级'!E413</f>
        <v/>
      </c>
      <c r="G413" s="55">
        <f>'个人技术逐级'!F413</f>
        <v/>
      </c>
      <c r="H413" s="56">
        <f>'个人技术逐级'!G413</f>
        <v/>
      </c>
      <c r="I413" s="52" t="inlineStr">
        <is>
          <t>个人技术计时升级</t>
        </is>
      </c>
      <c r="J413" s="57">
        <f>'个人技术逐级'!M413</f>
        <v/>
      </c>
      <c r="K413" s="35">
        <f>J413/3600</f>
        <v/>
      </c>
      <c r="L413" s="35">
        <f>SUMIFS($K$5:$K$692,$A$5:$A$692,A413,$B$5:$B$692,B413,$F$5:$F$692,"&lt;="&amp;F413)</f>
        <v/>
      </c>
      <c r="M413" s="58">
        <f>'个人技术逐级'!N413</f>
        <v/>
      </c>
      <c r="N413" s="58">
        <f>SUMIFS($M$5:$M$692,$A$5:$A$692,A413,$B$5:$B$692,B413,$F$5:$F$692,"&lt;="&amp;F413)</f>
        <v/>
      </c>
      <c r="O413" s="58">
        <f>0</f>
        <v/>
      </c>
      <c r="P413" s="58">
        <f>SUMIFS($O$5:$O$692,$A$5:$A$692,A413,$B$5:$B$692,B413,$F$5:$F$692,"&lt;="&amp;F413)</f>
        <v/>
      </c>
      <c r="Q413" s="58">
        <f>0</f>
        <v/>
      </c>
      <c r="R413" s="58">
        <f>SUMIFS($Q$5:$Q$692,$A$5:$A$692,A413,$B$5:$B$692,B413,$F$5:$F$692,"&lt;="&amp;F413)</f>
        <v/>
      </c>
      <c r="S413" s="58">
        <f>0</f>
        <v/>
      </c>
      <c r="T413" s="58">
        <f>SUMIFS($S$5:$S$692,$A$5:$A$692,A413,$B$5:$B$692,B413,$F$5:$F$692,"&lt;="&amp;F413)</f>
        <v/>
      </c>
      <c r="U413" s="52">
        <f>'个人技术逐级'!O413</f>
        <v/>
      </c>
    </row>
    <row r="414">
      <c r="A414" s="33" t="inlineStr">
        <is>
          <t>个人技术</t>
        </is>
      </c>
      <c r="B414" s="33">
        <f>'个人技术逐级'!A414</f>
        <v/>
      </c>
      <c r="C414" s="33">
        <f>'个人技术逐级'!B414</f>
        <v/>
      </c>
      <c r="D414" s="33">
        <f>'个人技术逐级'!C414</f>
        <v/>
      </c>
      <c r="E414">
        <f>'个人技术逐级'!D414</f>
        <v/>
      </c>
      <c r="F414" s="54">
        <f>'个人技术逐级'!E414</f>
        <v/>
      </c>
      <c r="G414" s="55">
        <f>'个人技术逐级'!F414</f>
        <v/>
      </c>
      <c r="H414" s="56">
        <f>'个人技术逐级'!G414</f>
        <v/>
      </c>
      <c r="I414" s="52" t="inlineStr">
        <is>
          <t>个人技术计时升级</t>
        </is>
      </c>
      <c r="J414" s="57">
        <f>'个人技术逐级'!M414</f>
        <v/>
      </c>
      <c r="K414" s="35">
        <f>J414/3600</f>
        <v/>
      </c>
      <c r="L414" s="35">
        <f>SUMIFS($K$5:$K$692,$A$5:$A$692,A414,$B$5:$B$692,B414,$F$5:$F$692,"&lt;="&amp;F414)</f>
        <v/>
      </c>
      <c r="M414" s="58">
        <f>'个人技术逐级'!N414</f>
        <v/>
      </c>
      <c r="N414" s="58">
        <f>SUMIFS($M$5:$M$692,$A$5:$A$692,A414,$B$5:$B$692,B414,$F$5:$F$692,"&lt;="&amp;F414)</f>
        <v/>
      </c>
      <c r="O414" s="58">
        <f>0</f>
        <v/>
      </c>
      <c r="P414" s="58">
        <f>SUMIFS($O$5:$O$692,$A$5:$A$692,A414,$B$5:$B$692,B414,$F$5:$F$692,"&lt;="&amp;F414)</f>
        <v/>
      </c>
      <c r="Q414" s="58">
        <f>0</f>
        <v/>
      </c>
      <c r="R414" s="58">
        <f>SUMIFS($Q$5:$Q$692,$A$5:$A$692,A414,$B$5:$B$692,B414,$F$5:$F$692,"&lt;="&amp;F414)</f>
        <v/>
      </c>
      <c r="S414" s="58">
        <f>0</f>
        <v/>
      </c>
      <c r="T414" s="58">
        <f>SUMIFS($S$5:$S$692,$A$5:$A$692,A414,$B$5:$B$692,B414,$F$5:$F$692,"&lt;="&amp;F414)</f>
        <v/>
      </c>
      <c r="U414" s="52">
        <f>'个人技术逐级'!O414</f>
        <v/>
      </c>
    </row>
    <row r="415">
      <c r="A415" s="33" t="inlineStr">
        <is>
          <t>个人技术</t>
        </is>
      </c>
      <c r="B415" s="33">
        <f>'个人技术逐级'!A415</f>
        <v/>
      </c>
      <c r="C415" s="33">
        <f>'个人技术逐级'!B415</f>
        <v/>
      </c>
      <c r="D415" s="33">
        <f>'个人技术逐级'!C415</f>
        <v/>
      </c>
      <c r="E415">
        <f>'个人技术逐级'!D415</f>
        <v/>
      </c>
      <c r="F415" s="54">
        <f>'个人技术逐级'!E415</f>
        <v/>
      </c>
      <c r="G415" s="55">
        <f>'个人技术逐级'!F415</f>
        <v/>
      </c>
      <c r="H415" s="56">
        <f>'个人技术逐级'!G415</f>
        <v/>
      </c>
      <c r="I415" s="52" t="inlineStr">
        <is>
          <t>个人技术计时升级</t>
        </is>
      </c>
      <c r="J415" s="57">
        <f>'个人技术逐级'!M415</f>
        <v/>
      </c>
      <c r="K415" s="35">
        <f>J415/3600</f>
        <v/>
      </c>
      <c r="L415" s="35">
        <f>SUMIFS($K$5:$K$692,$A$5:$A$692,A415,$B$5:$B$692,B415,$F$5:$F$692,"&lt;="&amp;F415)</f>
        <v/>
      </c>
      <c r="M415" s="58">
        <f>'个人技术逐级'!N415</f>
        <v/>
      </c>
      <c r="N415" s="58">
        <f>SUMIFS($M$5:$M$692,$A$5:$A$692,A415,$B$5:$B$692,B415,$F$5:$F$692,"&lt;="&amp;F415)</f>
        <v/>
      </c>
      <c r="O415" s="58">
        <f>0</f>
        <v/>
      </c>
      <c r="P415" s="58">
        <f>SUMIFS($O$5:$O$692,$A$5:$A$692,A415,$B$5:$B$692,B415,$F$5:$F$692,"&lt;="&amp;F415)</f>
        <v/>
      </c>
      <c r="Q415" s="58">
        <f>0</f>
        <v/>
      </c>
      <c r="R415" s="58">
        <f>SUMIFS($Q$5:$Q$692,$A$5:$A$692,A415,$B$5:$B$692,B415,$F$5:$F$692,"&lt;="&amp;F415)</f>
        <v/>
      </c>
      <c r="S415" s="58">
        <f>0</f>
        <v/>
      </c>
      <c r="T415" s="58">
        <f>SUMIFS($S$5:$S$692,$A$5:$A$692,A415,$B$5:$B$692,B415,$F$5:$F$692,"&lt;="&amp;F415)</f>
        <v/>
      </c>
      <c r="U415" s="52">
        <f>'个人技术逐级'!O415</f>
        <v/>
      </c>
    </row>
    <row r="416">
      <c r="A416" s="33" t="inlineStr">
        <is>
          <t>个人技术</t>
        </is>
      </c>
      <c r="B416" s="33">
        <f>'个人技术逐级'!A416</f>
        <v/>
      </c>
      <c r="C416" s="33">
        <f>'个人技术逐级'!B416</f>
        <v/>
      </c>
      <c r="D416" s="33">
        <f>'个人技术逐级'!C416</f>
        <v/>
      </c>
      <c r="E416">
        <f>'个人技术逐级'!D416</f>
        <v/>
      </c>
      <c r="F416" s="54">
        <f>'个人技术逐级'!E416</f>
        <v/>
      </c>
      <c r="G416" s="55">
        <f>'个人技术逐级'!F416</f>
        <v/>
      </c>
      <c r="H416" s="56">
        <f>'个人技术逐级'!G416</f>
        <v/>
      </c>
      <c r="I416" s="52" t="inlineStr">
        <is>
          <t>个人技术计时升级</t>
        </is>
      </c>
      <c r="J416" s="57">
        <f>'个人技术逐级'!M416</f>
        <v/>
      </c>
      <c r="K416" s="35">
        <f>J416/3600</f>
        <v/>
      </c>
      <c r="L416" s="35">
        <f>SUMIFS($K$5:$K$692,$A$5:$A$692,A416,$B$5:$B$692,B416,$F$5:$F$692,"&lt;="&amp;F416)</f>
        <v/>
      </c>
      <c r="M416" s="58">
        <f>'个人技术逐级'!N416</f>
        <v/>
      </c>
      <c r="N416" s="58">
        <f>SUMIFS($M$5:$M$692,$A$5:$A$692,A416,$B$5:$B$692,B416,$F$5:$F$692,"&lt;="&amp;F416)</f>
        <v/>
      </c>
      <c r="O416" s="58">
        <f>0</f>
        <v/>
      </c>
      <c r="P416" s="58">
        <f>SUMIFS($O$5:$O$692,$A$5:$A$692,A416,$B$5:$B$692,B416,$F$5:$F$692,"&lt;="&amp;F416)</f>
        <v/>
      </c>
      <c r="Q416" s="58">
        <f>0</f>
        <v/>
      </c>
      <c r="R416" s="58">
        <f>SUMIFS($Q$5:$Q$692,$A$5:$A$692,A416,$B$5:$B$692,B416,$F$5:$F$692,"&lt;="&amp;F416)</f>
        <v/>
      </c>
      <c r="S416" s="58">
        <f>0</f>
        <v/>
      </c>
      <c r="T416" s="58">
        <f>SUMIFS($S$5:$S$692,$A$5:$A$692,A416,$B$5:$B$692,B416,$F$5:$F$692,"&lt;="&amp;F416)</f>
        <v/>
      </c>
      <c r="U416" s="52">
        <f>'个人技术逐级'!O416</f>
        <v/>
      </c>
    </row>
    <row r="417">
      <c r="A417" s="33" t="inlineStr">
        <is>
          <t>个人技术</t>
        </is>
      </c>
      <c r="B417" s="33">
        <f>'个人技术逐级'!A417</f>
        <v/>
      </c>
      <c r="C417" s="33">
        <f>'个人技术逐级'!B417</f>
        <v/>
      </c>
      <c r="D417" s="33">
        <f>'个人技术逐级'!C417</f>
        <v/>
      </c>
      <c r="E417">
        <f>'个人技术逐级'!D417</f>
        <v/>
      </c>
      <c r="F417" s="54">
        <f>'个人技术逐级'!E417</f>
        <v/>
      </c>
      <c r="G417" s="55">
        <f>'个人技术逐级'!F417</f>
        <v/>
      </c>
      <c r="H417" s="56">
        <f>'个人技术逐级'!G417</f>
        <v/>
      </c>
      <c r="I417" s="52" t="inlineStr">
        <is>
          <t>个人技术计时升级</t>
        </is>
      </c>
      <c r="J417" s="57">
        <f>'个人技术逐级'!M417</f>
        <v/>
      </c>
      <c r="K417" s="35">
        <f>J417/3600</f>
        <v/>
      </c>
      <c r="L417" s="35">
        <f>SUMIFS($K$5:$K$692,$A$5:$A$692,A417,$B$5:$B$692,B417,$F$5:$F$692,"&lt;="&amp;F417)</f>
        <v/>
      </c>
      <c r="M417" s="58">
        <f>'个人技术逐级'!N417</f>
        <v/>
      </c>
      <c r="N417" s="58">
        <f>SUMIFS($M$5:$M$692,$A$5:$A$692,A417,$B$5:$B$692,B417,$F$5:$F$692,"&lt;="&amp;F417)</f>
        <v/>
      </c>
      <c r="O417" s="58">
        <f>0</f>
        <v/>
      </c>
      <c r="P417" s="58">
        <f>SUMIFS($O$5:$O$692,$A$5:$A$692,A417,$B$5:$B$692,B417,$F$5:$F$692,"&lt;="&amp;F417)</f>
        <v/>
      </c>
      <c r="Q417" s="58">
        <f>0</f>
        <v/>
      </c>
      <c r="R417" s="58">
        <f>SUMIFS($Q$5:$Q$692,$A$5:$A$692,A417,$B$5:$B$692,B417,$F$5:$F$692,"&lt;="&amp;F417)</f>
        <v/>
      </c>
      <c r="S417" s="58">
        <f>0</f>
        <v/>
      </c>
      <c r="T417" s="58">
        <f>SUMIFS($S$5:$S$692,$A$5:$A$692,A417,$B$5:$B$692,B417,$F$5:$F$692,"&lt;="&amp;F417)</f>
        <v/>
      </c>
      <c r="U417" s="52">
        <f>'个人技术逐级'!O417</f>
        <v/>
      </c>
    </row>
    <row r="418">
      <c r="A418" s="33" t="inlineStr">
        <is>
          <t>个人技术</t>
        </is>
      </c>
      <c r="B418" s="33">
        <f>'个人技术逐级'!A418</f>
        <v/>
      </c>
      <c r="C418" s="33">
        <f>'个人技术逐级'!B418</f>
        <v/>
      </c>
      <c r="D418" s="33">
        <f>'个人技术逐级'!C418</f>
        <v/>
      </c>
      <c r="E418">
        <f>'个人技术逐级'!D418</f>
        <v/>
      </c>
      <c r="F418" s="54">
        <f>'个人技术逐级'!E418</f>
        <v/>
      </c>
      <c r="G418" s="55">
        <f>'个人技术逐级'!F418</f>
        <v/>
      </c>
      <c r="H418" s="56">
        <f>'个人技术逐级'!G418</f>
        <v/>
      </c>
      <c r="I418" s="52" t="inlineStr">
        <is>
          <t>个人技术计时升级</t>
        </is>
      </c>
      <c r="J418" s="57">
        <f>'个人技术逐级'!M418</f>
        <v/>
      </c>
      <c r="K418" s="35">
        <f>J418/3600</f>
        <v/>
      </c>
      <c r="L418" s="35">
        <f>SUMIFS($K$5:$K$692,$A$5:$A$692,A418,$B$5:$B$692,B418,$F$5:$F$692,"&lt;="&amp;F418)</f>
        <v/>
      </c>
      <c r="M418" s="58">
        <f>'个人技术逐级'!N418</f>
        <v/>
      </c>
      <c r="N418" s="58">
        <f>SUMIFS($M$5:$M$692,$A$5:$A$692,A418,$B$5:$B$692,B418,$F$5:$F$692,"&lt;="&amp;F418)</f>
        <v/>
      </c>
      <c r="O418" s="58">
        <f>0</f>
        <v/>
      </c>
      <c r="P418" s="58">
        <f>SUMIFS($O$5:$O$692,$A$5:$A$692,A418,$B$5:$B$692,B418,$F$5:$F$692,"&lt;="&amp;F418)</f>
        <v/>
      </c>
      <c r="Q418" s="58">
        <f>0</f>
        <v/>
      </c>
      <c r="R418" s="58">
        <f>SUMIFS($Q$5:$Q$692,$A$5:$A$692,A418,$B$5:$B$692,B418,$F$5:$F$692,"&lt;="&amp;F418)</f>
        <v/>
      </c>
      <c r="S418" s="58">
        <f>0</f>
        <v/>
      </c>
      <c r="T418" s="58">
        <f>SUMIFS($S$5:$S$692,$A$5:$A$692,A418,$B$5:$B$692,B418,$F$5:$F$692,"&lt;="&amp;F418)</f>
        <v/>
      </c>
      <c r="U418" s="52">
        <f>'个人技术逐级'!O418</f>
        <v/>
      </c>
    </row>
    <row r="419">
      <c r="A419" s="33" t="inlineStr">
        <is>
          <t>个人技术</t>
        </is>
      </c>
      <c r="B419" s="33">
        <f>'个人技术逐级'!A419</f>
        <v/>
      </c>
      <c r="C419" s="33">
        <f>'个人技术逐级'!B419</f>
        <v/>
      </c>
      <c r="D419" s="33">
        <f>'个人技术逐级'!C419</f>
        <v/>
      </c>
      <c r="E419">
        <f>'个人技术逐级'!D419</f>
        <v/>
      </c>
      <c r="F419" s="54">
        <f>'个人技术逐级'!E419</f>
        <v/>
      </c>
      <c r="G419" s="55">
        <f>'个人技术逐级'!F419</f>
        <v/>
      </c>
      <c r="H419" s="56">
        <f>'个人技术逐级'!G419</f>
        <v/>
      </c>
      <c r="I419" s="52" t="inlineStr">
        <is>
          <t>个人技术计时升级</t>
        </is>
      </c>
      <c r="J419" s="57">
        <f>'个人技术逐级'!M419</f>
        <v/>
      </c>
      <c r="K419" s="35">
        <f>J419/3600</f>
        <v/>
      </c>
      <c r="L419" s="35">
        <f>SUMIFS($K$5:$K$692,$A$5:$A$692,A419,$B$5:$B$692,B419,$F$5:$F$692,"&lt;="&amp;F419)</f>
        <v/>
      </c>
      <c r="M419" s="58">
        <f>'个人技术逐级'!N419</f>
        <v/>
      </c>
      <c r="N419" s="58">
        <f>SUMIFS($M$5:$M$692,$A$5:$A$692,A419,$B$5:$B$692,B419,$F$5:$F$692,"&lt;="&amp;F419)</f>
        <v/>
      </c>
      <c r="O419" s="58">
        <f>0</f>
        <v/>
      </c>
      <c r="P419" s="58">
        <f>SUMIFS($O$5:$O$692,$A$5:$A$692,A419,$B$5:$B$692,B419,$F$5:$F$692,"&lt;="&amp;F419)</f>
        <v/>
      </c>
      <c r="Q419" s="58">
        <f>0</f>
        <v/>
      </c>
      <c r="R419" s="58">
        <f>SUMIFS($Q$5:$Q$692,$A$5:$A$692,A419,$B$5:$B$692,B419,$F$5:$F$692,"&lt;="&amp;F419)</f>
        <v/>
      </c>
      <c r="S419" s="58">
        <f>0</f>
        <v/>
      </c>
      <c r="T419" s="58">
        <f>SUMIFS($S$5:$S$692,$A$5:$A$692,A419,$B$5:$B$692,B419,$F$5:$F$692,"&lt;="&amp;F419)</f>
        <v/>
      </c>
      <c r="U419" s="52">
        <f>'个人技术逐级'!O419</f>
        <v/>
      </c>
    </row>
    <row r="420">
      <c r="A420" s="33" t="inlineStr">
        <is>
          <t>个人技术</t>
        </is>
      </c>
      <c r="B420" s="33">
        <f>'个人技术逐级'!A420</f>
        <v/>
      </c>
      <c r="C420" s="33">
        <f>'个人技术逐级'!B420</f>
        <v/>
      </c>
      <c r="D420" s="33">
        <f>'个人技术逐级'!C420</f>
        <v/>
      </c>
      <c r="E420">
        <f>'个人技术逐级'!D420</f>
        <v/>
      </c>
      <c r="F420" s="54">
        <f>'个人技术逐级'!E420</f>
        <v/>
      </c>
      <c r="G420" s="55">
        <f>'个人技术逐级'!F420</f>
        <v/>
      </c>
      <c r="H420" s="56">
        <f>'个人技术逐级'!G420</f>
        <v/>
      </c>
      <c r="I420" s="52" t="inlineStr">
        <is>
          <t>个人技术计时升级</t>
        </is>
      </c>
      <c r="J420" s="57">
        <f>'个人技术逐级'!M420</f>
        <v/>
      </c>
      <c r="K420" s="35">
        <f>J420/3600</f>
        <v/>
      </c>
      <c r="L420" s="35">
        <f>SUMIFS($K$5:$K$692,$A$5:$A$692,A420,$B$5:$B$692,B420,$F$5:$F$692,"&lt;="&amp;F420)</f>
        <v/>
      </c>
      <c r="M420" s="58">
        <f>'个人技术逐级'!N420</f>
        <v/>
      </c>
      <c r="N420" s="58">
        <f>SUMIFS($M$5:$M$692,$A$5:$A$692,A420,$B$5:$B$692,B420,$F$5:$F$692,"&lt;="&amp;F420)</f>
        <v/>
      </c>
      <c r="O420" s="58">
        <f>0</f>
        <v/>
      </c>
      <c r="P420" s="58">
        <f>SUMIFS($O$5:$O$692,$A$5:$A$692,A420,$B$5:$B$692,B420,$F$5:$F$692,"&lt;="&amp;F420)</f>
        <v/>
      </c>
      <c r="Q420" s="58">
        <f>0</f>
        <v/>
      </c>
      <c r="R420" s="58">
        <f>SUMIFS($Q$5:$Q$692,$A$5:$A$692,A420,$B$5:$B$692,B420,$F$5:$F$692,"&lt;="&amp;F420)</f>
        <v/>
      </c>
      <c r="S420" s="58">
        <f>0</f>
        <v/>
      </c>
      <c r="T420" s="58">
        <f>SUMIFS($S$5:$S$692,$A$5:$A$692,A420,$B$5:$B$692,B420,$F$5:$F$692,"&lt;="&amp;F420)</f>
        <v/>
      </c>
      <c r="U420" s="52">
        <f>'个人技术逐级'!O420</f>
        <v/>
      </c>
    </row>
    <row r="421">
      <c r="A421" s="33" t="inlineStr">
        <is>
          <t>个人技术</t>
        </is>
      </c>
      <c r="B421" s="33">
        <f>'个人技术逐级'!A421</f>
        <v/>
      </c>
      <c r="C421" s="33">
        <f>'个人技术逐级'!B421</f>
        <v/>
      </c>
      <c r="D421" s="33">
        <f>'个人技术逐级'!C421</f>
        <v/>
      </c>
      <c r="E421">
        <f>'个人技术逐级'!D421</f>
        <v/>
      </c>
      <c r="F421" s="54">
        <f>'个人技术逐级'!E421</f>
        <v/>
      </c>
      <c r="G421" s="55">
        <f>'个人技术逐级'!F421</f>
        <v/>
      </c>
      <c r="H421" s="56">
        <f>'个人技术逐级'!G421</f>
        <v/>
      </c>
      <c r="I421" s="52" t="inlineStr">
        <is>
          <t>个人技术计时升级</t>
        </is>
      </c>
      <c r="J421" s="57">
        <f>'个人技术逐级'!M421</f>
        <v/>
      </c>
      <c r="K421" s="35">
        <f>J421/3600</f>
        <v/>
      </c>
      <c r="L421" s="35">
        <f>SUMIFS($K$5:$K$692,$A$5:$A$692,A421,$B$5:$B$692,B421,$F$5:$F$692,"&lt;="&amp;F421)</f>
        <v/>
      </c>
      <c r="M421" s="58">
        <f>'个人技术逐级'!N421</f>
        <v/>
      </c>
      <c r="N421" s="58">
        <f>SUMIFS($M$5:$M$692,$A$5:$A$692,A421,$B$5:$B$692,B421,$F$5:$F$692,"&lt;="&amp;F421)</f>
        <v/>
      </c>
      <c r="O421" s="58">
        <f>0</f>
        <v/>
      </c>
      <c r="P421" s="58">
        <f>SUMIFS($O$5:$O$692,$A$5:$A$692,A421,$B$5:$B$692,B421,$F$5:$F$692,"&lt;="&amp;F421)</f>
        <v/>
      </c>
      <c r="Q421" s="58">
        <f>0</f>
        <v/>
      </c>
      <c r="R421" s="58">
        <f>SUMIFS($Q$5:$Q$692,$A$5:$A$692,A421,$B$5:$B$692,B421,$F$5:$F$692,"&lt;="&amp;F421)</f>
        <v/>
      </c>
      <c r="S421" s="58">
        <f>0</f>
        <v/>
      </c>
      <c r="T421" s="58">
        <f>SUMIFS($S$5:$S$692,$A$5:$A$692,A421,$B$5:$B$692,B421,$F$5:$F$692,"&lt;="&amp;F421)</f>
        <v/>
      </c>
      <c r="U421" s="52">
        <f>'个人技术逐级'!O421</f>
        <v/>
      </c>
    </row>
    <row r="422">
      <c r="A422" s="33" t="inlineStr">
        <is>
          <t>个人技术</t>
        </is>
      </c>
      <c r="B422" s="33">
        <f>'个人技术逐级'!A422</f>
        <v/>
      </c>
      <c r="C422" s="33">
        <f>'个人技术逐级'!B422</f>
        <v/>
      </c>
      <c r="D422" s="33">
        <f>'个人技术逐级'!C422</f>
        <v/>
      </c>
      <c r="E422">
        <f>'个人技术逐级'!D422</f>
        <v/>
      </c>
      <c r="F422" s="54">
        <f>'个人技术逐级'!E422</f>
        <v/>
      </c>
      <c r="G422" s="55">
        <f>'个人技术逐级'!F422</f>
        <v/>
      </c>
      <c r="H422" s="56">
        <f>'个人技术逐级'!G422</f>
        <v/>
      </c>
      <c r="I422" s="52" t="inlineStr">
        <is>
          <t>个人技术计时升级</t>
        </is>
      </c>
      <c r="J422" s="57">
        <f>'个人技术逐级'!M422</f>
        <v/>
      </c>
      <c r="K422" s="35">
        <f>J422/3600</f>
        <v/>
      </c>
      <c r="L422" s="35">
        <f>SUMIFS($K$5:$K$692,$A$5:$A$692,A422,$B$5:$B$692,B422,$F$5:$F$692,"&lt;="&amp;F422)</f>
        <v/>
      </c>
      <c r="M422" s="58">
        <f>'个人技术逐级'!N422</f>
        <v/>
      </c>
      <c r="N422" s="58">
        <f>SUMIFS($M$5:$M$692,$A$5:$A$692,A422,$B$5:$B$692,B422,$F$5:$F$692,"&lt;="&amp;F422)</f>
        <v/>
      </c>
      <c r="O422" s="58">
        <f>0</f>
        <v/>
      </c>
      <c r="P422" s="58">
        <f>SUMIFS($O$5:$O$692,$A$5:$A$692,A422,$B$5:$B$692,B422,$F$5:$F$692,"&lt;="&amp;F422)</f>
        <v/>
      </c>
      <c r="Q422" s="58">
        <f>0</f>
        <v/>
      </c>
      <c r="R422" s="58">
        <f>SUMIFS($Q$5:$Q$692,$A$5:$A$692,A422,$B$5:$B$692,B422,$F$5:$F$692,"&lt;="&amp;F422)</f>
        <v/>
      </c>
      <c r="S422" s="58">
        <f>0</f>
        <v/>
      </c>
      <c r="T422" s="58">
        <f>SUMIFS($S$5:$S$692,$A$5:$A$692,A422,$B$5:$B$692,B422,$F$5:$F$692,"&lt;="&amp;F422)</f>
        <v/>
      </c>
      <c r="U422" s="52">
        <f>'个人技术逐级'!O422</f>
        <v/>
      </c>
    </row>
    <row r="423">
      <c r="A423" s="33" t="inlineStr">
        <is>
          <t>个人技术</t>
        </is>
      </c>
      <c r="B423" s="33">
        <f>'个人技术逐级'!A423</f>
        <v/>
      </c>
      <c r="C423" s="33">
        <f>'个人技术逐级'!B423</f>
        <v/>
      </c>
      <c r="D423" s="33">
        <f>'个人技术逐级'!C423</f>
        <v/>
      </c>
      <c r="E423">
        <f>'个人技术逐级'!D423</f>
        <v/>
      </c>
      <c r="F423" s="54">
        <f>'个人技术逐级'!E423</f>
        <v/>
      </c>
      <c r="G423" s="55">
        <f>'个人技术逐级'!F423</f>
        <v/>
      </c>
      <c r="H423" s="56">
        <f>'个人技术逐级'!G423</f>
        <v/>
      </c>
      <c r="I423" s="52" t="inlineStr">
        <is>
          <t>个人技术计时升级</t>
        </is>
      </c>
      <c r="J423" s="57">
        <f>'个人技术逐级'!M423</f>
        <v/>
      </c>
      <c r="K423" s="35">
        <f>J423/3600</f>
        <v/>
      </c>
      <c r="L423" s="35">
        <f>SUMIFS($K$5:$K$692,$A$5:$A$692,A423,$B$5:$B$692,B423,$F$5:$F$692,"&lt;="&amp;F423)</f>
        <v/>
      </c>
      <c r="M423" s="58">
        <f>'个人技术逐级'!N423</f>
        <v/>
      </c>
      <c r="N423" s="58">
        <f>SUMIFS($M$5:$M$692,$A$5:$A$692,A423,$B$5:$B$692,B423,$F$5:$F$692,"&lt;="&amp;F423)</f>
        <v/>
      </c>
      <c r="O423" s="58">
        <f>0</f>
        <v/>
      </c>
      <c r="P423" s="58">
        <f>SUMIFS($O$5:$O$692,$A$5:$A$692,A423,$B$5:$B$692,B423,$F$5:$F$692,"&lt;="&amp;F423)</f>
        <v/>
      </c>
      <c r="Q423" s="58">
        <f>0</f>
        <v/>
      </c>
      <c r="R423" s="58">
        <f>SUMIFS($Q$5:$Q$692,$A$5:$A$692,A423,$B$5:$B$692,B423,$F$5:$F$692,"&lt;="&amp;F423)</f>
        <v/>
      </c>
      <c r="S423" s="58">
        <f>0</f>
        <v/>
      </c>
      <c r="T423" s="58">
        <f>SUMIFS($S$5:$S$692,$A$5:$A$692,A423,$B$5:$B$692,B423,$F$5:$F$692,"&lt;="&amp;F423)</f>
        <v/>
      </c>
      <c r="U423" s="52">
        <f>'个人技术逐级'!O423</f>
        <v/>
      </c>
    </row>
    <row r="424">
      <c r="A424" s="33" t="inlineStr">
        <is>
          <t>个人技术</t>
        </is>
      </c>
      <c r="B424" s="33">
        <f>'个人技术逐级'!A424</f>
        <v/>
      </c>
      <c r="C424" s="33">
        <f>'个人技术逐级'!B424</f>
        <v/>
      </c>
      <c r="D424" s="33">
        <f>'个人技术逐级'!C424</f>
        <v/>
      </c>
      <c r="E424">
        <f>'个人技术逐级'!D424</f>
        <v/>
      </c>
      <c r="F424" s="54">
        <f>'个人技术逐级'!E424</f>
        <v/>
      </c>
      <c r="G424" s="55">
        <f>'个人技术逐级'!F424</f>
        <v/>
      </c>
      <c r="H424" s="56">
        <f>'个人技术逐级'!G424</f>
        <v/>
      </c>
      <c r="I424" s="52" t="inlineStr">
        <is>
          <t>个人技术计时升级</t>
        </is>
      </c>
      <c r="J424" s="57">
        <f>'个人技术逐级'!M424</f>
        <v/>
      </c>
      <c r="K424" s="35">
        <f>J424/3600</f>
        <v/>
      </c>
      <c r="L424" s="35">
        <f>SUMIFS($K$5:$K$692,$A$5:$A$692,A424,$B$5:$B$692,B424,$F$5:$F$692,"&lt;="&amp;F424)</f>
        <v/>
      </c>
      <c r="M424" s="58">
        <f>'个人技术逐级'!N424</f>
        <v/>
      </c>
      <c r="N424" s="58">
        <f>SUMIFS($M$5:$M$692,$A$5:$A$692,A424,$B$5:$B$692,B424,$F$5:$F$692,"&lt;="&amp;F424)</f>
        <v/>
      </c>
      <c r="O424" s="58">
        <f>0</f>
        <v/>
      </c>
      <c r="P424" s="58">
        <f>SUMIFS($O$5:$O$692,$A$5:$A$692,A424,$B$5:$B$692,B424,$F$5:$F$692,"&lt;="&amp;F424)</f>
        <v/>
      </c>
      <c r="Q424" s="58">
        <f>0</f>
        <v/>
      </c>
      <c r="R424" s="58">
        <f>SUMIFS($Q$5:$Q$692,$A$5:$A$692,A424,$B$5:$B$692,B424,$F$5:$F$692,"&lt;="&amp;F424)</f>
        <v/>
      </c>
      <c r="S424" s="58">
        <f>0</f>
        <v/>
      </c>
      <c r="T424" s="58">
        <f>SUMIFS($S$5:$S$692,$A$5:$A$692,A424,$B$5:$B$692,B424,$F$5:$F$692,"&lt;="&amp;F424)</f>
        <v/>
      </c>
      <c r="U424" s="52">
        <f>'个人技术逐级'!O424</f>
        <v/>
      </c>
    </row>
    <row r="425">
      <c r="A425" s="33" t="inlineStr">
        <is>
          <t>个人技术</t>
        </is>
      </c>
      <c r="B425" s="33">
        <f>'个人技术逐级'!A425</f>
        <v/>
      </c>
      <c r="C425" s="33">
        <f>'个人技术逐级'!B425</f>
        <v/>
      </c>
      <c r="D425" s="33">
        <f>'个人技术逐级'!C425</f>
        <v/>
      </c>
      <c r="E425">
        <f>'个人技术逐级'!D425</f>
        <v/>
      </c>
      <c r="F425" s="54">
        <f>'个人技术逐级'!E425</f>
        <v/>
      </c>
      <c r="G425" s="55">
        <f>'个人技术逐级'!F425</f>
        <v/>
      </c>
      <c r="H425" s="56">
        <f>'个人技术逐级'!G425</f>
        <v/>
      </c>
      <c r="I425" s="52" t="inlineStr">
        <is>
          <t>个人技术计时升级</t>
        </is>
      </c>
      <c r="J425" s="57">
        <f>'个人技术逐级'!M425</f>
        <v/>
      </c>
      <c r="K425" s="35">
        <f>J425/3600</f>
        <v/>
      </c>
      <c r="L425" s="35">
        <f>SUMIFS($K$5:$K$692,$A$5:$A$692,A425,$B$5:$B$692,B425,$F$5:$F$692,"&lt;="&amp;F425)</f>
        <v/>
      </c>
      <c r="M425" s="58">
        <f>'个人技术逐级'!N425</f>
        <v/>
      </c>
      <c r="N425" s="58">
        <f>SUMIFS($M$5:$M$692,$A$5:$A$692,A425,$B$5:$B$692,B425,$F$5:$F$692,"&lt;="&amp;F425)</f>
        <v/>
      </c>
      <c r="O425" s="58">
        <f>0</f>
        <v/>
      </c>
      <c r="P425" s="58">
        <f>SUMIFS($O$5:$O$692,$A$5:$A$692,A425,$B$5:$B$692,B425,$F$5:$F$692,"&lt;="&amp;F425)</f>
        <v/>
      </c>
      <c r="Q425" s="58">
        <f>0</f>
        <v/>
      </c>
      <c r="R425" s="58">
        <f>SUMIFS($Q$5:$Q$692,$A$5:$A$692,A425,$B$5:$B$692,B425,$F$5:$F$692,"&lt;="&amp;F425)</f>
        <v/>
      </c>
      <c r="S425" s="58">
        <f>0</f>
        <v/>
      </c>
      <c r="T425" s="58">
        <f>SUMIFS($S$5:$S$692,$A$5:$A$692,A425,$B$5:$B$692,B425,$F$5:$F$692,"&lt;="&amp;F425)</f>
        <v/>
      </c>
      <c r="U425" s="52">
        <f>'个人技术逐级'!O425</f>
        <v/>
      </c>
    </row>
    <row r="426">
      <c r="A426" s="33" t="inlineStr">
        <is>
          <t>个人技术</t>
        </is>
      </c>
      <c r="B426" s="33">
        <f>'个人技术逐级'!A426</f>
        <v/>
      </c>
      <c r="C426" s="33">
        <f>'个人技术逐级'!B426</f>
        <v/>
      </c>
      <c r="D426" s="33">
        <f>'个人技术逐级'!C426</f>
        <v/>
      </c>
      <c r="E426">
        <f>'个人技术逐级'!D426</f>
        <v/>
      </c>
      <c r="F426" s="54">
        <f>'个人技术逐级'!E426</f>
        <v/>
      </c>
      <c r="G426" s="55">
        <f>'个人技术逐级'!F426</f>
        <v/>
      </c>
      <c r="H426" s="56">
        <f>'个人技术逐级'!G426</f>
        <v/>
      </c>
      <c r="I426" s="52" t="inlineStr">
        <is>
          <t>个人技术计时升级</t>
        </is>
      </c>
      <c r="J426" s="57">
        <f>'个人技术逐级'!M426</f>
        <v/>
      </c>
      <c r="K426" s="35">
        <f>J426/3600</f>
        <v/>
      </c>
      <c r="L426" s="35">
        <f>SUMIFS($K$5:$K$692,$A$5:$A$692,A426,$B$5:$B$692,B426,$F$5:$F$692,"&lt;="&amp;F426)</f>
        <v/>
      </c>
      <c r="M426" s="58">
        <f>'个人技术逐级'!N426</f>
        <v/>
      </c>
      <c r="N426" s="58">
        <f>SUMIFS($M$5:$M$692,$A$5:$A$692,A426,$B$5:$B$692,B426,$F$5:$F$692,"&lt;="&amp;F426)</f>
        <v/>
      </c>
      <c r="O426" s="58">
        <f>0</f>
        <v/>
      </c>
      <c r="P426" s="58">
        <f>SUMIFS($O$5:$O$692,$A$5:$A$692,A426,$B$5:$B$692,B426,$F$5:$F$692,"&lt;="&amp;F426)</f>
        <v/>
      </c>
      <c r="Q426" s="58">
        <f>0</f>
        <v/>
      </c>
      <c r="R426" s="58">
        <f>SUMIFS($Q$5:$Q$692,$A$5:$A$692,A426,$B$5:$B$692,B426,$F$5:$F$692,"&lt;="&amp;F426)</f>
        <v/>
      </c>
      <c r="S426" s="58">
        <f>0</f>
        <v/>
      </c>
      <c r="T426" s="58">
        <f>SUMIFS($S$5:$S$692,$A$5:$A$692,A426,$B$5:$B$692,B426,$F$5:$F$692,"&lt;="&amp;F426)</f>
        <v/>
      </c>
      <c r="U426" s="52">
        <f>'个人技术逐级'!O426</f>
        <v/>
      </c>
    </row>
    <row r="427">
      <c r="A427" s="33" t="inlineStr">
        <is>
          <t>个人技术</t>
        </is>
      </c>
      <c r="B427" s="33">
        <f>'个人技术逐级'!A427</f>
        <v/>
      </c>
      <c r="C427" s="33">
        <f>'个人技术逐级'!B427</f>
        <v/>
      </c>
      <c r="D427" s="33">
        <f>'个人技术逐级'!C427</f>
        <v/>
      </c>
      <c r="E427">
        <f>'个人技术逐级'!D427</f>
        <v/>
      </c>
      <c r="F427" s="54">
        <f>'个人技术逐级'!E427</f>
        <v/>
      </c>
      <c r="G427" s="55">
        <f>'个人技术逐级'!F427</f>
        <v/>
      </c>
      <c r="H427" s="56">
        <f>'个人技术逐级'!G427</f>
        <v/>
      </c>
      <c r="I427" s="52" t="inlineStr">
        <is>
          <t>个人技术计时升级</t>
        </is>
      </c>
      <c r="J427" s="57">
        <f>'个人技术逐级'!M427</f>
        <v/>
      </c>
      <c r="K427" s="35">
        <f>J427/3600</f>
        <v/>
      </c>
      <c r="L427" s="35">
        <f>SUMIFS($K$5:$K$692,$A$5:$A$692,A427,$B$5:$B$692,B427,$F$5:$F$692,"&lt;="&amp;F427)</f>
        <v/>
      </c>
      <c r="M427" s="58">
        <f>'个人技术逐级'!N427</f>
        <v/>
      </c>
      <c r="N427" s="58">
        <f>SUMIFS($M$5:$M$692,$A$5:$A$692,A427,$B$5:$B$692,B427,$F$5:$F$692,"&lt;="&amp;F427)</f>
        <v/>
      </c>
      <c r="O427" s="58">
        <f>0</f>
        <v/>
      </c>
      <c r="P427" s="58">
        <f>SUMIFS($O$5:$O$692,$A$5:$A$692,A427,$B$5:$B$692,B427,$F$5:$F$692,"&lt;="&amp;F427)</f>
        <v/>
      </c>
      <c r="Q427" s="58">
        <f>0</f>
        <v/>
      </c>
      <c r="R427" s="58">
        <f>SUMIFS($Q$5:$Q$692,$A$5:$A$692,A427,$B$5:$B$692,B427,$F$5:$F$692,"&lt;="&amp;F427)</f>
        <v/>
      </c>
      <c r="S427" s="58">
        <f>0</f>
        <v/>
      </c>
      <c r="T427" s="58">
        <f>SUMIFS($S$5:$S$692,$A$5:$A$692,A427,$B$5:$B$692,B427,$F$5:$F$692,"&lt;="&amp;F427)</f>
        <v/>
      </c>
      <c r="U427" s="52">
        <f>'个人技术逐级'!O427</f>
        <v/>
      </c>
    </row>
    <row r="428">
      <c r="A428" s="33" t="inlineStr">
        <is>
          <t>个人技术</t>
        </is>
      </c>
      <c r="B428" s="33">
        <f>'个人技术逐级'!A428</f>
        <v/>
      </c>
      <c r="C428" s="33">
        <f>'个人技术逐级'!B428</f>
        <v/>
      </c>
      <c r="D428" s="33">
        <f>'个人技术逐级'!C428</f>
        <v/>
      </c>
      <c r="E428">
        <f>'个人技术逐级'!D428</f>
        <v/>
      </c>
      <c r="F428" s="54">
        <f>'个人技术逐级'!E428</f>
        <v/>
      </c>
      <c r="G428" s="55">
        <f>'个人技术逐级'!F428</f>
        <v/>
      </c>
      <c r="H428" s="56">
        <f>'个人技术逐级'!G428</f>
        <v/>
      </c>
      <c r="I428" s="52" t="inlineStr">
        <is>
          <t>个人技术计时升级</t>
        </is>
      </c>
      <c r="J428" s="57">
        <f>'个人技术逐级'!M428</f>
        <v/>
      </c>
      <c r="K428" s="35">
        <f>J428/3600</f>
        <v/>
      </c>
      <c r="L428" s="35">
        <f>SUMIFS($K$5:$K$692,$A$5:$A$692,A428,$B$5:$B$692,B428,$F$5:$F$692,"&lt;="&amp;F428)</f>
        <v/>
      </c>
      <c r="M428" s="58">
        <f>'个人技术逐级'!N428</f>
        <v/>
      </c>
      <c r="N428" s="58">
        <f>SUMIFS($M$5:$M$692,$A$5:$A$692,A428,$B$5:$B$692,B428,$F$5:$F$692,"&lt;="&amp;F428)</f>
        <v/>
      </c>
      <c r="O428" s="58">
        <f>0</f>
        <v/>
      </c>
      <c r="P428" s="58">
        <f>SUMIFS($O$5:$O$692,$A$5:$A$692,A428,$B$5:$B$692,B428,$F$5:$F$692,"&lt;="&amp;F428)</f>
        <v/>
      </c>
      <c r="Q428" s="58">
        <f>0</f>
        <v/>
      </c>
      <c r="R428" s="58">
        <f>SUMIFS($Q$5:$Q$692,$A$5:$A$692,A428,$B$5:$B$692,B428,$F$5:$F$692,"&lt;="&amp;F428)</f>
        <v/>
      </c>
      <c r="S428" s="58">
        <f>0</f>
        <v/>
      </c>
      <c r="T428" s="58">
        <f>SUMIFS($S$5:$S$692,$A$5:$A$692,A428,$B$5:$B$692,B428,$F$5:$F$692,"&lt;="&amp;F428)</f>
        <v/>
      </c>
      <c r="U428" s="52">
        <f>'个人技术逐级'!O428</f>
        <v/>
      </c>
    </row>
    <row r="429">
      <c r="A429" s="33" t="inlineStr">
        <is>
          <t>个人技术</t>
        </is>
      </c>
      <c r="B429" s="33">
        <f>'个人技术逐级'!A429</f>
        <v/>
      </c>
      <c r="C429" s="33">
        <f>'个人技术逐级'!B429</f>
        <v/>
      </c>
      <c r="D429" s="33">
        <f>'个人技术逐级'!C429</f>
        <v/>
      </c>
      <c r="E429">
        <f>'个人技术逐级'!D429</f>
        <v/>
      </c>
      <c r="F429" s="54">
        <f>'个人技术逐级'!E429</f>
        <v/>
      </c>
      <c r="G429" s="55">
        <f>'个人技术逐级'!F429</f>
        <v/>
      </c>
      <c r="H429" s="56">
        <f>'个人技术逐级'!G429</f>
        <v/>
      </c>
      <c r="I429" s="52" t="inlineStr">
        <is>
          <t>个人技术计时升级</t>
        </is>
      </c>
      <c r="J429" s="57">
        <f>'个人技术逐级'!M429</f>
        <v/>
      </c>
      <c r="K429" s="35">
        <f>J429/3600</f>
        <v/>
      </c>
      <c r="L429" s="35">
        <f>SUMIFS($K$5:$K$692,$A$5:$A$692,A429,$B$5:$B$692,B429,$F$5:$F$692,"&lt;="&amp;F429)</f>
        <v/>
      </c>
      <c r="M429" s="58">
        <f>'个人技术逐级'!N429</f>
        <v/>
      </c>
      <c r="N429" s="58">
        <f>SUMIFS($M$5:$M$692,$A$5:$A$692,A429,$B$5:$B$692,B429,$F$5:$F$692,"&lt;="&amp;F429)</f>
        <v/>
      </c>
      <c r="O429" s="58">
        <f>0</f>
        <v/>
      </c>
      <c r="P429" s="58">
        <f>SUMIFS($O$5:$O$692,$A$5:$A$692,A429,$B$5:$B$692,B429,$F$5:$F$692,"&lt;="&amp;F429)</f>
        <v/>
      </c>
      <c r="Q429" s="58">
        <f>0</f>
        <v/>
      </c>
      <c r="R429" s="58">
        <f>SUMIFS($Q$5:$Q$692,$A$5:$A$692,A429,$B$5:$B$692,B429,$F$5:$F$692,"&lt;="&amp;F429)</f>
        <v/>
      </c>
      <c r="S429" s="58">
        <f>0</f>
        <v/>
      </c>
      <c r="T429" s="58">
        <f>SUMIFS($S$5:$S$692,$A$5:$A$692,A429,$B$5:$B$692,B429,$F$5:$F$692,"&lt;="&amp;F429)</f>
        <v/>
      </c>
      <c r="U429" s="52">
        <f>'个人技术逐级'!O429</f>
        <v/>
      </c>
    </row>
    <row r="430">
      <c r="A430" s="33" t="inlineStr">
        <is>
          <t>个人技术</t>
        </is>
      </c>
      <c r="B430" s="33">
        <f>'个人技术逐级'!A430</f>
        <v/>
      </c>
      <c r="C430" s="33">
        <f>'个人技术逐级'!B430</f>
        <v/>
      </c>
      <c r="D430" s="33">
        <f>'个人技术逐级'!C430</f>
        <v/>
      </c>
      <c r="E430">
        <f>'个人技术逐级'!D430</f>
        <v/>
      </c>
      <c r="F430" s="54">
        <f>'个人技术逐级'!E430</f>
        <v/>
      </c>
      <c r="G430" s="55">
        <f>'个人技术逐级'!F430</f>
        <v/>
      </c>
      <c r="H430" s="56">
        <f>'个人技术逐级'!G430</f>
        <v/>
      </c>
      <c r="I430" s="52" t="inlineStr">
        <is>
          <t>个人技术计时升级</t>
        </is>
      </c>
      <c r="J430" s="57">
        <f>'个人技术逐级'!M430</f>
        <v/>
      </c>
      <c r="K430" s="35">
        <f>J430/3600</f>
        <v/>
      </c>
      <c r="L430" s="35">
        <f>SUMIFS($K$5:$K$692,$A$5:$A$692,A430,$B$5:$B$692,B430,$F$5:$F$692,"&lt;="&amp;F430)</f>
        <v/>
      </c>
      <c r="M430" s="58">
        <f>'个人技术逐级'!N430</f>
        <v/>
      </c>
      <c r="N430" s="58">
        <f>SUMIFS($M$5:$M$692,$A$5:$A$692,A430,$B$5:$B$692,B430,$F$5:$F$692,"&lt;="&amp;F430)</f>
        <v/>
      </c>
      <c r="O430" s="58">
        <f>0</f>
        <v/>
      </c>
      <c r="P430" s="58">
        <f>SUMIFS($O$5:$O$692,$A$5:$A$692,A430,$B$5:$B$692,B430,$F$5:$F$692,"&lt;="&amp;F430)</f>
        <v/>
      </c>
      <c r="Q430" s="58">
        <f>0</f>
        <v/>
      </c>
      <c r="R430" s="58">
        <f>SUMIFS($Q$5:$Q$692,$A$5:$A$692,A430,$B$5:$B$692,B430,$F$5:$F$692,"&lt;="&amp;F430)</f>
        <v/>
      </c>
      <c r="S430" s="58">
        <f>0</f>
        <v/>
      </c>
      <c r="T430" s="58">
        <f>SUMIFS($S$5:$S$692,$A$5:$A$692,A430,$B$5:$B$692,B430,$F$5:$F$692,"&lt;="&amp;F430)</f>
        <v/>
      </c>
      <c r="U430" s="52">
        <f>'个人技术逐级'!O430</f>
        <v/>
      </c>
    </row>
    <row r="431">
      <c r="A431" s="33" t="inlineStr">
        <is>
          <t>个人技术</t>
        </is>
      </c>
      <c r="B431" s="33">
        <f>'个人技术逐级'!A431</f>
        <v/>
      </c>
      <c r="C431" s="33">
        <f>'个人技术逐级'!B431</f>
        <v/>
      </c>
      <c r="D431" s="33">
        <f>'个人技术逐级'!C431</f>
        <v/>
      </c>
      <c r="E431">
        <f>'个人技术逐级'!D431</f>
        <v/>
      </c>
      <c r="F431" s="54">
        <f>'个人技术逐级'!E431</f>
        <v/>
      </c>
      <c r="G431" s="55">
        <f>'个人技术逐级'!F431</f>
        <v/>
      </c>
      <c r="H431" s="56">
        <f>'个人技术逐级'!G431</f>
        <v/>
      </c>
      <c r="I431" s="52" t="inlineStr">
        <is>
          <t>个人技术计时升级</t>
        </is>
      </c>
      <c r="J431" s="57">
        <f>'个人技术逐级'!M431</f>
        <v/>
      </c>
      <c r="K431" s="35">
        <f>J431/3600</f>
        <v/>
      </c>
      <c r="L431" s="35">
        <f>SUMIFS($K$5:$K$692,$A$5:$A$692,A431,$B$5:$B$692,B431,$F$5:$F$692,"&lt;="&amp;F431)</f>
        <v/>
      </c>
      <c r="M431" s="58">
        <f>'个人技术逐级'!N431</f>
        <v/>
      </c>
      <c r="N431" s="58">
        <f>SUMIFS($M$5:$M$692,$A$5:$A$692,A431,$B$5:$B$692,B431,$F$5:$F$692,"&lt;="&amp;F431)</f>
        <v/>
      </c>
      <c r="O431" s="58">
        <f>0</f>
        <v/>
      </c>
      <c r="P431" s="58">
        <f>SUMIFS($O$5:$O$692,$A$5:$A$692,A431,$B$5:$B$692,B431,$F$5:$F$692,"&lt;="&amp;F431)</f>
        <v/>
      </c>
      <c r="Q431" s="58">
        <f>0</f>
        <v/>
      </c>
      <c r="R431" s="58">
        <f>SUMIFS($Q$5:$Q$692,$A$5:$A$692,A431,$B$5:$B$692,B431,$F$5:$F$692,"&lt;="&amp;F431)</f>
        <v/>
      </c>
      <c r="S431" s="58">
        <f>0</f>
        <v/>
      </c>
      <c r="T431" s="58">
        <f>SUMIFS($S$5:$S$692,$A$5:$A$692,A431,$B$5:$B$692,B431,$F$5:$F$692,"&lt;="&amp;F431)</f>
        <v/>
      </c>
      <c r="U431" s="52">
        <f>'个人技术逐级'!O431</f>
        <v/>
      </c>
    </row>
    <row r="432">
      <c r="A432" s="33" t="inlineStr">
        <is>
          <t>个人技术</t>
        </is>
      </c>
      <c r="B432" s="33">
        <f>'个人技术逐级'!A432</f>
        <v/>
      </c>
      <c r="C432" s="33">
        <f>'个人技术逐级'!B432</f>
        <v/>
      </c>
      <c r="D432" s="33">
        <f>'个人技术逐级'!C432</f>
        <v/>
      </c>
      <c r="E432">
        <f>'个人技术逐级'!D432</f>
        <v/>
      </c>
      <c r="F432" s="54">
        <f>'个人技术逐级'!E432</f>
        <v/>
      </c>
      <c r="G432" s="55">
        <f>'个人技术逐级'!F432</f>
        <v/>
      </c>
      <c r="H432" s="56">
        <f>'个人技术逐级'!G432</f>
        <v/>
      </c>
      <c r="I432" s="52" t="inlineStr">
        <is>
          <t>个人技术计时升级</t>
        </is>
      </c>
      <c r="J432" s="57">
        <f>'个人技术逐级'!M432</f>
        <v/>
      </c>
      <c r="K432" s="35">
        <f>J432/3600</f>
        <v/>
      </c>
      <c r="L432" s="35">
        <f>SUMIFS($K$5:$K$692,$A$5:$A$692,A432,$B$5:$B$692,B432,$F$5:$F$692,"&lt;="&amp;F432)</f>
        <v/>
      </c>
      <c r="M432" s="58">
        <f>'个人技术逐级'!N432</f>
        <v/>
      </c>
      <c r="N432" s="58">
        <f>SUMIFS($M$5:$M$692,$A$5:$A$692,A432,$B$5:$B$692,B432,$F$5:$F$692,"&lt;="&amp;F432)</f>
        <v/>
      </c>
      <c r="O432" s="58">
        <f>0</f>
        <v/>
      </c>
      <c r="P432" s="58">
        <f>SUMIFS($O$5:$O$692,$A$5:$A$692,A432,$B$5:$B$692,B432,$F$5:$F$692,"&lt;="&amp;F432)</f>
        <v/>
      </c>
      <c r="Q432" s="58">
        <f>0</f>
        <v/>
      </c>
      <c r="R432" s="58">
        <f>SUMIFS($Q$5:$Q$692,$A$5:$A$692,A432,$B$5:$B$692,B432,$F$5:$F$692,"&lt;="&amp;F432)</f>
        <v/>
      </c>
      <c r="S432" s="58">
        <f>0</f>
        <v/>
      </c>
      <c r="T432" s="58">
        <f>SUMIFS($S$5:$S$692,$A$5:$A$692,A432,$B$5:$B$692,B432,$F$5:$F$692,"&lt;="&amp;F432)</f>
        <v/>
      </c>
      <c r="U432" s="52">
        <f>'个人技术逐级'!O432</f>
        <v/>
      </c>
    </row>
    <row r="433">
      <c r="A433" s="33" t="inlineStr">
        <is>
          <t>个人技术</t>
        </is>
      </c>
      <c r="B433" s="33">
        <f>'个人技术逐级'!A433</f>
        <v/>
      </c>
      <c r="C433" s="33">
        <f>'个人技术逐级'!B433</f>
        <v/>
      </c>
      <c r="D433" s="33">
        <f>'个人技术逐级'!C433</f>
        <v/>
      </c>
      <c r="E433">
        <f>'个人技术逐级'!D433</f>
        <v/>
      </c>
      <c r="F433" s="54">
        <f>'个人技术逐级'!E433</f>
        <v/>
      </c>
      <c r="G433" s="55">
        <f>'个人技术逐级'!F433</f>
        <v/>
      </c>
      <c r="H433" s="56">
        <f>'个人技术逐级'!G433</f>
        <v/>
      </c>
      <c r="I433" s="52" t="inlineStr">
        <is>
          <t>个人技术计时升级</t>
        </is>
      </c>
      <c r="J433" s="57">
        <f>'个人技术逐级'!M433</f>
        <v/>
      </c>
      <c r="K433" s="35">
        <f>J433/3600</f>
        <v/>
      </c>
      <c r="L433" s="35">
        <f>SUMIFS($K$5:$K$692,$A$5:$A$692,A433,$B$5:$B$692,B433,$F$5:$F$692,"&lt;="&amp;F433)</f>
        <v/>
      </c>
      <c r="M433" s="58">
        <f>'个人技术逐级'!N433</f>
        <v/>
      </c>
      <c r="N433" s="58">
        <f>SUMIFS($M$5:$M$692,$A$5:$A$692,A433,$B$5:$B$692,B433,$F$5:$F$692,"&lt;="&amp;F433)</f>
        <v/>
      </c>
      <c r="O433" s="58">
        <f>0</f>
        <v/>
      </c>
      <c r="P433" s="58">
        <f>SUMIFS($O$5:$O$692,$A$5:$A$692,A433,$B$5:$B$692,B433,$F$5:$F$692,"&lt;="&amp;F433)</f>
        <v/>
      </c>
      <c r="Q433" s="58">
        <f>0</f>
        <v/>
      </c>
      <c r="R433" s="58">
        <f>SUMIFS($Q$5:$Q$692,$A$5:$A$692,A433,$B$5:$B$692,B433,$F$5:$F$692,"&lt;="&amp;F433)</f>
        <v/>
      </c>
      <c r="S433" s="58">
        <f>0</f>
        <v/>
      </c>
      <c r="T433" s="58">
        <f>SUMIFS($S$5:$S$692,$A$5:$A$692,A433,$B$5:$B$692,B433,$F$5:$F$692,"&lt;="&amp;F433)</f>
        <v/>
      </c>
      <c r="U433" s="52">
        <f>'个人技术逐级'!O433</f>
        <v/>
      </c>
    </row>
    <row r="434">
      <c r="A434" s="33" t="inlineStr">
        <is>
          <t>个人技术</t>
        </is>
      </c>
      <c r="B434" s="33">
        <f>'个人技术逐级'!A434</f>
        <v/>
      </c>
      <c r="C434" s="33">
        <f>'个人技术逐级'!B434</f>
        <v/>
      </c>
      <c r="D434" s="33">
        <f>'个人技术逐级'!C434</f>
        <v/>
      </c>
      <c r="E434">
        <f>'个人技术逐级'!D434</f>
        <v/>
      </c>
      <c r="F434" s="54">
        <f>'个人技术逐级'!E434</f>
        <v/>
      </c>
      <c r="G434" s="55">
        <f>'个人技术逐级'!F434</f>
        <v/>
      </c>
      <c r="H434" s="56">
        <f>'个人技术逐级'!G434</f>
        <v/>
      </c>
      <c r="I434" s="52" t="inlineStr">
        <is>
          <t>个人技术计时升级</t>
        </is>
      </c>
      <c r="J434" s="57">
        <f>'个人技术逐级'!M434</f>
        <v/>
      </c>
      <c r="K434" s="35">
        <f>J434/3600</f>
        <v/>
      </c>
      <c r="L434" s="35">
        <f>SUMIFS($K$5:$K$692,$A$5:$A$692,A434,$B$5:$B$692,B434,$F$5:$F$692,"&lt;="&amp;F434)</f>
        <v/>
      </c>
      <c r="M434" s="58">
        <f>'个人技术逐级'!N434</f>
        <v/>
      </c>
      <c r="N434" s="58">
        <f>SUMIFS($M$5:$M$692,$A$5:$A$692,A434,$B$5:$B$692,B434,$F$5:$F$692,"&lt;="&amp;F434)</f>
        <v/>
      </c>
      <c r="O434" s="58">
        <f>0</f>
        <v/>
      </c>
      <c r="P434" s="58">
        <f>SUMIFS($O$5:$O$692,$A$5:$A$692,A434,$B$5:$B$692,B434,$F$5:$F$692,"&lt;="&amp;F434)</f>
        <v/>
      </c>
      <c r="Q434" s="58">
        <f>0</f>
        <v/>
      </c>
      <c r="R434" s="58">
        <f>SUMIFS($Q$5:$Q$692,$A$5:$A$692,A434,$B$5:$B$692,B434,$F$5:$F$692,"&lt;="&amp;F434)</f>
        <v/>
      </c>
      <c r="S434" s="58">
        <f>0</f>
        <v/>
      </c>
      <c r="T434" s="58">
        <f>SUMIFS($S$5:$S$692,$A$5:$A$692,A434,$B$5:$B$692,B434,$F$5:$F$692,"&lt;="&amp;F434)</f>
        <v/>
      </c>
      <c r="U434" s="52">
        <f>'个人技术逐级'!O434</f>
        <v/>
      </c>
    </row>
    <row r="435">
      <c r="A435" s="33" t="inlineStr">
        <is>
          <t>个人技术</t>
        </is>
      </c>
      <c r="B435" s="33">
        <f>'个人技术逐级'!A435</f>
        <v/>
      </c>
      <c r="C435" s="33">
        <f>'个人技术逐级'!B435</f>
        <v/>
      </c>
      <c r="D435" s="33">
        <f>'个人技术逐级'!C435</f>
        <v/>
      </c>
      <c r="E435">
        <f>'个人技术逐级'!D435</f>
        <v/>
      </c>
      <c r="F435" s="54">
        <f>'个人技术逐级'!E435</f>
        <v/>
      </c>
      <c r="G435" s="55">
        <f>'个人技术逐级'!F435</f>
        <v/>
      </c>
      <c r="H435" s="56">
        <f>'个人技术逐级'!G435</f>
        <v/>
      </c>
      <c r="I435" s="52" t="inlineStr">
        <is>
          <t>个人技术计时升级</t>
        </is>
      </c>
      <c r="J435" s="57">
        <f>'个人技术逐级'!M435</f>
        <v/>
      </c>
      <c r="K435" s="35">
        <f>J435/3600</f>
        <v/>
      </c>
      <c r="L435" s="35">
        <f>SUMIFS($K$5:$K$692,$A$5:$A$692,A435,$B$5:$B$692,B435,$F$5:$F$692,"&lt;="&amp;F435)</f>
        <v/>
      </c>
      <c r="M435" s="58">
        <f>'个人技术逐级'!N435</f>
        <v/>
      </c>
      <c r="N435" s="58">
        <f>SUMIFS($M$5:$M$692,$A$5:$A$692,A435,$B$5:$B$692,B435,$F$5:$F$692,"&lt;="&amp;F435)</f>
        <v/>
      </c>
      <c r="O435" s="58">
        <f>0</f>
        <v/>
      </c>
      <c r="P435" s="58">
        <f>SUMIFS($O$5:$O$692,$A$5:$A$692,A435,$B$5:$B$692,B435,$F$5:$F$692,"&lt;="&amp;F435)</f>
        <v/>
      </c>
      <c r="Q435" s="58">
        <f>0</f>
        <v/>
      </c>
      <c r="R435" s="58">
        <f>SUMIFS($Q$5:$Q$692,$A$5:$A$692,A435,$B$5:$B$692,B435,$F$5:$F$692,"&lt;="&amp;F435)</f>
        <v/>
      </c>
      <c r="S435" s="58">
        <f>0</f>
        <v/>
      </c>
      <c r="T435" s="58">
        <f>SUMIFS($S$5:$S$692,$A$5:$A$692,A435,$B$5:$B$692,B435,$F$5:$F$692,"&lt;="&amp;F435)</f>
        <v/>
      </c>
      <c r="U435" s="52">
        <f>'个人技术逐级'!O435</f>
        <v/>
      </c>
    </row>
    <row r="436">
      <c r="A436" s="33" t="inlineStr">
        <is>
          <t>个人技术</t>
        </is>
      </c>
      <c r="B436" s="33">
        <f>'个人技术逐级'!A436</f>
        <v/>
      </c>
      <c r="C436" s="33">
        <f>'个人技术逐级'!B436</f>
        <v/>
      </c>
      <c r="D436" s="33">
        <f>'个人技术逐级'!C436</f>
        <v/>
      </c>
      <c r="E436">
        <f>'个人技术逐级'!D436</f>
        <v/>
      </c>
      <c r="F436" s="54">
        <f>'个人技术逐级'!E436</f>
        <v/>
      </c>
      <c r="G436" s="55">
        <f>'个人技术逐级'!F436</f>
        <v/>
      </c>
      <c r="H436" s="56">
        <f>'个人技术逐级'!G436</f>
        <v/>
      </c>
      <c r="I436" s="52" t="inlineStr">
        <is>
          <t>个人技术计时升级</t>
        </is>
      </c>
      <c r="J436" s="57">
        <f>'个人技术逐级'!M436</f>
        <v/>
      </c>
      <c r="K436" s="35">
        <f>J436/3600</f>
        <v/>
      </c>
      <c r="L436" s="35">
        <f>SUMIFS($K$5:$K$692,$A$5:$A$692,A436,$B$5:$B$692,B436,$F$5:$F$692,"&lt;="&amp;F436)</f>
        <v/>
      </c>
      <c r="M436" s="58">
        <f>'个人技术逐级'!N436</f>
        <v/>
      </c>
      <c r="N436" s="58">
        <f>SUMIFS($M$5:$M$692,$A$5:$A$692,A436,$B$5:$B$692,B436,$F$5:$F$692,"&lt;="&amp;F436)</f>
        <v/>
      </c>
      <c r="O436" s="58">
        <f>0</f>
        <v/>
      </c>
      <c r="P436" s="58">
        <f>SUMIFS($O$5:$O$692,$A$5:$A$692,A436,$B$5:$B$692,B436,$F$5:$F$692,"&lt;="&amp;F436)</f>
        <v/>
      </c>
      <c r="Q436" s="58">
        <f>0</f>
        <v/>
      </c>
      <c r="R436" s="58">
        <f>SUMIFS($Q$5:$Q$692,$A$5:$A$692,A436,$B$5:$B$692,B436,$F$5:$F$692,"&lt;="&amp;F436)</f>
        <v/>
      </c>
      <c r="S436" s="58">
        <f>0</f>
        <v/>
      </c>
      <c r="T436" s="58">
        <f>SUMIFS($S$5:$S$692,$A$5:$A$692,A436,$B$5:$B$692,B436,$F$5:$F$692,"&lt;="&amp;F436)</f>
        <v/>
      </c>
      <c r="U436" s="52">
        <f>'个人技术逐级'!O436</f>
        <v/>
      </c>
    </row>
    <row r="437">
      <c r="A437" s="33" t="inlineStr">
        <is>
          <t>个人技术</t>
        </is>
      </c>
      <c r="B437" s="33">
        <f>'个人技术逐级'!A437</f>
        <v/>
      </c>
      <c r="C437" s="33">
        <f>'个人技术逐级'!B437</f>
        <v/>
      </c>
      <c r="D437" s="33">
        <f>'个人技术逐级'!C437</f>
        <v/>
      </c>
      <c r="E437">
        <f>'个人技术逐级'!D437</f>
        <v/>
      </c>
      <c r="F437" s="54">
        <f>'个人技术逐级'!E437</f>
        <v/>
      </c>
      <c r="G437" s="55">
        <f>'个人技术逐级'!F437</f>
        <v/>
      </c>
      <c r="H437" s="56">
        <f>'个人技术逐级'!G437</f>
        <v/>
      </c>
      <c r="I437" s="52" t="inlineStr">
        <is>
          <t>个人技术计时升级</t>
        </is>
      </c>
      <c r="J437" s="57">
        <f>'个人技术逐级'!M437</f>
        <v/>
      </c>
      <c r="K437" s="35">
        <f>J437/3600</f>
        <v/>
      </c>
      <c r="L437" s="35">
        <f>SUMIFS($K$5:$K$692,$A$5:$A$692,A437,$B$5:$B$692,B437,$F$5:$F$692,"&lt;="&amp;F437)</f>
        <v/>
      </c>
      <c r="M437" s="58">
        <f>'个人技术逐级'!N437</f>
        <v/>
      </c>
      <c r="N437" s="58">
        <f>SUMIFS($M$5:$M$692,$A$5:$A$692,A437,$B$5:$B$692,B437,$F$5:$F$692,"&lt;="&amp;F437)</f>
        <v/>
      </c>
      <c r="O437" s="58">
        <f>0</f>
        <v/>
      </c>
      <c r="P437" s="58">
        <f>SUMIFS($O$5:$O$692,$A$5:$A$692,A437,$B$5:$B$692,B437,$F$5:$F$692,"&lt;="&amp;F437)</f>
        <v/>
      </c>
      <c r="Q437" s="58">
        <f>0</f>
        <v/>
      </c>
      <c r="R437" s="58">
        <f>SUMIFS($Q$5:$Q$692,$A$5:$A$692,A437,$B$5:$B$692,B437,$F$5:$F$692,"&lt;="&amp;F437)</f>
        <v/>
      </c>
      <c r="S437" s="58">
        <f>0</f>
        <v/>
      </c>
      <c r="T437" s="58">
        <f>SUMIFS($S$5:$S$692,$A$5:$A$692,A437,$B$5:$B$692,B437,$F$5:$F$692,"&lt;="&amp;F437)</f>
        <v/>
      </c>
      <c r="U437" s="52">
        <f>'个人技术逐级'!O437</f>
        <v/>
      </c>
    </row>
    <row r="438">
      <c r="A438" s="33" t="inlineStr">
        <is>
          <t>个人技术</t>
        </is>
      </c>
      <c r="B438" s="33">
        <f>'个人技术逐级'!A438</f>
        <v/>
      </c>
      <c r="C438" s="33">
        <f>'个人技术逐级'!B438</f>
        <v/>
      </c>
      <c r="D438" s="33">
        <f>'个人技术逐级'!C438</f>
        <v/>
      </c>
      <c r="E438">
        <f>'个人技术逐级'!D438</f>
        <v/>
      </c>
      <c r="F438" s="54">
        <f>'个人技术逐级'!E438</f>
        <v/>
      </c>
      <c r="G438" s="55">
        <f>'个人技术逐级'!F438</f>
        <v/>
      </c>
      <c r="H438" s="56">
        <f>'个人技术逐级'!G438</f>
        <v/>
      </c>
      <c r="I438" s="52" t="inlineStr">
        <is>
          <t>个人技术计时升级</t>
        </is>
      </c>
      <c r="J438" s="57">
        <f>'个人技术逐级'!M438</f>
        <v/>
      </c>
      <c r="K438" s="35">
        <f>J438/3600</f>
        <v/>
      </c>
      <c r="L438" s="35">
        <f>SUMIFS($K$5:$K$692,$A$5:$A$692,A438,$B$5:$B$692,B438,$F$5:$F$692,"&lt;="&amp;F438)</f>
        <v/>
      </c>
      <c r="M438" s="58">
        <f>'个人技术逐级'!N438</f>
        <v/>
      </c>
      <c r="N438" s="58">
        <f>SUMIFS($M$5:$M$692,$A$5:$A$692,A438,$B$5:$B$692,B438,$F$5:$F$692,"&lt;="&amp;F438)</f>
        <v/>
      </c>
      <c r="O438" s="58">
        <f>0</f>
        <v/>
      </c>
      <c r="P438" s="58">
        <f>SUMIFS($O$5:$O$692,$A$5:$A$692,A438,$B$5:$B$692,B438,$F$5:$F$692,"&lt;="&amp;F438)</f>
        <v/>
      </c>
      <c r="Q438" s="58">
        <f>0</f>
        <v/>
      </c>
      <c r="R438" s="58">
        <f>SUMIFS($Q$5:$Q$692,$A$5:$A$692,A438,$B$5:$B$692,B438,$F$5:$F$692,"&lt;="&amp;F438)</f>
        <v/>
      </c>
      <c r="S438" s="58">
        <f>0</f>
        <v/>
      </c>
      <c r="T438" s="58">
        <f>SUMIFS($S$5:$S$692,$A$5:$A$692,A438,$B$5:$B$692,B438,$F$5:$F$692,"&lt;="&amp;F438)</f>
        <v/>
      </c>
      <c r="U438" s="52">
        <f>'个人技术逐级'!O438</f>
        <v/>
      </c>
    </row>
    <row r="439">
      <c r="A439" s="33" t="inlineStr">
        <is>
          <t>个人技术</t>
        </is>
      </c>
      <c r="B439" s="33">
        <f>'个人技术逐级'!A439</f>
        <v/>
      </c>
      <c r="C439" s="33">
        <f>'个人技术逐级'!B439</f>
        <v/>
      </c>
      <c r="D439" s="33">
        <f>'个人技术逐级'!C439</f>
        <v/>
      </c>
      <c r="E439">
        <f>'个人技术逐级'!D439</f>
        <v/>
      </c>
      <c r="F439" s="54">
        <f>'个人技术逐级'!E439</f>
        <v/>
      </c>
      <c r="G439" s="55">
        <f>'个人技术逐级'!F439</f>
        <v/>
      </c>
      <c r="H439" s="56">
        <f>'个人技术逐级'!G439</f>
        <v/>
      </c>
      <c r="I439" s="52" t="inlineStr">
        <is>
          <t>个人技术计时升级</t>
        </is>
      </c>
      <c r="J439" s="57">
        <f>'个人技术逐级'!M439</f>
        <v/>
      </c>
      <c r="K439" s="35">
        <f>J439/3600</f>
        <v/>
      </c>
      <c r="L439" s="35">
        <f>SUMIFS($K$5:$K$692,$A$5:$A$692,A439,$B$5:$B$692,B439,$F$5:$F$692,"&lt;="&amp;F439)</f>
        <v/>
      </c>
      <c r="M439" s="58">
        <f>'个人技术逐级'!N439</f>
        <v/>
      </c>
      <c r="N439" s="58">
        <f>SUMIFS($M$5:$M$692,$A$5:$A$692,A439,$B$5:$B$692,B439,$F$5:$F$692,"&lt;="&amp;F439)</f>
        <v/>
      </c>
      <c r="O439" s="58">
        <f>0</f>
        <v/>
      </c>
      <c r="P439" s="58">
        <f>SUMIFS($O$5:$O$692,$A$5:$A$692,A439,$B$5:$B$692,B439,$F$5:$F$692,"&lt;="&amp;F439)</f>
        <v/>
      </c>
      <c r="Q439" s="58">
        <f>0</f>
        <v/>
      </c>
      <c r="R439" s="58">
        <f>SUMIFS($Q$5:$Q$692,$A$5:$A$692,A439,$B$5:$B$692,B439,$F$5:$F$692,"&lt;="&amp;F439)</f>
        <v/>
      </c>
      <c r="S439" s="58">
        <f>0</f>
        <v/>
      </c>
      <c r="T439" s="58">
        <f>SUMIFS($S$5:$S$692,$A$5:$A$692,A439,$B$5:$B$692,B439,$F$5:$F$692,"&lt;="&amp;F439)</f>
        <v/>
      </c>
      <c r="U439" s="52">
        <f>'个人技术逐级'!O439</f>
        <v/>
      </c>
    </row>
    <row r="440">
      <c r="A440" s="33" t="inlineStr">
        <is>
          <t>个人技术</t>
        </is>
      </c>
      <c r="B440" s="33">
        <f>'个人技术逐级'!A440</f>
        <v/>
      </c>
      <c r="C440" s="33">
        <f>'个人技术逐级'!B440</f>
        <v/>
      </c>
      <c r="D440" s="33">
        <f>'个人技术逐级'!C440</f>
        <v/>
      </c>
      <c r="E440">
        <f>'个人技术逐级'!D440</f>
        <v/>
      </c>
      <c r="F440" s="54">
        <f>'个人技术逐级'!E440</f>
        <v/>
      </c>
      <c r="G440" s="55">
        <f>'个人技术逐级'!F440</f>
        <v/>
      </c>
      <c r="H440" s="56">
        <f>'个人技术逐级'!G440</f>
        <v/>
      </c>
      <c r="I440" s="52" t="inlineStr">
        <is>
          <t>个人技术计时升级</t>
        </is>
      </c>
      <c r="J440" s="57">
        <f>'个人技术逐级'!M440</f>
        <v/>
      </c>
      <c r="K440" s="35">
        <f>J440/3600</f>
        <v/>
      </c>
      <c r="L440" s="35">
        <f>SUMIFS($K$5:$K$692,$A$5:$A$692,A440,$B$5:$B$692,B440,$F$5:$F$692,"&lt;="&amp;F440)</f>
        <v/>
      </c>
      <c r="M440" s="58">
        <f>'个人技术逐级'!N440</f>
        <v/>
      </c>
      <c r="N440" s="58">
        <f>SUMIFS($M$5:$M$692,$A$5:$A$692,A440,$B$5:$B$692,B440,$F$5:$F$692,"&lt;="&amp;F440)</f>
        <v/>
      </c>
      <c r="O440" s="58">
        <f>0</f>
        <v/>
      </c>
      <c r="P440" s="58">
        <f>SUMIFS($O$5:$O$692,$A$5:$A$692,A440,$B$5:$B$692,B440,$F$5:$F$692,"&lt;="&amp;F440)</f>
        <v/>
      </c>
      <c r="Q440" s="58">
        <f>0</f>
        <v/>
      </c>
      <c r="R440" s="58">
        <f>SUMIFS($Q$5:$Q$692,$A$5:$A$692,A440,$B$5:$B$692,B440,$F$5:$F$692,"&lt;="&amp;F440)</f>
        <v/>
      </c>
      <c r="S440" s="58">
        <f>0</f>
        <v/>
      </c>
      <c r="T440" s="58">
        <f>SUMIFS($S$5:$S$692,$A$5:$A$692,A440,$B$5:$B$692,B440,$F$5:$F$692,"&lt;="&amp;F440)</f>
        <v/>
      </c>
      <c r="U440" s="52">
        <f>'个人技术逐级'!O440</f>
        <v/>
      </c>
    </row>
    <row r="441">
      <c r="A441" s="33" t="inlineStr">
        <is>
          <t>个人技术</t>
        </is>
      </c>
      <c r="B441" s="33">
        <f>'个人技术逐级'!A441</f>
        <v/>
      </c>
      <c r="C441" s="33">
        <f>'个人技术逐级'!B441</f>
        <v/>
      </c>
      <c r="D441" s="33">
        <f>'个人技术逐级'!C441</f>
        <v/>
      </c>
      <c r="E441">
        <f>'个人技术逐级'!D441</f>
        <v/>
      </c>
      <c r="F441" s="54">
        <f>'个人技术逐级'!E441</f>
        <v/>
      </c>
      <c r="G441" s="55">
        <f>'个人技术逐级'!F441</f>
        <v/>
      </c>
      <c r="H441" s="56">
        <f>'个人技术逐级'!G441</f>
        <v/>
      </c>
      <c r="I441" s="52" t="inlineStr">
        <is>
          <t>个人技术计时升级</t>
        </is>
      </c>
      <c r="J441" s="57">
        <f>'个人技术逐级'!M441</f>
        <v/>
      </c>
      <c r="K441" s="35">
        <f>J441/3600</f>
        <v/>
      </c>
      <c r="L441" s="35">
        <f>SUMIFS($K$5:$K$692,$A$5:$A$692,A441,$B$5:$B$692,B441,$F$5:$F$692,"&lt;="&amp;F441)</f>
        <v/>
      </c>
      <c r="M441" s="58">
        <f>'个人技术逐级'!N441</f>
        <v/>
      </c>
      <c r="N441" s="58">
        <f>SUMIFS($M$5:$M$692,$A$5:$A$692,A441,$B$5:$B$692,B441,$F$5:$F$692,"&lt;="&amp;F441)</f>
        <v/>
      </c>
      <c r="O441" s="58">
        <f>0</f>
        <v/>
      </c>
      <c r="P441" s="58">
        <f>SUMIFS($O$5:$O$692,$A$5:$A$692,A441,$B$5:$B$692,B441,$F$5:$F$692,"&lt;="&amp;F441)</f>
        <v/>
      </c>
      <c r="Q441" s="58">
        <f>0</f>
        <v/>
      </c>
      <c r="R441" s="58">
        <f>SUMIFS($Q$5:$Q$692,$A$5:$A$692,A441,$B$5:$B$692,B441,$F$5:$F$692,"&lt;="&amp;F441)</f>
        <v/>
      </c>
      <c r="S441" s="58">
        <f>0</f>
        <v/>
      </c>
      <c r="T441" s="58">
        <f>SUMIFS($S$5:$S$692,$A$5:$A$692,A441,$B$5:$B$692,B441,$F$5:$F$692,"&lt;="&amp;F441)</f>
        <v/>
      </c>
      <c r="U441" s="52">
        <f>'个人技术逐级'!O441</f>
        <v/>
      </c>
    </row>
    <row r="442">
      <c r="A442" s="33" t="inlineStr">
        <is>
          <t>个人技术</t>
        </is>
      </c>
      <c r="B442" s="33">
        <f>'个人技术逐级'!A442</f>
        <v/>
      </c>
      <c r="C442" s="33">
        <f>'个人技术逐级'!B442</f>
        <v/>
      </c>
      <c r="D442" s="33">
        <f>'个人技术逐级'!C442</f>
        <v/>
      </c>
      <c r="E442">
        <f>'个人技术逐级'!D442</f>
        <v/>
      </c>
      <c r="F442" s="54">
        <f>'个人技术逐级'!E442</f>
        <v/>
      </c>
      <c r="G442" s="55">
        <f>'个人技术逐级'!F442</f>
        <v/>
      </c>
      <c r="H442" s="56">
        <f>'个人技术逐级'!G442</f>
        <v/>
      </c>
      <c r="I442" s="52" t="inlineStr">
        <is>
          <t>个人技术计时升级</t>
        </is>
      </c>
      <c r="J442" s="57">
        <f>'个人技术逐级'!M442</f>
        <v/>
      </c>
      <c r="K442" s="35">
        <f>J442/3600</f>
        <v/>
      </c>
      <c r="L442" s="35">
        <f>SUMIFS($K$5:$K$692,$A$5:$A$692,A442,$B$5:$B$692,B442,$F$5:$F$692,"&lt;="&amp;F442)</f>
        <v/>
      </c>
      <c r="M442" s="58">
        <f>'个人技术逐级'!N442</f>
        <v/>
      </c>
      <c r="N442" s="58">
        <f>SUMIFS($M$5:$M$692,$A$5:$A$692,A442,$B$5:$B$692,B442,$F$5:$F$692,"&lt;="&amp;F442)</f>
        <v/>
      </c>
      <c r="O442" s="58">
        <f>0</f>
        <v/>
      </c>
      <c r="P442" s="58">
        <f>SUMIFS($O$5:$O$692,$A$5:$A$692,A442,$B$5:$B$692,B442,$F$5:$F$692,"&lt;="&amp;F442)</f>
        <v/>
      </c>
      <c r="Q442" s="58">
        <f>0</f>
        <v/>
      </c>
      <c r="R442" s="58">
        <f>SUMIFS($Q$5:$Q$692,$A$5:$A$692,A442,$B$5:$B$692,B442,$F$5:$F$692,"&lt;="&amp;F442)</f>
        <v/>
      </c>
      <c r="S442" s="58">
        <f>0</f>
        <v/>
      </c>
      <c r="T442" s="58">
        <f>SUMIFS($S$5:$S$692,$A$5:$A$692,A442,$B$5:$B$692,B442,$F$5:$F$692,"&lt;="&amp;F442)</f>
        <v/>
      </c>
      <c r="U442" s="52">
        <f>'个人技术逐级'!O442</f>
        <v/>
      </c>
    </row>
    <row r="443">
      <c r="A443" s="33" t="inlineStr">
        <is>
          <t>个人技术</t>
        </is>
      </c>
      <c r="B443" s="33">
        <f>'个人技术逐级'!A443</f>
        <v/>
      </c>
      <c r="C443" s="33">
        <f>'个人技术逐级'!B443</f>
        <v/>
      </c>
      <c r="D443" s="33">
        <f>'个人技术逐级'!C443</f>
        <v/>
      </c>
      <c r="E443">
        <f>'个人技术逐级'!D443</f>
        <v/>
      </c>
      <c r="F443" s="54">
        <f>'个人技术逐级'!E443</f>
        <v/>
      </c>
      <c r="G443" s="55">
        <f>'个人技术逐级'!F443</f>
        <v/>
      </c>
      <c r="H443" s="56">
        <f>'个人技术逐级'!G443</f>
        <v/>
      </c>
      <c r="I443" s="52" t="inlineStr">
        <is>
          <t>个人技术计时升级</t>
        </is>
      </c>
      <c r="J443" s="57">
        <f>'个人技术逐级'!M443</f>
        <v/>
      </c>
      <c r="K443" s="35">
        <f>J443/3600</f>
        <v/>
      </c>
      <c r="L443" s="35">
        <f>SUMIFS($K$5:$K$692,$A$5:$A$692,A443,$B$5:$B$692,B443,$F$5:$F$692,"&lt;="&amp;F443)</f>
        <v/>
      </c>
      <c r="M443" s="58">
        <f>'个人技术逐级'!N443</f>
        <v/>
      </c>
      <c r="N443" s="58">
        <f>SUMIFS($M$5:$M$692,$A$5:$A$692,A443,$B$5:$B$692,B443,$F$5:$F$692,"&lt;="&amp;F443)</f>
        <v/>
      </c>
      <c r="O443" s="58">
        <f>0</f>
        <v/>
      </c>
      <c r="P443" s="58">
        <f>SUMIFS($O$5:$O$692,$A$5:$A$692,A443,$B$5:$B$692,B443,$F$5:$F$692,"&lt;="&amp;F443)</f>
        <v/>
      </c>
      <c r="Q443" s="58">
        <f>0</f>
        <v/>
      </c>
      <c r="R443" s="58">
        <f>SUMIFS($Q$5:$Q$692,$A$5:$A$692,A443,$B$5:$B$692,B443,$F$5:$F$692,"&lt;="&amp;F443)</f>
        <v/>
      </c>
      <c r="S443" s="58">
        <f>0</f>
        <v/>
      </c>
      <c r="T443" s="58">
        <f>SUMIFS($S$5:$S$692,$A$5:$A$692,A443,$B$5:$B$692,B443,$F$5:$F$692,"&lt;="&amp;F443)</f>
        <v/>
      </c>
      <c r="U443" s="52">
        <f>'个人技术逐级'!O443</f>
        <v/>
      </c>
    </row>
    <row r="444">
      <c r="A444" s="33" t="inlineStr">
        <is>
          <t>个人技术</t>
        </is>
      </c>
      <c r="B444" s="33">
        <f>'个人技术逐级'!A444</f>
        <v/>
      </c>
      <c r="C444" s="33">
        <f>'个人技术逐级'!B444</f>
        <v/>
      </c>
      <c r="D444" s="33">
        <f>'个人技术逐级'!C444</f>
        <v/>
      </c>
      <c r="E444">
        <f>'个人技术逐级'!D444</f>
        <v/>
      </c>
      <c r="F444" s="54">
        <f>'个人技术逐级'!E444</f>
        <v/>
      </c>
      <c r="G444" s="55">
        <f>'个人技术逐级'!F444</f>
        <v/>
      </c>
      <c r="H444" s="56">
        <f>'个人技术逐级'!G444</f>
        <v/>
      </c>
      <c r="I444" s="52" t="inlineStr">
        <is>
          <t>个人技术计时升级</t>
        </is>
      </c>
      <c r="J444" s="57">
        <f>'个人技术逐级'!M444</f>
        <v/>
      </c>
      <c r="K444" s="35">
        <f>J444/3600</f>
        <v/>
      </c>
      <c r="L444" s="35">
        <f>SUMIFS($K$5:$K$692,$A$5:$A$692,A444,$B$5:$B$692,B444,$F$5:$F$692,"&lt;="&amp;F444)</f>
        <v/>
      </c>
      <c r="M444" s="58">
        <f>'个人技术逐级'!N444</f>
        <v/>
      </c>
      <c r="N444" s="58">
        <f>SUMIFS($M$5:$M$692,$A$5:$A$692,A444,$B$5:$B$692,B444,$F$5:$F$692,"&lt;="&amp;F444)</f>
        <v/>
      </c>
      <c r="O444" s="58">
        <f>0</f>
        <v/>
      </c>
      <c r="P444" s="58">
        <f>SUMIFS($O$5:$O$692,$A$5:$A$692,A444,$B$5:$B$692,B444,$F$5:$F$692,"&lt;="&amp;F444)</f>
        <v/>
      </c>
      <c r="Q444" s="58">
        <f>0</f>
        <v/>
      </c>
      <c r="R444" s="58">
        <f>SUMIFS($Q$5:$Q$692,$A$5:$A$692,A444,$B$5:$B$692,B444,$F$5:$F$692,"&lt;="&amp;F444)</f>
        <v/>
      </c>
      <c r="S444" s="58">
        <f>0</f>
        <v/>
      </c>
      <c r="T444" s="58">
        <f>SUMIFS($S$5:$S$692,$A$5:$A$692,A444,$B$5:$B$692,B444,$F$5:$F$692,"&lt;="&amp;F444)</f>
        <v/>
      </c>
      <c r="U444" s="52">
        <f>'个人技术逐级'!O444</f>
        <v/>
      </c>
    </row>
    <row r="445">
      <c r="A445" s="33" t="inlineStr">
        <is>
          <t>个人技术</t>
        </is>
      </c>
      <c r="B445" s="33">
        <f>'个人技术逐级'!A445</f>
        <v/>
      </c>
      <c r="C445" s="33">
        <f>'个人技术逐级'!B445</f>
        <v/>
      </c>
      <c r="D445" s="33">
        <f>'个人技术逐级'!C445</f>
        <v/>
      </c>
      <c r="E445">
        <f>'个人技术逐级'!D445</f>
        <v/>
      </c>
      <c r="F445" s="54">
        <f>'个人技术逐级'!E445</f>
        <v/>
      </c>
      <c r="G445" s="55">
        <f>'个人技术逐级'!F445</f>
        <v/>
      </c>
      <c r="H445" s="56">
        <f>'个人技术逐级'!G445</f>
        <v/>
      </c>
      <c r="I445" s="52" t="inlineStr">
        <is>
          <t>个人技术计时升级</t>
        </is>
      </c>
      <c r="J445" s="57">
        <f>'个人技术逐级'!M445</f>
        <v/>
      </c>
      <c r="K445" s="35">
        <f>J445/3600</f>
        <v/>
      </c>
      <c r="L445" s="35">
        <f>SUMIFS($K$5:$K$692,$A$5:$A$692,A445,$B$5:$B$692,B445,$F$5:$F$692,"&lt;="&amp;F445)</f>
        <v/>
      </c>
      <c r="M445" s="58">
        <f>'个人技术逐级'!N445</f>
        <v/>
      </c>
      <c r="N445" s="58">
        <f>SUMIFS($M$5:$M$692,$A$5:$A$692,A445,$B$5:$B$692,B445,$F$5:$F$692,"&lt;="&amp;F445)</f>
        <v/>
      </c>
      <c r="O445" s="58">
        <f>0</f>
        <v/>
      </c>
      <c r="P445" s="58">
        <f>SUMIFS($O$5:$O$692,$A$5:$A$692,A445,$B$5:$B$692,B445,$F$5:$F$692,"&lt;="&amp;F445)</f>
        <v/>
      </c>
      <c r="Q445" s="58">
        <f>0</f>
        <v/>
      </c>
      <c r="R445" s="58">
        <f>SUMIFS($Q$5:$Q$692,$A$5:$A$692,A445,$B$5:$B$692,B445,$F$5:$F$692,"&lt;="&amp;F445)</f>
        <v/>
      </c>
      <c r="S445" s="58">
        <f>0</f>
        <v/>
      </c>
      <c r="T445" s="58">
        <f>SUMIFS($S$5:$S$692,$A$5:$A$692,A445,$B$5:$B$692,B445,$F$5:$F$692,"&lt;="&amp;F445)</f>
        <v/>
      </c>
      <c r="U445" s="52">
        <f>'个人技术逐级'!O445</f>
        <v/>
      </c>
    </row>
    <row r="446">
      <c r="A446" s="33" t="inlineStr">
        <is>
          <t>个人技术</t>
        </is>
      </c>
      <c r="B446" s="33">
        <f>'个人技术逐级'!A446</f>
        <v/>
      </c>
      <c r="C446" s="33">
        <f>'个人技术逐级'!B446</f>
        <v/>
      </c>
      <c r="D446" s="33">
        <f>'个人技术逐级'!C446</f>
        <v/>
      </c>
      <c r="E446">
        <f>'个人技术逐级'!D446</f>
        <v/>
      </c>
      <c r="F446" s="54">
        <f>'个人技术逐级'!E446</f>
        <v/>
      </c>
      <c r="G446" s="55">
        <f>'个人技术逐级'!F446</f>
        <v/>
      </c>
      <c r="H446" s="56">
        <f>'个人技术逐级'!G446</f>
        <v/>
      </c>
      <c r="I446" s="52" t="inlineStr">
        <is>
          <t>个人技术计时升级</t>
        </is>
      </c>
      <c r="J446" s="57">
        <f>'个人技术逐级'!M446</f>
        <v/>
      </c>
      <c r="K446" s="35">
        <f>J446/3600</f>
        <v/>
      </c>
      <c r="L446" s="35">
        <f>SUMIFS($K$5:$K$692,$A$5:$A$692,A446,$B$5:$B$692,B446,$F$5:$F$692,"&lt;="&amp;F446)</f>
        <v/>
      </c>
      <c r="M446" s="58">
        <f>'个人技术逐级'!N446</f>
        <v/>
      </c>
      <c r="N446" s="58">
        <f>SUMIFS($M$5:$M$692,$A$5:$A$692,A446,$B$5:$B$692,B446,$F$5:$F$692,"&lt;="&amp;F446)</f>
        <v/>
      </c>
      <c r="O446" s="58">
        <f>0</f>
        <v/>
      </c>
      <c r="P446" s="58">
        <f>SUMIFS($O$5:$O$692,$A$5:$A$692,A446,$B$5:$B$692,B446,$F$5:$F$692,"&lt;="&amp;F446)</f>
        <v/>
      </c>
      <c r="Q446" s="58">
        <f>0</f>
        <v/>
      </c>
      <c r="R446" s="58">
        <f>SUMIFS($Q$5:$Q$692,$A$5:$A$692,A446,$B$5:$B$692,B446,$F$5:$F$692,"&lt;="&amp;F446)</f>
        <v/>
      </c>
      <c r="S446" s="58">
        <f>0</f>
        <v/>
      </c>
      <c r="T446" s="58">
        <f>SUMIFS($S$5:$S$692,$A$5:$A$692,A446,$B$5:$B$692,B446,$F$5:$F$692,"&lt;="&amp;F446)</f>
        <v/>
      </c>
      <c r="U446" s="52">
        <f>'个人技术逐级'!O446</f>
        <v/>
      </c>
    </row>
    <row r="447">
      <c r="A447" s="33" t="inlineStr">
        <is>
          <t>个人技术</t>
        </is>
      </c>
      <c r="B447" s="33">
        <f>'个人技术逐级'!A447</f>
        <v/>
      </c>
      <c r="C447" s="33">
        <f>'个人技术逐级'!B447</f>
        <v/>
      </c>
      <c r="D447" s="33">
        <f>'个人技术逐级'!C447</f>
        <v/>
      </c>
      <c r="E447">
        <f>'个人技术逐级'!D447</f>
        <v/>
      </c>
      <c r="F447" s="54">
        <f>'个人技术逐级'!E447</f>
        <v/>
      </c>
      <c r="G447" s="55">
        <f>'个人技术逐级'!F447</f>
        <v/>
      </c>
      <c r="H447" s="56">
        <f>'个人技术逐级'!G447</f>
        <v/>
      </c>
      <c r="I447" s="52" t="inlineStr">
        <is>
          <t>个人技术计时升级</t>
        </is>
      </c>
      <c r="J447" s="57">
        <f>'个人技术逐级'!M447</f>
        <v/>
      </c>
      <c r="K447" s="35">
        <f>J447/3600</f>
        <v/>
      </c>
      <c r="L447" s="35">
        <f>SUMIFS($K$5:$K$692,$A$5:$A$692,A447,$B$5:$B$692,B447,$F$5:$F$692,"&lt;="&amp;F447)</f>
        <v/>
      </c>
      <c r="M447" s="58">
        <f>'个人技术逐级'!N447</f>
        <v/>
      </c>
      <c r="N447" s="58">
        <f>SUMIFS($M$5:$M$692,$A$5:$A$692,A447,$B$5:$B$692,B447,$F$5:$F$692,"&lt;="&amp;F447)</f>
        <v/>
      </c>
      <c r="O447" s="58">
        <f>0</f>
        <v/>
      </c>
      <c r="P447" s="58">
        <f>SUMIFS($O$5:$O$692,$A$5:$A$692,A447,$B$5:$B$692,B447,$F$5:$F$692,"&lt;="&amp;F447)</f>
        <v/>
      </c>
      <c r="Q447" s="58">
        <f>0</f>
        <v/>
      </c>
      <c r="R447" s="58">
        <f>SUMIFS($Q$5:$Q$692,$A$5:$A$692,A447,$B$5:$B$692,B447,$F$5:$F$692,"&lt;="&amp;F447)</f>
        <v/>
      </c>
      <c r="S447" s="58">
        <f>0</f>
        <v/>
      </c>
      <c r="T447" s="58">
        <f>SUMIFS($S$5:$S$692,$A$5:$A$692,A447,$B$5:$B$692,B447,$F$5:$F$692,"&lt;="&amp;F447)</f>
        <v/>
      </c>
      <c r="U447" s="52">
        <f>'个人技术逐级'!O447</f>
        <v/>
      </c>
    </row>
    <row r="448">
      <c r="A448" s="33" t="inlineStr">
        <is>
          <t>个人技术</t>
        </is>
      </c>
      <c r="B448" s="33">
        <f>'个人技术逐级'!A448</f>
        <v/>
      </c>
      <c r="C448" s="33">
        <f>'个人技术逐级'!B448</f>
        <v/>
      </c>
      <c r="D448" s="33">
        <f>'个人技术逐级'!C448</f>
        <v/>
      </c>
      <c r="E448">
        <f>'个人技术逐级'!D448</f>
        <v/>
      </c>
      <c r="F448" s="54">
        <f>'个人技术逐级'!E448</f>
        <v/>
      </c>
      <c r="G448" s="55">
        <f>'个人技术逐级'!F448</f>
        <v/>
      </c>
      <c r="H448" s="56">
        <f>'个人技术逐级'!G448</f>
        <v/>
      </c>
      <c r="I448" s="52" t="inlineStr">
        <is>
          <t>个人技术计时升级</t>
        </is>
      </c>
      <c r="J448" s="57">
        <f>'个人技术逐级'!M448</f>
        <v/>
      </c>
      <c r="K448" s="35">
        <f>J448/3600</f>
        <v/>
      </c>
      <c r="L448" s="35">
        <f>SUMIFS($K$5:$K$692,$A$5:$A$692,A448,$B$5:$B$692,B448,$F$5:$F$692,"&lt;="&amp;F448)</f>
        <v/>
      </c>
      <c r="M448" s="58">
        <f>'个人技术逐级'!N448</f>
        <v/>
      </c>
      <c r="N448" s="58">
        <f>SUMIFS($M$5:$M$692,$A$5:$A$692,A448,$B$5:$B$692,B448,$F$5:$F$692,"&lt;="&amp;F448)</f>
        <v/>
      </c>
      <c r="O448" s="58">
        <f>0</f>
        <v/>
      </c>
      <c r="P448" s="58">
        <f>SUMIFS($O$5:$O$692,$A$5:$A$692,A448,$B$5:$B$692,B448,$F$5:$F$692,"&lt;="&amp;F448)</f>
        <v/>
      </c>
      <c r="Q448" s="58">
        <f>0</f>
        <v/>
      </c>
      <c r="R448" s="58">
        <f>SUMIFS($Q$5:$Q$692,$A$5:$A$692,A448,$B$5:$B$692,B448,$F$5:$F$692,"&lt;="&amp;F448)</f>
        <v/>
      </c>
      <c r="S448" s="58">
        <f>0</f>
        <v/>
      </c>
      <c r="T448" s="58">
        <f>SUMIFS($S$5:$S$692,$A$5:$A$692,A448,$B$5:$B$692,B448,$F$5:$F$692,"&lt;="&amp;F448)</f>
        <v/>
      </c>
      <c r="U448" s="52">
        <f>'个人技术逐级'!O448</f>
        <v/>
      </c>
    </row>
    <row r="449">
      <c r="A449" s="33" t="inlineStr">
        <is>
          <t>个人技术</t>
        </is>
      </c>
      <c r="B449" s="33">
        <f>'个人技术逐级'!A449</f>
        <v/>
      </c>
      <c r="C449" s="33">
        <f>'个人技术逐级'!B449</f>
        <v/>
      </c>
      <c r="D449" s="33">
        <f>'个人技术逐级'!C449</f>
        <v/>
      </c>
      <c r="E449">
        <f>'个人技术逐级'!D449</f>
        <v/>
      </c>
      <c r="F449" s="54">
        <f>'个人技术逐级'!E449</f>
        <v/>
      </c>
      <c r="G449" s="55">
        <f>'个人技术逐级'!F449</f>
        <v/>
      </c>
      <c r="H449" s="56">
        <f>'个人技术逐级'!G449</f>
        <v/>
      </c>
      <c r="I449" s="52" t="inlineStr">
        <is>
          <t>个人技术计时升级</t>
        </is>
      </c>
      <c r="J449" s="57">
        <f>'个人技术逐级'!M449</f>
        <v/>
      </c>
      <c r="K449" s="35">
        <f>J449/3600</f>
        <v/>
      </c>
      <c r="L449" s="35">
        <f>SUMIFS($K$5:$K$692,$A$5:$A$692,A449,$B$5:$B$692,B449,$F$5:$F$692,"&lt;="&amp;F449)</f>
        <v/>
      </c>
      <c r="M449" s="58">
        <f>'个人技术逐级'!N449</f>
        <v/>
      </c>
      <c r="N449" s="58">
        <f>SUMIFS($M$5:$M$692,$A$5:$A$692,A449,$B$5:$B$692,B449,$F$5:$F$692,"&lt;="&amp;F449)</f>
        <v/>
      </c>
      <c r="O449" s="58">
        <f>0</f>
        <v/>
      </c>
      <c r="P449" s="58">
        <f>SUMIFS($O$5:$O$692,$A$5:$A$692,A449,$B$5:$B$692,B449,$F$5:$F$692,"&lt;="&amp;F449)</f>
        <v/>
      </c>
      <c r="Q449" s="58">
        <f>0</f>
        <v/>
      </c>
      <c r="R449" s="58">
        <f>SUMIFS($Q$5:$Q$692,$A$5:$A$692,A449,$B$5:$B$692,B449,$F$5:$F$692,"&lt;="&amp;F449)</f>
        <v/>
      </c>
      <c r="S449" s="58">
        <f>0</f>
        <v/>
      </c>
      <c r="T449" s="58">
        <f>SUMIFS($S$5:$S$692,$A$5:$A$692,A449,$B$5:$B$692,B449,$F$5:$F$692,"&lt;="&amp;F449)</f>
        <v/>
      </c>
      <c r="U449" s="52">
        <f>'个人技术逐级'!O449</f>
        <v/>
      </c>
    </row>
    <row r="450">
      <c r="A450" s="33" t="inlineStr">
        <is>
          <t>个人技术</t>
        </is>
      </c>
      <c r="B450" s="33">
        <f>'个人技术逐级'!A450</f>
        <v/>
      </c>
      <c r="C450" s="33">
        <f>'个人技术逐级'!B450</f>
        <v/>
      </c>
      <c r="D450" s="33">
        <f>'个人技术逐级'!C450</f>
        <v/>
      </c>
      <c r="E450">
        <f>'个人技术逐级'!D450</f>
        <v/>
      </c>
      <c r="F450" s="54">
        <f>'个人技术逐级'!E450</f>
        <v/>
      </c>
      <c r="G450" s="55">
        <f>'个人技术逐级'!F450</f>
        <v/>
      </c>
      <c r="H450" s="56">
        <f>'个人技术逐级'!G450</f>
        <v/>
      </c>
      <c r="I450" s="52" t="inlineStr">
        <is>
          <t>个人技术计时升级</t>
        </is>
      </c>
      <c r="J450" s="57">
        <f>'个人技术逐级'!M450</f>
        <v/>
      </c>
      <c r="K450" s="35">
        <f>J450/3600</f>
        <v/>
      </c>
      <c r="L450" s="35">
        <f>SUMIFS($K$5:$K$692,$A$5:$A$692,A450,$B$5:$B$692,B450,$F$5:$F$692,"&lt;="&amp;F450)</f>
        <v/>
      </c>
      <c r="M450" s="58">
        <f>'个人技术逐级'!N450</f>
        <v/>
      </c>
      <c r="N450" s="58">
        <f>SUMIFS($M$5:$M$692,$A$5:$A$692,A450,$B$5:$B$692,B450,$F$5:$F$692,"&lt;="&amp;F450)</f>
        <v/>
      </c>
      <c r="O450" s="58">
        <f>0</f>
        <v/>
      </c>
      <c r="P450" s="58">
        <f>SUMIFS($O$5:$O$692,$A$5:$A$692,A450,$B$5:$B$692,B450,$F$5:$F$692,"&lt;="&amp;F450)</f>
        <v/>
      </c>
      <c r="Q450" s="58">
        <f>0</f>
        <v/>
      </c>
      <c r="R450" s="58">
        <f>SUMIFS($Q$5:$Q$692,$A$5:$A$692,A450,$B$5:$B$692,B450,$F$5:$F$692,"&lt;="&amp;F450)</f>
        <v/>
      </c>
      <c r="S450" s="58">
        <f>0</f>
        <v/>
      </c>
      <c r="T450" s="58">
        <f>SUMIFS($S$5:$S$692,$A$5:$A$692,A450,$B$5:$B$692,B450,$F$5:$F$692,"&lt;="&amp;F450)</f>
        <v/>
      </c>
      <c r="U450" s="52">
        <f>'个人技术逐级'!O450</f>
        <v/>
      </c>
    </row>
    <row r="451">
      <c r="A451" s="33" t="inlineStr">
        <is>
          <t>个人技术</t>
        </is>
      </c>
      <c r="B451" s="33">
        <f>'个人技术逐级'!A451</f>
        <v/>
      </c>
      <c r="C451" s="33">
        <f>'个人技术逐级'!B451</f>
        <v/>
      </c>
      <c r="D451" s="33">
        <f>'个人技术逐级'!C451</f>
        <v/>
      </c>
      <c r="E451">
        <f>'个人技术逐级'!D451</f>
        <v/>
      </c>
      <c r="F451" s="54">
        <f>'个人技术逐级'!E451</f>
        <v/>
      </c>
      <c r="G451" s="55">
        <f>'个人技术逐级'!F451</f>
        <v/>
      </c>
      <c r="H451" s="56">
        <f>'个人技术逐级'!G451</f>
        <v/>
      </c>
      <c r="I451" s="52" t="inlineStr">
        <is>
          <t>个人技术计时升级</t>
        </is>
      </c>
      <c r="J451" s="57">
        <f>'个人技术逐级'!M451</f>
        <v/>
      </c>
      <c r="K451" s="35">
        <f>J451/3600</f>
        <v/>
      </c>
      <c r="L451" s="35">
        <f>SUMIFS($K$5:$K$692,$A$5:$A$692,A451,$B$5:$B$692,B451,$F$5:$F$692,"&lt;="&amp;F451)</f>
        <v/>
      </c>
      <c r="M451" s="58">
        <f>'个人技术逐级'!N451</f>
        <v/>
      </c>
      <c r="N451" s="58">
        <f>SUMIFS($M$5:$M$692,$A$5:$A$692,A451,$B$5:$B$692,B451,$F$5:$F$692,"&lt;="&amp;F451)</f>
        <v/>
      </c>
      <c r="O451" s="58">
        <f>0</f>
        <v/>
      </c>
      <c r="P451" s="58">
        <f>SUMIFS($O$5:$O$692,$A$5:$A$692,A451,$B$5:$B$692,B451,$F$5:$F$692,"&lt;="&amp;F451)</f>
        <v/>
      </c>
      <c r="Q451" s="58">
        <f>0</f>
        <v/>
      </c>
      <c r="R451" s="58">
        <f>SUMIFS($Q$5:$Q$692,$A$5:$A$692,A451,$B$5:$B$692,B451,$F$5:$F$692,"&lt;="&amp;F451)</f>
        <v/>
      </c>
      <c r="S451" s="58">
        <f>0</f>
        <v/>
      </c>
      <c r="T451" s="58">
        <f>SUMIFS($S$5:$S$692,$A$5:$A$692,A451,$B$5:$B$692,B451,$F$5:$F$692,"&lt;="&amp;F451)</f>
        <v/>
      </c>
      <c r="U451" s="52">
        <f>'个人技术逐级'!O451</f>
        <v/>
      </c>
    </row>
    <row r="452">
      <c r="A452" s="33" t="inlineStr">
        <is>
          <t>个人技术</t>
        </is>
      </c>
      <c r="B452" s="33">
        <f>'个人技术逐级'!A452</f>
        <v/>
      </c>
      <c r="C452" s="33">
        <f>'个人技术逐级'!B452</f>
        <v/>
      </c>
      <c r="D452" s="33">
        <f>'个人技术逐级'!C452</f>
        <v/>
      </c>
      <c r="E452">
        <f>'个人技术逐级'!D452</f>
        <v/>
      </c>
      <c r="F452" s="54">
        <f>'个人技术逐级'!E452</f>
        <v/>
      </c>
      <c r="G452" s="55">
        <f>'个人技术逐级'!F452</f>
        <v/>
      </c>
      <c r="H452" s="56">
        <f>'个人技术逐级'!G452</f>
        <v/>
      </c>
      <c r="I452" s="52" t="inlineStr">
        <is>
          <t>个人技术计时升级</t>
        </is>
      </c>
      <c r="J452" s="57">
        <f>'个人技术逐级'!M452</f>
        <v/>
      </c>
      <c r="K452" s="35">
        <f>J452/3600</f>
        <v/>
      </c>
      <c r="L452" s="35">
        <f>SUMIFS($K$5:$K$692,$A$5:$A$692,A452,$B$5:$B$692,B452,$F$5:$F$692,"&lt;="&amp;F452)</f>
        <v/>
      </c>
      <c r="M452" s="58">
        <f>'个人技术逐级'!N452</f>
        <v/>
      </c>
      <c r="N452" s="58">
        <f>SUMIFS($M$5:$M$692,$A$5:$A$692,A452,$B$5:$B$692,B452,$F$5:$F$692,"&lt;="&amp;F452)</f>
        <v/>
      </c>
      <c r="O452" s="58">
        <f>0</f>
        <v/>
      </c>
      <c r="P452" s="58">
        <f>SUMIFS($O$5:$O$692,$A$5:$A$692,A452,$B$5:$B$692,B452,$F$5:$F$692,"&lt;="&amp;F452)</f>
        <v/>
      </c>
      <c r="Q452" s="58">
        <f>0</f>
        <v/>
      </c>
      <c r="R452" s="58">
        <f>SUMIFS($Q$5:$Q$692,$A$5:$A$692,A452,$B$5:$B$692,B452,$F$5:$F$692,"&lt;="&amp;F452)</f>
        <v/>
      </c>
      <c r="S452" s="58">
        <f>0</f>
        <v/>
      </c>
      <c r="T452" s="58">
        <f>SUMIFS($S$5:$S$692,$A$5:$A$692,A452,$B$5:$B$692,B452,$F$5:$F$692,"&lt;="&amp;F452)</f>
        <v/>
      </c>
      <c r="U452" s="52">
        <f>'个人技术逐级'!O452</f>
        <v/>
      </c>
    </row>
    <row r="453">
      <c r="A453" s="33" t="inlineStr">
        <is>
          <t>个人技术</t>
        </is>
      </c>
      <c r="B453" s="33">
        <f>'个人技术逐级'!A453</f>
        <v/>
      </c>
      <c r="C453" s="33">
        <f>'个人技术逐级'!B453</f>
        <v/>
      </c>
      <c r="D453" s="33">
        <f>'个人技术逐级'!C453</f>
        <v/>
      </c>
      <c r="E453">
        <f>'个人技术逐级'!D453</f>
        <v/>
      </c>
      <c r="F453" s="54">
        <f>'个人技术逐级'!E453</f>
        <v/>
      </c>
      <c r="G453" s="55">
        <f>'个人技术逐级'!F453</f>
        <v/>
      </c>
      <c r="H453" s="56">
        <f>'个人技术逐级'!G453</f>
        <v/>
      </c>
      <c r="I453" s="52" t="inlineStr">
        <is>
          <t>个人技术计时升级</t>
        </is>
      </c>
      <c r="J453" s="57">
        <f>'个人技术逐级'!M453</f>
        <v/>
      </c>
      <c r="K453" s="35">
        <f>J453/3600</f>
        <v/>
      </c>
      <c r="L453" s="35">
        <f>SUMIFS($K$5:$K$692,$A$5:$A$692,A453,$B$5:$B$692,B453,$F$5:$F$692,"&lt;="&amp;F453)</f>
        <v/>
      </c>
      <c r="M453" s="58">
        <f>'个人技术逐级'!N453</f>
        <v/>
      </c>
      <c r="N453" s="58">
        <f>SUMIFS($M$5:$M$692,$A$5:$A$692,A453,$B$5:$B$692,B453,$F$5:$F$692,"&lt;="&amp;F453)</f>
        <v/>
      </c>
      <c r="O453" s="58">
        <f>0</f>
        <v/>
      </c>
      <c r="P453" s="58">
        <f>SUMIFS($O$5:$O$692,$A$5:$A$692,A453,$B$5:$B$692,B453,$F$5:$F$692,"&lt;="&amp;F453)</f>
        <v/>
      </c>
      <c r="Q453" s="58">
        <f>0</f>
        <v/>
      </c>
      <c r="R453" s="58">
        <f>SUMIFS($Q$5:$Q$692,$A$5:$A$692,A453,$B$5:$B$692,B453,$F$5:$F$692,"&lt;="&amp;F453)</f>
        <v/>
      </c>
      <c r="S453" s="58">
        <f>0</f>
        <v/>
      </c>
      <c r="T453" s="58">
        <f>SUMIFS($S$5:$S$692,$A$5:$A$692,A453,$B$5:$B$692,B453,$F$5:$F$692,"&lt;="&amp;F453)</f>
        <v/>
      </c>
      <c r="U453" s="52">
        <f>'个人技术逐级'!O453</f>
        <v/>
      </c>
    </row>
    <row r="454">
      <c r="A454" s="33" t="inlineStr">
        <is>
          <t>个人技术</t>
        </is>
      </c>
      <c r="B454" s="33">
        <f>'个人技术逐级'!A454</f>
        <v/>
      </c>
      <c r="C454" s="33">
        <f>'个人技术逐级'!B454</f>
        <v/>
      </c>
      <c r="D454" s="33">
        <f>'个人技术逐级'!C454</f>
        <v/>
      </c>
      <c r="E454">
        <f>'个人技术逐级'!D454</f>
        <v/>
      </c>
      <c r="F454" s="54">
        <f>'个人技术逐级'!E454</f>
        <v/>
      </c>
      <c r="G454" s="55">
        <f>'个人技术逐级'!F454</f>
        <v/>
      </c>
      <c r="H454" s="56">
        <f>'个人技术逐级'!G454</f>
        <v/>
      </c>
      <c r="I454" s="52" t="inlineStr">
        <is>
          <t>个人技术计时升级</t>
        </is>
      </c>
      <c r="J454" s="57">
        <f>'个人技术逐级'!M454</f>
        <v/>
      </c>
      <c r="K454" s="35">
        <f>J454/3600</f>
        <v/>
      </c>
      <c r="L454" s="35">
        <f>SUMIFS($K$5:$K$692,$A$5:$A$692,A454,$B$5:$B$692,B454,$F$5:$F$692,"&lt;="&amp;F454)</f>
        <v/>
      </c>
      <c r="M454" s="58">
        <f>'个人技术逐级'!N454</f>
        <v/>
      </c>
      <c r="N454" s="58">
        <f>SUMIFS($M$5:$M$692,$A$5:$A$692,A454,$B$5:$B$692,B454,$F$5:$F$692,"&lt;="&amp;F454)</f>
        <v/>
      </c>
      <c r="O454" s="58">
        <f>0</f>
        <v/>
      </c>
      <c r="P454" s="58">
        <f>SUMIFS($O$5:$O$692,$A$5:$A$692,A454,$B$5:$B$692,B454,$F$5:$F$692,"&lt;="&amp;F454)</f>
        <v/>
      </c>
      <c r="Q454" s="58">
        <f>0</f>
        <v/>
      </c>
      <c r="R454" s="58">
        <f>SUMIFS($Q$5:$Q$692,$A$5:$A$692,A454,$B$5:$B$692,B454,$F$5:$F$692,"&lt;="&amp;F454)</f>
        <v/>
      </c>
      <c r="S454" s="58">
        <f>0</f>
        <v/>
      </c>
      <c r="T454" s="58">
        <f>SUMIFS($S$5:$S$692,$A$5:$A$692,A454,$B$5:$B$692,B454,$F$5:$F$692,"&lt;="&amp;F454)</f>
        <v/>
      </c>
      <c r="U454" s="52">
        <f>'个人技术逐级'!O454</f>
        <v/>
      </c>
    </row>
    <row r="455">
      <c r="A455" s="33" t="inlineStr">
        <is>
          <t>个人技术</t>
        </is>
      </c>
      <c r="B455" s="33">
        <f>'个人技术逐级'!A455</f>
        <v/>
      </c>
      <c r="C455" s="33">
        <f>'个人技术逐级'!B455</f>
        <v/>
      </c>
      <c r="D455" s="33">
        <f>'个人技术逐级'!C455</f>
        <v/>
      </c>
      <c r="E455">
        <f>'个人技术逐级'!D455</f>
        <v/>
      </c>
      <c r="F455" s="54">
        <f>'个人技术逐级'!E455</f>
        <v/>
      </c>
      <c r="G455" s="55">
        <f>'个人技术逐级'!F455</f>
        <v/>
      </c>
      <c r="H455" s="56">
        <f>'个人技术逐级'!G455</f>
        <v/>
      </c>
      <c r="I455" s="52" t="inlineStr">
        <is>
          <t>个人技术计时升级</t>
        </is>
      </c>
      <c r="J455" s="57">
        <f>'个人技术逐级'!M455</f>
        <v/>
      </c>
      <c r="K455" s="35">
        <f>J455/3600</f>
        <v/>
      </c>
      <c r="L455" s="35">
        <f>SUMIFS($K$5:$K$692,$A$5:$A$692,A455,$B$5:$B$692,B455,$F$5:$F$692,"&lt;="&amp;F455)</f>
        <v/>
      </c>
      <c r="M455" s="58">
        <f>'个人技术逐级'!N455</f>
        <v/>
      </c>
      <c r="N455" s="58">
        <f>SUMIFS($M$5:$M$692,$A$5:$A$692,A455,$B$5:$B$692,B455,$F$5:$F$692,"&lt;="&amp;F455)</f>
        <v/>
      </c>
      <c r="O455" s="58">
        <f>0</f>
        <v/>
      </c>
      <c r="P455" s="58">
        <f>SUMIFS($O$5:$O$692,$A$5:$A$692,A455,$B$5:$B$692,B455,$F$5:$F$692,"&lt;="&amp;F455)</f>
        <v/>
      </c>
      <c r="Q455" s="58">
        <f>0</f>
        <v/>
      </c>
      <c r="R455" s="58">
        <f>SUMIFS($Q$5:$Q$692,$A$5:$A$692,A455,$B$5:$B$692,B455,$F$5:$F$692,"&lt;="&amp;F455)</f>
        <v/>
      </c>
      <c r="S455" s="58">
        <f>0</f>
        <v/>
      </c>
      <c r="T455" s="58">
        <f>SUMIFS($S$5:$S$692,$A$5:$A$692,A455,$B$5:$B$692,B455,$F$5:$F$692,"&lt;="&amp;F455)</f>
        <v/>
      </c>
      <c r="U455" s="52">
        <f>'个人技术逐级'!O455</f>
        <v/>
      </c>
    </row>
    <row r="456">
      <c r="A456" s="33" t="inlineStr">
        <is>
          <t>个人技术</t>
        </is>
      </c>
      <c r="B456" s="33">
        <f>'个人技术逐级'!A456</f>
        <v/>
      </c>
      <c r="C456" s="33">
        <f>'个人技术逐级'!B456</f>
        <v/>
      </c>
      <c r="D456" s="33">
        <f>'个人技术逐级'!C456</f>
        <v/>
      </c>
      <c r="E456">
        <f>'个人技术逐级'!D456</f>
        <v/>
      </c>
      <c r="F456" s="54">
        <f>'个人技术逐级'!E456</f>
        <v/>
      </c>
      <c r="G456" s="55">
        <f>'个人技术逐级'!F456</f>
        <v/>
      </c>
      <c r="H456" s="56">
        <f>'个人技术逐级'!G456</f>
        <v/>
      </c>
      <c r="I456" s="52" t="inlineStr">
        <is>
          <t>个人技术计时升级</t>
        </is>
      </c>
      <c r="J456" s="57">
        <f>'个人技术逐级'!M456</f>
        <v/>
      </c>
      <c r="K456" s="35">
        <f>J456/3600</f>
        <v/>
      </c>
      <c r="L456" s="35">
        <f>SUMIFS($K$5:$K$692,$A$5:$A$692,A456,$B$5:$B$692,B456,$F$5:$F$692,"&lt;="&amp;F456)</f>
        <v/>
      </c>
      <c r="M456" s="58">
        <f>'个人技术逐级'!N456</f>
        <v/>
      </c>
      <c r="N456" s="58">
        <f>SUMIFS($M$5:$M$692,$A$5:$A$692,A456,$B$5:$B$692,B456,$F$5:$F$692,"&lt;="&amp;F456)</f>
        <v/>
      </c>
      <c r="O456" s="58">
        <f>0</f>
        <v/>
      </c>
      <c r="P456" s="58">
        <f>SUMIFS($O$5:$O$692,$A$5:$A$692,A456,$B$5:$B$692,B456,$F$5:$F$692,"&lt;="&amp;F456)</f>
        <v/>
      </c>
      <c r="Q456" s="58">
        <f>0</f>
        <v/>
      </c>
      <c r="R456" s="58">
        <f>SUMIFS($Q$5:$Q$692,$A$5:$A$692,A456,$B$5:$B$692,B456,$F$5:$F$692,"&lt;="&amp;F456)</f>
        <v/>
      </c>
      <c r="S456" s="58">
        <f>0</f>
        <v/>
      </c>
      <c r="T456" s="58">
        <f>SUMIFS($S$5:$S$692,$A$5:$A$692,A456,$B$5:$B$692,B456,$F$5:$F$692,"&lt;="&amp;F456)</f>
        <v/>
      </c>
      <c r="U456" s="52">
        <f>'个人技术逐级'!O456</f>
        <v/>
      </c>
    </row>
    <row r="457">
      <c r="A457" s="33" t="inlineStr">
        <is>
          <t>个人技术</t>
        </is>
      </c>
      <c r="B457" s="33">
        <f>'个人技术逐级'!A457</f>
        <v/>
      </c>
      <c r="C457" s="33">
        <f>'个人技术逐级'!B457</f>
        <v/>
      </c>
      <c r="D457" s="33">
        <f>'个人技术逐级'!C457</f>
        <v/>
      </c>
      <c r="E457">
        <f>'个人技术逐级'!D457</f>
        <v/>
      </c>
      <c r="F457" s="54">
        <f>'个人技术逐级'!E457</f>
        <v/>
      </c>
      <c r="G457" s="55">
        <f>'个人技术逐级'!F457</f>
        <v/>
      </c>
      <c r="H457" s="56">
        <f>'个人技术逐级'!G457</f>
        <v/>
      </c>
      <c r="I457" s="52" t="inlineStr">
        <is>
          <t>个人技术计时升级</t>
        </is>
      </c>
      <c r="J457" s="57">
        <f>'个人技术逐级'!M457</f>
        <v/>
      </c>
      <c r="K457" s="35">
        <f>J457/3600</f>
        <v/>
      </c>
      <c r="L457" s="35">
        <f>SUMIFS($K$5:$K$692,$A$5:$A$692,A457,$B$5:$B$692,B457,$F$5:$F$692,"&lt;="&amp;F457)</f>
        <v/>
      </c>
      <c r="M457" s="58">
        <f>'个人技术逐级'!N457</f>
        <v/>
      </c>
      <c r="N457" s="58">
        <f>SUMIFS($M$5:$M$692,$A$5:$A$692,A457,$B$5:$B$692,B457,$F$5:$F$692,"&lt;="&amp;F457)</f>
        <v/>
      </c>
      <c r="O457" s="58">
        <f>0</f>
        <v/>
      </c>
      <c r="P457" s="58">
        <f>SUMIFS($O$5:$O$692,$A$5:$A$692,A457,$B$5:$B$692,B457,$F$5:$F$692,"&lt;="&amp;F457)</f>
        <v/>
      </c>
      <c r="Q457" s="58">
        <f>0</f>
        <v/>
      </c>
      <c r="R457" s="58">
        <f>SUMIFS($Q$5:$Q$692,$A$5:$A$692,A457,$B$5:$B$692,B457,$F$5:$F$692,"&lt;="&amp;F457)</f>
        <v/>
      </c>
      <c r="S457" s="58">
        <f>0</f>
        <v/>
      </c>
      <c r="T457" s="58">
        <f>SUMIFS($S$5:$S$692,$A$5:$A$692,A457,$B$5:$B$692,B457,$F$5:$F$692,"&lt;="&amp;F457)</f>
        <v/>
      </c>
      <c r="U457" s="52">
        <f>'个人技术逐级'!O457</f>
        <v/>
      </c>
    </row>
    <row r="458">
      <c r="A458" s="33" t="inlineStr">
        <is>
          <t>个人技术</t>
        </is>
      </c>
      <c r="B458" s="33">
        <f>'个人技术逐级'!A458</f>
        <v/>
      </c>
      <c r="C458" s="33">
        <f>'个人技术逐级'!B458</f>
        <v/>
      </c>
      <c r="D458" s="33">
        <f>'个人技术逐级'!C458</f>
        <v/>
      </c>
      <c r="E458">
        <f>'个人技术逐级'!D458</f>
        <v/>
      </c>
      <c r="F458" s="54">
        <f>'个人技术逐级'!E458</f>
        <v/>
      </c>
      <c r="G458" s="55">
        <f>'个人技术逐级'!F458</f>
        <v/>
      </c>
      <c r="H458" s="56">
        <f>'个人技术逐级'!G458</f>
        <v/>
      </c>
      <c r="I458" s="52" t="inlineStr">
        <is>
          <t>个人技术计时升级</t>
        </is>
      </c>
      <c r="J458" s="57">
        <f>'个人技术逐级'!M458</f>
        <v/>
      </c>
      <c r="K458" s="35">
        <f>J458/3600</f>
        <v/>
      </c>
      <c r="L458" s="35">
        <f>SUMIFS($K$5:$K$692,$A$5:$A$692,A458,$B$5:$B$692,B458,$F$5:$F$692,"&lt;="&amp;F458)</f>
        <v/>
      </c>
      <c r="M458" s="58">
        <f>'个人技术逐级'!N458</f>
        <v/>
      </c>
      <c r="N458" s="58">
        <f>SUMIFS($M$5:$M$692,$A$5:$A$692,A458,$B$5:$B$692,B458,$F$5:$F$692,"&lt;="&amp;F458)</f>
        <v/>
      </c>
      <c r="O458" s="58">
        <f>0</f>
        <v/>
      </c>
      <c r="P458" s="58">
        <f>SUMIFS($O$5:$O$692,$A$5:$A$692,A458,$B$5:$B$692,B458,$F$5:$F$692,"&lt;="&amp;F458)</f>
        <v/>
      </c>
      <c r="Q458" s="58">
        <f>0</f>
        <v/>
      </c>
      <c r="R458" s="58">
        <f>SUMIFS($Q$5:$Q$692,$A$5:$A$692,A458,$B$5:$B$692,B458,$F$5:$F$692,"&lt;="&amp;F458)</f>
        <v/>
      </c>
      <c r="S458" s="58">
        <f>0</f>
        <v/>
      </c>
      <c r="T458" s="58">
        <f>SUMIFS($S$5:$S$692,$A$5:$A$692,A458,$B$5:$B$692,B458,$F$5:$F$692,"&lt;="&amp;F458)</f>
        <v/>
      </c>
      <c r="U458" s="52">
        <f>'个人技术逐级'!O458</f>
        <v/>
      </c>
    </row>
    <row r="459">
      <c r="A459" s="33" t="inlineStr">
        <is>
          <t>个人技术</t>
        </is>
      </c>
      <c r="B459" s="33">
        <f>'个人技术逐级'!A459</f>
        <v/>
      </c>
      <c r="C459" s="33">
        <f>'个人技术逐级'!B459</f>
        <v/>
      </c>
      <c r="D459" s="33">
        <f>'个人技术逐级'!C459</f>
        <v/>
      </c>
      <c r="E459">
        <f>'个人技术逐级'!D459</f>
        <v/>
      </c>
      <c r="F459" s="54">
        <f>'个人技术逐级'!E459</f>
        <v/>
      </c>
      <c r="G459" s="55">
        <f>'个人技术逐级'!F459</f>
        <v/>
      </c>
      <c r="H459" s="56">
        <f>'个人技术逐级'!G459</f>
        <v/>
      </c>
      <c r="I459" s="52" t="inlineStr">
        <is>
          <t>个人技术计时升级</t>
        </is>
      </c>
      <c r="J459" s="57">
        <f>'个人技术逐级'!M459</f>
        <v/>
      </c>
      <c r="K459" s="35">
        <f>J459/3600</f>
        <v/>
      </c>
      <c r="L459" s="35">
        <f>SUMIFS($K$5:$K$692,$A$5:$A$692,A459,$B$5:$B$692,B459,$F$5:$F$692,"&lt;="&amp;F459)</f>
        <v/>
      </c>
      <c r="M459" s="58">
        <f>'个人技术逐级'!N459</f>
        <v/>
      </c>
      <c r="N459" s="58">
        <f>SUMIFS($M$5:$M$692,$A$5:$A$692,A459,$B$5:$B$692,B459,$F$5:$F$692,"&lt;="&amp;F459)</f>
        <v/>
      </c>
      <c r="O459" s="58">
        <f>0</f>
        <v/>
      </c>
      <c r="P459" s="58">
        <f>SUMIFS($O$5:$O$692,$A$5:$A$692,A459,$B$5:$B$692,B459,$F$5:$F$692,"&lt;="&amp;F459)</f>
        <v/>
      </c>
      <c r="Q459" s="58">
        <f>0</f>
        <v/>
      </c>
      <c r="R459" s="58">
        <f>SUMIFS($Q$5:$Q$692,$A$5:$A$692,A459,$B$5:$B$692,B459,$F$5:$F$692,"&lt;="&amp;F459)</f>
        <v/>
      </c>
      <c r="S459" s="58">
        <f>0</f>
        <v/>
      </c>
      <c r="T459" s="58">
        <f>SUMIFS($S$5:$S$692,$A$5:$A$692,A459,$B$5:$B$692,B459,$F$5:$F$692,"&lt;="&amp;F459)</f>
        <v/>
      </c>
      <c r="U459" s="52">
        <f>'个人技术逐级'!O459</f>
        <v/>
      </c>
    </row>
    <row r="460">
      <c r="A460" s="33" t="inlineStr">
        <is>
          <t>个人技术</t>
        </is>
      </c>
      <c r="B460" s="33">
        <f>'个人技术逐级'!A460</f>
        <v/>
      </c>
      <c r="C460" s="33">
        <f>'个人技术逐级'!B460</f>
        <v/>
      </c>
      <c r="D460" s="33">
        <f>'个人技术逐级'!C460</f>
        <v/>
      </c>
      <c r="E460">
        <f>'个人技术逐级'!D460</f>
        <v/>
      </c>
      <c r="F460" s="54">
        <f>'个人技术逐级'!E460</f>
        <v/>
      </c>
      <c r="G460" s="55">
        <f>'个人技术逐级'!F460</f>
        <v/>
      </c>
      <c r="H460" s="56">
        <f>'个人技术逐级'!G460</f>
        <v/>
      </c>
      <c r="I460" s="52" t="inlineStr">
        <is>
          <t>个人技术计时升级</t>
        </is>
      </c>
      <c r="J460" s="57">
        <f>'个人技术逐级'!M460</f>
        <v/>
      </c>
      <c r="K460" s="35">
        <f>J460/3600</f>
        <v/>
      </c>
      <c r="L460" s="35">
        <f>SUMIFS($K$5:$K$692,$A$5:$A$692,A460,$B$5:$B$692,B460,$F$5:$F$692,"&lt;="&amp;F460)</f>
        <v/>
      </c>
      <c r="M460" s="58">
        <f>'个人技术逐级'!N460</f>
        <v/>
      </c>
      <c r="N460" s="58">
        <f>SUMIFS($M$5:$M$692,$A$5:$A$692,A460,$B$5:$B$692,B460,$F$5:$F$692,"&lt;="&amp;F460)</f>
        <v/>
      </c>
      <c r="O460" s="58">
        <f>0</f>
        <v/>
      </c>
      <c r="P460" s="58">
        <f>SUMIFS($O$5:$O$692,$A$5:$A$692,A460,$B$5:$B$692,B460,$F$5:$F$692,"&lt;="&amp;F460)</f>
        <v/>
      </c>
      <c r="Q460" s="58">
        <f>0</f>
        <v/>
      </c>
      <c r="R460" s="58">
        <f>SUMIFS($Q$5:$Q$692,$A$5:$A$692,A460,$B$5:$B$692,B460,$F$5:$F$692,"&lt;="&amp;F460)</f>
        <v/>
      </c>
      <c r="S460" s="58">
        <f>0</f>
        <v/>
      </c>
      <c r="T460" s="58">
        <f>SUMIFS($S$5:$S$692,$A$5:$A$692,A460,$B$5:$B$692,B460,$F$5:$F$692,"&lt;="&amp;F460)</f>
        <v/>
      </c>
      <c r="U460" s="52">
        <f>'个人技术逐级'!O460</f>
        <v/>
      </c>
    </row>
    <row r="461">
      <c r="A461" s="33" t="inlineStr">
        <is>
          <t>个人技术</t>
        </is>
      </c>
      <c r="B461" s="33">
        <f>'个人技术逐级'!A461</f>
        <v/>
      </c>
      <c r="C461" s="33">
        <f>'个人技术逐级'!B461</f>
        <v/>
      </c>
      <c r="D461" s="33">
        <f>'个人技术逐级'!C461</f>
        <v/>
      </c>
      <c r="E461">
        <f>'个人技术逐级'!D461</f>
        <v/>
      </c>
      <c r="F461" s="54">
        <f>'个人技术逐级'!E461</f>
        <v/>
      </c>
      <c r="G461" s="55">
        <f>'个人技术逐级'!F461</f>
        <v/>
      </c>
      <c r="H461" s="56">
        <f>'个人技术逐级'!G461</f>
        <v/>
      </c>
      <c r="I461" s="52" t="inlineStr">
        <is>
          <t>个人技术计时升级</t>
        </is>
      </c>
      <c r="J461" s="57">
        <f>'个人技术逐级'!M461</f>
        <v/>
      </c>
      <c r="K461" s="35">
        <f>J461/3600</f>
        <v/>
      </c>
      <c r="L461" s="35">
        <f>SUMIFS($K$5:$K$692,$A$5:$A$692,A461,$B$5:$B$692,B461,$F$5:$F$692,"&lt;="&amp;F461)</f>
        <v/>
      </c>
      <c r="M461" s="58">
        <f>'个人技术逐级'!N461</f>
        <v/>
      </c>
      <c r="N461" s="58">
        <f>SUMIFS($M$5:$M$692,$A$5:$A$692,A461,$B$5:$B$692,B461,$F$5:$F$692,"&lt;="&amp;F461)</f>
        <v/>
      </c>
      <c r="O461" s="58">
        <f>0</f>
        <v/>
      </c>
      <c r="P461" s="58">
        <f>SUMIFS($O$5:$O$692,$A$5:$A$692,A461,$B$5:$B$692,B461,$F$5:$F$692,"&lt;="&amp;F461)</f>
        <v/>
      </c>
      <c r="Q461" s="58">
        <f>0</f>
        <v/>
      </c>
      <c r="R461" s="58">
        <f>SUMIFS($Q$5:$Q$692,$A$5:$A$692,A461,$B$5:$B$692,B461,$F$5:$F$692,"&lt;="&amp;F461)</f>
        <v/>
      </c>
      <c r="S461" s="58">
        <f>0</f>
        <v/>
      </c>
      <c r="T461" s="58">
        <f>SUMIFS($S$5:$S$692,$A$5:$A$692,A461,$B$5:$B$692,B461,$F$5:$F$692,"&lt;="&amp;F461)</f>
        <v/>
      </c>
      <c r="U461" s="52">
        <f>'个人技术逐级'!O461</f>
        <v/>
      </c>
    </row>
    <row r="462">
      <c r="A462" s="33" t="inlineStr">
        <is>
          <t>个人技术</t>
        </is>
      </c>
      <c r="B462" s="33">
        <f>'个人技术逐级'!A462</f>
        <v/>
      </c>
      <c r="C462" s="33">
        <f>'个人技术逐级'!B462</f>
        <v/>
      </c>
      <c r="D462" s="33">
        <f>'个人技术逐级'!C462</f>
        <v/>
      </c>
      <c r="E462">
        <f>'个人技术逐级'!D462</f>
        <v/>
      </c>
      <c r="F462" s="54">
        <f>'个人技术逐级'!E462</f>
        <v/>
      </c>
      <c r="G462" s="55">
        <f>'个人技术逐级'!F462</f>
        <v/>
      </c>
      <c r="H462" s="56">
        <f>'个人技术逐级'!G462</f>
        <v/>
      </c>
      <c r="I462" s="52" t="inlineStr">
        <is>
          <t>个人技术计时升级</t>
        </is>
      </c>
      <c r="J462" s="57">
        <f>'个人技术逐级'!M462</f>
        <v/>
      </c>
      <c r="K462" s="35">
        <f>J462/3600</f>
        <v/>
      </c>
      <c r="L462" s="35">
        <f>SUMIFS($K$5:$K$692,$A$5:$A$692,A462,$B$5:$B$692,B462,$F$5:$F$692,"&lt;="&amp;F462)</f>
        <v/>
      </c>
      <c r="M462" s="58">
        <f>'个人技术逐级'!N462</f>
        <v/>
      </c>
      <c r="N462" s="58">
        <f>SUMIFS($M$5:$M$692,$A$5:$A$692,A462,$B$5:$B$692,B462,$F$5:$F$692,"&lt;="&amp;F462)</f>
        <v/>
      </c>
      <c r="O462" s="58">
        <f>0</f>
        <v/>
      </c>
      <c r="P462" s="58">
        <f>SUMIFS($O$5:$O$692,$A$5:$A$692,A462,$B$5:$B$692,B462,$F$5:$F$692,"&lt;="&amp;F462)</f>
        <v/>
      </c>
      <c r="Q462" s="58">
        <f>0</f>
        <v/>
      </c>
      <c r="R462" s="58">
        <f>SUMIFS($Q$5:$Q$692,$A$5:$A$692,A462,$B$5:$B$692,B462,$F$5:$F$692,"&lt;="&amp;F462)</f>
        <v/>
      </c>
      <c r="S462" s="58">
        <f>0</f>
        <v/>
      </c>
      <c r="T462" s="58">
        <f>SUMIFS($S$5:$S$692,$A$5:$A$692,A462,$B$5:$B$692,B462,$F$5:$F$692,"&lt;="&amp;F462)</f>
        <v/>
      </c>
      <c r="U462" s="52">
        <f>'个人技术逐级'!O462</f>
        <v/>
      </c>
    </row>
    <row r="463">
      <c r="A463" s="33" t="inlineStr">
        <is>
          <t>个人技术</t>
        </is>
      </c>
      <c r="B463" s="33">
        <f>'个人技术逐级'!A463</f>
        <v/>
      </c>
      <c r="C463" s="33">
        <f>'个人技术逐级'!B463</f>
        <v/>
      </c>
      <c r="D463" s="33">
        <f>'个人技术逐级'!C463</f>
        <v/>
      </c>
      <c r="E463">
        <f>'个人技术逐级'!D463</f>
        <v/>
      </c>
      <c r="F463" s="54">
        <f>'个人技术逐级'!E463</f>
        <v/>
      </c>
      <c r="G463" s="55">
        <f>'个人技术逐级'!F463</f>
        <v/>
      </c>
      <c r="H463" s="56">
        <f>'个人技术逐级'!G463</f>
        <v/>
      </c>
      <c r="I463" s="52" t="inlineStr">
        <is>
          <t>个人技术计时升级</t>
        </is>
      </c>
      <c r="J463" s="57">
        <f>'个人技术逐级'!M463</f>
        <v/>
      </c>
      <c r="K463" s="35">
        <f>J463/3600</f>
        <v/>
      </c>
      <c r="L463" s="35">
        <f>SUMIFS($K$5:$K$692,$A$5:$A$692,A463,$B$5:$B$692,B463,$F$5:$F$692,"&lt;="&amp;F463)</f>
        <v/>
      </c>
      <c r="M463" s="58">
        <f>'个人技术逐级'!N463</f>
        <v/>
      </c>
      <c r="N463" s="58">
        <f>SUMIFS($M$5:$M$692,$A$5:$A$692,A463,$B$5:$B$692,B463,$F$5:$F$692,"&lt;="&amp;F463)</f>
        <v/>
      </c>
      <c r="O463" s="58">
        <f>0</f>
        <v/>
      </c>
      <c r="P463" s="58">
        <f>SUMIFS($O$5:$O$692,$A$5:$A$692,A463,$B$5:$B$692,B463,$F$5:$F$692,"&lt;="&amp;F463)</f>
        <v/>
      </c>
      <c r="Q463" s="58">
        <f>0</f>
        <v/>
      </c>
      <c r="R463" s="58">
        <f>SUMIFS($Q$5:$Q$692,$A$5:$A$692,A463,$B$5:$B$692,B463,$F$5:$F$692,"&lt;="&amp;F463)</f>
        <v/>
      </c>
      <c r="S463" s="58">
        <f>0</f>
        <v/>
      </c>
      <c r="T463" s="58">
        <f>SUMIFS($S$5:$S$692,$A$5:$A$692,A463,$B$5:$B$692,B463,$F$5:$F$692,"&lt;="&amp;F463)</f>
        <v/>
      </c>
      <c r="U463" s="52">
        <f>'个人技术逐级'!O463</f>
        <v/>
      </c>
    </row>
    <row r="464">
      <c r="A464" s="33" t="inlineStr">
        <is>
          <t>个人技术</t>
        </is>
      </c>
      <c r="B464" s="33">
        <f>'个人技术逐级'!A464</f>
        <v/>
      </c>
      <c r="C464" s="33">
        <f>'个人技术逐级'!B464</f>
        <v/>
      </c>
      <c r="D464" s="33">
        <f>'个人技术逐级'!C464</f>
        <v/>
      </c>
      <c r="E464">
        <f>'个人技术逐级'!D464</f>
        <v/>
      </c>
      <c r="F464" s="54">
        <f>'个人技术逐级'!E464</f>
        <v/>
      </c>
      <c r="G464" s="55">
        <f>'个人技术逐级'!F464</f>
        <v/>
      </c>
      <c r="H464" s="56">
        <f>'个人技术逐级'!G464</f>
        <v/>
      </c>
      <c r="I464" s="52" t="inlineStr">
        <is>
          <t>个人技术计时升级</t>
        </is>
      </c>
      <c r="J464" s="57">
        <f>'个人技术逐级'!M464</f>
        <v/>
      </c>
      <c r="K464" s="35">
        <f>J464/3600</f>
        <v/>
      </c>
      <c r="L464" s="35">
        <f>SUMIFS($K$5:$K$692,$A$5:$A$692,A464,$B$5:$B$692,B464,$F$5:$F$692,"&lt;="&amp;F464)</f>
        <v/>
      </c>
      <c r="M464" s="58">
        <f>'个人技术逐级'!N464</f>
        <v/>
      </c>
      <c r="N464" s="58">
        <f>SUMIFS($M$5:$M$692,$A$5:$A$692,A464,$B$5:$B$692,B464,$F$5:$F$692,"&lt;="&amp;F464)</f>
        <v/>
      </c>
      <c r="O464" s="58">
        <f>0</f>
        <v/>
      </c>
      <c r="P464" s="58">
        <f>SUMIFS($O$5:$O$692,$A$5:$A$692,A464,$B$5:$B$692,B464,$F$5:$F$692,"&lt;="&amp;F464)</f>
        <v/>
      </c>
      <c r="Q464" s="58">
        <f>0</f>
        <v/>
      </c>
      <c r="R464" s="58">
        <f>SUMIFS($Q$5:$Q$692,$A$5:$A$692,A464,$B$5:$B$692,B464,$F$5:$F$692,"&lt;="&amp;F464)</f>
        <v/>
      </c>
      <c r="S464" s="58">
        <f>0</f>
        <v/>
      </c>
      <c r="T464" s="58">
        <f>SUMIFS($S$5:$S$692,$A$5:$A$692,A464,$B$5:$B$692,B464,$F$5:$F$692,"&lt;="&amp;F464)</f>
        <v/>
      </c>
      <c r="U464" s="52">
        <f>'个人技术逐级'!O464</f>
        <v/>
      </c>
    </row>
    <row r="465">
      <c r="A465" s="33" t="inlineStr">
        <is>
          <t>个人技术</t>
        </is>
      </c>
      <c r="B465" s="33">
        <f>'个人技术逐级'!A465</f>
        <v/>
      </c>
      <c r="C465" s="33">
        <f>'个人技术逐级'!B465</f>
        <v/>
      </c>
      <c r="D465" s="33">
        <f>'个人技术逐级'!C465</f>
        <v/>
      </c>
      <c r="E465">
        <f>'个人技术逐级'!D465</f>
        <v/>
      </c>
      <c r="F465" s="54">
        <f>'个人技术逐级'!E465</f>
        <v/>
      </c>
      <c r="G465" s="55">
        <f>'个人技术逐级'!F465</f>
        <v/>
      </c>
      <c r="H465" s="56">
        <f>'个人技术逐级'!G465</f>
        <v/>
      </c>
      <c r="I465" s="52" t="inlineStr">
        <is>
          <t>个人技术计时升级</t>
        </is>
      </c>
      <c r="J465" s="57">
        <f>'个人技术逐级'!M465</f>
        <v/>
      </c>
      <c r="K465" s="35">
        <f>J465/3600</f>
        <v/>
      </c>
      <c r="L465" s="35">
        <f>SUMIFS($K$5:$K$692,$A$5:$A$692,A465,$B$5:$B$692,B465,$F$5:$F$692,"&lt;="&amp;F465)</f>
        <v/>
      </c>
      <c r="M465" s="58">
        <f>'个人技术逐级'!N465</f>
        <v/>
      </c>
      <c r="N465" s="58">
        <f>SUMIFS($M$5:$M$692,$A$5:$A$692,A465,$B$5:$B$692,B465,$F$5:$F$692,"&lt;="&amp;F465)</f>
        <v/>
      </c>
      <c r="O465" s="58">
        <f>0</f>
        <v/>
      </c>
      <c r="P465" s="58">
        <f>SUMIFS($O$5:$O$692,$A$5:$A$692,A465,$B$5:$B$692,B465,$F$5:$F$692,"&lt;="&amp;F465)</f>
        <v/>
      </c>
      <c r="Q465" s="58">
        <f>0</f>
        <v/>
      </c>
      <c r="R465" s="58">
        <f>SUMIFS($Q$5:$Q$692,$A$5:$A$692,A465,$B$5:$B$692,B465,$F$5:$F$692,"&lt;="&amp;F465)</f>
        <v/>
      </c>
      <c r="S465" s="58">
        <f>0</f>
        <v/>
      </c>
      <c r="T465" s="58">
        <f>SUMIFS($S$5:$S$692,$A$5:$A$692,A465,$B$5:$B$692,B465,$F$5:$F$692,"&lt;="&amp;F465)</f>
        <v/>
      </c>
      <c r="U465" s="52">
        <f>'个人技术逐级'!O465</f>
        <v/>
      </c>
    </row>
    <row r="466">
      <c r="A466" s="33" t="inlineStr">
        <is>
          <t>个人技术</t>
        </is>
      </c>
      <c r="B466" s="33">
        <f>'个人技术逐级'!A466</f>
        <v/>
      </c>
      <c r="C466" s="33">
        <f>'个人技术逐级'!B466</f>
        <v/>
      </c>
      <c r="D466" s="33">
        <f>'个人技术逐级'!C466</f>
        <v/>
      </c>
      <c r="E466">
        <f>'个人技术逐级'!D466</f>
        <v/>
      </c>
      <c r="F466" s="54">
        <f>'个人技术逐级'!E466</f>
        <v/>
      </c>
      <c r="G466" s="55">
        <f>'个人技术逐级'!F466</f>
        <v/>
      </c>
      <c r="H466" s="56">
        <f>'个人技术逐级'!G466</f>
        <v/>
      </c>
      <c r="I466" s="52" t="inlineStr">
        <is>
          <t>个人技术计时升级</t>
        </is>
      </c>
      <c r="J466" s="57">
        <f>'个人技术逐级'!M466</f>
        <v/>
      </c>
      <c r="K466" s="35">
        <f>J466/3600</f>
        <v/>
      </c>
      <c r="L466" s="35">
        <f>SUMIFS($K$5:$K$692,$A$5:$A$692,A466,$B$5:$B$692,B466,$F$5:$F$692,"&lt;="&amp;F466)</f>
        <v/>
      </c>
      <c r="M466" s="58">
        <f>'个人技术逐级'!N466</f>
        <v/>
      </c>
      <c r="N466" s="58">
        <f>SUMIFS($M$5:$M$692,$A$5:$A$692,A466,$B$5:$B$692,B466,$F$5:$F$692,"&lt;="&amp;F466)</f>
        <v/>
      </c>
      <c r="O466" s="58">
        <f>0</f>
        <v/>
      </c>
      <c r="P466" s="58">
        <f>SUMIFS($O$5:$O$692,$A$5:$A$692,A466,$B$5:$B$692,B466,$F$5:$F$692,"&lt;="&amp;F466)</f>
        <v/>
      </c>
      <c r="Q466" s="58">
        <f>0</f>
        <v/>
      </c>
      <c r="R466" s="58">
        <f>SUMIFS($Q$5:$Q$692,$A$5:$A$692,A466,$B$5:$B$692,B466,$F$5:$F$692,"&lt;="&amp;F466)</f>
        <v/>
      </c>
      <c r="S466" s="58">
        <f>0</f>
        <v/>
      </c>
      <c r="T466" s="58">
        <f>SUMIFS($S$5:$S$692,$A$5:$A$692,A466,$B$5:$B$692,B466,$F$5:$F$692,"&lt;="&amp;F466)</f>
        <v/>
      </c>
      <c r="U466" s="52">
        <f>'个人技术逐级'!O466</f>
        <v/>
      </c>
    </row>
    <row r="467">
      <c r="A467" s="33" t="inlineStr">
        <is>
          <t>个人技术</t>
        </is>
      </c>
      <c r="B467" s="33">
        <f>'个人技术逐级'!A467</f>
        <v/>
      </c>
      <c r="C467" s="33">
        <f>'个人技术逐级'!B467</f>
        <v/>
      </c>
      <c r="D467" s="33">
        <f>'个人技术逐级'!C467</f>
        <v/>
      </c>
      <c r="E467">
        <f>'个人技术逐级'!D467</f>
        <v/>
      </c>
      <c r="F467" s="54">
        <f>'个人技术逐级'!E467</f>
        <v/>
      </c>
      <c r="G467" s="55">
        <f>'个人技术逐级'!F467</f>
        <v/>
      </c>
      <c r="H467" s="56">
        <f>'个人技术逐级'!G467</f>
        <v/>
      </c>
      <c r="I467" s="52" t="inlineStr">
        <is>
          <t>个人技术计时升级</t>
        </is>
      </c>
      <c r="J467" s="57">
        <f>'个人技术逐级'!M467</f>
        <v/>
      </c>
      <c r="K467" s="35">
        <f>J467/3600</f>
        <v/>
      </c>
      <c r="L467" s="35">
        <f>SUMIFS($K$5:$K$692,$A$5:$A$692,A467,$B$5:$B$692,B467,$F$5:$F$692,"&lt;="&amp;F467)</f>
        <v/>
      </c>
      <c r="M467" s="58">
        <f>'个人技术逐级'!N467</f>
        <v/>
      </c>
      <c r="N467" s="58">
        <f>SUMIFS($M$5:$M$692,$A$5:$A$692,A467,$B$5:$B$692,B467,$F$5:$F$692,"&lt;="&amp;F467)</f>
        <v/>
      </c>
      <c r="O467" s="58">
        <f>0</f>
        <v/>
      </c>
      <c r="P467" s="58">
        <f>SUMIFS($O$5:$O$692,$A$5:$A$692,A467,$B$5:$B$692,B467,$F$5:$F$692,"&lt;="&amp;F467)</f>
        <v/>
      </c>
      <c r="Q467" s="58">
        <f>0</f>
        <v/>
      </c>
      <c r="R467" s="58">
        <f>SUMIFS($Q$5:$Q$692,$A$5:$A$692,A467,$B$5:$B$692,B467,$F$5:$F$692,"&lt;="&amp;F467)</f>
        <v/>
      </c>
      <c r="S467" s="58">
        <f>0</f>
        <v/>
      </c>
      <c r="T467" s="58">
        <f>SUMIFS($S$5:$S$692,$A$5:$A$692,A467,$B$5:$B$692,B467,$F$5:$F$692,"&lt;="&amp;F467)</f>
        <v/>
      </c>
      <c r="U467" s="52">
        <f>'个人技术逐级'!O467</f>
        <v/>
      </c>
    </row>
    <row r="468">
      <c r="A468" s="33" t="inlineStr">
        <is>
          <t>个人技术</t>
        </is>
      </c>
      <c r="B468" s="33">
        <f>'个人技术逐级'!A468</f>
        <v/>
      </c>
      <c r="C468" s="33">
        <f>'个人技术逐级'!B468</f>
        <v/>
      </c>
      <c r="D468" s="33">
        <f>'个人技术逐级'!C468</f>
        <v/>
      </c>
      <c r="E468">
        <f>'个人技术逐级'!D468</f>
        <v/>
      </c>
      <c r="F468" s="54">
        <f>'个人技术逐级'!E468</f>
        <v/>
      </c>
      <c r="G468" s="55">
        <f>'个人技术逐级'!F468</f>
        <v/>
      </c>
      <c r="H468" s="56">
        <f>'个人技术逐级'!G468</f>
        <v/>
      </c>
      <c r="I468" s="52" t="inlineStr">
        <is>
          <t>个人技术计时升级</t>
        </is>
      </c>
      <c r="J468" s="57">
        <f>'个人技术逐级'!M468</f>
        <v/>
      </c>
      <c r="K468" s="35">
        <f>J468/3600</f>
        <v/>
      </c>
      <c r="L468" s="35">
        <f>SUMIFS($K$5:$K$692,$A$5:$A$692,A468,$B$5:$B$692,B468,$F$5:$F$692,"&lt;="&amp;F468)</f>
        <v/>
      </c>
      <c r="M468" s="58">
        <f>'个人技术逐级'!N468</f>
        <v/>
      </c>
      <c r="N468" s="58">
        <f>SUMIFS($M$5:$M$692,$A$5:$A$692,A468,$B$5:$B$692,B468,$F$5:$F$692,"&lt;="&amp;F468)</f>
        <v/>
      </c>
      <c r="O468" s="58">
        <f>0</f>
        <v/>
      </c>
      <c r="P468" s="58">
        <f>SUMIFS($O$5:$O$692,$A$5:$A$692,A468,$B$5:$B$692,B468,$F$5:$F$692,"&lt;="&amp;F468)</f>
        <v/>
      </c>
      <c r="Q468" s="58">
        <f>0</f>
        <v/>
      </c>
      <c r="R468" s="58">
        <f>SUMIFS($Q$5:$Q$692,$A$5:$A$692,A468,$B$5:$B$692,B468,$F$5:$F$692,"&lt;="&amp;F468)</f>
        <v/>
      </c>
      <c r="S468" s="58">
        <f>0</f>
        <v/>
      </c>
      <c r="T468" s="58">
        <f>SUMIFS($S$5:$S$692,$A$5:$A$692,A468,$B$5:$B$692,B468,$F$5:$F$692,"&lt;="&amp;F468)</f>
        <v/>
      </c>
      <c r="U468" s="52">
        <f>'个人技术逐级'!O468</f>
        <v/>
      </c>
    </row>
    <row r="469">
      <c r="A469" s="33" t="inlineStr">
        <is>
          <t>个人技术</t>
        </is>
      </c>
      <c r="B469" s="33">
        <f>'个人技术逐级'!A469</f>
        <v/>
      </c>
      <c r="C469" s="33">
        <f>'个人技术逐级'!B469</f>
        <v/>
      </c>
      <c r="D469" s="33">
        <f>'个人技术逐级'!C469</f>
        <v/>
      </c>
      <c r="E469">
        <f>'个人技术逐级'!D469</f>
        <v/>
      </c>
      <c r="F469" s="54">
        <f>'个人技术逐级'!E469</f>
        <v/>
      </c>
      <c r="G469" s="55">
        <f>'个人技术逐级'!F469</f>
        <v/>
      </c>
      <c r="H469" s="56">
        <f>'个人技术逐级'!G469</f>
        <v/>
      </c>
      <c r="I469" s="52" t="inlineStr">
        <is>
          <t>个人技术计时升级</t>
        </is>
      </c>
      <c r="J469" s="57">
        <f>'个人技术逐级'!M469</f>
        <v/>
      </c>
      <c r="K469" s="35">
        <f>J469/3600</f>
        <v/>
      </c>
      <c r="L469" s="35">
        <f>SUMIFS($K$5:$K$692,$A$5:$A$692,A469,$B$5:$B$692,B469,$F$5:$F$692,"&lt;="&amp;F469)</f>
        <v/>
      </c>
      <c r="M469" s="58">
        <f>'个人技术逐级'!N469</f>
        <v/>
      </c>
      <c r="N469" s="58">
        <f>SUMIFS($M$5:$M$692,$A$5:$A$692,A469,$B$5:$B$692,B469,$F$5:$F$692,"&lt;="&amp;F469)</f>
        <v/>
      </c>
      <c r="O469" s="58">
        <f>0</f>
        <v/>
      </c>
      <c r="P469" s="58">
        <f>SUMIFS($O$5:$O$692,$A$5:$A$692,A469,$B$5:$B$692,B469,$F$5:$F$692,"&lt;="&amp;F469)</f>
        <v/>
      </c>
      <c r="Q469" s="58">
        <f>0</f>
        <v/>
      </c>
      <c r="R469" s="58">
        <f>SUMIFS($Q$5:$Q$692,$A$5:$A$692,A469,$B$5:$B$692,B469,$F$5:$F$692,"&lt;="&amp;F469)</f>
        <v/>
      </c>
      <c r="S469" s="58">
        <f>0</f>
        <v/>
      </c>
      <c r="T469" s="58">
        <f>SUMIFS($S$5:$S$692,$A$5:$A$692,A469,$B$5:$B$692,B469,$F$5:$F$692,"&lt;="&amp;F469)</f>
        <v/>
      </c>
      <c r="U469" s="52">
        <f>'个人技术逐级'!O469</f>
        <v/>
      </c>
    </row>
    <row r="470">
      <c r="A470" s="33" t="inlineStr">
        <is>
          <t>个人技术</t>
        </is>
      </c>
      <c r="B470" s="33">
        <f>'个人技术逐级'!A470</f>
        <v/>
      </c>
      <c r="C470" s="33">
        <f>'个人技术逐级'!B470</f>
        <v/>
      </c>
      <c r="D470" s="33">
        <f>'个人技术逐级'!C470</f>
        <v/>
      </c>
      <c r="E470">
        <f>'个人技术逐级'!D470</f>
        <v/>
      </c>
      <c r="F470" s="54">
        <f>'个人技术逐级'!E470</f>
        <v/>
      </c>
      <c r="G470" s="55">
        <f>'个人技术逐级'!F470</f>
        <v/>
      </c>
      <c r="H470" s="56">
        <f>'个人技术逐级'!G470</f>
        <v/>
      </c>
      <c r="I470" s="52" t="inlineStr">
        <is>
          <t>个人技术计时升级</t>
        </is>
      </c>
      <c r="J470" s="57">
        <f>'个人技术逐级'!M470</f>
        <v/>
      </c>
      <c r="K470" s="35">
        <f>J470/3600</f>
        <v/>
      </c>
      <c r="L470" s="35">
        <f>SUMIFS($K$5:$K$692,$A$5:$A$692,A470,$B$5:$B$692,B470,$F$5:$F$692,"&lt;="&amp;F470)</f>
        <v/>
      </c>
      <c r="M470" s="58">
        <f>'个人技术逐级'!N470</f>
        <v/>
      </c>
      <c r="N470" s="58">
        <f>SUMIFS($M$5:$M$692,$A$5:$A$692,A470,$B$5:$B$692,B470,$F$5:$F$692,"&lt;="&amp;F470)</f>
        <v/>
      </c>
      <c r="O470" s="58">
        <f>0</f>
        <v/>
      </c>
      <c r="P470" s="58">
        <f>SUMIFS($O$5:$O$692,$A$5:$A$692,A470,$B$5:$B$692,B470,$F$5:$F$692,"&lt;="&amp;F470)</f>
        <v/>
      </c>
      <c r="Q470" s="58">
        <f>0</f>
        <v/>
      </c>
      <c r="R470" s="58">
        <f>SUMIFS($Q$5:$Q$692,$A$5:$A$692,A470,$B$5:$B$692,B470,$F$5:$F$692,"&lt;="&amp;F470)</f>
        <v/>
      </c>
      <c r="S470" s="58">
        <f>0</f>
        <v/>
      </c>
      <c r="T470" s="58">
        <f>SUMIFS($S$5:$S$692,$A$5:$A$692,A470,$B$5:$B$692,B470,$F$5:$F$692,"&lt;="&amp;F470)</f>
        <v/>
      </c>
      <c r="U470" s="52">
        <f>'个人技术逐级'!O470</f>
        <v/>
      </c>
    </row>
    <row r="471">
      <c r="A471" s="33" t="inlineStr">
        <is>
          <t>个人技术</t>
        </is>
      </c>
      <c r="B471" s="33">
        <f>'个人技术逐级'!A471</f>
        <v/>
      </c>
      <c r="C471" s="33">
        <f>'个人技术逐级'!B471</f>
        <v/>
      </c>
      <c r="D471" s="33">
        <f>'个人技术逐级'!C471</f>
        <v/>
      </c>
      <c r="E471">
        <f>'个人技术逐级'!D471</f>
        <v/>
      </c>
      <c r="F471" s="54">
        <f>'个人技术逐级'!E471</f>
        <v/>
      </c>
      <c r="G471" s="55">
        <f>'个人技术逐级'!F471</f>
        <v/>
      </c>
      <c r="H471" s="56">
        <f>'个人技术逐级'!G471</f>
        <v/>
      </c>
      <c r="I471" s="52" t="inlineStr">
        <is>
          <t>个人技术计时升级</t>
        </is>
      </c>
      <c r="J471" s="57">
        <f>'个人技术逐级'!M471</f>
        <v/>
      </c>
      <c r="K471" s="35">
        <f>J471/3600</f>
        <v/>
      </c>
      <c r="L471" s="35">
        <f>SUMIFS($K$5:$K$692,$A$5:$A$692,A471,$B$5:$B$692,B471,$F$5:$F$692,"&lt;="&amp;F471)</f>
        <v/>
      </c>
      <c r="M471" s="58">
        <f>'个人技术逐级'!N471</f>
        <v/>
      </c>
      <c r="N471" s="58">
        <f>SUMIFS($M$5:$M$692,$A$5:$A$692,A471,$B$5:$B$692,B471,$F$5:$F$692,"&lt;="&amp;F471)</f>
        <v/>
      </c>
      <c r="O471" s="58">
        <f>0</f>
        <v/>
      </c>
      <c r="P471" s="58">
        <f>SUMIFS($O$5:$O$692,$A$5:$A$692,A471,$B$5:$B$692,B471,$F$5:$F$692,"&lt;="&amp;F471)</f>
        <v/>
      </c>
      <c r="Q471" s="58">
        <f>0</f>
        <v/>
      </c>
      <c r="R471" s="58">
        <f>SUMIFS($Q$5:$Q$692,$A$5:$A$692,A471,$B$5:$B$692,B471,$F$5:$F$692,"&lt;="&amp;F471)</f>
        <v/>
      </c>
      <c r="S471" s="58">
        <f>0</f>
        <v/>
      </c>
      <c r="T471" s="58">
        <f>SUMIFS($S$5:$S$692,$A$5:$A$692,A471,$B$5:$B$692,B471,$F$5:$F$692,"&lt;="&amp;F471)</f>
        <v/>
      </c>
      <c r="U471" s="52">
        <f>'个人技术逐级'!O471</f>
        <v/>
      </c>
    </row>
    <row r="472">
      <c r="A472" s="33" t="inlineStr">
        <is>
          <t>个人技术</t>
        </is>
      </c>
      <c r="B472" s="33">
        <f>'个人技术逐级'!A472</f>
        <v/>
      </c>
      <c r="C472" s="33">
        <f>'个人技术逐级'!B472</f>
        <v/>
      </c>
      <c r="D472" s="33">
        <f>'个人技术逐级'!C472</f>
        <v/>
      </c>
      <c r="E472">
        <f>'个人技术逐级'!D472</f>
        <v/>
      </c>
      <c r="F472" s="54">
        <f>'个人技术逐级'!E472</f>
        <v/>
      </c>
      <c r="G472" s="55">
        <f>'个人技术逐级'!F472</f>
        <v/>
      </c>
      <c r="H472" s="56">
        <f>'个人技术逐级'!G472</f>
        <v/>
      </c>
      <c r="I472" s="52" t="inlineStr">
        <is>
          <t>个人技术计时升级</t>
        </is>
      </c>
      <c r="J472" s="57">
        <f>'个人技术逐级'!M472</f>
        <v/>
      </c>
      <c r="K472" s="35">
        <f>J472/3600</f>
        <v/>
      </c>
      <c r="L472" s="35">
        <f>SUMIFS($K$5:$K$692,$A$5:$A$692,A472,$B$5:$B$692,B472,$F$5:$F$692,"&lt;="&amp;F472)</f>
        <v/>
      </c>
      <c r="M472" s="58">
        <f>'个人技术逐级'!N472</f>
        <v/>
      </c>
      <c r="N472" s="58">
        <f>SUMIFS($M$5:$M$692,$A$5:$A$692,A472,$B$5:$B$692,B472,$F$5:$F$692,"&lt;="&amp;F472)</f>
        <v/>
      </c>
      <c r="O472" s="58">
        <f>0</f>
        <v/>
      </c>
      <c r="P472" s="58">
        <f>SUMIFS($O$5:$O$692,$A$5:$A$692,A472,$B$5:$B$692,B472,$F$5:$F$692,"&lt;="&amp;F472)</f>
        <v/>
      </c>
      <c r="Q472" s="58">
        <f>0</f>
        <v/>
      </c>
      <c r="R472" s="58">
        <f>SUMIFS($Q$5:$Q$692,$A$5:$A$692,A472,$B$5:$B$692,B472,$F$5:$F$692,"&lt;="&amp;F472)</f>
        <v/>
      </c>
      <c r="S472" s="58">
        <f>0</f>
        <v/>
      </c>
      <c r="T472" s="58">
        <f>SUMIFS($S$5:$S$692,$A$5:$A$692,A472,$B$5:$B$692,B472,$F$5:$F$692,"&lt;="&amp;F472)</f>
        <v/>
      </c>
      <c r="U472" s="52">
        <f>'个人技术逐级'!O472</f>
        <v/>
      </c>
    </row>
    <row r="473">
      <c r="A473" s="33" t="inlineStr">
        <is>
          <t>个人技术</t>
        </is>
      </c>
      <c r="B473" s="33">
        <f>'个人技术逐级'!A473</f>
        <v/>
      </c>
      <c r="C473" s="33">
        <f>'个人技术逐级'!B473</f>
        <v/>
      </c>
      <c r="D473" s="33">
        <f>'个人技术逐级'!C473</f>
        <v/>
      </c>
      <c r="E473">
        <f>'个人技术逐级'!D473</f>
        <v/>
      </c>
      <c r="F473" s="54">
        <f>'个人技术逐级'!E473</f>
        <v/>
      </c>
      <c r="G473" s="55">
        <f>'个人技术逐级'!F473</f>
        <v/>
      </c>
      <c r="H473" s="56">
        <f>'个人技术逐级'!G473</f>
        <v/>
      </c>
      <c r="I473" s="52" t="inlineStr">
        <is>
          <t>个人技术计时升级</t>
        </is>
      </c>
      <c r="J473" s="57">
        <f>'个人技术逐级'!M473</f>
        <v/>
      </c>
      <c r="K473" s="35">
        <f>J473/3600</f>
        <v/>
      </c>
      <c r="L473" s="35">
        <f>SUMIFS($K$5:$K$692,$A$5:$A$692,A473,$B$5:$B$692,B473,$F$5:$F$692,"&lt;="&amp;F473)</f>
        <v/>
      </c>
      <c r="M473" s="58">
        <f>'个人技术逐级'!N473</f>
        <v/>
      </c>
      <c r="N473" s="58">
        <f>SUMIFS($M$5:$M$692,$A$5:$A$692,A473,$B$5:$B$692,B473,$F$5:$F$692,"&lt;="&amp;F473)</f>
        <v/>
      </c>
      <c r="O473" s="58">
        <f>0</f>
        <v/>
      </c>
      <c r="P473" s="58">
        <f>SUMIFS($O$5:$O$692,$A$5:$A$692,A473,$B$5:$B$692,B473,$F$5:$F$692,"&lt;="&amp;F473)</f>
        <v/>
      </c>
      <c r="Q473" s="58">
        <f>0</f>
        <v/>
      </c>
      <c r="R473" s="58">
        <f>SUMIFS($Q$5:$Q$692,$A$5:$A$692,A473,$B$5:$B$692,B473,$F$5:$F$692,"&lt;="&amp;F473)</f>
        <v/>
      </c>
      <c r="S473" s="58">
        <f>0</f>
        <v/>
      </c>
      <c r="T473" s="58">
        <f>SUMIFS($S$5:$S$692,$A$5:$A$692,A473,$B$5:$B$692,B473,$F$5:$F$692,"&lt;="&amp;F473)</f>
        <v/>
      </c>
      <c r="U473" s="52">
        <f>'个人技术逐级'!O473</f>
        <v/>
      </c>
    </row>
    <row r="474">
      <c r="A474" s="33" t="inlineStr">
        <is>
          <t>个人技术</t>
        </is>
      </c>
      <c r="B474" s="33">
        <f>'个人技术逐级'!A474</f>
        <v/>
      </c>
      <c r="C474" s="33">
        <f>'个人技术逐级'!B474</f>
        <v/>
      </c>
      <c r="D474" s="33">
        <f>'个人技术逐级'!C474</f>
        <v/>
      </c>
      <c r="E474">
        <f>'个人技术逐级'!D474</f>
        <v/>
      </c>
      <c r="F474" s="54">
        <f>'个人技术逐级'!E474</f>
        <v/>
      </c>
      <c r="G474" s="55">
        <f>'个人技术逐级'!F474</f>
        <v/>
      </c>
      <c r="H474" s="56">
        <f>'个人技术逐级'!G474</f>
        <v/>
      </c>
      <c r="I474" s="52" t="inlineStr">
        <is>
          <t>个人技术计时升级</t>
        </is>
      </c>
      <c r="J474" s="57">
        <f>'个人技术逐级'!M474</f>
        <v/>
      </c>
      <c r="K474" s="35">
        <f>J474/3600</f>
        <v/>
      </c>
      <c r="L474" s="35">
        <f>SUMIFS($K$5:$K$692,$A$5:$A$692,A474,$B$5:$B$692,B474,$F$5:$F$692,"&lt;="&amp;F474)</f>
        <v/>
      </c>
      <c r="M474" s="58">
        <f>'个人技术逐级'!N474</f>
        <v/>
      </c>
      <c r="N474" s="58">
        <f>SUMIFS($M$5:$M$692,$A$5:$A$692,A474,$B$5:$B$692,B474,$F$5:$F$692,"&lt;="&amp;F474)</f>
        <v/>
      </c>
      <c r="O474" s="58">
        <f>0</f>
        <v/>
      </c>
      <c r="P474" s="58">
        <f>SUMIFS($O$5:$O$692,$A$5:$A$692,A474,$B$5:$B$692,B474,$F$5:$F$692,"&lt;="&amp;F474)</f>
        <v/>
      </c>
      <c r="Q474" s="58">
        <f>0</f>
        <v/>
      </c>
      <c r="R474" s="58">
        <f>SUMIFS($Q$5:$Q$692,$A$5:$A$692,A474,$B$5:$B$692,B474,$F$5:$F$692,"&lt;="&amp;F474)</f>
        <v/>
      </c>
      <c r="S474" s="58">
        <f>0</f>
        <v/>
      </c>
      <c r="T474" s="58">
        <f>SUMIFS($S$5:$S$692,$A$5:$A$692,A474,$B$5:$B$692,B474,$F$5:$F$692,"&lt;="&amp;F474)</f>
        <v/>
      </c>
      <c r="U474" s="52">
        <f>'个人技术逐级'!O474</f>
        <v/>
      </c>
    </row>
    <row r="475">
      <c r="A475" s="33" t="inlineStr">
        <is>
          <t>个人技术</t>
        </is>
      </c>
      <c r="B475" s="33">
        <f>'个人技术逐级'!A475</f>
        <v/>
      </c>
      <c r="C475" s="33">
        <f>'个人技术逐级'!B475</f>
        <v/>
      </c>
      <c r="D475" s="33">
        <f>'个人技术逐级'!C475</f>
        <v/>
      </c>
      <c r="E475">
        <f>'个人技术逐级'!D475</f>
        <v/>
      </c>
      <c r="F475" s="54">
        <f>'个人技术逐级'!E475</f>
        <v/>
      </c>
      <c r="G475" s="55">
        <f>'个人技术逐级'!F475</f>
        <v/>
      </c>
      <c r="H475" s="56">
        <f>'个人技术逐级'!G475</f>
        <v/>
      </c>
      <c r="I475" s="52" t="inlineStr">
        <is>
          <t>个人技术计时升级</t>
        </is>
      </c>
      <c r="J475" s="57">
        <f>'个人技术逐级'!M475</f>
        <v/>
      </c>
      <c r="K475" s="35">
        <f>J475/3600</f>
        <v/>
      </c>
      <c r="L475" s="35">
        <f>SUMIFS($K$5:$K$692,$A$5:$A$692,A475,$B$5:$B$692,B475,$F$5:$F$692,"&lt;="&amp;F475)</f>
        <v/>
      </c>
      <c r="M475" s="58">
        <f>'个人技术逐级'!N475</f>
        <v/>
      </c>
      <c r="N475" s="58">
        <f>SUMIFS($M$5:$M$692,$A$5:$A$692,A475,$B$5:$B$692,B475,$F$5:$F$692,"&lt;="&amp;F475)</f>
        <v/>
      </c>
      <c r="O475" s="58">
        <f>0</f>
        <v/>
      </c>
      <c r="P475" s="58">
        <f>SUMIFS($O$5:$O$692,$A$5:$A$692,A475,$B$5:$B$692,B475,$F$5:$F$692,"&lt;="&amp;F475)</f>
        <v/>
      </c>
      <c r="Q475" s="58">
        <f>0</f>
        <v/>
      </c>
      <c r="R475" s="58">
        <f>SUMIFS($Q$5:$Q$692,$A$5:$A$692,A475,$B$5:$B$692,B475,$F$5:$F$692,"&lt;="&amp;F475)</f>
        <v/>
      </c>
      <c r="S475" s="58">
        <f>0</f>
        <v/>
      </c>
      <c r="T475" s="58">
        <f>SUMIFS($S$5:$S$692,$A$5:$A$692,A475,$B$5:$B$692,B475,$F$5:$F$692,"&lt;="&amp;F475)</f>
        <v/>
      </c>
      <c r="U475" s="52">
        <f>'个人技术逐级'!O475</f>
        <v/>
      </c>
    </row>
    <row r="476">
      <c r="A476" s="33" t="inlineStr">
        <is>
          <t>个人技术</t>
        </is>
      </c>
      <c r="B476" s="33">
        <f>'个人技术逐级'!A476</f>
        <v/>
      </c>
      <c r="C476" s="33">
        <f>'个人技术逐级'!B476</f>
        <v/>
      </c>
      <c r="D476" s="33">
        <f>'个人技术逐级'!C476</f>
        <v/>
      </c>
      <c r="E476">
        <f>'个人技术逐级'!D476</f>
        <v/>
      </c>
      <c r="F476" s="54">
        <f>'个人技术逐级'!E476</f>
        <v/>
      </c>
      <c r="G476" s="55">
        <f>'个人技术逐级'!F476</f>
        <v/>
      </c>
      <c r="H476" s="56">
        <f>'个人技术逐级'!G476</f>
        <v/>
      </c>
      <c r="I476" s="52" t="inlineStr">
        <is>
          <t>个人技术计时升级</t>
        </is>
      </c>
      <c r="J476" s="57">
        <f>'个人技术逐级'!M476</f>
        <v/>
      </c>
      <c r="K476" s="35">
        <f>J476/3600</f>
        <v/>
      </c>
      <c r="L476" s="35">
        <f>SUMIFS($K$5:$K$692,$A$5:$A$692,A476,$B$5:$B$692,B476,$F$5:$F$692,"&lt;="&amp;F476)</f>
        <v/>
      </c>
      <c r="M476" s="58">
        <f>'个人技术逐级'!N476</f>
        <v/>
      </c>
      <c r="N476" s="58">
        <f>SUMIFS($M$5:$M$692,$A$5:$A$692,A476,$B$5:$B$692,B476,$F$5:$F$692,"&lt;="&amp;F476)</f>
        <v/>
      </c>
      <c r="O476" s="58">
        <f>0</f>
        <v/>
      </c>
      <c r="P476" s="58">
        <f>SUMIFS($O$5:$O$692,$A$5:$A$692,A476,$B$5:$B$692,B476,$F$5:$F$692,"&lt;="&amp;F476)</f>
        <v/>
      </c>
      <c r="Q476" s="58">
        <f>0</f>
        <v/>
      </c>
      <c r="R476" s="58">
        <f>SUMIFS($Q$5:$Q$692,$A$5:$A$692,A476,$B$5:$B$692,B476,$F$5:$F$692,"&lt;="&amp;F476)</f>
        <v/>
      </c>
      <c r="S476" s="58">
        <f>0</f>
        <v/>
      </c>
      <c r="T476" s="58">
        <f>SUMIFS($S$5:$S$692,$A$5:$A$692,A476,$B$5:$B$692,B476,$F$5:$F$692,"&lt;="&amp;F476)</f>
        <v/>
      </c>
      <c r="U476" s="52">
        <f>'个人技术逐级'!O476</f>
        <v/>
      </c>
    </row>
    <row r="477">
      <c r="A477" s="33" t="inlineStr">
        <is>
          <t>个人技术</t>
        </is>
      </c>
      <c r="B477" s="33">
        <f>'个人技术逐级'!A477</f>
        <v/>
      </c>
      <c r="C477" s="33">
        <f>'个人技术逐级'!B477</f>
        <v/>
      </c>
      <c r="D477" s="33">
        <f>'个人技术逐级'!C477</f>
        <v/>
      </c>
      <c r="E477">
        <f>'个人技术逐级'!D477</f>
        <v/>
      </c>
      <c r="F477" s="54">
        <f>'个人技术逐级'!E477</f>
        <v/>
      </c>
      <c r="G477" s="55">
        <f>'个人技术逐级'!F477</f>
        <v/>
      </c>
      <c r="H477" s="56">
        <f>'个人技术逐级'!G477</f>
        <v/>
      </c>
      <c r="I477" s="52" t="inlineStr">
        <is>
          <t>个人技术计时升级</t>
        </is>
      </c>
      <c r="J477" s="57">
        <f>'个人技术逐级'!M477</f>
        <v/>
      </c>
      <c r="K477" s="35">
        <f>J477/3600</f>
        <v/>
      </c>
      <c r="L477" s="35">
        <f>SUMIFS($K$5:$K$692,$A$5:$A$692,A477,$B$5:$B$692,B477,$F$5:$F$692,"&lt;="&amp;F477)</f>
        <v/>
      </c>
      <c r="M477" s="58">
        <f>'个人技术逐级'!N477</f>
        <v/>
      </c>
      <c r="N477" s="58">
        <f>SUMIFS($M$5:$M$692,$A$5:$A$692,A477,$B$5:$B$692,B477,$F$5:$F$692,"&lt;="&amp;F477)</f>
        <v/>
      </c>
      <c r="O477" s="58">
        <f>0</f>
        <v/>
      </c>
      <c r="P477" s="58">
        <f>SUMIFS($O$5:$O$692,$A$5:$A$692,A477,$B$5:$B$692,B477,$F$5:$F$692,"&lt;="&amp;F477)</f>
        <v/>
      </c>
      <c r="Q477" s="58">
        <f>0</f>
        <v/>
      </c>
      <c r="R477" s="58">
        <f>SUMIFS($Q$5:$Q$692,$A$5:$A$692,A477,$B$5:$B$692,B477,$F$5:$F$692,"&lt;="&amp;F477)</f>
        <v/>
      </c>
      <c r="S477" s="58">
        <f>0</f>
        <v/>
      </c>
      <c r="T477" s="58">
        <f>SUMIFS($S$5:$S$692,$A$5:$A$692,A477,$B$5:$B$692,B477,$F$5:$F$692,"&lt;="&amp;F477)</f>
        <v/>
      </c>
      <c r="U477" s="52">
        <f>'个人技术逐级'!O477</f>
        <v/>
      </c>
    </row>
    <row r="478">
      <c r="A478" s="33" t="inlineStr">
        <is>
          <t>个人技术</t>
        </is>
      </c>
      <c r="B478" s="33">
        <f>'个人技术逐级'!A478</f>
        <v/>
      </c>
      <c r="C478" s="33">
        <f>'个人技术逐级'!B478</f>
        <v/>
      </c>
      <c r="D478" s="33">
        <f>'个人技术逐级'!C478</f>
        <v/>
      </c>
      <c r="E478">
        <f>'个人技术逐级'!D478</f>
        <v/>
      </c>
      <c r="F478" s="54">
        <f>'个人技术逐级'!E478</f>
        <v/>
      </c>
      <c r="G478" s="55">
        <f>'个人技术逐级'!F478</f>
        <v/>
      </c>
      <c r="H478" s="56">
        <f>'个人技术逐级'!G478</f>
        <v/>
      </c>
      <c r="I478" s="52" t="inlineStr">
        <is>
          <t>个人技术计时升级</t>
        </is>
      </c>
      <c r="J478" s="57">
        <f>'个人技术逐级'!M478</f>
        <v/>
      </c>
      <c r="K478" s="35">
        <f>J478/3600</f>
        <v/>
      </c>
      <c r="L478" s="35">
        <f>SUMIFS($K$5:$K$692,$A$5:$A$692,A478,$B$5:$B$692,B478,$F$5:$F$692,"&lt;="&amp;F478)</f>
        <v/>
      </c>
      <c r="M478" s="58">
        <f>'个人技术逐级'!N478</f>
        <v/>
      </c>
      <c r="N478" s="58">
        <f>SUMIFS($M$5:$M$692,$A$5:$A$692,A478,$B$5:$B$692,B478,$F$5:$F$692,"&lt;="&amp;F478)</f>
        <v/>
      </c>
      <c r="O478" s="58">
        <f>0</f>
        <v/>
      </c>
      <c r="P478" s="58">
        <f>SUMIFS($O$5:$O$692,$A$5:$A$692,A478,$B$5:$B$692,B478,$F$5:$F$692,"&lt;="&amp;F478)</f>
        <v/>
      </c>
      <c r="Q478" s="58">
        <f>0</f>
        <v/>
      </c>
      <c r="R478" s="58">
        <f>SUMIFS($Q$5:$Q$692,$A$5:$A$692,A478,$B$5:$B$692,B478,$F$5:$F$692,"&lt;="&amp;F478)</f>
        <v/>
      </c>
      <c r="S478" s="58">
        <f>0</f>
        <v/>
      </c>
      <c r="T478" s="58">
        <f>SUMIFS($S$5:$S$692,$A$5:$A$692,A478,$B$5:$B$692,B478,$F$5:$F$692,"&lt;="&amp;F478)</f>
        <v/>
      </c>
      <c r="U478" s="52">
        <f>'个人技术逐级'!O478</f>
        <v/>
      </c>
    </row>
    <row r="479">
      <c r="A479" s="33" t="inlineStr">
        <is>
          <t>个人技术</t>
        </is>
      </c>
      <c r="B479" s="33">
        <f>'个人技术逐级'!A479</f>
        <v/>
      </c>
      <c r="C479" s="33">
        <f>'个人技术逐级'!B479</f>
        <v/>
      </c>
      <c r="D479" s="33">
        <f>'个人技术逐级'!C479</f>
        <v/>
      </c>
      <c r="E479">
        <f>'个人技术逐级'!D479</f>
        <v/>
      </c>
      <c r="F479" s="54">
        <f>'个人技术逐级'!E479</f>
        <v/>
      </c>
      <c r="G479" s="55">
        <f>'个人技术逐级'!F479</f>
        <v/>
      </c>
      <c r="H479" s="56">
        <f>'个人技术逐级'!G479</f>
        <v/>
      </c>
      <c r="I479" s="52" t="inlineStr">
        <is>
          <t>个人技术计时升级</t>
        </is>
      </c>
      <c r="J479" s="57">
        <f>'个人技术逐级'!M479</f>
        <v/>
      </c>
      <c r="K479" s="35">
        <f>J479/3600</f>
        <v/>
      </c>
      <c r="L479" s="35">
        <f>SUMIFS($K$5:$K$692,$A$5:$A$692,A479,$B$5:$B$692,B479,$F$5:$F$692,"&lt;="&amp;F479)</f>
        <v/>
      </c>
      <c r="M479" s="58">
        <f>'个人技术逐级'!N479</f>
        <v/>
      </c>
      <c r="N479" s="58">
        <f>SUMIFS($M$5:$M$692,$A$5:$A$692,A479,$B$5:$B$692,B479,$F$5:$F$692,"&lt;="&amp;F479)</f>
        <v/>
      </c>
      <c r="O479" s="58">
        <f>0</f>
        <v/>
      </c>
      <c r="P479" s="58">
        <f>SUMIFS($O$5:$O$692,$A$5:$A$692,A479,$B$5:$B$692,B479,$F$5:$F$692,"&lt;="&amp;F479)</f>
        <v/>
      </c>
      <c r="Q479" s="58">
        <f>0</f>
        <v/>
      </c>
      <c r="R479" s="58">
        <f>SUMIFS($Q$5:$Q$692,$A$5:$A$692,A479,$B$5:$B$692,B479,$F$5:$F$692,"&lt;="&amp;F479)</f>
        <v/>
      </c>
      <c r="S479" s="58">
        <f>0</f>
        <v/>
      </c>
      <c r="T479" s="58">
        <f>SUMIFS($S$5:$S$692,$A$5:$A$692,A479,$B$5:$B$692,B479,$F$5:$F$692,"&lt;="&amp;F479)</f>
        <v/>
      </c>
      <c r="U479" s="52">
        <f>'个人技术逐级'!O479</f>
        <v/>
      </c>
    </row>
    <row r="480">
      <c r="A480" s="33" t="inlineStr">
        <is>
          <t>个人技术</t>
        </is>
      </c>
      <c r="B480" s="33">
        <f>'个人技术逐级'!A480</f>
        <v/>
      </c>
      <c r="C480" s="33">
        <f>'个人技术逐级'!B480</f>
        <v/>
      </c>
      <c r="D480" s="33">
        <f>'个人技术逐级'!C480</f>
        <v/>
      </c>
      <c r="E480">
        <f>'个人技术逐级'!D480</f>
        <v/>
      </c>
      <c r="F480" s="54">
        <f>'个人技术逐级'!E480</f>
        <v/>
      </c>
      <c r="G480" s="55">
        <f>'个人技术逐级'!F480</f>
        <v/>
      </c>
      <c r="H480" s="56">
        <f>'个人技术逐级'!G480</f>
        <v/>
      </c>
      <c r="I480" s="52" t="inlineStr">
        <is>
          <t>个人技术计时升级</t>
        </is>
      </c>
      <c r="J480" s="57">
        <f>'个人技术逐级'!M480</f>
        <v/>
      </c>
      <c r="K480" s="35">
        <f>J480/3600</f>
        <v/>
      </c>
      <c r="L480" s="35">
        <f>SUMIFS($K$5:$K$692,$A$5:$A$692,A480,$B$5:$B$692,B480,$F$5:$F$692,"&lt;="&amp;F480)</f>
        <v/>
      </c>
      <c r="M480" s="58">
        <f>'个人技术逐级'!N480</f>
        <v/>
      </c>
      <c r="N480" s="58">
        <f>SUMIFS($M$5:$M$692,$A$5:$A$692,A480,$B$5:$B$692,B480,$F$5:$F$692,"&lt;="&amp;F480)</f>
        <v/>
      </c>
      <c r="O480" s="58">
        <f>0</f>
        <v/>
      </c>
      <c r="P480" s="58">
        <f>SUMIFS($O$5:$O$692,$A$5:$A$692,A480,$B$5:$B$692,B480,$F$5:$F$692,"&lt;="&amp;F480)</f>
        <v/>
      </c>
      <c r="Q480" s="58">
        <f>0</f>
        <v/>
      </c>
      <c r="R480" s="58">
        <f>SUMIFS($Q$5:$Q$692,$A$5:$A$692,A480,$B$5:$B$692,B480,$F$5:$F$692,"&lt;="&amp;F480)</f>
        <v/>
      </c>
      <c r="S480" s="58">
        <f>0</f>
        <v/>
      </c>
      <c r="T480" s="58">
        <f>SUMIFS($S$5:$S$692,$A$5:$A$692,A480,$B$5:$B$692,B480,$F$5:$F$692,"&lt;="&amp;F480)</f>
        <v/>
      </c>
      <c r="U480" s="52">
        <f>'个人技术逐级'!O480</f>
        <v/>
      </c>
    </row>
    <row r="481">
      <c r="A481" s="33" t="inlineStr">
        <is>
          <t>个人技术</t>
        </is>
      </c>
      <c r="B481" s="33">
        <f>'个人技术逐级'!A481</f>
        <v/>
      </c>
      <c r="C481" s="33">
        <f>'个人技术逐级'!B481</f>
        <v/>
      </c>
      <c r="D481" s="33">
        <f>'个人技术逐级'!C481</f>
        <v/>
      </c>
      <c r="E481">
        <f>'个人技术逐级'!D481</f>
        <v/>
      </c>
      <c r="F481" s="54">
        <f>'个人技术逐级'!E481</f>
        <v/>
      </c>
      <c r="G481" s="55">
        <f>'个人技术逐级'!F481</f>
        <v/>
      </c>
      <c r="H481" s="56">
        <f>'个人技术逐级'!G481</f>
        <v/>
      </c>
      <c r="I481" s="52" t="inlineStr">
        <is>
          <t>个人技术计时升级</t>
        </is>
      </c>
      <c r="J481" s="57">
        <f>'个人技术逐级'!M481</f>
        <v/>
      </c>
      <c r="K481" s="35">
        <f>J481/3600</f>
        <v/>
      </c>
      <c r="L481" s="35">
        <f>SUMIFS($K$5:$K$692,$A$5:$A$692,A481,$B$5:$B$692,B481,$F$5:$F$692,"&lt;="&amp;F481)</f>
        <v/>
      </c>
      <c r="M481" s="58">
        <f>'个人技术逐级'!N481</f>
        <v/>
      </c>
      <c r="N481" s="58">
        <f>SUMIFS($M$5:$M$692,$A$5:$A$692,A481,$B$5:$B$692,B481,$F$5:$F$692,"&lt;="&amp;F481)</f>
        <v/>
      </c>
      <c r="O481" s="58">
        <f>0</f>
        <v/>
      </c>
      <c r="P481" s="58">
        <f>SUMIFS($O$5:$O$692,$A$5:$A$692,A481,$B$5:$B$692,B481,$F$5:$F$692,"&lt;="&amp;F481)</f>
        <v/>
      </c>
      <c r="Q481" s="58">
        <f>0</f>
        <v/>
      </c>
      <c r="R481" s="58">
        <f>SUMIFS($Q$5:$Q$692,$A$5:$A$692,A481,$B$5:$B$692,B481,$F$5:$F$692,"&lt;="&amp;F481)</f>
        <v/>
      </c>
      <c r="S481" s="58">
        <f>0</f>
        <v/>
      </c>
      <c r="T481" s="58">
        <f>SUMIFS($S$5:$S$692,$A$5:$A$692,A481,$B$5:$B$692,B481,$F$5:$F$692,"&lt;="&amp;F481)</f>
        <v/>
      </c>
      <c r="U481" s="52">
        <f>'个人技术逐级'!O481</f>
        <v/>
      </c>
    </row>
    <row r="482">
      <c r="A482" s="33" t="inlineStr">
        <is>
          <t>个人技术</t>
        </is>
      </c>
      <c r="B482" s="33">
        <f>'个人技术逐级'!A482</f>
        <v/>
      </c>
      <c r="C482" s="33">
        <f>'个人技术逐级'!B482</f>
        <v/>
      </c>
      <c r="D482" s="33">
        <f>'个人技术逐级'!C482</f>
        <v/>
      </c>
      <c r="E482">
        <f>'个人技术逐级'!D482</f>
        <v/>
      </c>
      <c r="F482" s="54">
        <f>'个人技术逐级'!E482</f>
        <v/>
      </c>
      <c r="G482" s="55">
        <f>'个人技术逐级'!F482</f>
        <v/>
      </c>
      <c r="H482" s="56">
        <f>'个人技术逐级'!G482</f>
        <v/>
      </c>
      <c r="I482" s="52" t="inlineStr">
        <is>
          <t>个人技术计时升级</t>
        </is>
      </c>
      <c r="J482" s="57">
        <f>'个人技术逐级'!M482</f>
        <v/>
      </c>
      <c r="K482" s="35">
        <f>J482/3600</f>
        <v/>
      </c>
      <c r="L482" s="35">
        <f>SUMIFS($K$5:$K$692,$A$5:$A$692,A482,$B$5:$B$692,B482,$F$5:$F$692,"&lt;="&amp;F482)</f>
        <v/>
      </c>
      <c r="M482" s="58">
        <f>'个人技术逐级'!N482</f>
        <v/>
      </c>
      <c r="N482" s="58">
        <f>SUMIFS($M$5:$M$692,$A$5:$A$692,A482,$B$5:$B$692,B482,$F$5:$F$692,"&lt;="&amp;F482)</f>
        <v/>
      </c>
      <c r="O482" s="58">
        <f>0</f>
        <v/>
      </c>
      <c r="P482" s="58">
        <f>SUMIFS($O$5:$O$692,$A$5:$A$692,A482,$B$5:$B$692,B482,$F$5:$F$692,"&lt;="&amp;F482)</f>
        <v/>
      </c>
      <c r="Q482" s="58">
        <f>0</f>
        <v/>
      </c>
      <c r="R482" s="58">
        <f>SUMIFS($Q$5:$Q$692,$A$5:$A$692,A482,$B$5:$B$692,B482,$F$5:$F$692,"&lt;="&amp;F482)</f>
        <v/>
      </c>
      <c r="S482" s="58">
        <f>0</f>
        <v/>
      </c>
      <c r="T482" s="58">
        <f>SUMIFS($S$5:$S$692,$A$5:$A$692,A482,$B$5:$B$692,B482,$F$5:$F$692,"&lt;="&amp;F482)</f>
        <v/>
      </c>
      <c r="U482" s="52">
        <f>'个人技术逐级'!O482</f>
        <v/>
      </c>
    </row>
    <row r="483">
      <c r="A483" s="33" t="inlineStr">
        <is>
          <t>个人技术</t>
        </is>
      </c>
      <c r="B483" s="33">
        <f>'个人技术逐级'!A483</f>
        <v/>
      </c>
      <c r="C483" s="33">
        <f>'个人技术逐级'!B483</f>
        <v/>
      </c>
      <c r="D483" s="33">
        <f>'个人技术逐级'!C483</f>
        <v/>
      </c>
      <c r="E483">
        <f>'个人技术逐级'!D483</f>
        <v/>
      </c>
      <c r="F483" s="54">
        <f>'个人技术逐级'!E483</f>
        <v/>
      </c>
      <c r="G483" s="55">
        <f>'个人技术逐级'!F483</f>
        <v/>
      </c>
      <c r="H483" s="56">
        <f>'个人技术逐级'!G483</f>
        <v/>
      </c>
      <c r="I483" s="52" t="inlineStr">
        <is>
          <t>个人技术计时升级</t>
        </is>
      </c>
      <c r="J483" s="57">
        <f>'个人技术逐级'!M483</f>
        <v/>
      </c>
      <c r="K483" s="35">
        <f>J483/3600</f>
        <v/>
      </c>
      <c r="L483" s="35">
        <f>SUMIFS($K$5:$K$692,$A$5:$A$692,A483,$B$5:$B$692,B483,$F$5:$F$692,"&lt;="&amp;F483)</f>
        <v/>
      </c>
      <c r="M483" s="58">
        <f>'个人技术逐级'!N483</f>
        <v/>
      </c>
      <c r="N483" s="58">
        <f>SUMIFS($M$5:$M$692,$A$5:$A$692,A483,$B$5:$B$692,B483,$F$5:$F$692,"&lt;="&amp;F483)</f>
        <v/>
      </c>
      <c r="O483" s="58">
        <f>0</f>
        <v/>
      </c>
      <c r="P483" s="58">
        <f>SUMIFS($O$5:$O$692,$A$5:$A$692,A483,$B$5:$B$692,B483,$F$5:$F$692,"&lt;="&amp;F483)</f>
        <v/>
      </c>
      <c r="Q483" s="58">
        <f>0</f>
        <v/>
      </c>
      <c r="R483" s="58">
        <f>SUMIFS($Q$5:$Q$692,$A$5:$A$692,A483,$B$5:$B$692,B483,$F$5:$F$692,"&lt;="&amp;F483)</f>
        <v/>
      </c>
      <c r="S483" s="58">
        <f>0</f>
        <v/>
      </c>
      <c r="T483" s="58">
        <f>SUMIFS($S$5:$S$692,$A$5:$A$692,A483,$B$5:$B$692,B483,$F$5:$F$692,"&lt;="&amp;F483)</f>
        <v/>
      </c>
      <c r="U483" s="52">
        <f>'个人技术逐级'!O483</f>
        <v/>
      </c>
    </row>
    <row r="484">
      <c r="A484" s="33" t="inlineStr">
        <is>
          <t>个人技术</t>
        </is>
      </c>
      <c r="B484" s="33">
        <f>'个人技术逐级'!A484</f>
        <v/>
      </c>
      <c r="C484" s="33">
        <f>'个人技术逐级'!B484</f>
        <v/>
      </c>
      <c r="D484" s="33">
        <f>'个人技术逐级'!C484</f>
        <v/>
      </c>
      <c r="E484">
        <f>'个人技术逐级'!D484</f>
        <v/>
      </c>
      <c r="F484" s="54">
        <f>'个人技术逐级'!E484</f>
        <v/>
      </c>
      <c r="G484" s="55">
        <f>'个人技术逐级'!F484</f>
        <v/>
      </c>
      <c r="H484" s="56">
        <f>'个人技术逐级'!G484</f>
        <v/>
      </c>
      <c r="I484" s="52" t="inlineStr">
        <is>
          <t>个人技术计时升级</t>
        </is>
      </c>
      <c r="J484" s="57">
        <f>'个人技术逐级'!M484</f>
        <v/>
      </c>
      <c r="K484" s="35">
        <f>J484/3600</f>
        <v/>
      </c>
      <c r="L484" s="35">
        <f>SUMIFS($K$5:$K$692,$A$5:$A$692,A484,$B$5:$B$692,B484,$F$5:$F$692,"&lt;="&amp;F484)</f>
        <v/>
      </c>
      <c r="M484" s="58">
        <f>'个人技术逐级'!N484</f>
        <v/>
      </c>
      <c r="N484" s="58">
        <f>SUMIFS($M$5:$M$692,$A$5:$A$692,A484,$B$5:$B$692,B484,$F$5:$F$692,"&lt;="&amp;F484)</f>
        <v/>
      </c>
      <c r="O484" s="58">
        <f>0</f>
        <v/>
      </c>
      <c r="P484" s="58">
        <f>SUMIFS($O$5:$O$692,$A$5:$A$692,A484,$B$5:$B$692,B484,$F$5:$F$692,"&lt;="&amp;F484)</f>
        <v/>
      </c>
      <c r="Q484" s="58">
        <f>0</f>
        <v/>
      </c>
      <c r="R484" s="58">
        <f>SUMIFS($Q$5:$Q$692,$A$5:$A$692,A484,$B$5:$B$692,B484,$F$5:$F$692,"&lt;="&amp;F484)</f>
        <v/>
      </c>
      <c r="S484" s="58">
        <f>0</f>
        <v/>
      </c>
      <c r="T484" s="58">
        <f>SUMIFS($S$5:$S$692,$A$5:$A$692,A484,$B$5:$B$692,B484,$F$5:$F$692,"&lt;="&amp;F484)</f>
        <v/>
      </c>
      <c r="U484" s="52">
        <f>'个人技术逐级'!O484</f>
        <v/>
      </c>
    </row>
    <row r="485">
      <c r="A485" s="33" t="inlineStr">
        <is>
          <t>个人技术</t>
        </is>
      </c>
      <c r="B485" s="33">
        <f>'个人技术逐级'!A485</f>
        <v/>
      </c>
      <c r="C485" s="33">
        <f>'个人技术逐级'!B485</f>
        <v/>
      </c>
      <c r="D485" s="33">
        <f>'个人技术逐级'!C485</f>
        <v/>
      </c>
      <c r="E485">
        <f>'个人技术逐级'!D485</f>
        <v/>
      </c>
      <c r="F485" s="54">
        <f>'个人技术逐级'!E485</f>
        <v/>
      </c>
      <c r="G485" s="55">
        <f>'个人技术逐级'!F485</f>
        <v/>
      </c>
      <c r="H485" s="56">
        <f>'个人技术逐级'!G485</f>
        <v/>
      </c>
      <c r="I485" s="52" t="inlineStr">
        <is>
          <t>个人技术计时升级</t>
        </is>
      </c>
      <c r="J485" s="57">
        <f>'个人技术逐级'!M485</f>
        <v/>
      </c>
      <c r="K485" s="35">
        <f>J485/3600</f>
        <v/>
      </c>
      <c r="L485" s="35">
        <f>SUMIFS($K$5:$K$692,$A$5:$A$692,A485,$B$5:$B$692,B485,$F$5:$F$692,"&lt;="&amp;F485)</f>
        <v/>
      </c>
      <c r="M485" s="58">
        <f>'个人技术逐级'!N485</f>
        <v/>
      </c>
      <c r="N485" s="58">
        <f>SUMIFS($M$5:$M$692,$A$5:$A$692,A485,$B$5:$B$692,B485,$F$5:$F$692,"&lt;="&amp;F485)</f>
        <v/>
      </c>
      <c r="O485" s="58">
        <f>0</f>
        <v/>
      </c>
      <c r="P485" s="58">
        <f>SUMIFS($O$5:$O$692,$A$5:$A$692,A485,$B$5:$B$692,B485,$F$5:$F$692,"&lt;="&amp;F485)</f>
        <v/>
      </c>
      <c r="Q485" s="58">
        <f>0</f>
        <v/>
      </c>
      <c r="R485" s="58">
        <f>SUMIFS($Q$5:$Q$692,$A$5:$A$692,A485,$B$5:$B$692,B485,$F$5:$F$692,"&lt;="&amp;F485)</f>
        <v/>
      </c>
      <c r="S485" s="58">
        <f>0</f>
        <v/>
      </c>
      <c r="T485" s="58">
        <f>SUMIFS($S$5:$S$692,$A$5:$A$692,A485,$B$5:$B$692,B485,$F$5:$F$692,"&lt;="&amp;F485)</f>
        <v/>
      </c>
      <c r="U485" s="52">
        <f>'个人技术逐级'!O485</f>
        <v/>
      </c>
    </row>
    <row r="486">
      <c r="A486" s="33" t="inlineStr">
        <is>
          <t>个人技术</t>
        </is>
      </c>
      <c r="B486" s="33">
        <f>'个人技术逐级'!A486</f>
        <v/>
      </c>
      <c r="C486" s="33">
        <f>'个人技术逐级'!B486</f>
        <v/>
      </c>
      <c r="D486" s="33">
        <f>'个人技术逐级'!C486</f>
        <v/>
      </c>
      <c r="E486">
        <f>'个人技术逐级'!D486</f>
        <v/>
      </c>
      <c r="F486" s="54">
        <f>'个人技术逐级'!E486</f>
        <v/>
      </c>
      <c r="G486" s="55">
        <f>'个人技术逐级'!F486</f>
        <v/>
      </c>
      <c r="H486" s="56">
        <f>'个人技术逐级'!G486</f>
        <v/>
      </c>
      <c r="I486" s="52" t="inlineStr">
        <is>
          <t>个人技术计时升级</t>
        </is>
      </c>
      <c r="J486" s="57">
        <f>'个人技术逐级'!M486</f>
        <v/>
      </c>
      <c r="K486" s="35">
        <f>J486/3600</f>
        <v/>
      </c>
      <c r="L486" s="35">
        <f>SUMIFS($K$5:$K$692,$A$5:$A$692,A486,$B$5:$B$692,B486,$F$5:$F$692,"&lt;="&amp;F486)</f>
        <v/>
      </c>
      <c r="M486" s="58">
        <f>'个人技术逐级'!N486</f>
        <v/>
      </c>
      <c r="N486" s="58">
        <f>SUMIFS($M$5:$M$692,$A$5:$A$692,A486,$B$5:$B$692,B486,$F$5:$F$692,"&lt;="&amp;F486)</f>
        <v/>
      </c>
      <c r="O486" s="58">
        <f>0</f>
        <v/>
      </c>
      <c r="P486" s="58">
        <f>SUMIFS($O$5:$O$692,$A$5:$A$692,A486,$B$5:$B$692,B486,$F$5:$F$692,"&lt;="&amp;F486)</f>
        <v/>
      </c>
      <c r="Q486" s="58">
        <f>0</f>
        <v/>
      </c>
      <c r="R486" s="58">
        <f>SUMIFS($Q$5:$Q$692,$A$5:$A$692,A486,$B$5:$B$692,B486,$F$5:$F$692,"&lt;="&amp;F486)</f>
        <v/>
      </c>
      <c r="S486" s="58">
        <f>0</f>
        <v/>
      </c>
      <c r="T486" s="58">
        <f>SUMIFS($S$5:$S$692,$A$5:$A$692,A486,$B$5:$B$692,B486,$F$5:$F$692,"&lt;="&amp;F486)</f>
        <v/>
      </c>
      <c r="U486" s="52">
        <f>'个人技术逐级'!O486</f>
        <v/>
      </c>
    </row>
    <row r="487">
      <c r="A487" s="33" t="inlineStr">
        <is>
          <t>个人技术</t>
        </is>
      </c>
      <c r="B487" s="33">
        <f>'个人技术逐级'!A487</f>
        <v/>
      </c>
      <c r="C487" s="33">
        <f>'个人技术逐级'!B487</f>
        <v/>
      </c>
      <c r="D487" s="33">
        <f>'个人技术逐级'!C487</f>
        <v/>
      </c>
      <c r="E487">
        <f>'个人技术逐级'!D487</f>
        <v/>
      </c>
      <c r="F487" s="54">
        <f>'个人技术逐级'!E487</f>
        <v/>
      </c>
      <c r="G487" s="55">
        <f>'个人技术逐级'!F487</f>
        <v/>
      </c>
      <c r="H487" s="56">
        <f>'个人技术逐级'!G487</f>
        <v/>
      </c>
      <c r="I487" s="52" t="inlineStr">
        <is>
          <t>个人技术计时升级</t>
        </is>
      </c>
      <c r="J487" s="57">
        <f>'个人技术逐级'!M487</f>
        <v/>
      </c>
      <c r="K487" s="35">
        <f>J487/3600</f>
        <v/>
      </c>
      <c r="L487" s="35">
        <f>SUMIFS($K$5:$K$692,$A$5:$A$692,A487,$B$5:$B$692,B487,$F$5:$F$692,"&lt;="&amp;F487)</f>
        <v/>
      </c>
      <c r="M487" s="58">
        <f>'个人技术逐级'!N487</f>
        <v/>
      </c>
      <c r="N487" s="58">
        <f>SUMIFS($M$5:$M$692,$A$5:$A$692,A487,$B$5:$B$692,B487,$F$5:$F$692,"&lt;="&amp;F487)</f>
        <v/>
      </c>
      <c r="O487" s="58">
        <f>0</f>
        <v/>
      </c>
      <c r="P487" s="58">
        <f>SUMIFS($O$5:$O$692,$A$5:$A$692,A487,$B$5:$B$692,B487,$F$5:$F$692,"&lt;="&amp;F487)</f>
        <v/>
      </c>
      <c r="Q487" s="58">
        <f>0</f>
        <v/>
      </c>
      <c r="R487" s="58">
        <f>SUMIFS($Q$5:$Q$692,$A$5:$A$692,A487,$B$5:$B$692,B487,$F$5:$F$692,"&lt;="&amp;F487)</f>
        <v/>
      </c>
      <c r="S487" s="58">
        <f>0</f>
        <v/>
      </c>
      <c r="T487" s="58">
        <f>SUMIFS($S$5:$S$692,$A$5:$A$692,A487,$B$5:$B$692,B487,$F$5:$F$692,"&lt;="&amp;F487)</f>
        <v/>
      </c>
      <c r="U487" s="52">
        <f>'个人技术逐级'!O487</f>
        <v/>
      </c>
    </row>
    <row r="488">
      <c r="A488" s="33" t="inlineStr">
        <is>
          <t>个人技术</t>
        </is>
      </c>
      <c r="B488" s="33">
        <f>'个人技术逐级'!A488</f>
        <v/>
      </c>
      <c r="C488" s="33">
        <f>'个人技术逐级'!B488</f>
        <v/>
      </c>
      <c r="D488" s="33">
        <f>'个人技术逐级'!C488</f>
        <v/>
      </c>
      <c r="E488">
        <f>'个人技术逐级'!D488</f>
        <v/>
      </c>
      <c r="F488" s="54">
        <f>'个人技术逐级'!E488</f>
        <v/>
      </c>
      <c r="G488" s="55">
        <f>'个人技术逐级'!F488</f>
        <v/>
      </c>
      <c r="H488" s="56">
        <f>'个人技术逐级'!G488</f>
        <v/>
      </c>
      <c r="I488" s="52" t="inlineStr">
        <is>
          <t>个人技术计时升级</t>
        </is>
      </c>
      <c r="J488" s="57">
        <f>'个人技术逐级'!M488</f>
        <v/>
      </c>
      <c r="K488" s="35">
        <f>J488/3600</f>
        <v/>
      </c>
      <c r="L488" s="35">
        <f>SUMIFS($K$5:$K$692,$A$5:$A$692,A488,$B$5:$B$692,B488,$F$5:$F$692,"&lt;="&amp;F488)</f>
        <v/>
      </c>
      <c r="M488" s="58">
        <f>'个人技术逐级'!N488</f>
        <v/>
      </c>
      <c r="N488" s="58">
        <f>SUMIFS($M$5:$M$692,$A$5:$A$692,A488,$B$5:$B$692,B488,$F$5:$F$692,"&lt;="&amp;F488)</f>
        <v/>
      </c>
      <c r="O488" s="58">
        <f>0</f>
        <v/>
      </c>
      <c r="P488" s="58">
        <f>SUMIFS($O$5:$O$692,$A$5:$A$692,A488,$B$5:$B$692,B488,$F$5:$F$692,"&lt;="&amp;F488)</f>
        <v/>
      </c>
      <c r="Q488" s="58">
        <f>0</f>
        <v/>
      </c>
      <c r="R488" s="58">
        <f>SUMIFS($Q$5:$Q$692,$A$5:$A$692,A488,$B$5:$B$692,B488,$F$5:$F$692,"&lt;="&amp;F488)</f>
        <v/>
      </c>
      <c r="S488" s="58">
        <f>0</f>
        <v/>
      </c>
      <c r="T488" s="58">
        <f>SUMIFS($S$5:$S$692,$A$5:$A$692,A488,$B$5:$B$692,B488,$F$5:$F$692,"&lt;="&amp;F488)</f>
        <v/>
      </c>
      <c r="U488" s="52">
        <f>'个人技术逐级'!O488</f>
        <v/>
      </c>
    </row>
    <row r="489">
      <c r="A489" s="33" t="inlineStr">
        <is>
          <t>个人技术</t>
        </is>
      </c>
      <c r="B489" s="33">
        <f>'个人技术逐级'!A489</f>
        <v/>
      </c>
      <c r="C489" s="33">
        <f>'个人技术逐级'!B489</f>
        <v/>
      </c>
      <c r="D489" s="33">
        <f>'个人技术逐级'!C489</f>
        <v/>
      </c>
      <c r="E489">
        <f>'个人技术逐级'!D489</f>
        <v/>
      </c>
      <c r="F489" s="54">
        <f>'个人技术逐级'!E489</f>
        <v/>
      </c>
      <c r="G489" s="55">
        <f>'个人技术逐级'!F489</f>
        <v/>
      </c>
      <c r="H489" s="56">
        <f>'个人技术逐级'!G489</f>
        <v/>
      </c>
      <c r="I489" s="52" t="inlineStr">
        <is>
          <t>个人技术计时升级</t>
        </is>
      </c>
      <c r="J489" s="57">
        <f>'个人技术逐级'!M489</f>
        <v/>
      </c>
      <c r="K489" s="35">
        <f>J489/3600</f>
        <v/>
      </c>
      <c r="L489" s="35">
        <f>SUMIFS($K$5:$K$692,$A$5:$A$692,A489,$B$5:$B$692,B489,$F$5:$F$692,"&lt;="&amp;F489)</f>
        <v/>
      </c>
      <c r="M489" s="58">
        <f>'个人技术逐级'!N489</f>
        <v/>
      </c>
      <c r="N489" s="58">
        <f>SUMIFS($M$5:$M$692,$A$5:$A$692,A489,$B$5:$B$692,B489,$F$5:$F$692,"&lt;="&amp;F489)</f>
        <v/>
      </c>
      <c r="O489" s="58">
        <f>0</f>
        <v/>
      </c>
      <c r="P489" s="58">
        <f>SUMIFS($O$5:$O$692,$A$5:$A$692,A489,$B$5:$B$692,B489,$F$5:$F$692,"&lt;="&amp;F489)</f>
        <v/>
      </c>
      <c r="Q489" s="58">
        <f>0</f>
        <v/>
      </c>
      <c r="R489" s="58">
        <f>SUMIFS($Q$5:$Q$692,$A$5:$A$692,A489,$B$5:$B$692,B489,$F$5:$F$692,"&lt;="&amp;F489)</f>
        <v/>
      </c>
      <c r="S489" s="58">
        <f>0</f>
        <v/>
      </c>
      <c r="T489" s="58">
        <f>SUMIFS($S$5:$S$692,$A$5:$A$692,A489,$B$5:$B$692,B489,$F$5:$F$692,"&lt;="&amp;F489)</f>
        <v/>
      </c>
      <c r="U489" s="52">
        <f>'个人技术逐级'!O489</f>
        <v/>
      </c>
    </row>
    <row r="490">
      <c r="A490" s="33" t="inlineStr">
        <is>
          <t>个人技术</t>
        </is>
      </c>
      <c r="B490" s="33">
        <f>'个人技术逐级'!A490</f>
        <v/>
      </c>
      <c r="C490" s="33">
        <f>'个人技术逐级'!B490</f>
        <v/>
      </c>
      <c r="D490" s="33">
        <f>'个人技术逐级'!C490</f>
        <v/>
      </c>
      <c r="E490">
        <f>'个人技术逐级'!D490</f>
        <v/>
      </c>
      <c r="F490" s="54">
        <f>'个人技术逐级'!E490</f>
        <v/>
      </c>
      <c r="G490" s="55">
        <f>'个人技术逐级'!F490</f>
        <v/>
      </c>
      <c r="H490" s="56">
        <f>'个人技术逐级'!G490</f>
        <v/>
      </c>
      <c r="I490" s="52" t="inlineStr">
        <is>
          <t>个人技术计时升级</t>
        </is>
      </c>
      <c r="J490" s="57">
        <f>'个人技术逐级'!M490</f>
        <v/>
      </c>
      <c r="K490" s="35">
        <f>J490/3600</f>
        <v/>
      </c>
      <c r="L490" s="35">
        <f>SUMIFS($K$5:$K$692,$A$5:$A$692,A490,$B$5:$B$692,B490,$F$5:$F$692,"&lt;="&amp;F490)</f>
        <v/>
      </c>
      <c r="M490" s="58">
        <f>'个人技术逐级'!N490</f>
        <v/>
      </c>
      <c r="N490" s="58">
        <f>SUMIFS($M$5:$M$692,$A$5:$A$692,A490,$B$5:$B$692,B490,$F$5:$F$692,"&lt;="&amp;F490)</f>
        <v/>
      </c>
      <c r="O490" s="58">
        <f>0</f>
        <v/>
      </c>
      <c r="P490" s="58">
        <f>SUMIFS($O$5:$O$692,$A$5:$A$692,A490,$B$5:$B$692,B490,$F$5:$F$692,"&lt;="&amp;F490)</f>
        <v/>
      </c>
      <c r="Q490" s="58">
        <f>0</f>
        <v/>
      </c>
      <c r="R490" s="58">
        <f>SUMIFS($Q$5:$Q$692,$A$5:$A$692,A490,$B$5:$B$692,B490,$F$5:$F$692,"&lt;="&amp;F490)</f>
        <v/>
      </c>
      <c r="S490" s="58">
        <f>0</f>
        <v/>
      </c>
      <c r="T490" s="58">
        <f>SUMIFS($S$5:$S$692,$A$5:$A$692,A490,$B$5:$B$692,B490,$F$5:$F$692,"&lt;="&amp;F490)</f>
        <v/>
      </c>
      <c r="U490" s="52">
        <f>'个人技术逐级'!O490</f>
        <v/>
      </c>
    </row>
    <row r="491">
      <c r="A491" s="33" t="inlineStr">
        <is>
          <t>个人技术</t>
        </is>
      </c>
      <c r="B491" s="33">
        <f>'个人技术逐级'!A491</f>
        <v/>
      </c>
      <c r="C491" s="33">
        <f>'个人技术逐级'!B491</f>
        <v/>
      </c>
      <c r="D491" s="33">
        <f>'个人技术逐级'!C491</f>
        <v/>
      </c>
      <c r="E491">
        <f>'个人技术逐级'!D491</f>
        <v/>
      </c>
      <c r="F491" s="54">
        <f>'个人技术逐级'!E491</f>
        <v/>
      </c>
      <c r="G491" s="55">
        <f>'个人技术逐级'!F491</f>
        <v/>
      </c>
      <c r="H491" s="56">
        <f>'个人技术逐级'!G491</f>
        <v/>
      </c>
      <c r="I491" s="52" t="inlineStr">
        <is>
          <t>个人技术计时升级</t>
        </is>
      </c>
      <c r="J491" s="57">
        <f>'个人技术逐级'!M491</f>
        <v/>
      </c>
      <c r="K491" s="35">
        <f>J491/3600</f>
        <v/>
      </c>
      <c r="L491" s="35">
        <f>SUMIFS($K$5:$K$692,$A$5:$A$692,A491,$B$5:$B$692,B491,$F$5:$F$692,"&lt;="&amp;F491)</f>
        <v/>
      </c>
      <c r="M491" s="58">
        <f>'个人技术逐级'!N491</f>
        <v/>
      </c>
      <c r="N491" s="58">
        <f>SUMIFS($M$5:$M$692,$A$5:$A$692,A491,$B$5:$B$692,B491,$F$5:$F$692,"&lt;="&amp;F491)</f>
        <v/>
      </c>
      <c r="O491" s="58">
        <f>0</f>
        <v/>
      </c>
      <c r="P491" s="58">
        <f>SUMIFS($O$5:$O$692,$A$5:$A$692,A491,$B$5:$B$692,B491,$F$5:$F$692,"&lt;="&amp;F491)</f>
        <v/>
      </c>
      <c r="Q491" s="58">
        <f>0</f>
        <v/>
      </c>
      <c r="R491" s="58">
        <f>SUMIFS($Q$5:$Q$692,$A$5:$A$692,A491,$B$5:$B$692,B491,$F$5:$F$692,"&lt;="&amp;F491)</f>
        <v/>
      </c>
      <c r="S491" s="58">
        <f>0</f>
        <v/>
      </c>
      <c r="T491" s="58">
        <f>SUMIFS($S$5:$S$692,$A$5:$A$692,A491,$B$5:$B$692,B491,$F$5:$F$692,"&lt;="&amp;F491)</f>
        <v/>
      </c>
      <c r="U491" s="52">
        <f>'个人技术逐级'!O491</f>
        <v/>
      </c>
    </row>
    <row r="492">
      <c r="A492" s="33" t="inlineStr">
        <is>
          <t>个人技术</t>
        </is>
      </c>
      <c r="B492" s="33">
        <f>'个人技术逐级'!A492</f>
        <v/>
      </c>
      <c r="C492" s="33">
        <f>'个人技术逐级'!B492</f>
        <v/>
      </c>
      <c r="D492" s="33">
        <f>'个人技术逐级'!C492</f>
        <v/>
      </c>
      <c r="E492">
        <f>'个人技术逐级'!D492</f>
        <v/>
      </c>
      <c r="F492" s="54">
        <f>'个人技术逐级'!E492</f>
        <v/>
      </c>
      <c r="G492" s="55">
        <f>'个人技术逐级'!F492</f>
        <v/>
      </c>
      <c r="H492" s="56">
        <f>'个人技术逐级'!G492</f>
        <v/>
      </c>
      <c r="I492" s="52" t="inlineStr">
        <is>
          <t>个人技术计时升级</t>
        </is>
      </c>
      <c r="J492" s="57">
        <f>'个人技术逐级'!M492</f>
        <v/>
      </c>
      <c r="K492" s="35">
        <f>J492/3600</f>
        <v/>
      </c>
      <c r="L492" s="35">
        <f>SUMIFS($K$5:$K$692,$A$5:$A$692,A492,$B$5:$B$692,B492,$F$5:$F$692,"&lt;="&amp;F492)</f>
        <v/>
      </c>
      <c r="M492" s="58">
        <f>'个人技术逐级'!N492</f>
        <v/>
      </c>
      <c r="N492" s="58">
        <f>SUMIFS($M$5:$M$692,$A$5:$A$692,A492,$B$5:$B$692,B492,$F$5:$F$692,"&lt;="&amp;F492)</f>
        <v/>
      </c>
      <c r="O492" s="58">
        <f>0</f>
        <v/>
      </c>
      <c r="P492" s="58">
        <f>SUMIFS($O$5:$O$692,$A$5:$A$692,A492,$B$5:$B$692,B492,$F$5:$F$692,"&lt;="&amp;F492)</f>
        <v/>
      </c>
      <c r="Q492" s="58">
        <f>0</f>
        <v/>
      </c>
      <c r="R492" s="58">
        <f>SUMIFS($Q$5:$Q$692,$A$5:$A$692,A492,$B$5:$B$692,B492,$F$5:$F$692,"&lt;="&amp;F492)</f>
        <v/>
      </c>
      <c r="S492" s="58">
        <f>0</f>
        <v/>
      </c>
      <c r="T492" s="58">
        <f>SUMIFS($S$5:$S$692,$A$5:$A$692,A492,$B$5:$B$692,B492,$F$5:$F$692,"&lt;="&amp;F492)</f>
        <v/>
      </c>
      <c r="U492" s="52">
        <f>'个人技术逐级'!O492</f>
        <v/>
      </c>
    </row>
    <row r="493">
      <c r="A493" s="33" t="inlineStr">
        <is>
          <t>个人技术</t>
        </is>
      </c>
      <c r="B493" s="33">
        <f>'个人技术逐级'!A493</f>
        <v/>
      </c>
      <c r="C493" s="33">
        <f>'个人技术逐级'!B493</f>
        <v/>
      </c>
      <c r="D493" s="33">
        <f>'个人技术逐级'!C493</f>
        <v/>
      </c>
      <c r="E493">
        <f>'个人技术逐级'!D493</f>
        <v/>
      </c>
      <c r="F493" s="54">
        <f>'个人技术逐级'!E493</f>
        <v/>
      </c>
      <c r="G493" s="55">
        <f>'个人技术逐级'!F493</f>
        <v/>
      </c>
      <c r="H493" s="56">
        <f>'个人技术逐级'!G493</f>
        <v/>
      </c>
      <c r="I493" s="52" t="inlineStr">
        <is>
          <t>个人技术计时升级</t>
        </is>
      </c>
      <c r="J493" s="57">
        <f>'个人技术逐级'!M493</f>
        <v/>
      </c>
      <c r="K493" s="35">
        <f>J493/3600</f>
        <v/>
      </c>
      <c r="L493" s="35">
        <f>SUMIFS($K$5:$K$692,$A$5:$A$692,A493,$B$5:$B$692,B493,$F$5:$F$692,"&lt;="&amp;F493)</f>
        <v/>
      </c>
      <c r="M493" s="58">
        <f>'个人技术逐级'!N493</f>
        <v/>
      </c>
      <c r="N493" s="58">
        <f>SUMIFS($M$5:$M$692,$A$5:$A$692,A493,$B$5:$B$692,B493,$F$5:$F$692,"&lt;="&amp;F493)</f>
        <v/>
      </c>
      <c r="O493" s="58">
        <f>0</f>
        <v/>
      </c>
      <c r="P493" s="58">
        <f>SUMIFS($O$5:$O$692,$A$5:$A$692,A493,$B$5:$B$692,B493,$F$5:$F$692,"&lt;="&amp;F493)</f>
        <v/>
      </c>
      <c r="Q493" s="58">
        <f>0</f>
        <v/>
      </c>
      <c r="R493" s="58">
        <f>SUMIFS($Q$5:$Q$692,$A$5:$A$692,A493,$B$5:$B$692,B493,$F$5:$F$692,"&lt;="&amp;F493)</f>
        <v/>
      </c>
      <c r="S493" s="58">
        <f>0</f>
        <v/>
      </c>
      <c r="T493" s="58">
        <f>SUMIFS($S$5:$S$692,$A$5:$A$692,A493,$B$5:$B$692,B493,$F$5:$F$692,"&lt;="&amp;F493)</f>
        <v/>
      </c>
      <c r="U493" s="52">
        <f>'个人技术逐级'!O493</f>
        <v/>
      </c>
    </row>
    <row r="494">
      <c r="A494" s="33" t="inlineStr">
        <is>
          <t>个人技术</t>
        </is>
      </c>
      <c r="B494" s="33">
        <f>'个人技术逐级'!A494</f>
        <v/>
      </c>
      <c r="C494" s="33">
        <f>'个人技术逐级'!B494</f>
        <v/>
      </c>
      <c r="D494" s="33">
        <f>'个人技术逐级'!C494</f>
        <v/>
      </c>
      <c r="E494">
        <f>'个人技术逐级'!D494</f>
        <v/>
      </c>
      <c r="F494" s="54">
        <f>'个人技术逐级'!E494</f>
        <v/>
      </c>
      <c r="G494" s="55">
        <f>'个人技术逐级'!F494</f>
        <v/>
      </c>
      <c r="H494" s="56">
        <f>'个人技术逐级'!G494</f>
        <v/>
      </c>
      <c r="I494" s="52" t="inlineStr">
        <is>
          <t>个人技术计时升级</t>
        </is>
      </c>
      <c r="J494" s="57">
        <f>'个人技术逐级'!M494</f>
        <v/>
      </c>
      <c r="K494" s="35">
        <f>J494/3600</f>
        <v/>
      </c>
      <c r="L494" s="35">
        <f>SUMIFS($K$5:$K$692,$A$5:$A$692,A494,$B$5:$B$692,B494,$F$5:$F$692,"&lt;="&amp;F494)</f>
        <v/>
      </c>
      <c r="M494" s="58">
        <f>'个人技术逐级'!N494</f>
        <v/>
      </c>
      <c r="N494" s="58">
        <f>SUMIFS($M$5:$M$692,$A$5:$A$692,A494,$B$5:$B$692,B494,$F$5:$F$692,"&lt;="&amp;F494)</f>
        <v/>
      </c>
      <c r="O494" s="58">
        <f>0</f>
        <v/>
      </c>
      <c r="P494" s="58">
        <f>SUMIFS($O$5:$O$692,$A$5:$A$692,A494,$B$5:$B$692,B494,$F$5:$F$692,"&lt;="&amp;F494)</f>
        <v/>
      </c>
      <c r="Q494" s="58">
        <f>0</f>
        <v/>
      </c>
      <c r="R494" s="58">
        <f>SUMIFS($Q$5:$Q$692,$A$5:$A$692,A494,$B$5:$B$692,B494,$F$5:$F$692,"&lt;="&amp;F494)</f>
        <v/>
      </c>
      <c r="S494" s="58">
        <f>0</f>
        <v/>
      </c>
      <c r="T494" s="58">
        <f>SUMIFS($S$5:$S$692,$A$5:$A$692,A494,$B$5:$B$692,B494,$F$5:$F$692,"&lt;="&amp;F494)</f>
        <v/>
      </c>
      <c r="U494" s="52">
        <f>'个人技术逐级'!O494</f>
        <v/>
      </c>
    </row>
    <row r="495">
      <c r="A495" s="33" t="inlineStr">
        <is>
          <t>个人技术</t>
        </is>
      </c>
      <c r="B495" s="33">
        <f>'个人技术逐级'!A495</f>
        <v/>
      </c>
      <c r="C495" s="33">
        <f>'个人技术逐级'!B495</f>
        <v/>
      </c>
      <c r="D495" s="33">
        <f>'个人技术逐级'!C495</f>
        <v/>
      </c>
      <c r="E495">
        <f>'个人技术逐级'!D495</f>
        <v/>
      </c>
      <c r="F495" s="54">
        <f>'个人技术逐级'!E495</f>
        <v/>
      </c>
      <c r="G495" s="55">
        <f>'个人技术逐级'!F495</f>
        <v/>
      </c>
      <c r="H495" s="56">
        <f>'个人技术逐级'!G495</f>
        <v/>
      </c>
      <c r="I495" s="52" t="inlineStr">
        <is>
          <t>个人技术计时升级</t>
        </is>
      </c>
      <c r="J495" s="57">
        <f>'个人技术逐级'!M495</f>
        <v/>
      </c>
      <c r="K495" s="35">
        <f>J495/3600</f>
        <v/>
      </c>
      <c r="L495" s="35">
        <f>SUMIFS($K$5:$K$692,$A$5:$A$692,A495,$B$5:$B$692,B495,$F$5:$F$692,"&lt;="&amp;F495)</f>
        <v/>
      </c>
      <c r="M495" s="58">
        <f>'个人技术逐级'!N495</f>
        <v/>
      </c>
      <c r="N495" s="58">
        <f>SUMIFS($M$5:$M$692,$A$5:$A$692,A495,$B$5:$B$692,B495,$F$5:$F$692,"&lt;="&amp;F495)</f>
        <v/>
      </c>
      <c r="O495" s="58">
        <f>0</f>
        <v/>
      </c>
      <c r="P495" s="58">
        <f>SUMIFS($O$5:$O$692,$A$5:$A$692,A495,$B$5:$B$692,B495,$F$5:$F$692,"&lt;="&amp;F495)</f>
        <v/>
      </c>
      <c r="Q495" s="58">
        <f>0</f>
        <v/>
      </c>
      <c r="R495" s="58">
        <f>SUMIFS($Q$5:$Q$692,$A$5:$A$692,A495,$B$5:$B$692,B495,$F$5:$F$692,"&lt;="&amp;F495)</f>
        <v/>
      </c>
      <c r="S495" s="58">
        <f>0</f>
        <v/>
      </c>
      <c r="T495" s="58">
        <f>SUMIFS($S$5:$S$692,$A$5:$A$692,A495,$B$5:$B$692,B495,$F$5:$F$692,"&lt;="&amp;F495)</f>
        <v/>
      </c>
      <c r="U495" s="52">
        <f>'个人技术逐级'!O495</f>
        <v/>
      </c>
    </row>
    <row r="496">
      <c r="A496" s="33" t="inlineStr">
        <is>
          <t>个人技术</t>
        </is>
      </c>
      <c r="B496" s="33">
        <f>'个人技术逐级'!A496</f>
        <v/>
      </c>
      <c r="C496" s="33">
        <f>'个人技术逐级'!B496</f>
        <v/>
      </c>
      <c r="D496" s="33">
        <f>'个人技术逐级'!C496</f>
        <v/>
      </c>
      <c r="E496">
        <f>'个人技术逐级'!D496</f>
        <v/>
      </c>
      <c r="F496" s="54">
        <f>'个人技术逐级'!E496</f>
        <v/>
      </c>
      <c r="G496" s="55">
        <f>'个人技术逐级'!F496</f>
        <v/>
      </c>
      <c r="H496" s="56">
        <f>'个人技术逐级'!G496</f>
        <v/>
      </c>
      <c r="I496" s="52" t="inlineStr">
        <is>
          <t>个人技术计时升级</t>
        </is>
      </c>
      <c r="J496" s="57">
        <f>'个人技术逐级'!M496</f>
        <v/>
      </c>
      <c r="K496" s="35">
        <f>J496/3600</f>
        <v/>
      </c>
      <c r="L496" s="35">
        <f>SUMIFS($K$5:$K$692,$A$5:$A$692,A496,$B$5:$B$692,B496,$F$5:$F$692,"&lt;="&amp;F496)</f>
        <v/>
      </c>
      <c r="M496" s="58">
        <f>'个人技术逐级'!N496</f>
        <v/>
      </c>
      <c r="N496" s="58">
        <f>SUMIFS($M$5:$M$692,$A$5:$A$692,A496,$B$5:$B$692,B496,$F$5:$F$692,"&lt;="&amp;F496)</f>
        <v/>
      </c>
      <c r="O496" s="58">
        <f>0</f>
        <v/>
      </c>
      <c r="P496" s="58">
        <f>SUMIFS($O$5:$O$692,$A$5:$A$692,A496,$B$5:$B$692,B496,$F$5:$F$692,"&lt;="&amp;F496)</f>
        <v/>
      </c>
      <c r="Q496" s="58">
        <f>0</f>
        <v/>
      </c>
      <c r="R496" s="58">
        <f>SUMIFS($Q$5:$Q$692,$A$5:$A$692,A496,$B$5:$B$692,B496,$F$5:$F$692,"&lt;="&amp;F496)</f>
        <v/>
      </c>
      <c r="S496" s="58">
        <f>0</f>
        <v/>
      </c>
      <c r="T496" s="58">
        <f>SUMIFS($S$5:$S$692,$A$5:$A$692,A496,$B$5:$B$692,B496,$F$5:$F$692,"&lt;="&amp;F496)</f>
        <v/>
      </c>
      <c r="U496" s="52">
        <f>'个人技术逐级'!O496</f>
        <v/>
      </c>
    </row>
    <row r="497">
      <c r="A497" s="33" t="inlineStr">
        <is>
          <t>个人技术</t>
        </is>
      </c>
      <c r="B497" s="33">
        <f>'个人技术逐级'!A497</f>
        <v/>
      </c>
      <c r="C497" s="33">
        <f>'个人技术逐级'!B497</f>
        <v/>
      </c>
      <c r="D497" s="33">
        <f>'个人技术逐级'!C497</f>
        <v/>
      </c>
      <c r="E497">
        <f>'个人技术逐级'!D497</f>
        <v/>
      </c>
      <c r="F497" s="54">
        <f>'个人技术逐级'!E497</f>
        <v/>
      </c>
      <c r="G497" s="55">
        <f>'个人技术逐级'!F497</f>
        <v/>
      </c>
      <c r="H497" s="56">
        <f>'个人技术逐级'!G497</f>
        <v/>
      </c>
      <c r="I497" s="52" t="inlineStr">
        <is>
          <t>个人技术计时升级</t>
        </is>
      </c>
      <c r="J497" s="57">
        <f>'个人技术逐级'!M497</f>
        <v/>
      </c>
      <c r="K497" s="35">
        <f>J497/3600</f>
        <v/>
      </c>
      <c r="L497" s="35">
        <f>SUMIFS($K$5:$K$692,$A$5:$A$692,A497,$B$5:$B$692,B497,$F$5:$F$692,"&lt;="&amp;F497)</f>
        <v/>
      </c>
      <c r="M497" s="58">
        <f>'个人技术逐级'!N497</f>
        <v/>
      </c>
      <c r="N497" s="58">
        <f>SUMIFS($M$5:$M$692,$A$5:$A$692,A497,$B$5:$B$692,B497,$F$5:$F$692,"&lt;="&amp;F497)</f>
        <v/>
      </c>
      <c r="O497" s="58">
        <f>0</f>
        <v/>
      </c>
      <c r="P497" s="58">
        <f>SUMIFS($O$5:$O$692,$A$5:$A$692,A497,$B$5:$B$692,B497,$F$5:$F$692,"&lt;="&amp;F497)</f>
        <v/>
      </c>
      <c r="Q497" s="58">
        <f>0</f>
        <v/>
      </c>
      <c r="R497" s="58">
        <f>SUMIFS($Q$5:$Q$692,$A$5:$A$692,A497,$B$5:$B$692,B497,$F$5:$F$692,"&lt;="&amp;F497)</f>
        <v/>
      </c>
      <c r="S497" s="58">
        <f>0</f>
        <v/>
      </c>
      <c r="T497" s="58">
        <f>SUMIFS($S$5:$S$692,$A$5:$A$692,A497,$B$5:$B$692,B497,$F$5:$F$692,"&lt;="&amp;F497)</f>
        <v/>
      </c>
      <c r="U497" s="52">
        <f>'个人技术逐级'!O497</f>
        <v/>
      </c>
    </row>
    <row r="498">
      <c r="A498" s="33" t="inlineStr">
        <is>
          <t>个人技术</t>
        </is>
      </c>
      <c r="B498" s="33">
        <f>'个人技术逐级'!A498</f>
        <v/>
      </c>
      <c r="C498" s="33">
        <f>'个人技术逐级'!B498</f>
        <v/>
      </c>
      <c r="D498" s="33">
        <f>'个人技术逐级'!C498</f>
        <v/>
      </c>
      <c r="E498">
        <f>'个人技术逐级'!D498</f>
        <v/>
      </c>
      <c r="F498" s="54">
        <f>'个人技术逐级'!E498</f>
        <v/>
      </c>
      <c r="G498" s="55">
        <f>'个人技术逐级'!F498</f>
        <v/>
      </c>
      <c r="H498" s="56">
        <f>'个人技术逐级'!G498</f>
        <v/>
      </c>
      <c r="I498" s="52" t="inlineStr">
        <is>
          <t>个人技术计时升级</t>
        </is>
      </c>
      <c r="J498" s="57">
        <f>'个人技术逐级'!M498</f>
        <v/>
      </c>
      <c r="K498" s="35">
        <f>J498/3600</f>
        <v/>
      </c>
      <c r="L498" s="35">
        <f>SUMIFS($K$5:$K$692,$A$5:$A$692,A498,$B$5:$B$692,B498,$F$5:$F$692,"&lt;="&amp;F498)</f>
        <v/>
      </c>
      <c r="M498" s="58">
        <f>'个人技术逐级'!N498</f>
        <v/>
      </c>
      <c r="N498" s="58">
        <f>SUMIFS($M$5:$M$692,$A$5:$A$692,A498,$B$5:$B$692,B498,$F$5:$F$692,"&lt;="&amp;F498)</f>
        <v/>
      </c>
      <c r="O498" s="58">
        <f>0</f>
        <v/>
      </c>
      <c r="P498" s="58">
        <f>SUMIFS($O$5:$O$692,$A$5:$A$692,A498,$B$5:$B$692,B498,$F$5:$F$692,"&lt;="&amp;F498)</f>
        <v/>
      </c>
      <c r="Q498" s="58">
        <f>0</f>
        <v/>
      </c>
      <c r="R498" s="58">
        <f>SUMIFS($Q$5:$Q$692,$A$5:$A$692,A498,$B$5:$B$692,B498,$F$5:$F$692,"&lt;="&amp;F498)</f>
        <v/>
      </c>
      <c r="S498" s="58">
        <f>0</f>
        <v/>
      </c>
      <c r="T498" s="58">
        <f>SUMIFS($S$5:$S$692,$A$5:$A$692,A498,$B$5:$B$692,B498,$F$5:$F$692,"&lt;="&amp;F498)</f>
        <v/>
      </c>
      <c r="U498" s="52">
        <f>'个人技术逐级'!O498</f>
        <v/>
      </c>
    </row>
    <row r="499">
      <c r="A499" s="33" t="inlineStr">
        <is>
          <t>个人技术</t>
        </is>
      </c>
      <c r="B499" s="33">
        <f>'个人技术逐级'!A499</f>
        <v/>
      </c>
      <c r="C499" s="33">
        <f>'个人技术逐级'!B499</f>
        <v/>
      </c>
      <c r="D499" s="33">
        <f>'个人技术逐级'!C499</f>
        <v/>
      </c>
      <c r="E499">
        <f>'个人技术逐级'!D499</f>
        <v/>
      </c>
      <c r="F499" s="54">
        <f>'个人技术逐级'!E499</f>
        <v/>
      </c>
      <c r="G499" s="55">
        <f>'个人技术逐级'!F499</f>
        <v/>
      </c>
      <c r="H499" s="56">
        <f>'个人技术逐级'!G499</f>
        <v/>
      </c>
      <c r="I499" s="52" t="inlineStr">
        <is>
          <t>个人技术计时升级</t>
        </is>
      </c>
      <c r="J499" s="57">
        <f>'个人技术逐级'!M499</f>
        <v/>
      </c>
      <c r="K499" s="35">
        <f>J499/3600</f>
        <v/>
      </c>
      <c r="L499" s="35">
        <f>SUMIFS($K$5:$K$692,$A$5:$A$692,A499,$B$5:$B$692,B499,$F$5:$F$692,"&lt;="&amp;F499)</f>
        <v/>
      </c>
      <c r="M499" s="58">
        <f>'个人技术逐级'!N499</f>
        <v/>
      </c>
      <c r="N499" s="58">
        <f>SUMIFS($M$5:$M$692,$A$5:$A$692,A499,$B$5:$B$692,B499,$F$5:$F$692,"&lt;="&amp;F499)</f>
        <v/>
      </c>
      <c r="O499" s="58">
        <f>0</f>
        <v/>
      </c>
      <c r="P499" s="58">
        <f>SUMIFS($O$5:$O$692,$A$5:$A$692,A499,$B$5:$B$692,B499,$F$5:$F$692,"&lt;="&amp;F499)</f>
        <v/>
      </c>
      <c r="Q499" s="58">
        <f>0</f>
        <v/>
      </c>
      <c r="R499" s="58">
        <f>SUMIFS($Q$5:$Q$692,$A$5:$A$692,A499,$B$5:$B$692,B499,$F$5:$F$692,"&lt;="&amp;F499)</f>
        <v/>
      </c>
      <c r="S499" s="58">
        <f>0</f>
        <v/>
      </c>
      <c r="T499" s="58">
        <f>SUMIFS($S$5:$S$692,$A$5:$A$692,A499,$B$5:$B$692,B499,$F$5:$F$692,"&lt;="&amp;F499)</f>
        <v/>
      </c>
      <c r="U499" s="52">
        <f>'个人技术逐级'!O499</f>
        <v/>
      </c>
    </row>
    <row r="500">
      <c r="A500" s="33" t="inlineStr">
        <is>
          <t>个人技术</t>
        </is>
      </c>
      <c r="B500" s="33">
        <f>'个人技术逐级'!A500</f>
        <v/>
      </c>
      <c r="C500" s="33">
        <f>'个人技术逐级'!B500</f>
        <v/>
      </c>
      <c r="D500" s="33">
        <f>'个人技术逐级'!C500</f>
        <v/>
      </c>
      <c r="E500">
        <f>'个人技术逐级'!D500</f>
        <v/>
      </c>
      <c r="F500" s="54">
        <f>'个人技术逐级'!E500</f>
        <v/>
      </c>
      <c r="G500" s="55">
        <f>'个人技术逐级'!F500</f>
        <v/>
      </c>
      <c r="H500" s="56">
        <f>'个人技术逐级'!G500</f>
        <v/>
      </c>
      <c r="I500" s="52" t="inlineStr">
        <is>
          <t>个人技术计时升级</t>
        </is>
      </c>
      <c r="J500" s="57">
        <f>'个人技术逐级'!M500</f>
        <v/>
      </c>
      <c r="K500" s="35">
        <f>J500/3600</f>
        <v/>
      </c>
      <c r="L500" s="35">
        <f>SUMIFS($K$5:$K$692,$A$5:$A$692,A500,$B$5:$B$692,B500,$F$5:$F$692,"&lt;="&amp;F500)</f>
        <v/>
      </c>
      <c r="M500" s="58">
        <f>'个人技术逐级'!N500</f>
        <v/>
      </c>
      <c r="N500" s="58">
        <f>SUMIFS($M$5:$M$692,$A$5:$A$692,A500,$B$5:$B$692,B500,$F$5:$F$692,"&lt;="&amp;F500)</f>
        <v/>
      </c>
      <c r="O500" s="58">
        <f>0</f>
        <v/>
      </c>
      <c r="P500" s="58">
        <f>SUMIFS($O$5:$O$692,$A$5:$A$692,A500,$B$5:$B$692,B500,$F$5:$F$692,"&lt;="&amp;F500)</f>
        <v/>
      </c>
      <c r="Q500" s="58">
        <f>0</f>
        <v/>
      </c>
      <c r="R500" s="58">
        <f>SUMIFS($Q$5:$Q$692,$A$5:$A$692,A500,$B$5:$B$692,B500,$F$5:$F$692,"&lt;="&amp;F500)</f>
        <v/>
      </c>
      <c r="S500" s="58">
        <f>0</f>
        <v/>
      </c>
      <c r="T500" s="58">
        <f>SUMIFS($S$5:$S$692,$A$5:$A$692,A500,$B$5:$B$692,B500,$F$5:$F$692,"&lt;="&amp;F500)</f>
        <v/>
      </c>
      <c r="U500" s="52">
        <f>'个人技术逐级'!O500</f>
        <v/>
      </c>
    </row>
    <row r="501">
      <c r="A501" s="33" t="inlineStr">
        <is>
          <t>个人技术</t>
        </is>
      </c>
      <c r="B501" s="33">
        <f>'个人技术逐级'!A501</f>
        <v/>
      </c>
      <c r="C501" s="33">
        <f>'个人技术逐级'!B501</f>
        <v/>
      </c>
      <c r="D501" s="33">
        <f>'个人技术逐级'!C501</f>
        <v/>
      </c>
      <c r="E501">
        <f>'个人技术逐级'!D501</f>
        <v/>
      </c>
      <c r="F501" s="54">
        <f>'个人技术逐级'!E501</f>
        <v/>
      </c>
      <c r="G501" s="55">
        <f>'个人技术逐级'!F501</f>
        <v/>
      </c>
      <c r="H501" s="56">
        <f>'个人技术逐级'!G501</f>
        <v/>
      </c>
      <c r="I501" s="52" t="inlineStr">
        <is>
          <t>个人技术计时升级</t>
        </is>
      </c>
      <c r="J501" s="57">
        <f>'个人技术逐级'!M501</f>
        <v/>
      </c>
      <c r="K501" s="35">
        <f>J501/3600</f>
        <v/>
      </c>
      <c r="L501" s="35">
        <f>SUMIFS($K$5:$K$692,$A$5:$A$692,A501,$B$5:$B$692,B501,$F$5:$F$692,"&lt;="&amp;F501)</f>
        <v/>
      </c>
      <c r="M501" s="58">
        <f>'个人技术逐级'!N501</f>
        <v/>
      </c>
      <c r="N501" s="58">
        <f>SUMIFS($M$5:$M$692,$A$5:$A$692,A501,$B$5:$B$692,B501,$F$5:$F$692,"&lt;="&amp;F501)</f>
        <v/>
      </c>
      <c r="O501" s="58">
        <f>0</f>
        <v/>
      </c>
      <c r="P501" s="58">
        <f>SUMIFS($O$5:$O$692,$A$5:$A$692,A501,$B$5:$B$692,B501,$F$5:$F$692,"&lt;="&amp;F501)</f>
        <v/>
      </c>
      <c r="Q501" s="58">
        <f>0</f>
        <v/>
      </c>
      <c r="R501" s="58">
        <f>SUMIFS($Q$5:$Q$692,$A$5:$A$692,A501,$B$5:$B$692,B501,$F$5:$F$692,"&lt;="&amp;F501)</f>
        <v/>
      </c>
      <c r="S501" s="58">
        <f>0</f>
        <v/>
      </c>
      <c r="T501" s="58">
        <f>SUMIFS($S$5:$S$692,$A$5:$A$692,A501,$B$5:$B$692,B501,$F$5:$F$692,"&lt;="&amp;F501)</f>
        <v/>
      </c>
      <c r="U501" s="52">
        <f>'个人技术逐级'!O501</f>
        <v/>
      </c>
    </row>
    <row r="502">
      <c r="A502" s="33" t="inlineStr">
        <is>
          <t>个人技术</t>
        </is>
      </c>
      <c r="B502" s="33">
        <f>'个人技术逐级'!A502</f>
        <v/>
      </c>
      <c r="C502" s="33">
        <f>'个人技术逐级'!B502</f>
        <v/>
      </c>
      <c r="D502" s="33">
        <f>'个人技术逐级'!C502</f>
        <v/>
      </c>
      <c r="E502">
        <f>'个人技术逐级'!D502</f>
        <v/>
      </c>
      <c r="F502" s="54">
        <f>'个人技术逐级'!E502</f>
        <v/>
      </c>
      <c r="G502" s="55">
        <f>'个人技术逐级'!F502</f>
        <v/>
      </c>
      <c r="H502" s="56">
        <f>'个人技术逐级'!G502</f>
        <v/>
      </c>
      <c r="I502" s="52" t="inlineStr">
        <is>
          <t>个人技术计时升级</t>
        </is>
      </c>
      <c r="J502" s="57">
        <f>'个人技术逐级'!M502</f>
        <v/>
      </c>
      <c r="K502" s="35">
        <f>J502/3600</f>
        <v/>
      </c>
      <c r="L502" s="35">
        <f>SUMIFS($K$5:$K$692,$A$5:$A$692,A502,$B$5:$B$692,B502,$F$5:$F$692,"&lt;="&amp;F502)</f>
        <v/>
      </c>
      <c r="M502" s="58">
        <f>'个人技术逐级'!N502</f>
        <v/>
      </c>
      <c r="N502" s="58">
        <f>SUMIFS($M$5:$M$692,$A$5:$A$692,A502,$B$5:$B$692,B502,$F$5:$F$692,"&lt;="&amp;F502)</f>
        <v/>
      </c>
      <c r="O502" s="58">
        <f>0</f>
        <v/>
      </c>
      <c r="P502" s="58">
        <f>SUMIFS($O$5:$O$692,$A$5:$A$692,A502,$B$5:$B$692,B502,$F$5:$F$692,"&lt;="&amp;F502)</f>
        <v/>
      </c>
      <c r="Q502" s="58">
        <f>0</f>
        <v/>
      </c>
      <c r="R502" s="58">
        <f>SUMIFS($Q$5:$Q$692,$A$5:$A$692,A502,$B$5:$B$692,B502,$F$5:$F$692,"&lt;="&amp;F502)</f>
        <v/>
      </c>
      <c r="S502" s="58">
        <f>0</f>
        <v/>
      </c>
      <c r="T502" s="58">
        <f>SUMIFS($S$5:$S$692,$A$5:$A$692,A502,$B$5:$B$692,B502,$F$5:$F$692,"&lt;="&amp;F502)</f>
        <v/>
      </c>
      <c r="U502" s="52">
        <f>'个人技术逐级'!O502</f>
        <v/>
      </c>
    </row>
    <row r="503">
      <c r="A503" s="33" t="inlineStr">
        <is>
          <t>个人技术</t>
        </is>
      </c>
      <c r="B503" s="33">
        <f>'个人技术逐级'!A503</f>
        <v/>
      </c>
      <c r="C503" s="33">
        <f>'个人技术逐级'!B503</f>
        <v/>
      </c>
      <c r="D503" s="33">
        <f>'个人技术逐级'!C503</f>
        <v/>
      </c>
      <c r="E503">
        <f>'个人技术逐级'!D503</f>
        <v/>
      </c>
      <c r="F503" s="54">
        <f>'个人技术逐级'!E503</f>
        <v/>
      </c>
      <c r="G503" s="55">
        <f>'个人技术逐级'!F503</f>
        <v/>
      </c>
      <c r="H503" s="56">
        <f>'个人技术逐级'!G503</f>
        <v/>
      </c>
      <c r="I503" s="52" t="inlineStr">
        <is>
          <t>个人技术计时升级</t>
        </is>
      </c>
      <c r="J503" s="57">
        <f>'个人技术逐级'!M503</f>
        <v/>
      </c>
      <c r="K503" s="35">
        <f>J503/3600</f>
        <v/>
      </c>
      <c r="L503" s="35">
        <f>SUMIFS($K$5:$K$692,$A$5:$A$692,A503,$B$5:$B$692,B503,$F$5:$F$692,"&lt;="&amp;F503)</f>
        <v/>
      </c>
      <c r="M503" s="58">
        <f>'个人技术逐级'!N503</f>
        <v/>
      </c>
      <c r="N503" s="58">
        <f>SUMIFS($M$5:$M$692,$A$5:$A$692,A503,$B$5:$B$692,B503,$F$5:$F$692,"&lt;="&amp;F503)</f>
        <v/>
      </c>
      <c r="O503" s="58">
        <f>0</f>
        <v/>
      </c>
      <c r="P503" s="58">
        <f>SUMIFS($O$5:$O$692,$A$5:$A$692,A503,$B$5:$B$692,B503,$F$5:$F$692,"&lt;="&amp;F503)</f>
        <v/>
      </c>
      <c r="Q503" s="58">
        <f>0</f>
        <v/>
      </c>
      <c r="R503" s="58">
        <f>SUMIFS($Q$5:$Q$692,$A$5:$A$692,A503,$B$5:$B$692,B503,$F$5:$F$692,"&lt;="&amp;F503)</f>
        <v/>
      </c>
      <c r="S503" s="58">
        <f>0</f>
        <v/>
      </c>
      <c r="T503" s="58">
        <f>SUMIFS($S$5:$S$692,$A$5:$A$692,A503,$B$5:$B$692,B503,$F$5:$F$692,"&lt;="&amp;F503)</f>
        <v/>
      </c>
      <c r="U503" s="52">
        <f>'个人技术逐级'!O503</f>
        <v/>
      </c>
    </row>
    <row r="504">
      <c r="A504" s="33" t="inlineStr">
        <is>
          <t>个人技术</t>
        </is>
      </c>
      <c r="B504" s="33">
        <f>'个人技术逐级'!A504</f>
        <v/>
      </c>
      <c r="C504" s="33">
        <f>'个人技术逐级'!B504</f>
        <v/>
      </c>
      <c r="D504" s="33">
        <f>'个人技术逐级'!C504</f>
        <v/>
      </c>
      <c r="E504">
        <f>'个人技术逐级'!D504</f>
        <v/>
      </c>
      <c r="F504" s="54">
        <f>'个人技术逐级'!E504</f>
        <v/>
      </c>
      <c r="G504" s="55">
        <f>'个人技术逐级'!F504</f>
        <v/>
      </c>
      <c r="H504" s="56">
        <f>'个人技术逐级'!G504</f>
        <v/>
      </c>
      <c r="I504" s="52" t="inlineStr">
        <is>
          <t>个人技术计时升级</t>
        </is>
      </c>
      <c r="J504" s="57">
        <f>'个人技术逐级'!M504</f>
        <v/>
      </c>
      <c r="K504" s="35">
        <f>J504/3600</f>
        <v/>
      </c>
      <c r="L504" s="35">
        <f>SUMIFS($K$5:$K$692,$A$5:$A$692,A504,$B$5:$B$692,B504,$F$5:$F$692,"&lt;="&amp;F504)</f>
        <v/>
      </c>
      <c r="M504" s="58">
        <f>'个人技术逐级'!N504</f>
        <v/>
      </c>
      <c r="N504" s="58">
        <f>SUMIFS($M$5:$M$692,$A$5:$A$692,A504,$B$5:$B$692,B504,$F$5:$F$692,"&lt;="&amp;F504)</f>
        <v/>
      </c>
      <c r="O504" s="58">
        <f>0</f>
        <v/>
      </c>
      <c r="P504" s="58">
        <f>SUMIFS($O$5:$O$692,$A$5:$A$692,A504,$B$5:$B$692,B504,$F$5:$F$692,"&lt;="&amp;F504)</f>
        <v/>
      </c>
      <c r="Q504" s="58">
        <f>0</f>
        <v/>
      </c>
      <c r="R504" s="58">
        <f>SUMIFS($Q$5:$Q$692,$A$5:$A$692,A504,$B$5:$B$692,B504,$F$5:$F$692,"&lt;="&amp;F504)</f>
        <v/>
      </c>
      <c r="S504" s="58">
        <f>0</f>
        <v/>
      </c>
      <c r="T504" s="58">
        <f>SUMIFS($S$5:$S$692,$A$5:$A$692,A504,$B$5:$B$692,B504,$F$5:$F$692,"&lt;="&amp;F504)</f>
        <v/>
      </c>
      <c r="U504" s="52">
        <f>'个人技术逐级'!O504</f>
        <v/>
      </c>
    </row>
    <row r="505">
      <c r="A505" s="33" t="inlineStr">
        <is>
          <t>个人技术</t>
        </is>
      </c>
      <c r="B505" s="33">
        <f>'个人技术逐级'!A505</f>
        <v/>
      </c>
      <c r="C505" s="33">
        <f>'个人技术逐级'!B505</f>
        <v/>
      </c>
      <c r="D505" s="33">
        <f>'个人技术逐级'!C505</f>
        <v/>
      </c>
      <c r="E505">
        <f>'个人技术逐级'!D505</f>
        <v/>
      </c>
      <c r="F505" s="54">
        <f>'个人技术逐级'!E505</f>
        <v/>
      </c>
      <c r="G505" s="55">
        <f>'个人技术逐级'!F505</f>
        <v/>
      </c>
      <c r="H505" s="56">
        <f>'个人技术逐级'!G505</f>
        <v/>
      </c>
      <c r="I505" s="52" t="inlineStr">
        <is>
          <t>个人技术计时升级</t>
        </is>
      </c>
      <c r="J505" s="57">
        <f>'个人技术逐级'!M505</f>
        <v/>
      </c>
      <c r="K505" s="35">
        <f>J505/3600</f>
        <v/>
      </c>
      <c r="L505" s="35">
        <f>SUMIFS($K$5:$K$692,$A$5:$A$692,A505,$B$5:$B$692,B505,$F$5:$F$692,"&lt;="&amp;F505)</f>
        <v/>
      </c>
      <c r="M505" s="58">
        <f>'个人技术逐级'!N505</f>
        <v/>
      </c>
      <c r="N505" s="58">
        <f>SUMIFS($M$5:$M$692,$A$5:$A$692,A505,$B$5:$B$692,B505,$F$5:$F$692,"&lt;="&amp;F505)</f>
        <v/>
      </c>
      <c r="O505" s="58">
        <f>0</f>
        <v/>
      </c>
      <c r="P505" s="58">
        <f>SUMIFS($O$5:$O$692,$A$5:$A$692,A505,$B$5:$B$692,B505,$F$5:$F$692,"&lt;="&amp;F505)</f>
        <v/>
      </c>
      <c r="Q505" s="58">
        <f>0</f>
        <v/>
      </c>
      <c r="R505" s="58">
        <f>SUMIFS($Q$5:$Q$692,$A$5:$A$692,A505,$B$5:$B$692,B505,$F$5:$F$692,"&lt;="&amp;F505)</f>
        <v/>
      </c>
      <c r="S505" s="58">
        <f>0</f>
        <v/>
      </c>
      <c r="T505" s="58">
        <f>SUMIFS($S$5:$S$692,$A$5:$A$692,A505,$B$5:$B$692,B505,$F$5:$F$692,"&lt;="&amp;F505)</f>
        <v/>
      </c>
      <c r="U505" s="52">
        <f>'个人技术逐级'!O505</f>
        <v/>
      </c>
    </row>
    <row r="506">
      <c r="A506" s="33" t="inlineStr">
        <is>
          <t>个人技术</t>
        </is>
      </c>
      <c r="B506" s="33">
        <f>'个人技术逐级'!A506</f>
        <v/>
      </c>
      <c r="C506" s="33">
        <f>'个人技术逐级'!B506</f>
        <v/>
      </c>
      <c r="D506" s="33">
        <f>'个人技术逐级'!C506</f>
        <v/>
      </c>
      <c r="E506">
        <f>'个人技术逐级'!D506</f>
        <v/>
      </c>
      <c r="F506" s="54">
        <f>'个人技术逐级'!E506</f>
        <v/>
      </c>
      <c r="G506" s="55">
        <f>'个人技术逐级'!F506</f>
        <v/>
      </c>
      <c r="H506" s="56">
        <f>'个人技术逐级'!G506</f>
        <v/>
      </c>
      <c r="I506" s="52" t="inlineStr">
        <is>
          <t>个人技术计时升级</t>
        </is>
      </c>
      <c r="J506" s="57">
        <f>'个人技术逐级'!M506</f>
        <v/>
      </c>
      <c r="K506" s="35">
        <f>J506/3600</f>
        <v/>
      </c>
      <c r="L506" s="35">
        <f>SUMIFS($K$5:$K$692,$A$5:$A$692,A506,$B$5:$B$692,B506,$F$5:$F$692,"&lt;="&amp;F506)</f>
        <v/>
      </c>
      <c r="M506" s="58">
        <f>'个人技术逐级'!N506</f>
        <v/>
      </c>
      <c r="N506" s="58">
        <f>SUMIFS($M$5:$M$692,$A$5:$A$692,A506,$B$5:$B$692,B506,$F$5:$F$692,"&lt;="&amp;F506)</f>
        <v/>
      </c>
      <c r="O506" s="58">
        <f>0</f>
        <v/>
      </c>
      <c r="P506" s="58">
        <f>SUMIFS($O$5:$O$692,$A$5:$A$692,A506,$B$5:$B$692,B506,$F$5:$F$692,"&lt;="&amp;F506)</f>
        <v/>
      </c>
      <c r="Q506" s="58">
        <f>0</f>
        <v/>
      </c>
      <c r="R506" s="58">
        <f>SUMIFS($Q$5:$Q$692,$A$5:$A$692,A506,$B$5:$B$692,B506,$F$5:$F$692,"&lt;="&amp;F506)</f>
        <v/>
      </c>
      <c r="S506" s="58">
        <f>0</f>
        <v/>
      </c>
      <c r="T506" s="58">
        <f>SUMIFS($S$5:$S$692,$A$5:$A$692,A506,$B$5:$B$692,B506,$F$5:$F$692,"&lt;="&amp;F506)</f>
        <v/>
      </c>
      <c r="U506" s="52">
        <f>'个人技术逐级'!O506</f>
        <v/>
      </c>
    </row>
    <row r="507">
      <c r="A507" s="33" t="inlineStr">
        <is>
          <t>个人技术</t>
        </is>
      </c>
      <c r="B507" s="33">
        <f>'个人技术逐级'!A507</f>
        <v/>
      </c>
      <c r="C507" s="33">
        <f>'个人技术逐级'!B507</f>
        <v/>
      </c>
      <c r="D507" s="33">
        <f>'个人技术逐级'!C507</f>
        <v/>
      </c>
      <c r="E507">
        <f>'个人技术逐级'!D507</f>
        <v/>
      </c>
      <c r="F507" s="54">
        <f>'个人技术逐级'!E507</f>
        <v/>
      </c>
      <c r="G507" s="55">
        <f>'个人技术逐级'!F507</f>
        <v/>
      </c>
      <c r="H507" s="56">
        <f>'个人技术逐级'!G507</f>
        <v/>
      </c>
      <c r="I507" s="52" t="inlineStr">
        <is>
          <t>个人技术计时升级</t>
        </is>
      </c>
      <c r="J507" s="57">
        <f>'个人技术逐级'!M507</f>
        <v/>
      </c>
      <c r="K507" s="35">
        <f>J507/3600</f>
        <v/>
      </c>
      <c r="L507" s="35">
        <f>SUMIFS($K$5:$K$692,$A$5:$A$692,A507,$B$5:$B$692,B507,$F$5:$F$692,"&lt;="&amp;F507)</f>
        <v/>
      </c>
      <c r="M507" s="58">
        <f>'个人技术逐级'!N507</f>
        <v/>
      </c>
      <c r="N507" s="58">
        <f>SUMIFS($M$5:$M$692,$A$5:$A$692,A507,$B$5:$B$692,B507,$F$5:$F$692,"&lt;="&amp;F507)</f>
        <v/>
      </c>
      <c r="O507" s="58">
        <f>0</f>
        <v/>
      </c>
      <c r="P507" s="58">
        <f>SUMIFS($O$5:$O$692,$A$5:$A$692,A507,$B$5:$B$692,B507,$F$5:$F$692,"&lt;="&amp;F507)</f>
        <v/>
      </c>
      <c r="Q507" s="58">
        <f>0</f>
        <v/>
      </c>
      <c r="R507" s="58">
        <f>SUMIFS($Q$5:$Q$692,$A$5:$A$692,A507,$B$5:$B$692,B507,$F$5:$F$692,"&lt;="&amp;F507)</f>
        <v/>
      </c>
      <c r="S507" s="58">
        <f>0</f>
        <v/>
      </c>
      <c r="T507" s="58">
        <f>SUMIFS($S$5:$S$692,$A$5:$A$692,A507,$B$5:$B$692,B507,$F$5:$F$692,"&lt;="&amp;F507)</f>
        <v/>
      </c>
      <c r="U507" s="52">
        <f>'个人技术逐级'!O507</f>
        <v/>
      </c>
    </row>
    <row r="508">
      <c r="A508" s="33" t="inlineStr">
        <is>
          <t>个人技术</t>
        </is>
      </c>
      <c r="B508" s="33">
        <f>'个人技术逐级'!A508</f>
        <v/>
      </c>
      <c r="C508" s="33">
        <f>'个人技术逐级'!B508</f>
        <v/>
      </c>
      <c r="D508" s="33">
        <f>'个人技术逐级'!C508</f>
        <v/>
      </c>
      <c r="E508">
        <f>'个人技术逐级'!D508</f>
        <v/>
      </c>
      <c r="F508" s="54">
        <f>'个人技术逐级'!E508</f>
        <v/>
      </c>
      <c r="G508" s="55">
        <f>'个人技术逐级'!F508</f>
        <v/>
      </c>
      <c r="H508" s="56">
        <f>'个人技术逐级'!G508</f>
        <v/>
      </c>
      <c r="I508" s="52" t="inlineStr">
        <is>
          <t>个人技术计时升级</t>
        </is>
      </c>
      <c r="J508" s="57">
        <f>'个人技术逐级'!M508</f>
        <v/>
      </c>
      <c r="K508" s="35">
        <f>J508/3600</f>
        <v/>
      </c>
      <c r="L508" s="35">
        <f>SUMIFS($K$5:$K$692,$A$5:$A$692,A508,$B$5:$B$692,B508,$F$5:$F$692,"&lt;="&amp;F508)</f>
        <v/>
      </c>
      <c r="M508" s="58">
        <f>'个人技术逐级'!N508</f>
        <v/>
      </c>
      <c r="N508" s="58">
        <f>SUMIFS($M$5:$M$692,$A$5:$A$692,A508,$B$5:$B$692,B508,$F$5:$F$692,"&lt;="&amp;F508)</f>
        <v/>
      </c>
      <c r="O508" s="58">
        <f>0</f>
        <v/>
      </c>
      <c r="P508" s="58">
        <f>SUMIFS($O$5:$O$692,$A$5:$A$692,A508,$B$5:$B$692,B508,$F$5:$F$692,"&lt;="&amp;F508)</f>
        <v/>
      </c>
      <c r="Q508" s="58">
        <f>0</f>
        <v/>
      </c>
      <c r="R508" s="58">
        <f>SUMIFS($Q$5:$Q$692,$A$5:$A$692,A508,$B$5:$B$692,B508,$F$5:$F$692,"&lt;="&amp;F508)</f>
        <v/>
      </c>
      <c r="S508" s="58">
        <f>0</f>
        <v/>
      </c>
      <c r="T508" s="58">
        <f>SUMIFS($S$5:$S$692,$A$5:$A$692,A508,$B$5:$B$692,B508,$F$5:$F$692,"&lt;="&amp;F508)</f>
        <v/>
      </c>
      <c r="U508" s="52">
        <f>'个人技术逐级'!O508</f>
        <v/>
      </c>
    </row>
    <row r="509">
      <c r="A509" s="33" t="inlineStr">
        <is>
          <t>个人技术</t>
        </is>
      </c>
      <c r="B509" s="33">
        <f>'个人技术逐级'!A509</f>
        <v/>
      </c>
      <c r="C509" s="33">
        <f>'个人技术逐级'!B509</f>
        <v/>
      </c>
      <c r="D509" s="33">
        <f>'个人技术逐级'!C509</f>
        <v/>
      </c>
      <c r="E509">
        <f>'个人技术逐级'!D509</f>
        <v/>
      </c>
      <c r="F509" s="54">
        <f>'个人技术逐级'!E509</f>
        <v/>
      </c>
      <c r="G509" s="55">
        <f>'个人技术逐级'!F509</f>
        <v/>
      </c>
      <c r="H509" s="56">
        <f>'个人技术逐级'!G509</f>
        <v/>
      </c>
      <c r="I509" s="52" t="inlineStr">
        <is>
          <t>个人技术计时升级</t>
        </is>
      </c>
      <c r="J509" s="57">
        <f>'个人技术逐级'!M509</f>
        <v/>
      </c>
      <c r="K509" s="35">
        <f>J509/3600</f>
        <v/>
      </c>
      <c r="L509" s="35">
        <f>SUMIFS($K$5:$K$692,$A$5:$A$692,A509,$B$5:$B$692,B509,$F$5:$F$692,"&lt;="&amp;F509)</f>
        <v/>
      </c>
      <c r="M509" s="58">
        <f>'个人技术逐级'!N509</f>
        <v/>
      </c>
      <c r="N509" s="58">
        <f>SUMIFS($M$5:$M$692,$A$5:$A$692,A509,$B$5:$B$692,B509,$F$5:$F$692,"&lt;="&amp;F509)</f>
        <v/>
      </c>
      <c r="O509" s="58">
        <f>0</f>
        <v/>
      </c>
      <c r="P509" s="58">
        <f>SUMIFS($O$5:$O$692,$A$5:$A$692,A509,$B$5:$B$692,B509,$F$5:$F$692,"&lt;="&amp;F509)</f>
        <v/>
      </c>
      <c r="Q509" s="58">
        <f>0</f>
        <v/>
      </c>
      <c r="R509" s="58">
        <f>SUMIFS($Q$5:$Q$692,$A$5:$A$692,A509,$B$5:$B$692,B509,$F$5:$F$692,"&lt;="&amp;F509)</f>
        <v/>
      </c>
      <c r="S509" s="58">
        <f>0</f>
        <v/>
      </c>
      <c r="T509" s="58">
        <f>SUMIFS($S$5:$S$692,$A$5:$A$692,A509,$B$5:$B$692,B509,$F$5:$F$692,"&lt;="&amp;F509)</f>
        <v/>
      </c>
      <c r="U509" s="52">
        <f>'个人技术逐级'!O509</f>
        <v/>
      </c>
    </row>
    <row r="510">
      <c r="A510" s="33" t="inlineStr">
        <is>
          <t>个人技术</t>
        </is>
      </c>
      <c r="B510" s="33">
        <f>'个人技术逐级'!A510</f>
        <v/>
      </c>
      <c r="C510" s="33">
        <f>'个人技术逐级'!B510</f>
        <v/>
      </c>
      <c r="D510" s="33">
        <f>'个人技术逐级'!C510</f>
        <v/>
      </c>
      <c r="E510">
        <f>'个人技术逐级'!D510</f>
        <v/>
      </c>
      <c r="F510" s="54">
        <f>'个人技术逐级'!E510</f>
        <v/>
      </c>
      <c r="G510" s="55">
        <f>'个人技术逐级'!F510</f>
        <v/>
      </c>
      <c r="H510" s="56">
        <f>'个人技术逐级'!G510</f>
        <v/>
      </c>
      <c r="I510" s="52" t="inlineStr">
        <is>
          <t>个人技术计时升级</t>
        </is>
      </c>
      <c r="J510" s="57">
        <f>'个人技术逐级'!M510</f>
        <v/>
      </c>
      <c r="K510" s="35">
        <f>J510/3600</f>
        <v/>
      </c>
      <c r="L510" s="35">
        <f>SUMIFS($K$5:$K$692,$A$5:$A$692,A510,$B$5:$B$692,B510,$F$5:$F$692,"&lt;="&amp;F510)</f>
        <v/>
      </c>
      <c r="M510" s="58">
        <f>'个人技术逐级'!N510</f>
        <v/>
      </c>
      <c r="N510" s="58">
        <f>SUMIFS($M$5:$M$692,$A$5:$A$692,A510,$B$5:$B$692,B510,$F$5:$F$692,"&lt;="&amp;F510)</f>
        <v/>
      </c>
      <c r="O510" s="58">
        <f>0</f>
        <v/>
      </c>
      <c r="P510" s="58">
        <f>SUMIFS($O$5:$O$692,$A$5:$A$692,A510,$B$5:$B$692,B510,$F$5:$F$692,"&lt;="&amp;F510)</f>
        <v/>
      </c>
      <c r="Q510" s="58">
        <f>0</f>
        <v/>
      </c>
      <c r="R510" s="58">
        <f>SUMIFS($Q$5:$Q$692,$A$5:$A$692,A510,$B$5:$B$692,B510,$F$5:$F$692,"&lt;="&amp;F510)</f>
        <v/>
      </c>
      <c r="S510" s="58">
        <f>0</f>
        <v/>
      </c>
      <c r="T510" s="58">
        <f>SUMIFS($S$5:$S$692,$A$5:$A$692,A510,$B$5:$B$692,B510,$F$5:$F$692,"&lt;="&amp;F510)</f>
        <v/>
      </c>
      <c r="U510" s="52">
        <f>'个人技术逐级'!O510</f>
        <v/>
      </c>
    </row>
    <row r="511">
      <c r="A511" s="33" t="inlineStr">
        <is>
          <t>个人技术</t>
        </is>
      </c>
      <c r="B511" s="33">
        <f>'个人技术逐级'!A511</f>
        <v/>
      </c>
      <c r="C511" s="33">
        <f>'个人技术逐级'!B511</f>
        <v/>
      </c>
      <c r="D511" s="33">
        <f>'个人技术逐级'!C511</f>
        <v/>
      </c>
      <c r="E511">
        <f>'个人技术逐级'!D511</f>
        <v/>
      </c>
      <c r="F511" s="54">
        <f>'个人技术逐级'!E511</f>
        <v/>
      </c>
      <c r="G511" s="55">
        <f>'个人技术逐级'!F511</f>
        <v/>
      </c>
      <c r="H511" s="56">
        <f>'个人技术逐级'!G511</f>
        <v/>
      </c>
      <c r="I511" s="52" t="inlineStr">
        <is>
          <t>个人技术计时升级</t>
        </is>
      </c>
      <c r="J511" s="57">
        <f>'个人技术逐级'!M511</f>
        <v/>
      </c>
      <c r="K511" s="35">
        <f>J511/3600</f>
        <v/>
      </c>
      <c r="L511" s="35">
        <f>SUMIFS($K$5:$K$692,$A$5:$A$692,A511,$B$5:$B$692,B511,$F$5:$F$692,"&lt;="&amp;F511)</f>
        <v/>
      </c>
      <c r="M511" s="58">
        <f>'个人技术逐级'!N511</f>
        <v/>
      </c>
      <c r="N511" s="58">
        <f>SUMIFS($M$5:$M$692,$A$5:$A$692,A511,$B$5:$B$692,B511,$F$5:$F$692,"&lt;="&amp;F511)</f>
        <v/>
      </c>
      <c r="O511" s="58">
        <f>0</f>
        <v/>
      </c>
      <c r="P511" s="58">
        <f>SUMIFS($O$5:$O$692,$A$5:$A$692,A511,$B$5:$B$692,B511,$F$5:$F$692,"&lt;="&amp;F511)</f>
        <v/>
      </c>
      <c r="Q511" s="58">
        <f>0</f>
        <v/>
      </c>
      <c r="R511" s="58">
        <f>SUMIFS($Q$5:$Q$692,$A$5:$A$692,A511,$B$5:$B$692,B511,$F$5:$F$692,"&lt;="&amp;F511)</f>
        <v/>
      </c>
      <c r="S511" s="58">
        <f>0</f>
        <v/>
      </c>
      <c r="T511" s="58">
        <f>SUMIFS($S$5:$S$692,$A$5:$A$692,A511,$B$5:$B$692,B511,$F$5:$F$692,"&lt;="&amp;F511)</f>
        <v/>
      </c>
      <c r="U511" s="52">
        <f>'个人技术逐级'!O511</f>
        <v/>
      </c>
    </row>
    <row r="512">
      <c r="A512" s="33" t="inlineStr">
        <is>
          <t>个人技术</t>
        </is>
      </c>
      <c r="B512" s="33">
        <f>'个人技术逐级'!A512</f>
        <v/>
      </c>
      <c r="C512" s="33">
        <f>'个人技术逐级'!B512</f>
        <v/>
      </c>
      <c r="D512" s="33">
        <f>'个人技术逐级'!C512</f>
        <v/>
      </c>
      <c r="E512">
        <f>'个人技术逐级'!D512</f>
        <v/>
      </c>
      <c r="F512" s="54">
        <f>'个人技术逐级'!E512</f>
        <v/>
      </c>
      <c r="G512" s="55">
        <f>'个人技术逐级'!F512</f>
        <v/>
      </c>
      <c r="H512" s="56">
        <f>'个人技术逐级'!G512</f>
        <v/>
      </c>
      <c r="I512" s="52" t="inlineStr">
        <is>
          <t>个人技术计时升级</t>
        </is>
      </c>
      <c r="J512" s="57">
        <f>'个人技术逐级'!M512</f>
        <v/>
      </c>
      <c r="K512" s="35">
        <f>J512/3600</f>
        <v/>
      </c>
      <c r="L512" s="35">
        <f>SUMIFS($K$5:$K$692,$A$5:$A$692,A512,$B$5:$B$692,B512,$F$5:$F$692,"&lt;="&amp;F512)</f>
        <v/>
      </c>
      <c r="M512" s="58">
        <f>'个人技术逐级'!N512</f>
        <v/>
      </c>
      <c r="N512" s="58">
        <f>SUMIFS($M$5:$M$692,$A$5:$A$692,A512,$B$5:$B$692,B512,$F$5:$F$692,"&lt;="&amp;F512)</f>
        <v/>
      </c>
      <c r="O512" s="58">
        <f>0</f>
        <v/>
      </c>
      <c r="P512" s="58">
        <f>SUMIFS($O$5:$O$692,$A$5:$A$692,A512,$B$5:$B$692,B512,$F$5:$F$692,"&lt;="&amp;F512)</f>
        <v/>
      </c>
      <c r="Q512" s="58">
        <f>0</f>
        <v/>
      </c>
      <c r="R512" s="58">
        <f>SUMIFS($Q$5:$Q$692,$A$5:$A$692,A512,$B$5:$B$692,B512,$F$5:$F$692,"&lt;="&amp;F512)</f>
        <v/>
      </c>
      <c r="S512" s="58">
        <f>0</f>
        <v/>
      </c>
      <c r="T512" s="58">
        <f>SUMIFS($S$5:$S$692,$A$5:$A$692,A512,$B$5:$B$692,B512,$F$5:$F$692,"&lt;="&amp;F512)</f>
        <v/>
      </c>
      <c r="U512" s="52">
        <f>'个人技术逐级'!O512</f>
        <v/>
      </c>
    </row>
    <row r="513">
      <c r="A513" s="33" t="inlineStr">
        <is>
          <t>个人技术</t>
        </is>
      </c>
      <c r="B513" s="33">
        <f>'个人技术逐级'!A513</f>
        <v/>
      </c>
      <c r="C513" s="33">
        <f>'个人技术逐级'!B513</f>
        <v/>
      </c>
      <c r="D513" s="33">
        <f>'个人技术逐级'!C513</f>
        <v/>
      </c>
      <c r="E513">
        <f>'个人技术逐级'!D513</f>
        <v/>
      </c>
      <c r="F513" s="54">
        <f>'个人技术逐级'!E513</f>
        <v/>
      </c>
      <c r="G513" s="55">
        <f>'个人技术逐级'!F513</f>
        <v/>
      </c>
      <c r="H513" s="56">
        <f>'个人技术逐级'!G513</f>
        <v/>
      </c>
      <c r="I513" s="52" t="inlineStr">
        <is>
          <t>个人技术计时升级</t>
        </is>
      </c>
      <c r="J513" s="57">
        <f>'个人技术逐级'!M513</f>
        <v/>
      </c>
      <c r="K513" s="35">
        <f>J513/3600</f>
        <v/>
      </c>
      <c r="L513" s="35">
        <f>SUMIFS($K$5:$K$692,$A$5:$A$692,A513,$B$5:$B$692,B513,$F$5:$F$692,"&lt;="&amp;F513)</f>
        <v/>
      </c>
      <c r="M513" s="58">
        <f>'个人技术逐级'!N513</f>
        <v/>
      </c>
      <c r="N513" s="58">
        <f>SUMIFS($M$5:$M$692,$A$5:$A$692,A513,$B$5:$B$692,B513,$F$5:$F$692,"&lt;="&amp;F513)</f>
        <v/>
      </c>
      <c r="O513" s="58">
        <f>0</f>
        <v/>
      </c>
      <c r="P513" s="58">
        <f>SUMIFS($O$5:$O$692,$A$5:$A$692,A513,$B$5:$B$692,B513,$F$5:$F$692,"&lt;="&amp;F513)</f>
        <v/>
      </c>
      <c r="Q513" s="58">
        <f>0</f>
        <v/>
      </c>
      <c r="R513" s="58">
        <f>SUMIFS($Q$5:$Q$692,$A$5:$A$692,A513,$B$5:$B$692,B513,$F$5:$F$692,"&lt;="&amp;F513)</f>
        <v/>
      </c>
      <c r="S513" s="58">
        <f>0</f>
        <v/>
      </c>
      <c r="T513" s="58">
        <f>SUMIFS($S$5:$S$692,$A$5:$A$692,A513,$B$5:$B$692,B513,$F$5:$F$692,"&lt;="&amp;F513)</f>
        <v/>
      </c>
      <c r="U513" s="52">
        <f>'个人技术逐级'!O513</f>
        <v/>
      </c>
    </row>
    <row r="514">
      <c r="A514" s="33" t="inlineStr">
        <is>
          <t>个人技术</t>
        </is>
      </c>
      <c r="B514" s="33">
        <f>'个人技术逐级'!A514</f>
        <v/>
      </c>
      <c r="C514" s="33">
        <f>'个人技术逐级'!B514</f>
        <v/>
      </c>
      <c r="D514" s="33">
        <f>'个人技术逐级'!C514</f>
        <v/>
      </c>
      <c r="E514">
        <f>'个人技术逐级'!D514</f>
        <v/>
      </c>
      <c r="F514" s="54">
        <f>'个人技术逐级'!E514</f>
        <v/>
      </c>
      <c r="G514" s="55">
        <f>'个人技术逐级'!F514</f>
        <v/>
      </c>
      <c r="H514" s="56">
        <f>'个人技术逐级'!G514</f>
        <v/>
      </c>
      <c r="I514" s="52" t="inlineStr">
        <is>
          <t>个人技术计时升级</t>
        </is>
      </c>
      <c r="J514" s="57">
        <f>'个人技术逐级'!M514</f>
        <v/>
      </c>
      <c r="K514" s="35">
        <f>J514/3600</f>
        <v/>
      </c>
      <c r="L514" s="35">
        <f>SUMIFS($K$5:$K$692,$A$5:$A$692,A514,$B$5:$B$692,B514,$F$5:$F$692,"&lt;="&amp;F514)</f>
        <v/>
      </c>
      <c r="M514" s="58">
        <f>'个人技术逐级'!N514</f>
        <v/>
      </c>
      <c r="N514" s="58">
        <f>SUMIFS($M$5:$M$692,$A$5:$A$692,A514,$B$5:$B$692,B514,$F$5:$F$692,"&lt;="&amp;F514)</f>
        <v/>
      </c>
      <c r="O514" s="58">
        <f>0</f>
        <v/>
      </c>
      <c r="P514" s="58">
        <f>SUMIFS($O$5:$O$692,$A$5:$A$692,A514,$B$5:$B$692,B514,$F$5:$F$692,"&lt;="&amp;F514)</f>
        <v/>
      </c>
      <c r="Q514" s="58">
        <f>0</f>
        <v/>
      </c>
      <c r="R514" s="58">
        <f>SUMIFS($Q$5:$Q$692,$A$5:$A$692,A514,$B$5:$B$692,B514,$F$5:$F$692,"&lt;="&amp;F514)</f>
        <v/>
      </c>
      <c r="S514" s="58">
        <f>0</f>
        <v/>
      </c>
      <c r="T514" s="58">
        <f>SUMIFS($S$5:$S$692,$A$5:$A$692,A514,$B$5:$B$692,B514,$F$5:$F$692,"&lt;="&amp;F514)</f>
        <v/>
      </c>
      <c r="U514" s="52">
        <f>'个人技术逐级'!O514</f>
        <v/>
      </c>
    </row>
    <row r="515">
      <c r="A515" s="33" t="inlineStr">
        <is>
          <t>个人技术</t>
        </is>
      </c>
      <c r="B515" s="33">
        <f>'个人技术逐级'!A515</f>
        <v/>
      </c>
      <c r="C515" s="33">
        <f>'个人技术逐级'!B515</f>
        <v/>
      </c>
      <c r="D515" s="33">
        <f>'个人技术逐级'!C515</f>
        <v/>
      </c>
      <c r="E515">
        <f>'个人技术逐级'!D515</f>
        <v/>
      </c>
      <c r="F515" s="54">
        <f>'个人技术逐级'!E515</f>
        <v/>
      </c>
      <c r="G515" s="55">
        <f>'个人技术逐级'!F515</f>
        <v/>
      </c>
      <c r="H515" s="56">
        <f>'个人技术逐级'!G515</f>
        <v/>
      </c>
      <c r="I515" s="52" t="inlineStr">
        <is>
          <t>个人技术计时升级</t>
        </is>
      </c>
      <c r="J515" s="57">
        <f>'个人技术逐级'!M515</f>
        <v/>
      </c>
      <c r="K515" s="35">
        <f>J515/3600</f>
        <v/>
      </c>
      <c r="L515" s="35">
        <f>SUMIFS($K$5:$K$692,$A$5:$A$692,A515,$B$5:$B$692,B515,$F$5:$F$692,"&lt;="&amp;F515)</f>
        <v/>
      </c>
      <c r="M515" s="58">
        <f>'个人技术逐级'!N515</f>
        <v/>
      </c>
      <c r="N515" s="58">
        <f>SUMIFS($M$5:$M$692,$A$5:$A$692,A515,$B$5:$B$692,B515,$F$5:$F$692,"&lt;="&amp;F515)</f>
        <v/>
      </c>
      <c r="O515" s="58">
        <f>0</f>
        <v/>
      </c>
      <c r="P515" s="58">
        <f>SUMIFS($O$5:$O$692,$A$5:$A$692,A515,$B$5:$B$692,B515,$F$5:$F$692,"&lt;="&amp;F515)</f>
        <v/>
      </c>
      <c r="Q515" s="58">
        <f>0</f>
        <v/>
      </c>
      <c r="R515" s="58">
        <f>SUMIFS($Q$5:$Q$692,$A$5:$A$692,A515,$B$5:$B$692,B515,$F$5:$F$692,"&lt;="&amp;F515)</f>
        <v/>
      </c>
      <c r="S515" s="58">
        <f>0</f>
        <v/>
      </c>
      <c r="T515" s="58">
        <f>SUMIFS($S$5:$S$692,$A$5:$A$692,A515,$B$5:$B$692,B515,$F$5:$F$692,"&lt;="&amp;F515)</f>
        <v/>
      </c>
      <c r="U515" s="52">
        <f>'个人技术逐级'!O515</f>
        <v/>
      </c>
    </row>
    <row r="516">
      <c r="A516" s="33" t="inlineStr">
        <is>
          <t>个人技术</t>
        </is>
      </c>
      <c r="B516" s="33">
        <f>'个人技术逐级'!A516</f>
        <v/>
      </c>
      <c r="C516" s="33">
        <f>'个人技术逐级'!B516</f>
        <v/>
      </c>
      <c r="D516" s="33">
        <f>'个人技术逐级'!C516</f>
        <v/>
      </c>
      <c r="E516">
        <f>'个人技术逐级'!D516</f>
        <v/>
      </c>
      <c r="F516" s="54">
        <f>'个人技术逐级'!E516</f>
        <v/>
      </c>
      <c r="G516" s="55">
        <f>'个人技术逐级'!F516</f>
        <v/>
      </c>
      <c r="H516" s="56">
        <f>'个人技术逐级'!G516</f>
        <v/>
      </c>
      <c r="I516" s="52" t="inlineStr">
        <is>
          <t>个人技术计时升级</t>
        </is>
      </c>
      <c r="J516" s="57">
        <f>'个人技术逐级'!M516</f>
        <v/>
      </c>
      <c r="K516" s="35">
        <f>J516/3600</f>
        <v/>
      </c>
      <c r="L516" s="35">
        <f>SUMIFS($K$5:$K$692,$A$5:$A$692,A516,$B$5:$B$692,B516,$F$5:$F$692,"&lt;="&amp;F516)</f>
        <v/>
      </c>
      <c r="M516" s="58">
        <f>'个人技术逐级'!N516</f>
        <v/>
      </c>
      <c r="N516" s="58">
        <f>SUMIFS($M$5:$M$692,$A$5:$A$692,A516,$B$5:$B$692,B516,$F$5:$F$692,"&lt;="&amp;F516)</f>
        <v/>
      </c>
      <c r="O516" s="58">
        <f>0</f>
        <v/>
      </c>
      <c r="P516" s="58">
        <f>SUMIFS($O$5:$O$692,$A$5:$A$692,A516,$B$5:$B$692,B516,$F$5:$F$692,"&lt;="&amp;F516)</f>
        <v/>
      </c>
      <c r="Q516" s="58">
        <f>0</f>
        <v/>
      </c>
      <c r="R516" s="58">
        <f>SUMIFS($Q$5:$Q$692,$A$5:$A$692,A516,$B$5:$B$692,B516,$F$5:$F$692,"&lt;="&amp;F516)</f>
        <v/>
      </c>
      <c r="S516" s="58">
        <f>0</f>
        <v/>
      </c>
      <c r="T516" s="58">
        <f>SUMIFS($S$5:$S$692,$A$5:$A$692,A516,$B$5:$B$692,B516,$F$5:$F$692,"&lt;="&amp;F516)</f>
        <v/>
      </c>
      <c r="U516" s="52">
        <f>'个人技术逐级'!O516</f>
        <v/>
      </c>
    </row>
    <row r="517">
      <c r="A517" s="33" t="inlineStr">
        <is>
          <t>个人技术</t>
        </is>
      </c>
      <c r="B517" s="33">
        <f>'个人技术逐级'!A517</f>
        <v/>
      </c>
      <c r="C517" s="33">
        <f>'个人技术逐级'!B517</f>
        <v/>
      </c>
      <c r="D517" s="33">
        <f>'个人技术逐级'!C517</f>
        <v/>
      </c>
      <c r="E517">
        <f>'个人技术逐级'!D517</f>
        <v/>
      </c>
      <c r="F517" s="54">
        <f>'个人技术逐级'!E517</f>
        <v/>
      </c>
      <c r="G517" s="55">
        <f>'个人技术逐级'!F517</f>
        <v/>
      </c>
      <c r="H517" s="56">
        <f>'个人技术逐级'!G517</f>
        <v/>
      </c>
      <c r="I517" s="52" t="inlineStr">
        <is>
          <t>个人技术计时升级</t>
        </is>
      </c>
      <c r="J517" s="57">
        <f>'个人技术逐级'!M517</f>
        <v/>
      </c>
      <c r="K517" s="35">
        <f>J517/3600</f>
        <v/>
      </c>
      <c r="L517" s="35">
        <f>SUMIFS($K$5:$K$692,$A$5:$A$692,A517,$B$5:$B$692,B517,$F$5:$F$692,"&lt;="&amp;F517)</f>
        <v/>
      </c>
      <c r="M517" s="58">
        <f>'个人技术逐级'!N517</f>
        <v/>
      </c>
      <c r="N517" s="58">
        <f>SUMIFS($M$5:$M$692,$A$5:$A$692,A517,$B$5:$B$692,B517,$F$5:$F$692,"&lt;="&amp;F517)</f>
        <v/>
      </c>
      <c r="O517" s="58">
        <f>0</f>
        <v/>
      </c>
      <c r="P517" s="58">
        <f>SUMIFS($O$5:$O$692,$A$5:$A$692,A517,$B$5:$B$692,B517,$F$5:$F$692,"&lt;="&amp;F517)</f>
        <v/>
      </c>
      <c r="Q517" s="58">
        <f>0</f>
        <v/>
      </c>
      <c r="R517" s="58">
        <f>SUMIFS($Q$5:$Q$692,$A$5:$A$692,A517,$B$5:$B$692,B517,$F$5:$F$692,"&lt;="&amp;F517)</f>
        <v/>
      </c>
      <c r="S517" s="58">
        <f>0</f>
        <v/>
      </c>
      <c r="T517" s="58">
        <f>SUMIFS($S$5:$S$692,$A$5:$A$692,A517,$B$5:$B$692,B517,$F$5:$F$692,"&lt;="&amp;F517)</f>
        <v/>
      </c>
      <c r="U517" s="52">
        <f>'个人技术逐级'!O517</f>
        <v/>
      </c>
    </row>
    <row r="518">
      <c r="A518" s="33" t="inlineStr">
        <is>
          <t>个人技术</t>
        </is>
      </c>
      <c r="B518" s="33">
        <f>'个人技术逐级'!A518</f>
        <v/>
      </c>
      <c r="C518" s="33">
        <f>'个人技术逐级'!B518</f>
        <v/>
      </c>
      <c r="D518" s="33">
        <f>'个人技术逐级'!C518</f>
        <v/>
      </c>
      <c r="E518">
        <f>'个人技术逐级'!D518</f>
        <v/>
      </c>
      <c r="F518" s="54">
        <f>'个人技术逐级'!E518</f>
        <v/>
      </c>
      <c r="G518" s="55">
        <f>'个人技术逐级'!F518</f>
        <v/>
      </c>
      <c r="H518" s="56">
        <f>'个人技术逐级'!G518</f>
        <v/>
      </c>
      <c r="I518" s="52" t="inlineStr">
        <is>
          <t>个人技术计时升级</t>
        </is>
      </c>
      <c r="J518" s="57">
        <f>'个人技术逐级'!M518</f>
        <v/>
      </c>
      <c r="K518" s="35">
        <f>J518/3600</f>
        <v/>
      </c>
      <c r="L518" s="35">
        <f>SUMIFS($K$5:$K$692,$A$5:$A$692,A518,$B$5:$B$692,B518,$F$5:$F$692,"&lt;="&amp;F518)</f>
        <v/>
      </c>
      <c r="M518" s="58">
        <f>'个人技术逐级'!N518</f>
        <v/>
      </c>
      <c r="N518" s="58">
        <f>SUMIFS($M$5:$M$692,$A$5:$A$692,A518,$B$5:$B$692,B518,$F$5:$F$692,"&lt;="&amp;F518)</f>
        <v/>
      </c>
      <c r="O518" s="58">
        <f>0</f>
        <v/>
      </c>
      <c r="P518" s="58">
        <f>SUMIFS($O$5:$O$692,$A$5:$A$692,A518,$B$5:$B$692,B518,$F$5:$F$692,"&lt;="&amp;F518)</f>
        <v/>
      </c>
      <c r="Q518" s="58">
        <f>0</f>
        <v/>
      </c>
      <c r="R518" s="58">
        <f>SUMIFS($Q$5:$Q$692,$A$5:$A$692,A518,$B$5:$B$692,B518,$F$5:$F$692,"&lt;="&amp;F518)</f>
        <v/>
      </c>
      <c r="S518" s="58">
        <f>0</f>
        <v/>
      </c>
      <c r="T518" s="58">
        <f>SUMIFS($S$5:$S$692,$A$5:$A$692,A518,$B$5:$B$692,B518,$F$5:$F$692,"&lt;="&amp;F518)</f>
        <v/>
      </c>
      <c r="U518" s="52">
        <f>'个人技术逐级'!O518</f>
        <v/>
      </c>
    </row>
    <row r="519">
      <c r="A519" s="33" t="inlineStr">
        <is>
          <t>个人技术</t>
        </is>
      </c>
      <c r="B519" s="33">
        <f>'个人技术逐级'!A519</f>
        <v/>
      </c>
      <c r="C519" s="33">
        <f>'个人技术逐级'!B519</f>
        <v/>
      </c>
      <c r="D519" s="33">
        <f>'个人技术逐级'!C519</f>
        <v/>
      </c>
      <c r="E519">
        <f>'个人技术逐级'!D519</f>
        <v/>
      </c>
      <c r="F519" s="54">
        <f>'个人技术逐级'!E519</f>
        <v/>
      </c>
      <c r="G519" s="55">
        <f>'个人技术逐级'!F519</f>
        <v/>
      </c>
      <c r="H519" s="56">
        <f>'个人技术逐级'!G519</f>
        <v/>
      </c>
      <c r="I519" s="52" t="inlineStr">
        <is>
          <t>个人技术计时升级</t>
        </is>
      </c>
      <c r="J519" s="57">
        <f>'个人技术逐级'!M519</f>
        <v/>
      </c>
      <c r="K519" s="35">
        <f>J519/3600</f>
        <v/>
      </c>
      <c r="L519" s="35">
        <f>SUMIFS($K$5:$K$692,$A$5:$A$692,A519,$B$5:$B$692,B519,$F$5:$F$692,"&lt;="&amp;F519)</f>
        <v/>
      </c>
      <c r="M519" s="58">
        <f>'个人技术逐级'!N519</f>
        <v/>
      </c>
      <c r="N519" s="58">
        <f>SUMIFS($M$5:$M$692,$A$5:$A$692,A519,$B$5:$B$692,B519,$F$5:$F$692,"&lt;="&amp;F519)</f>
        <v/>
      </c>
      <c r="O519" s="58">
        <f>0</f>
        <v/>
      </c>
      <c r="P519" s="58">
        <f>SUMIFS($O$5:$O$692,$A$5:$A$692,A519,$B$5:$B$692,B519,$F$5:$F$692,"&lt;="&amp;F519)</f>
        <v/>
      </c>
      <c r="Q519" s="58">
        <f>0</f>
        <v/>
      </c>
      <c r="R519" s="58">
        <f>SUMIFS($Q$5:$Q$692,$A$5:$A$692,A519,$B$5:$B$692,B519,$F$5:$F$692,"&lt;="&amp;F519)</f>
        <v/>
      </c>
      <c r="S519" s="58">
        <f>0</f>
        <v/>
      </c>
      <c r="T519" s="58">
        <f>SUMIFS($S$5:$S$692,$A$5:$A$692,A519,$B$5:$B$692,B519,$F$5:$F$692,"&lt;="&amp;F519)</f>
        <v/>
      </c>
      <c r="U519" s="52">
        <f>'个人技术逐级'!O519</f>
        <v/>
      </c>
    </row>
    <row r="520">
      <c r="A520" s="33" t="inlineStr">
        <is>
          <t>个人技术</t>
        </is>
      </c>
      <c r="B520" s="33">
        <f>'个人技术逐级'!A520</f>
        <v/>
      </c>
      <c r="C520" s="33">
        <f>'个人技术逐级'!B520</f>
        <v/>
      </c>
      <c r="D520" s="33">
        <f>'个人技术逐级'!C520</f>
        <v/>
      </c>
      <c r="E520">
        <f>'个人技术逐级'!D520</f>
        <v/>
      </c>
      <c r="F520" s="54">
        <f>'个人技术逐级'!E520</f>
        <v/>
      </c>
      <c r="G520" s="55">
        <f>'个人技术逐级'!F520</f>
        <v/>
      </c>
      <c r="H520" s="56">
        <f>'个人技术逐级'!G520</f>
        <v/>
      </c>
      <c r="I520" s="52" t="inlineStr">
        <is>
          <t>个人技术计时升级</t>
        </is>
      </c>
      <c r="J520" s="57">
        <f>'个人技术逐级'!M520</f>
        <v/>
      </c>
      <c r="K520" s="35">
        <f>J520/3600</f>
        <v/>
      </c>
      <c r="L520" s="35">
        <f>SUMIFS($K$5:$K$692,$A$5:$A$692,A520,$B$5:$B$692,B520,$F$5:$F$692,"&lt;="&amp;F520)</f>
        <v/>
      </c>
      <c r="M520" s="58">
        <f>'个人技术逐级'!N520</f>
        <v/>
      </c>
      <c r="N520" s="58">
        <f>SUMIFS($M$5:$M$692,$A$5:$A$692,A520,$B$5:$B$692,B520,$F$5:$F$692,"&lt;="&amp;F520)</f>
        <v/>
      </c>
      <c r="O520" s="58">
        <f>0</f>
        <v/>
      </c>
      <c r="P520" s="58">
        <f>SUMIFS($O$5:$O$692,$A$5:$A$692,A520,$B$5:$B$692,B520,$F$5:$F$692,"&lt;="&amp;F520)</f>
        <v/>
      </c>
      <c r="Q520" s="58">
        <f>0</f>
        <v/>
      </c>
      <c r="R520" s="58">
        <f>SUMIFS($Q$5:$Q$692,$A$5:$A$692,A520,$B$5:$B$692,B520,$F$5:$F$692,"&lt;="&amp;F520)</f>
        <v/>
      </c>
      <c r="S520" s="58">
        <f>0</f>
        <v/>
      </c>
      <c r="T520" s="58">
        <f>SUMIFS($S$5:$S$692,$A$5:$A$692,A520,$B$5:$B$692,B520,$F$5:$F$692,"&lt;="&amp;F520)</f>
        <v/>
      </c>
      <c r="U520" s="52">
        <f>'个人技术逐级'!O520</f>
        <v/>
      </c>
    </row>
    <row r="521">
      <c r="A521" s="33" t="inlineStr">
        <is>
          <t>个人技术</t>
        </is>
      </c>
      <c r="B521" s="33">
        <f>'个人技术逐级'!A521</f>
        <v/>
      </c>
      <c r="C521" s="33">
        <f>'个人技术逐级'!B521</f>
        <v/>
      </c>
      <c r="D521" s="33">
        <f>'个人技术逐级'!C521</f>
        <v/>
      </c>
      <c r="E521">
        <f>'个人技术逐级'!D521</f>
        <v/>
      </c>
      <c r="F521" s="54">
        <f>'个人技术逐级'!E521</f>
        <v/>
      </c>
      <c r="G521" s="55">
        <f>'个人技术逐级'!F521</f>
        <v/>
      </c>
      <c r="H521" s="56">
        <f>'个人技术逐级'!G521</f>
        <v/>
      </c>
      <c r="I521" s="52" t="inlineStr">
        <is>
          <t>个人技术计时升级</t>
        </is>
      </c>
      <c r="J521" s="57">
        <f>'个人技术逐级'!M521</f>
        <v/>
      </c>
      <c r="K521" s="35">
        <f>J521/3600</f>
        <v/>
      </c>
      <c r="L521" s="35">
        <f>SUMIFS($K$5:$K$692,$A$5:$A$692,A521,$B$5:$B$692,B521,$F$5:$F$692,"&lt;="&amp;F521)</f>
        <v/>
      </c>
      <c r="M521" s="58">
        <f>'个人技术逐级'!N521</f>
        <v/>
      </c>
      <c r="N521" s="58">
        <f>SUMIFS($M$5:$M$692,$A$5:$A$692,A521,$B$5:$B$692,B521,$F$5:$F$692,"&lt;="&amp;F521)</f>
        <v/>
      </c>
      <c r="O521" s="58">
        <f>0</f>
        <v/>
      </c>
      <c r="P521" s="58">
        <f>SUMIFS($O$5:$O$692,$A$5:$A$692,A521,$B$5:$B$692,B521,$F$5:$F$692,"&lt;="&amp;F521)</f>
        <v/>
      </c>
      <c r="Q521" s="58">
        <f>0</f>
        <v/>
      </c>
      <c r="R521" s="58">
        <f>SUMIFS($Q$5:$Q$692,$A$5:$A$692,A521,$B$5:$B$692,B521,$F$5:$F$692,"&lt;="&amp;F521)</f>
        <v/>
      </c>
      <c r="S521" s="58">
        <f>0</f>
        <v/>
      </c>
      <c r="T521" s="58">
        <f>SUMIFS($S$5:$S$692,$A$5:$A$692,A521,$B$5:$B$692,B521,$F$5:$F$692,"&lt;="&amp;F521)</f>
        <v/>
      </c>
      <c r="U521" s="52">
        <f>'个人技术逐级'!O521</f>
        <v/>
      </c>
    </row>
    <row r="522">
      <c r="A522" s="33" t="inlineStr">
        <is>
          <t>个人技术</t>
        </is>
      </c>
      <c r="B522" s="33">
        <f>'个人技术逐级'!A522</f>
        <v/>
      </c>
      <c r="C522" s="33">
        <f>'个人技术逐级'!B522</f>
        <v/>
      </c>
      <c r="D522" s="33">
        <f>'个人技术逐级'!C522</f>
        <v/>
      </c>
      <c r="E522">
        <f>'个人技术逐级'!D522</f>
        <v/>
      </c>
      <c r="F522" s="54">
        <f>'个人技术逐级'!E522</f>
        <v/>
      </c>
      <c r="G522" s="55">
        <f>'个人技术逐级'!F522</f>
        <v/>
      </c>
      <c r="H522" s="56">
        <f>'个人技术逐级'!G522</f>
        <v/>
      </c>
      <c r="I522" s="52" t="inlineStr">
        <is>
          <t>个人技术计时升级</t>
        </is>
      </c>
      <c r="J522" s="57">
        <f>'个人技术逐级'!M522</f>
        <v/>
      </c>
      <c r="K522" s="35">
        <f>J522/3600</f>
        <v/>
      </c>
      <c r="L522" s="35">
        <f>SUMIFS($K$5:$K$692,$A$5:$A$692,A522,$B$5:$B$692,B522,$F$5:$F$692,"&lt;="&amp;F522)</f>
        <v/>
      </c>
      <c r="M522" s="58">
        <f>'个人技术逐级'!N522</f>
        <v/>
      </c>
      <c r="N522" s="58">
        <f>SUMIFS($M$5:$M$692,$A$5:$A$692,A522,$B$5:$B$692,B522,$F$5:$F$692,"&lt;="&amp;F522)</f>
        <v/>
      </c>
      <c r="O522" s="58">
        <f>0</f>
        <v/>
      </c>
      <c r="P522" s="58">
        <f>SUMIFS($O$5:$O$692,$A$5:$A$692,A522,$B$5:$B$692,B522,$F$5:$F$692,"&lt;="&amp;F522)</f>
        <v/>
      </c>
      <c r="Q522" s="58">
        <f>0</f>
        <v/>
      </c>
      <c r="R522" s="58">
        <f>SUMIFS($Q$5:$Q$692,$A$5:$A$692,A522,$B$5:$B$692,B522,$F$5:$F$692,"&lt;="&amp;F522)</f>
        <v/>
      </c>
      <c r="S522" s="58">
        <f>0</f>
        <v/>
      </c>
      <c r="T522" s="58">
        <f>SUMIFS($S$5:$S$692,$A$5:$A$692,A522,$B$5:$B$692,B522,$F$5:$F$692,"&lt;="&amp;F522)</f>
        <v/>
      </c>
      <c r="U522" s="52">
        <f>'个人技术逐级'!O522</f>
        <v/>
      </c>
    </row>
    <row r="523">
      <c r="A523" s="33" t="inlineStr">
        <is>
          <t>个人技术</t>
        </is>
      </c>
      <c r="B523" s="33">
        <f>'个人技术逐级'!A523</f>
        <v/>
      </c>
      <c r="C523" s="33">
        <f>'个人技术逐级'!B523</f>
        <v/>
      </c>
      <c r="D523" s="33">
        <f>'个人技术逐级'!C523</f>
        <v/>
      </c>
      <c r="E523">
        <f>'个人技术逐级'!D523</f>
        <v/>
      </c>
      <c r="F523" s="54">
        <f>'个人技术逐级'!E523</f>
        <v/>
      </c>
      <c r="G523" s="55">
        <f>'个人技术逐级'!F523</f>
        <v/>
      </c>
      <c r="H523" s="56">
        <f>'个人技术逐级'!G523</f>
        <v/>
      </c>
      <c r="I523" s="52" t="inlineStr">
        <is>
          <t>个人技术计时升级</t>
        </is>
      </c>
      <c r="J523" s="57">
        <f>'个人技术逐级'!M523</f>
        <v/>
      </c>
      <c r="K523" s="35">
        <f>J523/3600</f>
        <v/>
      </c>
      <c r="L523" s="35">
        <f>SUMIFS($K$5:$K$692,$A$5:$A$692,A523,$B$5:$B$692,B523,$F$5:$F$692,"&lt;="&amp;F523)</f>
        <v/>
      </c>
      <c r="M523" s="58">
        <f>'个人技术逐级'!N523</f>
        <v/>
      </c>
      <c r="N523" s="58">
        <f>SUMIFS($M$5:$M$692,$A$5:$A$692,A523,$B$5:$B$692,B523,$F$5:$F$692,"&lt;="&amp;F523)</f>
        <v/>
      </c>
      <c r="O523" s="58">
        <f>0</f>
        <v/>
      </c>
      <c r="P523" s="58">
        <f>SUMIFS($O$5:$O$692,$A$5:$A$692,A523,$B$5:$B$692,B523,$F$5:$F$692,"&lt;="&amp;F523)</f>
        <v/>
      </c>
      <c r="Q523" s="58">
        <f>0</f>
        <v/>
      </c>
      <c r="R523" s="58">
        <f>SUMIFS($Q$5:$Q$692,$A$5:$A$692,A523,$B$5:$B$692,B523,$F$5:$F$692,"&lt;="&amp;F523)</f>
        <v/>
      </c>
      <c r="S523" s="58">
        <f>0</f>
        <v/>
      </c>
      <c r="T523" s="58">
        <f>SUMIFS($S$5:$S$692,$A$5:$A$692,A523,$B$5:$B$692,B523,$F$5:$F$692,"&lt;="&amp;F523)</f>
        <v/>
      </c>
      <c r="U523" s="52">
        <f>'个人技术逐级'!O523</f>
        <v/>
      </c>
    </row>
    <row r="524">
      <c r="A524" s="33" t="inlineStr">
        <is>
          <t>个人技术</t>
        </is>
      </c>
      <c r="B524" s="33">
        <f>'个人技术逐级'!A524</f>
        <v/>
      </c>
      <c r="C524" s="33">
        <f>'个人技术逐级'!B524</f>
        <v/>
      </c>
      <c r="D524" s="33">
        <f>'个人技术逐级'!C524</f>
        <v/>
      </c>
      <c r="E524">
        <f>'个人技术逐级'!D524</f>
        <v/>
      </c>
      <c r="F524" s="54">
        <f>'个人技术逐级'!E524</f>
        <v/>
      </c>
      <c r="G524" s="55">
        <f>'个人技术逐级'!F524</f>
        <v/>
      </c>
      <c r="H524" s="56">
        <f>'个人技术逐级'!G524</f>
        <v/>
      </c>
      <c r="I524" s="52" t="inlineStr">
        <is>
          <t>个人技术计时升级</t>
        </is>
      </c>
      <c r="J524" s="57">
        <f>'个人技术逐级'!M524</f>
        <v/>
      </c>
      <c r="K524" s="35">
        <f>J524/3600</f>
        <v/>
      </c>
      <c r="L524" s="35">
        <f>SUMIFS($K$5:$K$692,$A$5:$A$692,A524,$B$5:$B$692,B524,$F$5:$F$692,"&lt;="&amp;F524)</f>
        <v/>
      </c>
      <c r="M524" s="58">
        <f>'个人技术逐级'!N524</f>
        <v/>
      </c>
      <c r="N524" s="58">
        <f>SUMIFS($M$5:$M$692,$A$5:$A$692,A524,$B$5:$B$692,B524,$F$5:$F$692,"&lt;="&amp;F524)</f>
        <v/>
      </c>
      <c r="O524" s="58">
        <f>0</f>
        <v/>
      </c>
      <c r="P524" s="58">
        <f>SUMIFS($O$5:$O$692,$A$5:$A$692,A524,$B$5:$B$692,B524,$F$5:$F$692,"&lt;="&amp;F524)</f>
        <v/>
      </c>
      <c r="Q524" s="58">
        <f>0</f>
        <v/>
      </c>
      <c r="R524" s="58">
        <f>SUMIFS($Q$5:$Q$692,$A$5:$A$692,A524,$B$5:$B$692,B524,$F$5:$F$692,"&lt;="&amp;F524)</f>
        <v/>
      </c>
      <c r="S524" s="58">
        <f>0</f>
        <v/>
      </c>
      <c r="T524" s="58">
        <f>SUMIFS($S$5:$S$692,$A$5:$A$692,A524,$B$5:$B$692,B524,$F$5:$F$692,"&lt;="&amp;F524)</f>
        <v/>
      </c>
      <c r="U524" s="52">
        <f>'个人技术逐级'!O524</f>
        <v/>
      </c>
    </row>
    <row r="525">
      <c r="A525" s="33" t="inlineStr">
        <is>
          <t>个人技术</t>
        </is>
      </c>
      <c r="B525" s="33">
        <f>'个人技术逐级'!A525</f>
        <v/>
      </c>
      <c r="C525" s="33">
        <f>'个人技术逐级'!B525</f>
        <v/>
      </c>
      <c r="D525" s="33">
        <f>'个人技术逐级'!C525</f>
        <v/>
      </c>
      <c r="E525">
        <f>'个人技术逐级'!D525</f>
        <v/>
      </c>
      <c r="F525" s="54">
        <f>'个人技术逐级'!E525</f>
        <v/>
      </c>
      <c r="G525" s="55">
        <f>'个人技术逐级'!F525</f>
        <v/>
      </c>
      <c r="H525" s="56">
        <f>'个人技术逐级'!G525</f>
        <v/>
      </c>
      <c r="I525" s="52" t="inlineStr">
        <is>
          <t>个人技术计时升级</t>
        </is>
      </c>
      <c r="J525" s="57">
        <f>'个人技术逐级'!M525</f>
        <v/>
      </c>
      <c r="K525" s="35">
        <f>J525/3600</f>
        <v/>
      </c>
      <c r="L525" s="35">
        <f>SUMIFS($K$5:$K$692,$A$5:$A$692,A525,$B$5:$B$692,B525,$F$5:$F$692,"&lt;="&amp;F525)</f>
        <v/>
      </c>
      <c r="M525" s="58">
        <f>'个人技术逐级'!N525</f>
        <v/>
      </c>
      <c r="N525" s="58">
        <f>SUMIFS($M$5:$M$692,$A$5:$A$692,A525,$B$5:$B$692,B525,$F$5:$F$692,"&lt;="&amp;F525)</f>
        <v/>
      </c>
      <c r="O525" s="58">
        <f>0</f>
        <v/>
      </c>
      <c r="P525" s="58">
        <f>SUMIFS($O$5:$O$692,$A$5:$A$692,A525,$B$5:$B$692,B525,$F$5:$F$692,"&lt;="&amp;F525)</f>
        <v/>
      </c>
      <c r="Q525" s="58">
        <f>0</f>
        <v/>
      </c>
      <c r="R525" s="58">
        <f>SUMIFS($Q$5:$Q$692,$A$5:$A$692,A525,$B$5:$B$692,B525,$F$5:$F$692,"&lt;="&amp;F525)</f>
        <v/>
      </c>
      <c r="S525" s="58">
        <f>0</f>
        <v/>
      </c>
      <c r="T525" s="58">
        <f>SUMIFS($S$5:$S$692,$A$5:$A$692,A525,$B$5:$B$692,B525,$F$5:$F$692,"&lt;="&amp;F525)</f>
        <v/>
      </c>
      <c r="U525" s="52">
        <f>'个人技术逐级'!O525</f>
        <v/>
      </c>
    </row>
    <row r="526">
      <c r="A526" s="33" t="inlineStr">
        <is>
          <t>个人技术</t>
        </is>
      </c>
      <c r="B526" s="33">
        <f>'个人技术逐级'!A526</f>
        <v/>
      </c>
      <c r="C526" s="33">
        <f>'个人技术逐级'!B526</f>
        <v/>
      </c>
      <c r="D526" s="33">
        <f>'个人技术逐级'!C526</f>
        <v/>
      </c>
      <c r="E526">
        <f>'个人技术逐级'!D526</f>
        <v/>
      </c>
      <c r="F526" s="54">
        <f>'个人技术逐级'!E526</f>
        <v/>
      </c>
      <c r="G526" s="55">
        <f>'个人技术逐级'!F526</f>
        <v/>
      </c>
      <c r="H526" s="56">
        <f>'个人技术逐级'!G526</f>
        <v/>
      </c>
      <c r="I526" s="52" t="inlineStr">
        <is>
          <t>个人技术计时升级</t>
        </is>
      </c>
      <c r="J526" s="57">
        <f>'个人技术逐级'!M526</f>
        <v/>
      </c>
      <c r="K526" s="35">
        <f>J526/3600</f>
        <v/>
      </c>
      <c r="L526" s="35">
        <f>SUMIFS($K$5:$K$692,$A$5:$A$692,A526,$B$5:$B$692,B526,$F$5:$F$692,"&lt;="&amp;F526)</f>
        <v/>
      </c>
      <c r="M526" s="58">
        <f>'个人技术逐级'!N526</f>
        <v/>
      </c>
      <c r="N526" s="58">
        <f>SUMIFS($M$5:$M$692,$A$5:$A$692,A526,$B$5:$B$692,B526,$F$5:$F$692,"&lt;="&amp;F526)</f>
        <v/>
      </c>
      <c r="O526" s="58">
        <f>0</f>
        <v/>
      </c>
      <c r="P526" s="58">
        <f>SUMIFS($O$5:$O$692,$A$5:$A$692,A526,$B$5:$B$692,B526,$F$5:$F$692,"&lt;="&amp;F526)</f>
        <v/>
      </c>
      <c r="Q526" s="58">
        <f>0</f>
        <v/>
      </c>
      <c r="R526" s="58">
        <f>SUMIFS($Q$5:$Q$692,$A$5:$A$692,A526,$B$5:$B$692,B526,$F$5:$F$692,"&lt;="&amp;F526)</f>
        <v/>
      </c>
      <c r="S526" s="58">
        <f>0</f>
        <v/>
      </c>
      <c r="T526" s="58">
        <f>SUMIFS($S$5:$S$692,$A$5:$A$692,A526,$B$5:$B$692,B526,$F$5:$F$692,"&lt;="&amp;F526)</f>
        <v/>
      </c>
      <c r="U526" s="52">
        <f>'个人技术逐级'!O526</f>
        <v/>
      </c>
    </row>
    <row r="527">
      <c r="A527" s="33" t="inlineStr">
        <is>
          <t>个人技术</t>
        </is>
      </c>
      <c r="B527" s="33">
        <f>'个人技术逐级'!A527</f>
        <v/>
      </c>
      <c r="C527" s="33">
        <f>'个人技术逐级'!B527</f>
        <v/>
      </c>
      <c r="D527" s="33">
        <f>'个人技术逐级'!C527</f>
        <v/>
      </c>
      <c r="E527">
        <f>'个人技术逐级'!D527</f>
        <v/>
      </c>
      <c r="F527" s="54">
        <f>'个人技术逐级'!E527</f>
        <v/>
      </c>
      <c r="G527" s="55">
        <f>'个人技术逐级'!F527</f>
        <v/>
      </c>
      <c r="H527" s="56">
        <f>'个人技术逐级'!G527</f>
        <v/>
      </c>
      <c r="I527" s="52" t="inlineStr">
        <is>
          <t>个人技术计时升级</t>
        </is>
      </c>
      <c r="J527" s="57">
        <f>'个人技术逐级'!M527</f>
        <v/>
      </c>
      <c r="K527" s="35">
        <f>J527/3600</f>
        <v/>
      </c>
      <c r="L527" s="35">
        <f>SUMIFS($K$5:$K$692,$A$5:$A$692,A527,$B$5:$B$692,B527,$F$5:$F$692,"&lt;="&amp;F527)</f>
        <v/>
      </c>
      <c r="M527" s="58">
        <f>'个人技术逐级'!N527</f>
        <v/>
      </c>
      <c r="N527" s="58">
        <f>SUMIFS($M$5:$M$692,$A$5:$A$692,A527,$B$5:$B$692,B527,$F$5:$F$692,"&lt;="&amp;F527)</f>
        <v/>
      </c>
      <c r="O527" s="58">
        <f>0</f>
        <v/>
      </c>
      <c r="P527" s="58">
        <f>SUMIFS($O$5:$O$692,$A$5:$A$692,A527,$B$5:$B$692,B527,$F$5:$F$692,"&lt;="&amp;F527)</f>
        <v/>
      </c>
      <c r="Q527" s="58">
        <f>0</f>
        <v/>
      </c>
      <c r="R527" s="58">
        <f>SUMIFS($Q$5:$Q$692,$A$5:$A$692,A527,$B$5:$B$692,B527,$F$5:$F$692,"&lt;="&amp;F527)</f>
        <v/>
      </c>
      <c r="S527" s="58">
        <f>0</f>
        <v/>
      </c>
      <c r="T527" s="58">
        <f>SUMIFS($S$5:$S$692,$A$5:$A$692,A527,$B$5:$B$692,B527,$F$5:$F$692,"&lt;="&amp;F527)</f>
        <v/>
      </c>
      <c r="U527" s="52">
        <f>'个人技术逐级'!O527</f>
        <v/>
      </c>
    </row>
    <row r="528">
      <c r="A528" s="33" t="inlineStr">
        <is>
          <t>个人技术</t>
        </is>
      </c>
      <c r="B528" s="33">
        <f>'个人技术逐级'!A528</f>
        <v/>
      </c>
      <c r="C528" s="33">
        <f>'个人技术逐级'!B528</f>
        <v/>
      </c>
      <c r="D528" s="33">
        <f>'个人技术逐级'!C528</f>
        <v/>
      </c>
      <c r="E528">
        <f>'个人技术逐级'!D528</f>
        <v/>
      </c>
      <c r="F528" s="54">
        <f>'个人技术逐级'!E528</f>
        <v/>
      </c>
      <c r="G528" s="55">
        <f>'个人技术逐级'!F528</f>
        <v/>
      </c>
      <c r="H528" s="56">
        <f>'个人技术逐级'!G528</f>
        <v/>
      </c>
      <c r="I528" s="52" t="inlineStr">
        <is>
          <t>个人技术计时升级</t>
        </is>
      </c>
      <c r="J528" s="57">
        <f>'个人技术逐级'!M528</f>
        <v/>
      </c>
      <c r="K528" s="35">
        <f>J528/3600</f>
        <v/>
      </c>
      <c r="L528" s="35">
        <f>SUMIFS($K$5:$K$692,$A$5:$A$692,A528,$B$5:$B$692,B528,$F$5:$F$692,"&lt;="&amp;F528)</f>
        <v/>
      </c>
      <c r="M528" s="58">
        <f>'个人技术逐级'!N528</f>
        <v/>
      </c>
      <c r="N528" s="58">
        <f>SUMIFS($M$5:$M$692,$A$5:$A$692,A528,$B$5:$B$692,B528,$F$5:$F$692,"&lt;="&amp;F528)</f>
        <v/>
      </c>
      <c r="O528" s="58">
        <f>0</f>
        <v/>
      </c>
      <c r="P528" s="58">
        <f>SUMIFS($O$5:$O$692,$A$5:$A$692,A528,$B$5:$B$692,B528,$F$5:$F$692,"&lt;="&amp;F528)</f>
        <v/>
      </c>
      <c r="Q528" s="58">
        <f>0</f>
        <v/>
      </c>
      <c r="R528" s="58">
        <f>SUMIFS($Q$5:$Q$692,$A$5:$A$692,A528,$B$5:$B$692,B528,$F$5:$F$692,"&lt;="&amp;F528)</f>
        <v/>
      </c>
      <c r="S528" s="58">
        <f>0</f>
        <v/>
      </c>
      <c r="T528" s="58">
        <f>SUMIFS($S$5:$S$692,$A$5:$A$692,A528,$B$5:$B$692,B528,$F$5:$F$692,"&lt;="&amp;F528)</f>
        <v/>
      </c>
      <c r="U528" s="52">
        <f>'个人技术逐级'!O528</f>
        <v/>
      </c>
    </row>
    <row r="529">
      <c r="A529" s="33" t="inlineStr">
        <is>
          <t>个人技术</t>
        </is>
      </c>
      <c r="B529" s="33">
        <f>'个人技术逐级'!A529</f>
        <v/>
      </c>
      <c r="C529" s="33">
        <f>'个人技术逐级'!B529</f>
        <v/>
      </c>
      <c r="D529" s="33">
        <f>'个人技术逐级'!C529</f>
        <v/>
      </c>
      <c r="E529">
        <f>'个人技术逐级'!D529</f>
        <v/>
      </c>
      <c r="F529" s="54">
        <f>'个人技术逐级'!E529</f>
        <v/>
      </c>
      <c r="G529" s="55">
        <f>'个人技术逐级'!F529</f>
        <v/>
      </c>
      <c r="H529" s="56">
        <f>'个人技术逐级'!G529</f>
        <v/>
      </c>
      <c r="I529" s="52" t="inlineStr">
        <is>
          <t>个人技术计时升级</t>
        </is>
      </c>
      <c r="J529" s="57">
        <f>'个人技术逐级'!M529</f>
        <v/>
      </c>
      <c r="K529" s="35">
        <f>J529/3600</f>
        <v/>
      </c>
      <c r="L529" s="35">
        <f>SUMIFS($K$5:$K$692,$A$5:$A$692,A529,$B$5:$B$692,B529,$F$5:$F$692,"&lt;="&amp;F529)</f>
        <v/>
      </c>
      <c r="M529" s="58">
        <f>'个人技术逐级'!N529</f>
        <v/>
      </c>
      <c r="N529" s="58">
        <f>SUMIFS($M$5:$M$692,$A$5:$A$692,A529,$B$5:$B$692,B529,$F$5:$F$692,"&lt;="&amp;F529)</f>
        <v/>
      </c>
      <c r="O529" s="58">
        <f>0</f>
        <v/>
      </c>
      <c r="P529" s="58">
        <f>SUMIFS($O$5:$O$692,$A$5:$A$692,A529,$B$5:$B$692,B529,$F$5:$F$692,"&lt;="&amp;F529)</f>
        <v/>
      </c>
      <c r="Q529" s="58">
        <f>0</f>
        <v/>
      </c>
      <c r="R529" s="58">
        <f>SUMIFS($Q$5:$Q$692,$A$5:$A$692,A529,$B$5:$B$692,B529,$F$5:$F$692,"&lt;="&amp;F529)</f>
        <v/>
      </c>
      <c r="S529" s="58">
        <f>0</f>
        <v/>
      </c>
      <c r="T529" s="58">
        <f>SUMIFS($S$5:$S$692,$A$5:$A$692,A529,$B$5:$B$692,B529,$F$5:$F$692,"&lt;="&amp;F529)</f>
        <v/>
      </c>
      <c r="U529" s="52">
        <f>'个人技术逐级'!O529</f>
        <v/>
      </c>
    </row>
    <row r="530">
      <c r="A530" s="33" t="inlineStr">
        <is>
          <t>个人技术</t>
        </is>
      </c>
      <c r="B530" s="33">
        <f>'个人技术逐级'!A530</f>
        <v/>
      </c>
      <c r="C530" s="33">
        <f>'个人技术逐级'!B530</f>
        <v/>
      </c>
      <c r="D530" s="33">
        <f>'个人技术逐级'!C530</f>
        <v/>
      </c>
      <c r="E530">
        <f>'个人技术逐级'!D530</f>
        <v/>
      </c>
      <c r="F530" s="54">
        <f>'个人技术逐级'!E530</f>
        <v/>
      </c>
      <c r="G530" s="55">
        <f>'个人技术逐级'!F530</f>
        <v/>
      </c>
      <c r="H530" s="56">
        <f>'个人技术逐级'!G530</f>
        <v/>
      </c>
      <c r="I530" s="52" t="inlineStr">
        <is>
          <t>个人技术计时升级</t>
        </is>
      </c>
      <c r="J530" s="57">
        <f>'个人技术逐级'!M530</f>
        <v/>
      </c>
      <c r="K530" s="35">
        <f>J530/3600</f>
        <v/>
      </c>
      <c r="L530" s="35">
        <f>SUMIFS($K$5:$K$692,$A$5:$A$692,A530,$B$5:$B$692,B530,$F$5:$F$692,"&lt;="&amp;F530)</f>
        <v/>
      </c>
      <c r="M530" s="58">
        <f>'个人技术逐级'!N530</f>
        <v/>
      </c>
      <c r="N530" s="58">
        <f>SUMIFS($M$5:$M$692,$A$5:$A$692,A530,$B$5:$B$692,B530,$F$5:$F$692,"&lt;="&amp;F530)</f>
        <v/>
      </c>
      <c r="O530" s="58">
        <f>0</f>
        <v/>
      </c>
      <c r="P530" s="58">
        <f>SUMIFS($O$5:$O$692,$A$5:$A$692,A530,$B$5:$B$692,B530,$F$5:$F$692,"&lt;="&amp;F530)</f>
        <v/>
      </c>
      <c r="Q530" s="58">
        <f>0</f>
        <v/>
      </c>
      <c r="R530" s="58">
        <f>SUMIFS($Q$5:$Q$692,$A$5:$A$692,A530,$B$5:$B$692,B530,$F$5:$F$692,"&lt;="&amp;F530)</f>
        <v/>
      </c>
      <c r="S530" s="58">
        <f>0</f>
        <v/>
      </c>
      <c r="T530" s="58">
        <f>SUMIFS($S$5:$S$692,$A$5:$A$692,A530,$B$5:$B$692,B530,$F$5:$F$692,"&lt;="&amp;F530)</f>
        <v/>
      </c>
      <c r="U530" s="52">
        <f>'个人技术逐级'!O530</f>
        <v/>
      </c>
    </row>
    <row r="531">
      <c r="A531" s="33" t="inlineStr">
        <is>
          <t>个人技术</t>
        </is>
      </c>
      <c r="B531" s="33">
        <f>'个人技术逐级'!A531</f>
        <v/>
      </c>
      <c r="C531" s="33">
        <f>'个人技术逐级'!B531</f>
        <v/>
      </c>
      <c r="D531" s="33">
        <f>'个人技术逐级'!C531</f>
        <v/>
      </c>
      <c r="E531">
        <f>'个人技术逐级'!D531</f>
        <v/>
      </c>
      <c r="F531" s="54">
        <f>'个人技术逐级'!E531</f>
        <v/>
      </c>
      <c r="G531" s="55">
        <f>'个人技术逐级'!F531</f>
        <v/>
      </c>
      <c r="H531" s="56">
        <f>'个人技术逐级'!G531</f>
        <v/>
      </c>
      <c r="I531" s="52" t="inlineStr">
        <is>
          <t>个人技术计时升级</t>
        </is>
      </c>
      <c r="J531" s="57">
        <f>'个人技术逐级'!M531</f>
        <v/>
      </c>
      <c r="K531" s="35">
        <f>J531/3600</f>
        <v/>
      </c>
      <c r="L531" s="35">
        <f>SUMIFS($K$5:$K$692,$A$5:$A$692,A531,$B$5:$B$692,B531,$F$5:$F$692,"&lt;="&amp;F531)</f>
        <v/>
      </c>
      <c r="M531" s="58">
        <f>'个人技术逐级'!N531</f>
        <v/>
      </c>
      <c r="N531" s="58">
        <f>SUMIFS($M$5:$M$692,$A$5:$A$692,A531,$B$5:$B$692,B531,$F$5:$F$692,"&lt;="&amp;F531)</f>
        <v/>
      </c>
      <c r="O531" s="58">
        <f>0</f>
        <v/>
      </c>
      <c r="P531" s="58">
        <f>SUMIFS($O$5:$O$692,$A$5:$A$692,A531,$B$5:$B$692,B531,$F$5:$F$692,"&lt;="&amp;F531)</f>
        <v/>
      </c>
      <c r="Q531" s="58">
        <f>0</f>
        <v/>
      </c>
      <c r="R531" s="58">
        <f>SUMIFS($Q$5:$Q$692,$A$5:$A$692,A531,$B$5:$B$692,B531,$F$5:$F$692,"&lt;="&amp;F531)</f>
        <v/>
      </c>
      <c r="S531" s="58">
        <f>0</f>
        <v/>
      </c>
      <c r="T531" s="58">
        <f>SUMIFS($S$5:$S$692,$A$5:$A$692,A531,$B$5:$B$692,B531,$F$5:$F$692,"&lt;="&amp;F531)</f>
        <v/>
      </c>
      <c r="U531" s="52">
        <f>'个人技术逐级'!O531</f>
        <v/>
      </c>
    </row>
    <row r="532">
      <c r="A532" s="33" t="inlineStr">
        <is>
          <t>个人技术</t>
        </is>
      </c>
      <c r="B532" s="33">
        <f>'个人技术逐级'!A532</f>
        <v/>
      </c>
      <c r="C532" s="33">
        <f>'个人技术逐级'!B532</f>
        <v/>
      </c>
      <c r="D532" s="33">
        <f>'个人技术逐级'!C532</f>
        <v/>
      </c>
      <c r="E532">
        <f>'个人技术逐级'!D532</f>
        <v/>
      </c>
      <c r="F532" s="54">
        <f>'个人技术逐级'!E532</f>
        <v/>
      </c>
      <c r="G532" s="55">
        <f>'个人技术逐级'!F532</f>
        <v/>
      </c>
      <c r="H532" s="56">
        <f>'个人技术逐级'!G532</f>
        <v/>
      </c>
      <c r="I532" s="52" t="inlineStr">
        <is>
          <t>个人技术计时升级</t>
        </is>
      </c>
      <c r="J532" s="57">
        <f>'个人技术逐级'!M532</f>
        <v/>
      </c>
      <c r="K532" s="35">
        <f>J532/3600</f>
        <v/>
      </c>
      <c r="L532" s="35">
        <f>SUMIFS($K$5:$K$692,$A$5:$A$692,A532,$B$5:$B$692,B532,$F$5:$F$692,"&lt;="&amp;F532)</f>
        <v/>
      </c>
      <c r="M532" s="58">
        <f>'个人技术逐级'!N532</f>
        <v/>
      </c>
      <c r="N532" s="58">
        <f>SUMIFS($M$5:$M$692,$A$5:$A$692,A532,$B$5:$B$692,B532,$F$5:$F$692,"&lt;="&amp;F532)</f>
        <v/>
      </c>
      <c r="O532" s="58">
        <f>0</f>
        <v/>
      </c>
      <c r="P532" s="58">
        <f>SUMIFS($O$5:$O$692,$A$5:$A$692,A532,$B$5:$B$692,B532,$F$5:$F$692,"&lt;="&amp;F532)</f>
        <v/>
      </c>
      <c r="Q532" s="58">
        <f>0</f>
        <v/>
      </c>
      <c r="R532" s="58">
        <f>SUMIFS($Q$5:$Q$692,$A$5:$A$692,A532,$B$5:$B$692,B532,$F$5:$F$692,"&lt;="&amp;F532)</f>
        <v/>
      </c>
      <c r="S532" s="58">
        <f>0</f>
        <v/>
      </c>
      <c r="T532" s="58">
        <f>SUMIFS($S$5:$S$692,$A$5:$A$692,A532,$B$5:$B$692,B532,$F$5:$F$692,"&lt;="&amp;F532)</f>
        <v/>
      </c>
      <c r="U532" s="52">
        <f>'个人技术逐级'!O532</f>
        <v/>
      </c>
    </row>
    <row r="533">
      <c r="A533" s="33" t="inlineStr">
        <is>
          <t>个人技术</t>
        </is>
      </c>
      <c r="B533" s="33">
        <f>'个人技术逐级'!A533</f>
        <v/>
      </c>
      <c r="C533" s="33">
        <f>'个人技术逐级'!B533</f>
        <v/>
      </c>
      <c r="D533" s="33">
        <f>'个人技术逐级'!C533</f>
        <v/>
      </c>
      <c r="E533">
        <f>'个人技术逐级'!D533</f>
        <v/>
      </c>
      <c r="F533" s="54">
        <f>'个人技术逐级'!E533</f>
        <v/>
      </c>
      <c r="G533" s="55">
        <f>'个人技术逐级'!F533</f>
        <v/>
      </c>
      <c r="H533" s="56">
        <f>'个人技术逐级'!G533</f>
        <v/>
      </c>
      <c r="I533" s="52" t="inlineStr">
        <is>
          <t>个人技术计时升级</t>
        </is>
      </c>
      <c r="J533" s="57">
        <f>'个人技术逐级'!M533</f>
        <v/>
      </c>
      <c r="K533" s="35">
        <f>J533/3600</f>
        <v/>
      </c>
      <c r="L533" s="35">
        <f>SUMIFS($K$5:$K$692,$A$5:$A$692,A533,$B$5:$B$692,B533,$F$5:$F$692,"&lt;="&amp;F533)</f>
        <v/>
      </c>
      <c r="M533" s="58">
        <f>'个人技术逐级'!N533</f>
        <v/>
      </c>
      <c r="N533" s="58">
        <f>SUMIFS($M$5:$M$692,$A$5:$A$692,A533,$B$5:$B$692,B533,$F$5:$F$692,"&lt;="&amp;F533)</f>
        <v/>
      </c>
      <c r="O533" s="58">
        <f>0</f>
        <v/>
      </c>
      <c r="P533" s="58">
        <f>SUMIFS($O$5:$O$692,$A$5:$A$692,A533,$B$5:$B$692,B533,$F$5:$F$692,"&lt;="&amp;F533)</f>
        <v/>
      </c>
      <c r="Q533" s="58">
        <f>0</f>
        <v/>
      </c>
      <c r="R533" s="58">
        <f>SUMIFS($Q$5:$Q$692,$A$5:$A$692,A533,$B$5:$B$692,B533,$F$5:$F$692,"&lt;="&amp;F533)</f>
        <v/>
      </c>
      <c r="S533" s="58">
        <f>0</f>
        <v/>
      </c>
      <c r="T533" s="58">
        <f>SUMIFS($S$5:$S$692,$A$5:$A$692,A533,$B$5:$B$692,B533,$F$5:$F$692,"&lt;="&amp;F533)</f>
        <v/>
      </c>
      <c r="U533" s="52">
        <f>'个人技术逐级'!O533</f>
        <v/>
      </c>
    </row>
    <row r="534">
      <c r="A534" s="33" t="inlineStr">
        <is>
          <t>个人技术</t>
        </is>
      </c>
      <c r="B534" s="33">
        <f>'个人技术逐级'!A534</f>
        <v/>
      </c>
      <c r="C534" s="33">
        <f>'个人技术逐级'!B534</f>
        <v/>
      </c>
      <c r="D534" s="33">
        <f>'个人技术逐级'!C534</f>
        <v/>
      </c>
      <c r="E534">
        <f>'个人技术逐级'!D534</f>
        <v/>
      </c>
      <c r="F534" s="54">
        <f>'个人技术逐级'!E534</f>
        <v/>
      </c>
      <c r="G534" s="55">
        <f>'个人技术逐级'!F534</f>
        <v/>
      </c>
      <c r="H534" s="56">
        <f>'个人技术逐级'!G534</f>
        <v/>
      </c>
      <c r="I534" s="52" t="inlineStr">
        <is>
          <t>个人技术计时升级</t>
        </is>
      </c>
      <c r="J534" s="57">
        <f>'个人技术逐级'!M534</f>
        <v/>
      </c>
      <c r="K534" s="35">
        <f>J534/3600</f>
        <v/>
      </c>
      <c r="L534" s="35">
        <f>SUMIFS($K$5:$K$692,$A$5:$A$692,A534,$B$5:$B$692,B534,$F$5:$F$692,"&lt;="&amp;F534)</f>
        <v/>
      </c>
      <c r="M534" s="58">
        <f>'个人技术逐级'!N534</f>
        <v/>
      </c>
      <c r="N534" s="58">
        <f>SUMIFS($M$5:$M$692,$A$5:$A$692,A534,$B$5:$B$692,B534,$F$5:$F$692,"&lt;="&amp;F534)</f>
        <v/>
      </c>
      <c r="O534" s="58">
        <f>0</f>
        <v/>
      </c>
      <c r="P534" s="58">
        <f>SUMIFS($O$5:$O$692,$A$5:$A$692,A534,$B$5:$B$692,B534,$F$5:$F$692,"&lt;="&amp;F534)</f>
        <v/>
      </c>
      <c r="Q534" s="58">
        <f>0</f>
        <v/>
      </c>
      <c r="R534" s="58">
        <f>SUMIFS($Q$5:$Q$692,$A$5:$A$692,A534,$B$5:$B$692,B534,$F$5:$F$692,"&lt;="&amp;F534)</f>
        <v/>
      </c>
      <c r="S534" s="58">
        <f>0</f>
        <v/>
      </c>
      <c r="T534" s="58">
        <f>SUMIFS($S$5:$S$692,$A$5:$A$692,A534,$B$5:$B$692,B534,$F$5:$F$692,"&lt;="&amp;F534)</f>
        <v/>
      </c>
      <c r="U534" s="52">
        <f>'个人技术逐级'!O534</f>
        <v/>
      </c>
    </row>
    <row r="535">
      <c r="A535" s="33" t="inlineStr">
        <is>
          <t>个人技术</t>
        </is>
      </c>
      <c r="B535" s="33">
        <f>'个人技术逐级'!A535</f>
        <v/>
      </c>
      <c r="C535" s="33">
        <f>'个人技术逐级'!B535</f>
        <v/>
      </c>
      <c r="D535" s="33">
        <f>'个人技术逐级'!C535</f>
        <v/>
      </c>
      <c r="E535">
        <f>'个人技术逐级'!D535</f>
        <v/>
      </c>
      <c r="F535" s="54">
        <f>'个人技术逐级'!E535</f>
        <v/>
      </c>
      <c r="G535" s="55">
        <f>'个人技术逐级'!F535</f>
        <v/>
      </c>
      <c r="H535" s="56">
        <f>'个人技术逐级'!G535</f>
        <v/>
      </c>
      <c r="I535" s="52" t="inlineStr">
        <is>
          <t>个人技术计时升级</t>
        </is>
      </c>
      <c r="J535" s="57">
        <f>'个人技术逐级'!M535</f>
        <v/>
      </c>
      <c r="K535" s="35">
        <f>J535/3600</f>
        <v/>
      </c>
      <c r="L535" s="35">
        <f>SUMIFS($K$5:$K$692,$A$5:$A$692,A535,$B$5:$B$692,B535,$F$5:$F$692,"&lt;="&amp;F535)</f>
        <v/>
      </c>
      <c r="M535" s="58">
        <f>'个人技术逐级'!N535</f>
        <v/>
      </c>
      <c r="N535" s="58">
        <f>SUMIFS($M$5:$M$692,$A$5:$A$692,A535,$B$5:$B$692,B535,$F$5:$F$692,"&lt;="&amp;F535)</f>
        <v/>
      </c>
      <c r="O535" s="58">
        <f>0</f>
        <v/>
      </c>
      <c r="P535" s="58">
        <f>SUMIFS($O$5:$O$692,$A$5:$A$692,A535,$B$5:$B$692,B535,$F$5:$F$692,"&lt;="&amp;F535)</f>
        <v/>
      </c>
      <c r="Q535" s="58">
        <f>0</f>
        <v/>
      </c>
      <c r="R535" s="58">
        <f>SUMIFS($Q$5:$Q$692,$A$5:$A$692,A535,$B$5:$B$692,B535,$F$5:$F$692,"&lt;="&amp;F535)</f>
        <v/>
      </c>
      <c r="S535" s="58">
        <f>0</f>
        <v/>
      </c>
      <c r="T535" s="58">
        <f>SUMIFS($S$5:$S$692,$A$5:$A$692,A535,$B$5:$B$692,B535,$F$5:$F$692,"&lt;="&amp;F535)</f>
        <v/>
      </c>
      <c r="U535" s="52">
        <f>'个人技术逐级'!O535</f>
        <v/>
      </c>
    </row>
    <row r="536">
      <c r="A536" s="33" t="inlineStr">
        <is>
          <t>个人技术</t>
        </is>
      </c>
      <c r="B536" s="33">
        <f>'个人技术逐级'!A536</f>
        <v/>
      </c>
      <c r="C536" s="33">
        <f>'个人技术逐级'!B536</f>
        <v/>
      </c>
      <c r="D536" s="33">
        <f>'个人技术逐级'!C536</f>
        <v/>
      </c>
      <c r="E536">
        <f>'个人技术逐级'!D536</f>
        <v/>
      </c>
      <c r="F536" s="54">
        <f>'个人技术逐级'!E536</f>
        <v/>
      </c>
      <c r="G536" s="55">
        <f>'个人技术逐级'!F536</f>
        <v/>
      </c>
      <c r="H536" s="56">
        <f>'个人技术逐级'!G536</f>
        <v/>
      </c>
      <c r="I536" s="52" t="inlineStr">
        <is>
          <t>个人技术计时升级</t>
        </is>
      </c>
      <c r="J536" s="57">
        <f>'个人技术逐级'!M536</f>
        <v/>
      </c>
      <c r="K536" s="35">
        <f>J536/3600</f>
        <v/>
      </c>
      <c r="L536" s="35">
        <f>SUMIFS($K$5:$K$692,$A$5:$A$692,A536,$B$5:$B$692,B536,$F$5:$F$692,"&lt;="&amp;F536)</f>
        <v/>
      </c>
      <c r="M536" s="58">
        <f>'个人技术逐级'!N536</f>
        <v/>
      </c>
      <c r="N536" s="58">
        <f>SUMIFS($M$5:$M$692,$A$5:$A$692,A536,$B$5:$B$692,B536,$F$5:$F$692,"&lt;="&amp;F536)</f>
        <v/>
      </c>
      <c r="O536" s="58">
        <f>0</f>
        <v/>
      </c>
      <c r="P536" s="58">
        <f>SUMIFS($O$5:$O$692,$A$5:$A$692,A536,$B$5:$B$692,B536,$F$5:$F$692,"&lt;="&amp;F536)</f>
        <v/>
      </c>
      <c r="Q536" s="58">
        <f>0</f>
        <v/>
      </c>
      <c r="R536" s="58">
        <f>SUMIFS($Q$5:$Q$692,$A$5:$A$692,A536,$B$5:$B$692,B536,$F$5:$F$692,"&lt;="&amp;F536)</f>
        <v/>
      </c>
      <c r="S536" s="58">
        <f>0</f>
        <v/>
      </c>
      <c r="T536" s="58">
        <f>SUMIFS($S$5:$S$692,$A$5:$A$692,A536,$B$5:$B$692,B536,$F$5:$F$692,"&lt;="&amp;F536)</f>
        <v/>
      </c>
      <c r="U536" s="52">
        <f>'个人技术逐级'!O536</f>
        <v/>
      </c>
    </row>
    <row r="537">
      <c r="A537" s="33" t="inlineStr">
        <is>
          <t>个人技术</t>
        </is>
      </c>
      <c r="B537" s="33">
        <f>'个人技术逐级'!A537</f>
        <v/>
      </c>
      <c r="C537" s="33">
        <f>'个人技术逐级'!B537</f>
        <v/>
      </c>
      <c r="D537" s="33">
        <f>'个人技术逐级'!C537</f>
        <v/>
      </c>
      <c r="E537">
        <f>'个人技术逐级'!D537</f>
        <v/>
      </c>
      <c r="F537" s="54">
        <f>'个人技术逐级'!E537</f>
        <v/>
      </c>
      <c r="G537" s="55">
        <f>'个人技术逐级'!F537</f>
        <v/>
      </c>
      <c r="H537" s="56">
        <f>'个人技术逐级'!G537</f>
        <v/>
      </c>
      <c r="I537" s="52" t="inlineStr">
        <is>
          <t>个人技术计时升级</t>
        </is>
      </c>
      <c r="J537" s="57">
        <f>'个人技术逐级'!M537</f>
        <v/>
      </c>
      <c r="K537" s="35">
        <f>J537/3600</f>
        <v/>
      </c>
      <c r="L537" s="35">
        <f>SUMIFS($K$5:$K$692,$A$5:$A$692,A537,$B$5:$B$692,B537,$F$5:$F$692,"&lt;="&amp;F537)</f>
        <v/>
      </c>
      <c r="M537" s="58">
        <f>'个人技术逐级'!N537</f>
        <v/>
      </c>
      <c r="N537" s="58">
        <f>SUMIFS($M$5:$M$692,$A$5:$A$692,A537,$B$5:$B$692,B537,$F$5:$F$692,"&lt;="&amp;F537)</f>
        <v/>
      </c>
      <c r="O537" s="58">
        <f>0</f>
        <v/>
      </c>
      <c r="P537" s="58">
        <f>SUMIFS($O$5:$O$692,$A$5:$A$692,A537,$B$5:$B$692,B537,$F$5:$F$692,"&lt;="&amp;F537)</f>
        <v/>
      </c>
      <c r="Q537" s="58">
        <f>0</f>
        <v/>
      </c>
      <c r="R537" s="58">
        <f>SUMIFS($Q$5:$Q$692,$A$5:$A$692,A537,$B$5:$B$692,B537,$F$5:$F$692,"&lt;="&amp;F537)</f>
        <v/>
      </c>
      <c r="S537" s="58">
        <f>0</f>
        <v/>
      </c>
      <c r="T537" s="58">
        <f>SUMIFS($S$5:$S$692,$A$5:$A$692,A537,$B$5:$B$692,B537,$F$5:$F$692,"&lt;="&amp;F537)</f>
        <v/>
      </c>
      <c r="U537" s="52">
        <f>'个人技术逐级'!O537</f>
        <v/>
      </c>
    </row>
    <row r="538">
      <c r="A538" s="33" t="inlineStr">
        <is>
          <t>个人技术</t>
        </is>
      </c>
      <c r="B538" s="33">
        <f>'个人技术逐级'!A538</f>
        <v/>
      </c>
      <c r="C538" s="33">
        <f>'个人技术逐级'!B538</f>
        <v/>
      </c>
      <c r="D538" s="33">
        <f>'个人技术逐级'!C538</f>
        <v/>
      </c>
      <c r="E538">
        <f>'个人技术逐级'!D538</f>
        <v/>
      </c>
      <c r="F538" s="54">
        <f>'个人技术逐级'!E538</f>
        <v/>
      </c>
      <c r="G538" s="55">
        <f>'个人技术逐级'!F538</f>
        <v/>
      </c>
      <c r="H538" s="56">
        <f>'个人技术逐级'!G538</f>
        <v/>
      </c>
      <c r="I538" s="52" t="inlineStr">
        <is>
          <t>个人技术计时升级</t>
        </is>
      </c>
      <c r="J538" s="57">
        <f>'个人技术逐级'!M538</f>
        <v/>
      </c>
      <c r="K538" s="35">
        <f>J538/3600</f>
        <v/>
      </c>
      <c r="L538" s="35">
        <f>SUMIFS($K$5:$K$692,$A$5:$A$692,A538,$B$5:$B$692,B538,$F$5:$F$692,"&lt;="&amp;F538)</f>
        <v/>
      </c>
      <c r="M538" s="58">
        <f>'个人技术逐级'!N538</f>
        <v/>
      </c>
      <c r="N538" s="58">
        <f>SUMIFS($M$5:$M$692,$A$5:$A$692,A538,$B$5:$B$692,B538,$F$5:$F$692,"&lt;="&amp;F538)</f>
        <v/>
      </c>
      <c r="O538" s="58">
        <f>0</f>
        <v/>
      </c>
      <c r="P538" s="58">
        <f>SUMIFS($O$5:$O$692,$A$5:$A$692,A538,$B$5:$B$692,B538,$F$5:$F$692,"&lt;="&amp;F538)</f>
        <v/>
      </c>
      <c r="Q538" s="58">
        <f>0</f>
        <v/>
      </c>
      <c r="R538" s="58">
        <f>SUMIFS($Q$5:$Q$692,$A$5:$A$692,A538,$B$5:$B$692,B538,$F$5:$F$692,"&lt;="&amp;F538)</f>
        <v/>
      </c>
      <c r="S538" s="58">
        <f>0</f>
        <v/>
      </c>
      <c r="T538" s="58">
        <f>SUMIFS($S$5:$S$692,$A$5:$A$692,A538,$B$5:$B$692,B538,$F$5:$F$692,"&lt;="&amp;F538)</f>
        <v/>
      </c>
      <c r="U538" s="52">
        <f>'个人技术逐级'!O538</f>
        <v/>
      </c>
    </row>
    <row r="539">
      <c r="A539" s="33" t="inlineStr">
        <is>
          <t>个人技术</t>
        </is>
      </c>
      <c r="B539" s="33">
        <f>'个人技术逐级'!A539</f>
        <v/>
      </c>
      <c r="C539" s="33">
        <f>'个人技术逐级'!B539</f>
        <v/>
      </c>
      <c r="D539" s="33">
        <f>'个人技术逐级'!C539</f>
        <v/>
      </c>
      <c r="E539">
        <f>'个人技术逐级'!D539</f>
        <v/>
      </c>
      <c r="F539" s="54">
        <f>'个人技术逐级'!E539</f>
        <v/>
      </c>
      <c r="G539" s="55">
        <f>'个人技术逐级'!F539</f>
        <v/>
      </c>
      <c r="H539" s="56">
        <f>'个人技术逐级'!G539</f>
        <v/>
      </c>
      <c r="I539" s="52" t="inlineStr">
        <is>
          <t>个人技术计时升级</t>
        </is>
      </c>
      <c r="J539" s="57">
        <f>'个人技术逐级'!M539</f>
        <v/>
      </c>
      <c r="K539" s="35">
        <f>J539/3600</f>
        <v/>
      </c>
      <c r="L539" s="35">
        <f>SUMIFS($K$5:$K$692,$A$5:$A$692,A539,$B$5:$B$692,B539,$F$5:$F$692,"&lt;="&amp;F539)</f>
        <v/>
      </c>
      <c r="M539" s="58">
        <f>'个人技术逐级'!N539</f>
        <v/>
      </c>
      <c r="N539" s="58">
        <f>SUMIFS($M$5:$M$692,$A$5:$A$692,A539,$B$5:$B$692,B539,$F$5:$F$692,"&lt;="&amp;F539)</f>
        <v/>
      </c>
      <c r="O539" s="58">
        <f>0</f>
        <v/>
      </c>
      <c r="P539" s="58">
        <f>SUMIFS($O$5:$O$692,$A$5:$A$692,A539,$B$5:$B$692,B539,$F$5:$F$692,"&lt;="&amp;F539)</f>
        <v/>
      </c>
      <c r="Q539" s="58">
        <f>0</f>
        <v/>
      </c>
      <c r="R539" s="58">
        <f>SUMIFS($Q$5:$Q$692,$A$5:$A$692,A539,$B$5:$B$692,B539,$F$5:$F$692,"&lt;="&amp;F539)</f>
        <v/>
      </c>
      <c r="S539" s="58">
        <f>0</f>
        <v/>
      </c>
      <c r="T539" s="58">
        <f>SUMIFS($S$5:$S$692,$A$5:$A$692,A539,$B$5:$B$692,B539,$F$5:$F$692,"&lt;="&amp;F539)</f>
        <v/>
      </c>
      <c r="U539" s="52">
        <f>'个人技术逐级'!O539</f>
        <v/>
      </c>
    </row>
    <row r="540">
      <c r="A540" s="33" t="inlineStr">
        <is>
          <t>个人技术</t>
        </is>
      </c>
      <c r="B540" s="33">
        <f>'个人技术逐级'!A540</f>
        <v/>
      </c>
      <c r="C540" s="33">
        <f>'个人技术逐级'!B540</f>
        <v/>
      </c>
      <c r="D540" s="33">
        <f>'个人技术逐级'!C540</f>
        <v/>
      </c>
      <c r="E540">
        <f>'个人技术逐级'!D540</f>
        <v/>
      </c>
      <c r="F540" s="54">
        <f>'个人技术逐级'!E540</f>
        <v/>
      </c>
      <c r="G540" s="55">
        <f>'个人技术逐级'!F540</f>
        <v/>
      </c>
      <c r="H540" s="56">
        <f>'个人技术逐级'!G540</f>
        <v/>
      </c>
      <c r="I540" s="52" t="inlineStr">
        <is>
          <t>个人技术计时升级</t>
        </is>
      </c>
      <c r="J540" s="57">
        <f>'个人技术逐级'!M540</f>
        <v/>
      </c>
      <c r="K540" s="35">
        <f>J540/3600</f>
        <v/>
      </c>
      <c r="L540" s="35">
        <f>SUMIFS($K$5:$K$692,$A$5:$A$692,A540,$B$5:$B$692,B540,$F$5:$F$692,"&lt;="&amp;F540)</f>
        <v/>
      </c>
      <c r="M540" s="58">
        <f>'个人技术逐级'!N540</f>
        <v/>
      </c>
      <c r="N540" s="58">
        <f>SUMIFS($M$5:$M$692,$A$5:$A$692,A540,$B$5:$B$692,B540,$F$5:$F$692,"&lt;="&amp;F540)</f>
        <v/>
      </c>
      <c r="O540" s="58">
        <f>0</f>
        <v/>
      </c>
      <c r="P540" s="58">
        <f>SUMIFS($O$5:$O$692,$A$5:$A$692,A540,$B$5:$B$692,B540,$F$5:$F$692,"&lt;="&amp;F540)</f>
        <v/>
      </c>
      <c r="Q540" s="58">
        <f>0</f>
        <v/>
      </c>
      <c r="R540" s="58">
        <f>SUMIFS($Q$5:$Q$692,$A$5:$A$692,A540,$B$5:$B$692,B540,$F$5:$F$692,"&lt;="&amp;F540)</f>
        <v/>
      </c>
      <c r="S540" s="58">
        <f>0</f>
        <v/>
      </c>
      <c r="T540" s="58">
        <f>SUMIFS($S$5:$S$692,$A$5:$A$692,A540,$B$5:$B$692,B540,$F$5:$F$692,"&lt;="&amp;F540)</f>
        <v/>
      </c>
      <c r="U540" s="52">
        <f>'个人技术逐级'!O540</f>
        <v/>
      </c>
    </row>
    <row r="541">
      <c r="A541" s="33" t="inlineStr">
        <is>
          <t>个人技术</t>
        </is>
      </c>
      <c r="B541" s="33">
        <f>'个人技术逐级'!A541</f>
        <v/>
      </c>
      <c r="C541" s="33">
        <f>'个人技术逐级'!B541</f>
        <v/>
      </c>
      <c r="D541" s="33">
        <f>'个人技术逐级'!C541</f>
        <v/>
      </c>
      <c r="E541">
        <f>'个人技术逐级'!D541</f>
        <v/>
      </c>
      <c r="F541" s="54">
        <f>'个人技术逐级'!E541</f>
        <v/>
      </c>
      <c r="G541" s="55">
        <f>'个人技术逐级'!F541</f>
        <v/>
      </c>
      <c r="H541" s="56">
        <f>'个人技术逐级'!G541</f>
        <v/>
      </c>
      <c r="I541" s="52" t="inlineStr">
        <is>
          <t>个人技术计时升级</t>
        </is>
      </c>
      <c r="J541" s="57">
        <f>'个人技术逐级'!M541</f>
        <v/>
      </c>
      <c r="K541" s="35">
        <f>J541/3600</f>
        <v/>
      </c>
      <c r="L541" s="35">
        <f>SUMIFS($K$5:$K$692,$A$5:$A$692,A541,$B$5:$B$692,B541,$F$5:$F$692,"&lt;="&amp;F541)</f>
        <v/>
      </c>
      <c r="M541" s="58">
        <f>'个人技术逐级'!N541</f>
        <v/>
      </c>
      <c r="N541" s="58">
        <f>SUMIFS($M$5:$M$692,$A$5:$A$692,A541,$B$5:$B$692,B541,$F$5:$F$692,"&lt;="&amp;F541)</f>
        <v/>
      </c>
      <c r="O541" s="58">
        <f>0</f>
        <v/>
      </c>
      <c r="P541" s="58">
        <f>SUMIFS($O$5:$O$692,$A$5:$A$692,A541,$B$5:$B$692,B541,$F$5:$F$692,"&lt;="&amp;F541)</f>
        <v/>
      </c>
      <c r="Q541" s="58">
        <f>0</f>
        <v/>
      </c>
      <c r="R541" s="58">
        <f>SUMIFS($Q$5:$Q$692,$A$5:$A$692,A541,$B$5:$B$692,B541,$F$5:$F$692,"&lt;="&amp;F541)</f>
        <v/>
      </c>
      <c r="S541" s="58">
        <f>0</f>
        <v/>
      </c>
      <c r="T541" s="58">
        <f>SUMIFS($S$5:$S$692,$A$5:$A$692,A541,$B$5:$B$692,B541,$F$5:$F$692,"&lt;="&amp;F541)</f>
        <v/>
      </c>
      <c r="U541" s="52">
        <f>'个人技术逐级'!O541</f>
        <v/>
      </c>
    </row>
    <row r="542">
      <c r="A542" s="33" t="inlineStr">
        <is>
          <t>个人技术</t>
        </is>
      </c>
      <c r="B542" s="33">
        <f>'个人技术逐级'!A542</f>
        <v/>
      </c>
      <c r="C542" s="33">
        <f>'个人技术逐级'!B542</f>
        <v/>
      </c>
      <c r="D542" s="33">
        <f>'个人技术逐级'!C542</f>
        <v/>
      </c>
      <c r="E542">
        <f>'个人技术逐级'!D542</f>
        <v/>
      </c>
      <c r="F542" s="54">
        <f>'个人技术逐级'!E542</f>
        <v/>
      </c>
      <c r="G542" s="55">
        <f>'个人技术逐级'!F542</f>
        <v/>
      </c>
      <c r="H542" s="56">
        <f>'个人技术逐级'!G542</f>
        <v/>
      </c>
      <c r="I542" s="52" t="inlineStr">
        <is>
          <t>个人技术计时升级</t>
        </is>
      </c>
      <c r="J542" s="57">
        <f>'个人技术逐级'!M542</f>
        <v/>
      </c>
      <c r="K542" s="35">
        <f>J542/3600</f>
        <v/>
      </c>
      <c r="L542" s="35">
        <f>SUMIFS($K$5:$K$692,$A$5:$A$692,A542,$B$5:$B$692,B542,$F$5:$F$692,"&lt;="&amp;F542)</f>
        <v/>
      </c>
      <c r="M542" s="58">
        <f>'个人技术逐级'!N542</f>
        <v/>
      </c>
      <c r="N542" s="58">
        <f>SUMIFS($M$5:$M$692,$A$5:$A$692,A542,$B$5:$B$692,B542,$F$5:$F$692,"&lt;="&amp;F542)</f>
        <v/>
      </c>
      <c r="O542" s="58">
        <f>0</f>
        <v/>
      </c>
      <c r="P542" s="58">
        <f>SUMIFS($O$5:$O$692,$A$5:$A$692,A542,$B$5:$B$692,B542,$F$5:$F$692,"&lt;="&amp;F542)</f>
        <v/>
      </c>
      <c r="Q542" s="58">
        <f>0</f>
        <v/>
      </c>
      <c r="R542" s="58">
        <f>SUMIFS($Q$5:$Q$692,$A$5:$A$692,A542,$B$5:$B$692,B542,$F$5:$F$692,"&lt;="&amp;F542)</f>
        <v/>
      </c>
      <c r="S542" s="58">
        <f>0</f>
        <v/>
      </c>
      <c r="T542" s="58">
        <f>SUMIFS($S$5:$S$692,$A$5:$A$692,A542,$B$5:$B$692,B542,$F$5:$F$692,"&lt;="&amp;F542)</f>
        <v/>
      </c>
      <c r="U542" s="52">
        <f>'个人技术逐级'!O542</f>
        <v/>
      </c>
    </row>
    <row r="543">
      <c r="A543" s="33" t="inlineStr">
        <is>
          <t>个人技术</t>
        </is>
      </c>
      <c r="B543" s="33">
        <f>'个人技术逐级'!A543</f>
        <v/>
      </c>
      <c r="C543" s="33">
        <f>'个人技术逐级'!B543</f>
        <v/>
      </c>
      <c r="D543" s="33">
        <f>'个人技术逐级'!C543</f>
        <v/>
      </c>
      <c r="E543">
        <f>'个人技术逐级'!D543</f>
        <v/>
      </c>
      <c r="F543" s="54">
        <f>'个人技术逐级'!E543</f>
        <v/>
      </c>
      <c r="G543" s="55">
        <f>'个人技术逐级'!F543</f>
        <v/>
      </c>
      <c r="H543" s="56">
        <f>'个人技术逐级'!G543</f>
        <v/>
      </c>
      <c r="I543" s="52" t="inlineStr">
        <is>
          <t>个人技术计时升级</t>
        </is>
      </c>
      <c r="J543" s="57">
        <f>'个人技术逐级'!M543</f>
        <v/>
      </c>
      <c r="K543" s="35">
        <f>J543/3600</f>
        <v/>
      </c>
      <c r="L543" s="35">
        <f>SUMIFS($K$5:$K$692,$A$5:$A$692,A543,$B$5:$B$692,B543,$F$5:$F$692,"&lt;="&amp;F543)</f>
        <v/>
      </c>
      <c r="M543" s="58">
        <f>'个人技术逐级'!N543</f>
        <v/>
      </c>
      <c r="N543" s="58">
        <f>SUMIFS($M$5:$M$692,$A$5:$A$692,A543,$B$5:$B$692,B543,$F$5:$F$692,"&lt;="&amp;F543)</f>
        <v/>
      </c>
      <c r="O543" s="58">
        <f>0</f>
        <v/>
      </c>
      <c r="P543" s="58">
        <f>SUMIFS($O$5:$O$692,$A$5:$A$692,A543,$B$5:$B$692,B543,$F$5:$F$692,"&lt;="&amp;F543)</f>
        <v/>
      </c>
      <c r="Q543" s="58">
        <f>0</f>
        <v/>
      </c>
      <c r="R543" s="58">
        <f>SUMIFS($Q$5:$Q$692,$A$5:$A$692,A543,$B$5:$B$692,B543,$F$5:$F$692,"&lt;="&amp;F543)</f>
        <v/>
      </c>
      <c r="S543" s="58">
        <f>0</f>
        <v/>
      </c>
      <c r="T543" s="58">
        <f>SUMIFS($S$5:$S$692,$A$5:$A$692,A543,$B$5:$B$692,B543,$F$5:$F$692,"&lt;="&amp;F543)</f>
        <v/>
      </c>
      <c r="U543" s="52">
        <f>'个人技术逐级'!O543</f>
        <v/>
      </c>
    </row>
    <row r="544">
      <c r="A544" s="33" t="inlineStr">
        <is>
          <t>个人技术</t>
        </is>
      </c>
      <c r="B544" s="33">
        <f>'个人技术逐级'!A544</f>
        <v/>
      </c>
      <c r="C544" s="33">
        <f>'个人技术逐级'!B544</f>
        <v/>
      </c>
      <c r="D544" s="33">
        <f>'个人技术逐级'!C544</f>
        <v/>
      </c>
      <c r="E544">
        <f>'个人技术逐级'!D544</f>
        <v/>
      </c>
      <c r="F544" s="54">
        <f>'个人技术逐级'!E544</f>
        <v/>
      </c>
      <c r="G544" s="55">
        <f>'个人技术逐级'!F544</f>
        <v/>
      </c>
      <c r="H544" s="56">
        <f>'个人技术逐级'!G544</f>
        <v/>
      </c>
      <c r="I544" s="52" t="inlineStr">
        <is>
          <t>个人技术计时升级</t>
        </is>
      </c>
      <c r="J544" s="57">
        <f>'个人技术逐级'!M544</f>
        <v/>
      </c>
      <c r="K544" s="35">
        <f>J544/3600</f>
        <v/>
      </c>
      <c r="L544" s="35">
        <f>SUMIFS($K$5:$K$692,$A$5:$A$692,A544,$B$5:$B$692,B544,$F$5:$F$692,"&lt;="&amp;F544)</f>
        <v/>
      </c>
      <c r="M544" s="58">
        <f>'个人技术逐级'!N544</f>
        <v/>
      </c>
      <c r="N544" s="58">
        <f>SUMIFS($M$5:$M$692,$A$5:$A$692,A544,$B$5:$B$692,B544,$F$5:$F$692,"&lt;="&amp;F544)</f>
        <v/>
      </c>
      <c r="O544" s="58">
        <f>0</f>
        <v/>
      </c>
      <c r="P544" s="58">
        <f>SUMIFS($O$5:$O$692,$A$5:$A$692,A544,$B$5:$B$692,B544,$F$5:$F$692,"&lt;="&amp;F544)</f>
        <v/>
      </c>
      <c r="Q544" s="58">
        <f>0</f>
        <v/>
      </c>
      <c r="R544" s="58">
        <f>SUMIFS($Q$5:$Q$692,$A$5:$A$692,A544,$B$5:$B$692,B544,$F$5:$F$692,"&lt;="&amp;F544)</f>
        <v/>
      </c>
      <c r="S544" s="58">
        <f>0</f>
        <v/>
      </c>
      <c r="T544" s="58">
        <f>SUMIFS($S$5:$S$692,$A$5:$A$692,A544,$B$5:$B$692,B544,$F$5:$F$692,"&lt;="&amp;F544)</f>
        <v/>
      </c>
      <c r="U544" s="52">
        <f>'个人技术逐级'!O544</f>
        <v/>
      </c>
    </row>
    <row r="545">
      <c r="A545" s="33" t="inlineStr">
        <is>
          <t>个人技术</t>
        </is>
      </c>
      <c r="B545" s="33">
        <f>'个人技术逐级'!A545</f>
        <v/>
      </c>
      <c r="C545" s="33">
        <f>'个人技术逐级'!B545</f>
        <v/>
      </c>
      <c r="D545" s="33">
        <f>'个人技术逐级'!C545</f>
        <v/>
      </c>
      <c r="E545">
        <f>'个人技术逐级'!D545</f>
        <v/>
      </c>
      <c r="F545" s="54">
        <f>'个人技术逐级'!E545</f>
        <v/>
      </c>
      <c r="G545" s="55">
        <f>'个人技术逐级'!F545</f>
        <v/>
      </c>
      <c r="H545" s="56">
        <f>'个人技术逐级'!G545</f>
        <v/>
      </c>
      <c r="I545" s="52" t="inlineStr">
        <is>
          <t>个人技术计时升级</t>
        </is>
      </c>
      <c r="J545" s="57">
        <f>'个人技术逐级'!M545</f>
        <v/>
      </c>
      <c r="K545" s="35">
        <f>J545/3600</f>
        <v/>
      </c>
      <c r="L545" s="35">
        <f>SUMIFS($K$5:$K$692,$A$5:$A$692,A545,$B$5:$B$692,B545,$F$5:$F$692,"&lt;="&amp;F545)</f>
        <v/>
      </c>
      <c r="M545" s="58">
        <f>'个人技术逐级'!N545</f>
        <v/>
      </c>
      <c r="N545" s="58">
        <f>SUMIFS($M$5:$M$692,$A$5:$A$692,A545,$B$5:$B$692,B545,$F$5:$F$692,"&lt;="&amp;F545)</f>
        <v/>
      </c>
      <c r="O545" s="58">
        <f>0</f>
        <v/>
      </c>
      <c r="P545" s="58">
        <f>SUMIFS($O$5:$O$692,$A$5:$A$692,A545,$B$5:$B$692,B545,$F$5:$F$692,"&lt;="&amp;F545)</f>
        <v/>
      </c>
      <c r="Q545" s="58">
        <f>0</f>
        <v/>
      </c>
      <c r="R545" s="58">
        <f>SUMIFS($Q$5:$Q$692,$A$5:$A$692,A545,$B$5:$B$692,B545,$F$5:$F$692,"&lt;="&amp;F545)</f>
        <v/>
      </c>
      <c r="S545" s="58">
        <f>0</f>
        <v/>
      </c>
      <c r="T545" s="58">
        <f>SUMIFS($S$5:$S$692,$A$5:$A$692,A545,$B$5:$B$692,B545,$F$5:$F$692,"&lt;="&amp;F545)</f>
        <v/>
      </c>
      <c r="U545" s="52">
        <f>'个人技术逐级'!O545</f>
        <v/>
      </c>
    </row>
    <row r="546">
      <c r="A546" s="33" t="inlineStr">
        <is>
          <t>个人技术</t>
        </is>
      </c>
      <c r="B546" s="33">
        <f>'个人技术逐级'!A546</f>
        <v/>
      </c>
      <c r="C546" s="33">
        <f>'个人技术逐级'!B546</f>
        <v/>
      </c>
      <c r="D546" s="33">
        <f>'个人技术逐级'!C546</f>
        <v/>
      </c>
      <c r="E546">
        <f>'个人技术逐级'!D546</f>
        <v/>
      </c>
      <c r="F546" s="54">
        <f>'个人技术逐级'!E546</f>
        <v/>
      </c>
      <c r="G546" s="55">
        <f>'个人技术逐级'!F546</f>
        <v/>
      </c>
      <c r="H546" s="56">
        <f>'个人技术逐级'!G546</f>
        <v/>
      </c>
      <c r="I546" s="52" t="inlineStr">
        <is>
          <t>个人技术计时升级</t>
        </is>
      </c>
      <c r="J546" s="57">
        <f>'个人技术逐级'!M546</f>
        <v/>
      </c>
      <c r="K546" s="35">
        <f>J546/3600</f>
        <v/>
      </c>
      <c r="L546" s="35">
        <f>SUMIFS($K$5:$K$692,$A$5:$A$692,A546,$B$5:$B$692,B546,$F$5:$F$692,"&lt;="&amp;F546)</f>
        <v/>
      </c>
      <c r="M546" s="58">
        <f>'个人技术逐级'!N546</f>
        <v/>
      </c>
      <c r="N546" s="58">
        <f>SUMIFS($M$5:$M$692,$A$5:$A$692,A546,$B$5:$B$692,B546,$F$5:$F$692,"&lt;="&amp;F546)</f>
        <v/>
      </c>
      <c r="O546" s="58">
        <f>0</f>
        <v/>
      </c>
      <c r="P546" s="58">
        <f>SUMIFS($O$5:$O$692,$A$5:$A$692,A546,$B$5:$B$692,B546,$F$5:$F$692,"&lt;="&amp;F546)</f>
        <v/>
      </c>
      <c r="Q546" s="58">
        <f>0</f>
        <v/>
      </c>
      <c r="R546" s="58">
        <f>SUMIFS($Q$5:$Q$692,$A$5:$A$692,A546,$B$5:$B$692,B546,$F$5:$F$692,"&lt;="&amp;F546)</f>
        <v/>
      </c>
      <c r="S546" s="58">
        <f>0</f>
        <v/>
      </c>
      <c r="T546" s="58">
        <f>SUMIFS($S$5:$S$692,$A$5:$A$692,A546,$B$5:$B$692,B546,$F$5:$F$692,"&lt;="&amp;F546)</f>
        <v/>
      </c>
      <c r="U546" s="52">
        <f>'个人技术逐级'!O546</f>
        <v/>
      </c>
    </row>
    <row r="547">
      <c r="A547" s="33" t="inlineStr">
        <is>
          <t>个人技术</t>
        </is>
      </c>
      <c r="B547" s="33">
        <f>'个人技术逐级'!A547</f>
        <v/>
      </c>
      <c r="C547" s="33">
        <f>'个人技术逐级'!B547</f>
        <v/>
      </c>
      <c r="D547" s="33">
        <f>'个人技术逐级'!C547</f>
        <v/>
      </c>
      <c r="E547">
        <f>'个人技术逐级'!D547</f>
        <v/>
      </c>
      <c r="F547" s="54">
        <f>'个人技术逐级'!E547</f>
        <v/>
      </c>
      <c r="G547" s="55">
        <f>'个人技术逐级'!F547</f>
        <v/>
      </c>
      <c r="H547" s="56">
        <f>'个人技术逐级'!G547</f>
        <v/>
      </c>
      <c r="I547" s="52" t="inlineStr">
        <is>
          <t>个人技术计时升级</t>
        </is>
      </c>
      <c r="J547" s="57">
        <f>'个人技术逐级'!M547</f>
        <v/>
      </c>
      <c r="K547" s="35">
        <f>J547/3600</f>
        <v/>
      </c>
      <c r="L547" s="35">
        <f>SUMIFS($K$5:$K$692,$A$5:$A$692,A547,$B$5:$B$692,B547,$F$5:$F$692,"&lt;="&amp;F547)</f>
        <v/>
      </c>
      <c r="M547" s="58">
        <f>'个人技术逐级'!N547</f>
        <v/>
      </c>
      <c r="N547" s="58">
        <f>SUMIFS($M$5:$M$692,$A$5:$A$692,A547,$B$5:$B$692,B547,$F$5:$F$692,"&lt;="&amp;F547)</f>
        <v/>
      </c>
      <c r="O547" s="58">
        <f>0</f>
        <v/>
      </c>
      <c r="P547" s="58">
        <f>SUMIFS($O$5:$O$692,$A$5:$A$692,A547,$B$5:$B$692,B547,$F$5:$F$692,"&lt;="&amp;F547)</f>
        <v/>
      </c>
      <c r="Q547" s="58">
        <f>0</f>
        <v/>
      </c>
      <c r="R547" s="58">
        <f>SUMIFS($Q$5:$Q$692,$A$5:$A$692,A547,$B$5:$B$692,B547,$F$5:$F$692,"&lt;="&amp;F547)</f>
        <v/>
      </c>
      <c r="S547" s="58">
        <f>0</f>
        <v/>
      </c>
      <c r="T547" s="58">
        <f>SUMIFS($S$5:$S$692,$A$5:$A$692,A547,$B$5:$B$692,B547,$F$5:$F$692,"&lt;="&amp;F547)</f>
        <v/>
      </c>
      <c r="U547" s="52">
        <f>'个人技术逐级'!O547</f>
        <v/>
      </c>
    </row>
    <row r="548">
      <c r="A548" s="33" t="inlineStr">
        <is>
          <t>个人技术</t>
        </is>
      </c>
      <c r="B548" s="33">
        <f>'个人技术逐级'!A548</f>
        <v/>
      </c>
      <c r="C548" s="33">
        <f>'个人技术逐级'!B548</f>
        <v/>
      </c>
      <c r="D548" s="33">
        <f>'个人技术逐级'!C548</f>
        <v/>
      </c>
      <c r="E548">
        <f>'个人技术逐级'!D548</f>
        <v/>
      </c>
      <c r="F548" s="54">
        <f>'个人技术逐级'!E548</f>
        <v/>
      </c>
      <c r="G548" s="55">
        <f>'个人技术逐级'!F548</f>
        <v/>
      </c>
      <c r="H548" s="56">
        <f>'个人技术逐级'!G548</f>
        <v/>
      </c>
      <c r="I548" s="52" t="inlineStr">
        <is>
          <t>个人技术计时升级</t>
        </is>
      </c>
      <c r="J548" s="57">
        <f>'个人技术逐级'!M548</f>
        <v/>
      </c>
      <c r="K548" s="35">
        <f>J548/3600</f>
        <v/>
      </c>
      <c r="L548" s="35">
        <f>SUMIFS($K$5:$K$692,$A$5:$A$692,A548,$B$5:$B$692,B548,$F$5:$F$692,"&lt;="&amp;F548)</f>
        <v/>
      </c>
      <c r="M548" s="58">
        <f>'个人技术逐级'!N548</f>
        <v/>
      </c>
      <c r="N548" s="58">
        <f>SUMIFS($M$5:$M$692,$A$5:$A$692,A548,$B$5:$B$692,B548,$F$5:$F$692,"&lt;="&amp;F548)</f>
        <v/>
      </c>
      <c r="O548" s="58">
        <f>0</f>
        <v/>
      </c>
      <c r="P548" s="58">
        <f>SUMIFS($O$5:$O$692,$A$5:$A$692,A548,$B$5:$B$692,B548,$F$5:$F$692,"&lt;="&amp;F548)</f>
        <v/>
      </c>
      <c r="Q548" s="58">
        <f>0</f>
        <v/>
      </c>
      <c r="R548" s="58">
        <f>SUMIFS($Q$5:$Q$692,$A$5:$A$692,A548,$B$5:$B$692,B548,$F$5:$F$692,"&lt;="&amp;F548)</f>
        <v/>
      </c>
      <c r="S548" s="58">
        <f>0</f>
        <v/>
      </c>
      <c r="T548" s="58">
        <f>SUMIFS($S$5:$S$692,$A$5:$A$692,A548,$B$5:$B$692,B548,$F$5:$F$692,"&lt;="&amp;F548)</f>
        <v/>
      </c>
      <c r="U548" s="52">
        <f>'个人技术逐级'!O548</f>
        <v/>
      </c>
    </row>
    <row r="549">
      <c r="A549" s="33" t="inlineStr">
        <is>
          <t>个人技术</t>
        </is>
      </c>
      <c r="B549" s="33">
        <f>'个人技术逐级'!A549</f>
        <v/>
      </c>
      <c r="C549" s="33">
        <f>'个人技术逐级'!B549</f>
        <v/>
      </c>
      <c r="D549" s="33">
        <f>'个人技术逐级'!C549</f>
        <v/>
      </c>
      <c r="E549">
        <f>'个人技术逐级'!D549</f>
        <v/>
      </c>
      <c r="F549" s="54">
        <f>'个人技术逐级'!E549</f>
        <v/>
      </c>
      <c r="G549" s="55">
        <f>'个人技术逐级'!F549</f>
        <v/>
      </c>
      <c r="H549" s="56">
        <f>'个人技术逐级'!G549</f>
        <v/>
      </c>
      <c r="I549" s="52" t="inlineStr">
        <is>
          <t>个人技术计时升级</t>
        </is>
      </c>
      <c r="J549" s="57">
        <f>'个人技术逐级'!M549</f>
        <v/>
      </c>
      <c r="K549" s="35">
        <f>J549/3600</f>
        <v/>
      </c>
      <c r="L549" s="35">
        <f>SUMIFS($K$5:$K$692,$A$5:$A$692,A549,$B$5:$B$692,B549,$F$5:$F$692,"&lt;="&amp;F549)</f>
        <v/>
      </c>
      <c r="M549" s="58">
        <f>'个人技术逐级'!N549</f>
        <v/>
      </c>
      <c r="N549" s="58">
        <f>SUMIFS($M$5:$M$692,$A$5:$A$692,A549,$B$5:$B$692,B549,$F$5:$F$692,"&lt;="&amp;F549)</f>
        <v/>
      </c>
      <c r="O549" s="58">
        <f>0</f>
        <v/>
      </c>
      <c r="P549" s="58">
        <f>SUMIFS($O$5:$O$692,$A$5:$A$692,A549,$B$5:$B$692,B549,$F$5:$F$692,"&lt;="&amp;F549)</f>
        <v/>
      </c>
      <c r="Q549" s="58">
        <f>0</f>
        <v/>
      </c>
      <c r="R549" s="58">
        <f>SUMIFS($Q$5:$Q$692,$A$5:$A$692,A549,$B$5:$B$692,B549,$F$5:$F$692,"&lt;="&amp;F549)</f>
        <v/>
      </c>
      <c r="S549" s="58">
        <f>0</f>
        <v/>
      </c>
      <c r="T549" s="58">
        <f>SUMIFS($S$5:$S$692,$A$5:$A$692,A549,$B$5:$B$692,B549,$F$5:$F$692,"&lt;="&amp;F549)</f>
        <v/>
      </c>
      <c r="U549" s="52">
        <f>'个人技术逐级'!O549</f>
        <v/>
      </c>
    </row>
    <row r="550">
      <c r="A550" s="33" t="inlineStr">
        <is>
          <t>个人技术</t>
        </is>
      </c>
      <c r="B550" s="33">
        <f>'个人技术逐级'!A550</f>
        <v/>
      </c>
      <c r="C550" s="33">
        <f>'个人技术逐级'!B550</f>
        <v/>
      </c>
      <c r="D550" s="33">
        <f>'个人技术逐级'!C550</f>
        <v/>
      </c>
      <c r="E550">
        <f>'个人技术逐级'!D550</f>
        <v/>
      </c>
      <c r="F550" s="54">
        <f>'个人技术逐级'!E550</f>
        <v/>
      </c>
      <c r="G550" s="55">
        <f>'个人技术逐级'!F550</f>
        <v/>
      </c>
      <c r="H550" s="56">
        <f>'个人技术逐级'!G550</f>
        <v/>
      </c>
      <c r="I550" s="52" t="inlineStr">
        <is>
          <t>个人技术计时升级</t>
        </is>
      </c>
      <c r="J550" s="57">
        <f>'个人技术逐级'!M550</f>
        <v/>
      </c>
      <c r="K550" s="35">
        <f>J550/3600</f>
        <v/>
      </c>
      <c r="L550" s="35">
        <f>SUMIFS($K$5:$K$692,$A$5:$A$692,A550,$B$5:$B$692,B550,$F$5:$F$692,"&lt;="&amp;F550)</f>
        <v/>
      </c>
      <c r="M550" s="58">
        <f>'个人技术逐级'!N550</f>
        <v/>
      </c>
      <c r="N550" s="58">
        <f>SUMIFS($M$5:$M$692,$A$5:$A$692,A550,$B$5:$B$692,B550,$F$5:$F$692,"&lt;="&amp;F550)</f>
        <v/>
      </c>
      <c r="O550" s="58">
        <f>0</f>
        <v/>
      </c>
      <c r="P550" s="58">
        <f>SUMIFS($O$5:$O$692,$A$5:$A$692,A550,$B$5:$B$692,B550,$F$5:$F$692,"&lt;="&amp;F550)</f>
        <v/>
      </c>
      <c r="Q550" s="58">
        <f>0</f>
        <v/>
      </c>
      <c r="R550" s="58">
        <f>SUMIFS($Q$5:$Q$692,$A$5:$A$692,A550,$B$5:$B$692,B550,$F$5:$F$692,"&lt;="&amp;F550)</f>
        <v/>
      </c>
      <c r="S550" s="58">
        <f>0</f>
        <v/>
      </c>
      <c r="T550" s="58">
        <f>SUMIFS($S$5:$S$692,$A$5:$A$692,A550,$B$5:$B$692,B550,$F$5:$F$692,"&lt;="&amp;F550)</f>
        <v/>
      </c>
      <c r="U550" s="52">
        <f>'个人技术逐级'!O550</f>
        <v/>
      </c>
    </row>
    <row r="551">
      <c r="A551" s="33" t="inlineStr">
        <is>
          <t>个人技术</t>
        </is>
      </c>
      <c r="B551" s="33">
        <f>'个人技术逐级'!A551</f>
        <v/>
      </c>
      <c r="C551" s="33">
        <f>'个人技术逐级'!B551</f>
        <v/>
      </c>
      <c r="D551" s="33">
        <f>'个人技术逐级'!C551</f>
        <v/>
      </c>
      <c r="E551">
        <f>'个人技术逐级'!D551</f>
        <v/>
      </c>
      <c r="F551" s="54">
        <f>'个人技术逐级'!E551</f>
        <v/>
      </c>
      <c r="G551" s="55">
        <f>'个人技术逐级'!F551</f>
        <v/>
      </c>
      <c r="H551" s="56">
        <f>'个人技术逐级'!G551</f>
        <v/>
      </c>
      <c r="I551" s="52" t="inlineStr">
        <is>
          <t>个人技术计时升级</t>
        </is>
      </c>
      <c r="J551" s="57">
        <f>'个人技术逐级'!M551</f>
        <v/>
      </c>
      <c r="K551" s="35">
        <f>J551/3600</f>
        <v/>
      </c>
      <c r="L551" s="35">
        <f>SUMIFS($K$5:$K$692,$A$5:$A$692,A551,$B$5:$B$692,B551,$F$5:$F$692,"&lt;="&amp;F551)</f>
        <v/>
      </c>
      <c r="M551" s="58">
        <f>'个人技术逐级'!N551</f>
        <v/>
      </c>
      <c r="N551" s="58">
        <f>SUMIFS($M$5:$M$692,$A$5:$A$692,A551,$B$5:$B$692,B551,$F$5:$F$692,"&lt;="&amp;F551)</f>
        <v/>
      </c>
      <c r="O551" s="58">
        <f>0</f>
        <v/>
      </c>
      <c r="P551" s="58">
        <f>SUMIFS($O$5:$O$692,$A$5:$A$692,A551,$B$5:$B$692,B551,$F$5:$F$692,"&lt;="&amp;F551)</f>
        <v/>
      </c>
      <c r="Q551" s="58">
        <f>0</f>
        <v/>
      </c>
      <c r="R551" s="58">
        <f>SUMIFS($Q$5:$Q$692,$A$5:$A$692,A551,$B$5:$B$692,B551,$F$5:$F$692,"&lt;="&amp;F551)</f>
        <v/>
      </c>
      <c r="S551" s="58">
        <f>0</f>
        <v/>
      </c>
      <c r="T551" s="58">
        <f>SUMIFS($S$5:$S$692,$A$5:$A$692,A551,$B$5:$B$692,B551,$F$5:$F$692,"&lt;="&amp;F551)</f>
        <v/>
      </c>
      <c r="U551" s="52">
        <f>'个人技术逐级'!O551</f>
        <v/>
      </c>
    </row>
    <row r="552">
      <c r="A552" s="33" t="inlineStr">
        <is>
          <t>个人技术</t>
        </is>
      </c>
      <c r="B552" s="33">
        <f>'个人技术逐级'!A552</f>
        <v/>
      </c>
      <c r="C552" s="33">
        <f>'个人技术逐级'!B552</f>
        <v/>
      </c>
      <c r="D552" s="33">
        <f>'个人技术逐级'!C552</f>
        <v/>
      </c>
      <c r="E552">
        <f>'个人技术逐级'!D552</f>
        <v/>
      </c>
      <c r="F552" s="54">
        <f>'个人技术逐级'!E552</f>
        <v/>
      </c>
      <c r="G552" s="55">
        <f>'个人技术逐级'!F552</f>
        <v/>
      </c>
      <c r="H552" s="56">
        <f>'个人技术逐级'!G552</f>
        <v/>
      </c>
      <c r="I552" s="52" t="inlineStr">
        <is>
          <t>个人技术计时升级</t>
        </is>
      </c>
      <c r="J552" s="57">
        <f>'个人技术逐级'!M552</f>
        <v/>
      </c>
      <c r="K552" s="35">
        <f>J552/3600</f>
        <v/>
      </c>
      <c r="L552" s="35">
        <f>SUMIFS($K$5:$K$692,$A$5:$A$692,A552,$B$5:$B$692,B552,$F$5:$F$692,"&lt;="&amp;F552)</f>
        <v/>
      </c>
      <c r="M552" s="58">
        <f>'个人技术逐级'!N552</f>
        <v/>
      </c>
      <c r="N552" s="58">
        <f>SUMIFS($M$5:$M$692,$A$5:$A$692,A552,$B$5:$B$692,B552,$F$5:$F$692,"&lt;="&amp;F552)</f>
        <v/>
      </c>
      <c r="O552" s="58">
        <f>0</f>
        <v/>
      </c>
      <c r="P552" s="58">
        <f>SUMIFS($O$5:$O$692,$A$5:$A$692,A552,$B$5:$B$692,B552,$F$5:$F$692,"&lt;="&amp;F552)</f>
        <v/>
      </c>
      <c r="Q552" s="58">
        <f>0</f>
        <v/>
      </c>
      <c r="R552" s="58">
        <f>SUMIFS($Q$5:$Q$692,$A$5:$A$692,A552,$B$5:$B$692,B552,$F$5:$F$692,"&lt;="&amp;F552)</f>
        <v/>
      </c>
      <c r="S552" s="58">
        <f>0</f>
        <v/>
      </c>
      <c r="T552" s="58">
        <f>SUMIFS($S$5:$S$692,$A$5:$A$692,A552,$B$5:$B$692,B552,$F$5:$F$692,"&lt;="&amp;F552)</f>
        <v/>
      </c>
      <c r="U552" s="52">
        <f>'个人技术逐级'!O552</f>
        <v/>
      </c>
    </row>
    <row r="553">
      <c r="A553" s="33" t="inlineStr">
        <is>
          <t>个人技术</t>
        </is>
      </c>
      <c r="B553" s="33">
        <f>'个人技术逐级'!A553</f>
        <v/>
      </c>
      <c r="C553" s="33">
        <f>'个人技术逐级'!B553</f>
        <v/>
      </c>
      <c r="D553" s="33">
        <f>'个人技术逐级'!C553</f>
        <v/>
      </c>
      <c r="E553">
        <f>'个人技术逐级'!D553</f>
        <v/>
      </c>
      <c r="F553" s="54">
        <f>'个人技术逐级'!E553</f>
        <v/>
      </c>
      <c r="G553" s="55">
        <f>'个人技术逐级'!F553</f>
        <v/>
      </c>
      <c r="H553" s="56">
        <f>'个人技术逐级'!G553</f>
        <v/>
      </c>
      <c r="I553" s="52" t="inlineStr">
        <is>
          <t>个人技术计时升级</t>
        </is>
      </c>
      <c r="J553" s="57">
        <f>'个人技术逐级'!M553</f>
        <v/>
      </c>
      <c r="K553" s="35">
        <f>J553/3600</f>
        <v/>
      </c>
      <c r="L553" s="35">
        <f>SUMIFS($K$5:$K$692,$A$5:$A$692,A553,$B$5:$B$692,B553,$F$5:$F$692,"&lt;="&amp;F553)</f>
        <v/>
      </c>
      <c r="M553" s="58">
        <f>'个人技术逐级'!N553</f>
        <v/>
      </c>
      <c r="N553" s="58">
        <f>SUMIFS($M$5:$M$692,$A$5:$A$692,A553,$B$5:$B$692,B553,$F$5:$F$692,"&lt;="&amp;F553)</f>
        <v/>
      </c>
      <c r="O553" s="58">
        <f>0</f>
        <v/>
      </c>
      <c r="P553" s="58">
        <f>SUMIFS($O$5:$O$692,$A$5:$A$692,A553,$B$5:$B$692,B553,$F$5:$F$692,"&lt;="&amp;F553)</f>
        <v/>
      </c>
      <c r="Q553" s="58">
        <f>0</f>
        <v/>
      </c>
      <c r="R553" s="58">
        <f>SUMIFS($Q$5:$Q$692,$A$5:$A$692,A553,$B$5:$B$692,B553,$F$5:$F$692,"&lt;="&amp;F553)</f>
        <v/>
      </c>
      <c r="S553" s="58">
        <f>0</f>
        <v/>
      </c>
      <c r="T553" s="58">
        <f>SUMIFS($S$5:$S$692,$A$5:$A$692,A553,$B$5:$B$692,B553,$F$5:$F$692,"&lt;="&amp;F553)</f>
        <v/>
      </c>
      <c r="U553" s="52">
        <f>'个人技术逐级'!O553</f>
        <v/>
      </c>
    </row>
    <row r="554">
      <c r="A554" s="33" t="inlineStr">
        <is>
          <t>个人技术</t>
        </is>
      </c>
      <c r="B554" s="33">
        <f>'个人技术逐级'!A554</f>
        <v/>
      </c>
      <c r="C554" s="33">
        <f>'个人技术逐级'!B554</f>
        <v/>
      </c>
      <c r="D554" s="33">
        <f>'个人技术逐级'!C554</f>
        <v/>
      </c>
      <c r="E554">
        <f>'个人技术逐级'!D554</f>
        <v/>
      </c>
      <c r="F554" s="54">
        <f>'个人技术逐级'!E554</f>
        <v/>
      </c>
      <c r="G554" s="55">
        <f>'个人技术逐级'!F554</f>
        <v/>
      </c>
      <c r="H554" s="56">
        <f>'个人技术逐级'!G554</f>
        <v/>
      </c>
      <c r="I554" s="52" t="inlineStr">
        <is>
          <t>个人技术计时升级</t>
        </is>
      </c>
      <c r="J554" s="57">
        <f>'个人技术逐级'!M554</f>
        <v/>
      </c>
      <c r="K554" s="35">
        <f>J554/3600</f>
        <v/>
      </c>
      <c r="L554" s="35">
        <f>SUMIFS($K$5:$K$692,$A$5:$A$692,A554,$B$5:$B$692,B554,$F$5:$F$692,"&lt;="&amp;F554)</f>
        <v/>
      </c>
      <c r="M554" s="58">
        <f>'个人技术逐级'!N554</f>
        <v/>
      </c>
      <c r="N554" s="58">
        <f>SUMIFS($M$5:$M$692,$A$5:$A$692,A554,$B$5:$B$692,B554,$F$5:$F$692,"&lt;="&amp;F554)</f>
        <v/>
      </c>
      <c r="O554" s="58">
        <f>0</f>
        <v/>
      </c>
      <c r="P554" s="58">
        <f>SUMIFS($O$5:$O$692,$A$5:$A$692,A554,$B$5:$B$692,B554,$F$5:$F$692,"&lt;="&amp;F554)</f>
        <v/>
      </c>
      <c r="Q554" s="58">
        <f>0</f>
        <v/>
      </c>
      <c r="R554" s="58">
        <f>SUMIFS($Q$5:$Q$692,$A$5:$A$692,A554,$B$5:$B$692,B554,$F$5:$F$692,"&lt;="&amp;F554)</f>
        <v/>
      </c>
      <c r="S554" s="58">
        <f>0</f>
        <v/>
      </c>
      <c r="T554" s="58">
        <f>SUMIFS($S$5:$S$692,$A$5:$A$692,A554,$B$5:$B$692,B554,$F$5:$F$692,"&lt;="&amp;F554)</f>
        <v/>
      </c>
      <c r="U554" s="52">
        <f>'个人技术逐级'!O554</f>
        <v/>
      </c>
    </row>
    <row r="555">
      <c r="A555" s="33" t="inlineStr">
        <is>
          <t>个人技术</t>
        </is>
      </c>
      <c r="B555" s="33">
        <f>'个人技术逐级'!A555</f>
        <v/>
      </c>
      <c r="C555" s="33">
        <f>'个人技术逐级'!B555</f>
        <v/>
      </c>
      <c r="D555" s="33">
        <f>'个人技术逐级'!C555</f>
        <v/>
      </c>
      <c r="E555">
        <f>'个人技术逐级'!D555</f>
        <v/>
      </c>
      <c r="F555" s="54">
        <f>'个人技术逐级'!E555</f>
        <v/>
      </c>
      <c r="G555" s="55">
        <f>'个人技术逐级'!F555</f>
        <v/>
      </c>
      <c r="H555" s="56">
        <f>'个人技术逐级'!G555</f>
        <v/>
      </c>
      <c r="I555" s="52" t="inlineStr">
        <is>
          <t>个人技术计时升级</t>
        </is>
      </c>
      <c r="J555" s="57">
        <f>'个人技术逐级'!M555</f>
        <v/>
      </c>
      <c r="K555" s="35">
        <f>J555/3600</f>
        <v/>
      </c>
      <c r="L555" s="35">
        <f>SUMIFS($K$5:$K$692,$A$5:$A$692,A555,$B$5:$B$692,B555,$F$5:$F$692,"&lt;="&amp;F555)</f>
        <v/>
      </c>
      <c r="M555" s="58">
        <f>'个人技术逐级'!N555</f>
        <v/>
      </c>
      <c r="N555" s="58">
        <f>SUMIFS($M$5:$M$692,$A$5:$A$692,A555,$B$5:$B$692,B555,$F$5:$F$692,"&lt;="&amp;F555)</f>
        <v/>
      </c>
      <c r="O555" s="58">
        <f>0</f>
        <v/>
      </c>
      <c r="P555" s="58">
        <f>SUMIFS($O$5:$O$692,$A$5:$A$692,A555,$B$5:$B$692,B555,$F$5:$F$692,"&lt;="&amp;F555)</f>
        <v/>
      </c>
      <c r="Q555" s="58">
        <f>0</f>
        <v/>
      </c>
      <c r="R555" s="58">
        <f>SUMIFS($Q$5:$Q$692,$A$5:$A$692,A555,$B$5:$B$692,B555,$F$5:$F$692,"&lt;="&amp;F555)</f>
        <v/>
      </c>
      <c r="S555" s="58">
        <f>0</f>
        <v/>
      </c>
      <c r="T555" s="58">
        <f>SUMIFS($S$5:$S$692,$A$5:$A$692,A555,$B$5:$B$692,B555,$F$5:$F$692,"&lt;="&amp;F555)</f>
        <v/>
      </c>
      <c r="U555" s="52">
        <f>'个人技术逐级'!O555</f>
        <v/>
      </c>
    </row>
    <row r="556">
      <c r="A556" s="33" t="inlineStr">
        <is>
          <t>个人技术</t>
        </is>
      </c>
      <c r="B556" s="33">
        <f>'个人技术逐级'!A556</f>
        <v/>
      </c>
      <c r="C556" s="33">
        <f>'个人技术逐级'!B556</f>
        <v/>
      </c>
      <c r="D556" s="33">
        <f>'个人技术逐级'!C556</f>
        <v/>
      </c>
      <c r="E556">
        <f>'个人技术逐级'!D556</f>
        <v/>
      </c>
      <c r="F556" s="54">
        <f>'个人技术逐级'!E556</f>
        <v/>
      </c>
      <c r="G556" s="55">
        <f>'个人技术逐级'!F556</f>
        <v/>
      </c>
      <c r="H556" s="56">
        <f>'个人技术逐级'!G556</f>
        <v/>
      </c>
      <c r="I556" s="52" t="inlineStr">
        <is>
          <t>个人技术计时升级</t>
        </is>
      </c>
      <c r="J556" s="57">
        <f>'个人技术逐级'!M556</f>
        <v/>
      </c>
      <c r="K556" s="35">
        <f>J556/3600</f>
        <v/>
      </c>
      <c r="L556" s="35">
        <f>SUMIFS($K$5:$K$692,$A$5:$A$692,A556,$B$5:$B$692,B556,$F$5:$F$692,"&lt;="&amp;F556)</f>
        <v/>
      </c>
      <c r="M556" s="58">
        <f>'个人技术逐级'!N556</f>
        <v/>
      </c>
      <c r="N556" s="58">
        <f>SUMIFS($M$5:$M$692,$A$5:$A$692,A556,$B$5:$B$692,B556,$F$5:$F$692,"&lt;="&amp;F556)</f>
        <v/>
      </c>
      <c r="O556" s="58">
        <f>0</f>
        <v/>
      </c>
      <c r="P556" s="58">
        <f>SUMIFS($O$5:$O$692,$A$5:$A$692,A556,$B$5:$B$692,B556,$F$5:$F$692,"&lt;="&amp;F556)</f>
        <v/>
      </c>
      <c r="Q556" s="58">
        <f>0</f>
        <v/>
      </c>
      <c r="R556" s="58">
        <f>SUMIFS($Q$5:$Q$692,$A$5:$A$692,A556,$B$5:$B$692,B556,$F$5:$F$692,"&lt;="&amp;F556)</f>
        <v/>
      </c>
      <c r="S556" s="58">
        <f>0</f>
        <v/>
      </c>
      <c r="T556" s="58">
        <f>SUMIFS($S$5:$S$692,$A$5:$A$692,A556,$B$5:$B$692,B556,$F$5:$F$692,"&lt;="&amp;F556)</f>
        <v/>
      </c>
      <c r="U556" s="52">
        <f>'个人技术逐级'!O556</f>
        <v/>
      </c>
    </row>
    <row r="557">
      <c r="A557" s="33" t="inlineStr">
        <is>
          <t>个人技术</t>
        </is>
      </c>
      <c r="B557" s="33">
        <f>'个人技术逐级'!A557</f>
        <v/>
      </c>
      <c r="C557" s="33">
        <f>'个人技术逐级'!B557</f>
        <v/>
      </c>
      <c r="D557" s="33">
        <f>'个人技术逐级'!C557</f>
        <v/>
      </c>
      <c r="E557">
        <f>'个人技术逐级'!D557</f>
        <v/>
      </c>
      <c r="F557" s="54">
        <f>'个人技术逐级'!E557</f>
        <v/>
      </c>
      <c r="G557" s="55">
        <f>'个人技术逐级'!F557</f>
        <v/>
      </c>
      <c r="H557" s="56">
        <f>'个人技术逐级'!G557</f>
        <v/>
      </c>
      <c r="I557" s="52" t="inlineStr">
        <is>
          <t>个人技术计时升级</t>
        </is>
      </c>
      <c r="J557" s="57">
        <f>'个人技术逐级'!M557</f>
        <v/>
      </c>
      <c r="K557" s="35">
        <f>J557/3600</f>
        <v/>
      </c>
      <c r="L557" s="35">
        <f>SUMIFS($K$5:$K$692,$A$5:$A$692,A557,$B$5:$B$692,B557,$F$5:$F$692,"&lt;="&amp;F557)</f>
        <v/>
      </c>
      <c r="M557" s="58">
        <f>'个人技术逐级'!N557</f>
        <v/>
      </c>
      <c r="N557" s="58">
        <f>SUMIFS($M$5:$M$692,$A$5:$A$692,A557,$B$5:$B$692,B557,$F$5:$F$692,"&lt;="&amp;F557)</f>
        <v/>
      </c>
      <c r="O557" s="58">
        <f>0</f>
        <v/>
      </c>
      <c r="P557" s="58">
        <f>SUMIFS($O$5:$O$692,$A$5:$A$692,A557,$B$5:$B$692,B557,$F$5:$F$692,"&lt;="&amp;F557)</f>
        <v/>
      </c>
      <c r="Q557" s="58">
        <f>0</f>
        <v/>
      </c>
      <c r="R557" s="58">
        <f>SUMIFS($Q$5:$Q$692,$A$5:$A$692,A557,$B$5:$B$692,B557,$F$5:$F$692,"&lt;="&amp;F557)</f>
        <v/>
      </c>
      <c r="S557" s="58">
        <f>0</f>
        <v/>
      </c>
      <c r="T557" s="58">
        <f>SUMIFS($S$5:$S$692,$A$5:$A$692,A557,$B$5:$B$692,B557,$F$5:$F$692,"&lt;="&amp;F557)</f>
        <v/>
      </c>
      <c r="U557" s="52">
        <f>'个人技术逐级'!O557</f>
        <v/>
      </c>
    </row>
    <row r="558">
      <c r="A558" s="33" t="inlineStr">
        <is>
          <t>个人技术</t>
        </is>
      </c>
      <c r="B558" s="33">
        <f>'个人技术逐级'!A558</f>
        <v/>
      </c>
      <c r="C558" s="33">
        <f>'个人技术逐级'!B558</f>
        <v/>
      </c>
      <c r="D558" s="33">
        <f>'个人技术逐级'!C558</f>
        <v/>
      </c>
      <c r="E558">
        <f>'个人技术逐级'!D558</f>
        <v/>
      </c>
      <c r="F558" s="54">
        <f>'个人技术逐级'!E558</f>
        <v/>
      </c>
      <c r="G558" s="55">
        <f>'个人技术逐级'!F558</f>
        <v/>
      </c>
      <c r="H558" s="56">
        <f>'个人技术逐级'!G558</f>
        <v/>
      </c>
      <c r="I558" s="52" t="inlineStr">
        <is>
          <t>个人技术计时升级</t>
        </is>
      </c>
      <c r="J558" s="57">
        <f>'个人技术逐级'!M558</f>
        <v/>
      </c>
      <c r="K558" s="35">
        <f>J558/3600</f>
        <v/>
      </c>
      <c r="L558" s="35">
        <f>SUMIFS($K$5:$K$692,$A$5:$A$692,A558,$B$5:$B$692,B558,$F$5:$F$692,"&lt;="&amp;F558)</f>
        <v/>
      </c>
      <c r="M558" s="58">
        <f>'个人技术逐级'!N558</f>
        <v/>
      </c>
      <c r="N558" s="58">
        <f>SUMIFS($M$5:$M$692,$A$5:$A$692,A558,$B$5:$B$692,B558,$F$5:$F$692,"&lt;="&amp;F558)</f>
        <v/>
      </c>
      <c r="O558" s="58">
        <f>0</f>
        <v/>
      </c>
      <c r="P558" s="58">
        <f>SUMIFS($O$5:$O$692,$A$5:$A$692,A558,$B$5:$B$692,B558,$F$5:$F$692,"&lt;="&amp;F558)</f>
        <v/>
      </c>
      <c r="Q558" s="58">
        <f>0</f>
        <v/>
      </c>
      <c r="R558" s="58">
        <f>SUMIFS($Q$5:$Q$692,$A$5:$A$692,A558,$B$5:$B$692,B558,$F$5:$F$692,"&lt;="&amp;F558)</f>
        <v/>
      </c>
      <c r="S558" s="58">
        <f>0</f>
        <v/>
      </c>
      <c r="T558" s="58">
        <f>SUMIFS($S$5:$S$692,$A$5:$A$692,A558,$B$5:$B$692,B558,$F$5:$F$692,"&lt;="&amp;F558)</f>
        <v/>
      </c>
      <c r="U558" s="52">
        <f>'个人技术逐级'!O558</f>
        <v/>
      </c>
    </row>
    <row r="559">
      <c r="A559" s="33" t="inlineStr">
        <is>
          <t>个人技术</t>
        </is>
      </c>
      <c r="B559" s="33">
        <f>'个人技术逐级'!A559</f>
        <v/>
      </c>
      <c r="C559" s="33">
        <f>'个人技术逐级'!B559</f>
        <v/>
      </c>
      <c r="D559" s="33">
        <f>'个人技术逐级'!C559</f>
        <v/>
      </c>
      <c r="E559">
        <f>'个人技术逐级'!D559</f>
        <v/>
      </c>
      <c r="F559" s="54">
        <f>'个人技术逐级'!E559</f>
        <v/>
      </c>
      <c r="G559" s="55">
        <f>'个人技术逐级'!F559</f>
        <v/>
      </c>
      <c r="H559" s="56">
        <f>'个人技术逐级'!G559</f>
        <v/>
      </c>
      <c r="I559" s="52" t="inlineStr">
        <is>
          <t>个人技术计时升级</t>
        </is>
      </c>
      <c r="J559" s="57">
        <f>'个人技术逐级'!M559</f>
        <v/>
      </c>
      <c r="K559" s="35">
        <f>J559/3600</f>
        <v/>
      </c>
      <c r="L559" s="35">
        <f>SUMIFS($K$5:$K$692,$A$5:$A$692,A559,$B$5:$B$692,B559,$F$5:$F$692,"&lt;="&amp;F559)</f>
        <v/>
      </c>
      <c r="M559" s="58">
        <f>'个人技术逐级'!N559</f>
        <v/>
      </c>
      <c r="N559" s="58">
        <f>SUMIFS($M$5:$M$692,$A$5:$A$692,A559,$B$5:$B$692,B559,$F$5:$F$692,"&lt;="&amp;F559)</f>
        <v/>
      </c>
      <c r="O559" s="58">
        <f>0</f>
        <v/>
      </c>
      <c r="P559" s="58">
        <f>SUMIFS($O$5:$O$692,$A$5:$A$692,A559,$B$5:$B$692,B559,$F$5:$F$692,"&lt;="&amp;F559)</f>
        <v/>
      </c>
      <c r="Q559" s="58">
        <f>0</f>
        <v/>
      </c>
      <c r="R559" s="58">
        <f>SUMIFS($Q$5:$Q$692,$A$5:$A$692,A559,$B$5:$B$692,B559,$F$5:$F$692,"&lt;="&amp;F559)</f>
        <v/>
      </c>
      <c r="S559" s="58">
        <f>0</f>
        <v/>
      </c>
      <c r="T559" s="58">
        <f>SUMIFS($S$5:$S$692,$A$5:$A$692,A559,$B$5:$B$692,B559,$F$5:$F$692,"&lt;="&amp;F559)</f>
        <v/>
      </c>
      <c r="U559" s="52">
        <f>'个人技术逐级'!O559</f>
        <v/>
      </c>
    </row>
    <row r="560">
      <c r="A560" s="33" t="inlineStr">
        <is>
          <t>个人技术</t>
        </is>
      </c>
      <c r="B560" s="33">
        <f>'个人技术逐级'!A560</f>
        <v/>
      </c>
      <c r="C560" s="33">
        <f>'个人技术逐级'!B560</f>
        <v/>
      </c>
      <c r="D560" s="33">
        <f>'个人技术逐级'!C560</f>
        <v/>
      </c>
      <c r="E560">
        <f>'个人技术逐级'!D560</f>
        <v/>
      </c>
      <c r="F560" s="54">
        <f>'个人技术逐级'!E560</f>
        <v/>
      </c>
      <c r="G560" s="55">
        <f>'个人技术逐级'!F560</f>
        <v/>
      </c>
      <c r="H560" s="56">
        <f>'个人技术逐级'!G560</f>
        <v/>
      </c>
      <c r="I560" s="52" t="inlineStr">
        <is>
          <t>个人技术计时升级</t>
        </is>
      </c>
      <c r="J560" s="57">
        <f>'个人技术逐级'!M560</f>
        <v/>
      </c>
      <c r="K560" s="35">
        <f>J560/3600</f>
        <v/>
      </c>
      <c r="L560" s="35">
        <f>SUMIFS($K$5:$K$692,$A$5:$A$692,A560,$B$5:$B$692,B560,$F$5:$F$692,"&lt;="&amp;F560)</f>
        <v/>
      </c>
      <c r="M560" s="58">
        <f>'个人技术逐级'!N560</f>
        <v/>
      </c>
      <c r="N560" s="58">
        <f>SUMIFS($M$5:$M$692,$A$5:$A$692,A560,$B$5:$B$692,B560,$F$5:$F$692,"&lt;="&amp;F560)</f>
        <v/>
      </c>
      <c r="O560" s="58">
        <f>0</f>
        <v/>
      </c>
      <c r="P560" s="58">
        <f>SUMIFS($O$5:$O$692,$A$5:$A$692,A560,$B$5:$B$692,B560,$F$5:$F$692,"&lt;="&amp;F560)</f>
        <v/>
      </c>
      <c r="Q560" s="58">
        <f>0</f>
        <v/>
      </c>
      <c r="R560" s="58">
        <f>SUMIFS($Q$5:$Q$692,$A$5:$A$692,A560,$B$5:$B$692,B560,$F$5:$F$692,"&lt;="&amp;F560)</f>
        <v/>
      </c>
      <c r="S560" s="58">
        <f>0</f>
        <v/>
      </c>
      <c r="T560" s="58">
        <f>SUMIFS($S$5:$S$692,$A$5:$A$692,A560,$B$5:$B$692,B560,$F$5:$F$692,"&lt;="&amp;F560)</f>
        <v/>
      </c>
      <c r="U560" s="52">
        <f>'个人技术逐级'!O560</f>
        <v/>
      </c>
    </row>
    <row r="561">
      <c r="A561" s="33" t="inlineStr">
        <is>
          <t>个人技术</t>
        </is>
      </c>
      <c r="B561" s="33">
        <f>'个人技术逐级'!A561</f>
        <v/>
      </c>
      <c r="C561" s="33">
        <f>'个人技术逐级'!B561</f>
        <v/>
      </c>
      <c r="D561" s="33">
        <f>'个人技术逐级'!C561</f>
        <v/>
      </c>
      <c r="E561">
        <f>'个人技术逐级'!D561</f>
        <v/>
      </c>
      <c r="F561" s="54">
        <f>'个人技术逐级'!E561</f>
        <v/>
      </c>
      <c r="G561" s="55">
        <f>'个人技术逐级'!F561</f>
        <v/>
      </c>
      <c r="H561" s="56">
        <f>'个人技术逐级'!G561</f>
        <v/>
      </c>
      <c r="I561" s="52" t="inlineStr">
        <is>
          <t>个人技术计时升级</t>
        </is>
      </c>
      <c r="J561" s="57">
        <f>'个人技术逐级'!M561</f>
        <v/>
      </c>
      <c r="K561" s="35">
        <f>J561/3600</f>
        <v/>
      </c>
      <c r="L561" s="35">
        <f>SUMIFS($K$5:$K$692,$A$5:$A$692,A561,$B$5:$B$692,B561,$F$5:$F$692,"&lt;="&amp;F561)</f>
        <v/>
      </c>
      <c r="M561" s="58">
        <f>'个人技术逐级'!N561</f>
        <v/>
      </c>
      <c r="N561" s="58">
        <f>SUMIFS($M$5:$M$692,$A$5:$A$692,A561,$B$5:$B$692,B561,$F$5:$F$692,"&lt;="&amp;F561)</f>
        <v/>
      </c>
      <c r="O561" s="58">
        <f>0</f>
        <v/>
      </c>
      <c r="P561" s="58">
        <f>SUMIFS($O$5:$O$692,$A$5:$A$692,A561,$B$5:$B$692,B561,$F$5:$F$692,"&lt;="&amp;F561)</f>
        <v/>
      </c>
      <c r="Q561" s="58">
        <f>0</f>
        <v/>
      </c>
      <c r="R561" s="58">
        <f>SUMIFS($Q$5:$Q$692,$A$5:$A$692,A561,$B$5:$B$692,B561,$F$5:$F$692,"&lt;="&amp;F561)</f>
        <v/>
      </c>
      <c r="S561" s="58">
        <f>0</f>
        <v/>
      </c>
      <c r="T561" s="58">
        <f>SUMIFS($S$5:$S$692,$A$5:$A$692,A561,$B$5:$B$692,B561,$F$5:$F$692,"&lt;="&amp;F561)</f>
        <v/>
      </c>
      <c r="U561" s="52">
        <f>'个人技术逐级'!O561</f>
        <v/>
      </c>
    </row>
    <row r="562">
      <c r="A562" s="33" t="inlineStr">
        <is>
          <t>个人技术</t>
        </is>
      </c>
      <c r="B562" s="33">
        <f>'个人技术逐级'!A562</f>
        <v/>
      </c>
      <c r="C562" s="33">
        <f>'个人技术逐级'!B562</f>
        <v/>
      </c>
      <c r="D562" s="33">
        <f>'个人技术逐级'!C562</f>
        <v/>
      </c>
      <c r="E562">
        <f>'个人技术逐级'!D562</f>
        <v/>
      </c>
      <c r="F562" s="54">
        <f>'个人技术逐级'!E562</f>
        <v/>
      </c>
      <c r="G562" s="55">
        <f>'个人技术逐级'!F562</f>
        <v/>
      </c>
      <c r="H562" s="56">
        <f>'个人技术逐级'!G562</f>
        <v/>
      </c>
      <c r="I562" s="52" t="inlineStr">
        <is>
          <t>个人技术计时升级</t>
        </is>
      </c>
      <c r="J562" s="57">
        <f>'个人技术逐级'!M562</f>
        <v/>
      </c>
      <c r="K562" s="35">
        <f>J562/3600</f>
        <v/>
      </c>
      <c r="L562" s="35">
        <f>SUMIFS($K$5:$K$692,$A$5:$A$692,A562,$B$5:$B$692,B562,$F$5:$F$692,"&lt;="&amp;F562)</f>
        <v/>
      </c>
      <c r="M562" s="58">
        <f>'个人技术逐级'!N562</f>
        <v/>
      </c>
      <c r="N562" s="58">
        <f>SUMIFS($M$5:$M$692,$A$5:$A$692,A562,$B$5:$B$692,B562,$F$5:$F$692,"&lt;="&amp;F562)</f>
        <v/>
      </c>
      <c r="O562" s="58">
        <f>0</f>
        <v/>
      </c>
      <c r="P562" s="58">
        <f>SUMIFS($O$5:$O$692,$A$5:$A$692,A562,$B$5:$B$692,B562,$F$5:$F$692,"&lt;="&amp;F562)</f>
        <v/>
      </c>
      <c r="Q562" s="58">
        <f>0</f>
        <v/>
      </c>
      <c r="R562" s="58">
        <f>SUMIFS($Q$5:$Q$692,$A$5:$A$692,A562,$B$5:$B$692,B562,$F$5:$F$692,"&lt;="&amp;F562)</f>
        <v/>
      </c>
      <c r="S562" s="58">
        <f>0</f>
        <v/>
      </c>
      <c r="T562" s="58">
        <f>SUMIFS($S$5:$S$692,$A$5:$A$692,A562,$B$5:$B$692,B562,$F$5:$F$692,"&lt;="&amp;F562)</f>
        <v/>
      </c>
      <c r="U562" s="52">
        <f>'个人技术逐级'!O562</f>
        <v/>
      </c>
    </row>
    <row r="563">
      <c r="A563" s="33" t="inlineStr">
        <is>
          <t>个人技术</t>
        </is>
      </c>
      <c r="B563" s="33">
        <f>'个人技术逐级'!A563</f>
        <v/>
      </c>
      <c r="C563" s="33">
        <f>'个人技术逐级'!B563</f>
        <v/>
      </c>
      <c r="D563" s="33">
        <f>'个人技术逐级'!C563</f>
        <v/>
      </c>
      <c r="E563">
        <f>'个人技术逐级'!D563</f>
        <v/>
      </c>
      <c r="F563" s="54">
        <f>'个人技术逐级'!E563</f>
        <v/>
      </c>
      <c r="G563" s="55">
        <f>'个人技术逐级'!F563</f>
        <v/>
      </c>
      <c r="H563" s="56">
        <f>'个人技术逐级'!G563</f>
        <v/>
      </c>
      <c r="I563" s="52" t="inlineStr">
        <is>
          <t>个人技术计时升级</t>
        </is>
      </c>
      <c r="J563" s="57">
        <f>'个人技术逐级'!M563</f>
        <v/>
      </c>
      <c r="K563" s="35">
        <f>J563/3600</f>
        <v/>
      </c>
      <c r="L563" s="35">
        <f>SUMIFS($K$5:$K$692,$A$5:$A$692,A563,$B$5:$B$692,B563,$F$5:$F$692,"&lt;="&amp;F563)</f>
        <v/>
      </c>
      <c r="M563" s="58">
        <f>'个人技术逐级'!N563</f>
        <v/>
      </c>
      <c r="N563" s="58">
        <f>SUMIFS($M$5:$M$692,$A$5:$A$692,A563,$B$5:$B$692,B563,$F$5:$F$692,"&lt;="&amp;F563)</f>
        <v/>
      </c>
      <c r="O563" s="58">
        <f>0</f>
        <v/>
      </c>
      <c r="P563" s="58">
        <f>SUMIFS($O$5:$O$692,$A$5:$A$692,A563,$B$5:$B$692,B563,$F$5:$F$692,"&lt;="&amp;F563)</f>
        <v/>
      </c>
      <c r="Q563" s="58">
        <f>0</f>
        <v/>
      </c>
      <c r="R563" s="58">
        <f>SUMIFS($Q$5:$Q$692,$A$5:$A$692,A563,$B$5:$B$692,B563,$F$5:$F$692,"&lt;="&amp;F563)</f>
        <v/>
      </c>
      <c r="S563" s="58">
        <f>0</f>
        <v/>
      </c>
      <c r="T563" s="58">
        <f>SUMIFS($S$5:$S$692,$A$5:$A$692,A563,$B$5:$B$692,B563,$F$5:$F$692,"&lt;="&amp;F563)</f>
        <v/>
      </c>
      <c r="U563" s="52">
        <f>'个人技术逐级'!O563</f>
        <v/>
      </c>
    </row>
    <row r="564">
      <c r="A564" s="33" t="inlineStr">
        <is>
          <t>个人技术</t>
        </is>
      </c>
      <c r="B564" s="33">
        <f>'个人技术逐级'!A564</f>
        <v/>
      </c>
      <c r="C564" s="33">
        <f>'个人技术逐级'!B564</f>
        <v/>
      </c>
      <c r="D564" s="33">
        <f>'个人技术逐级'!C564</f>
        <v/>
      </c>
      <c r="E564">
        <f>'个人技术逐级'!D564</f>
        <v/>
      </c>
      <c r="F564" s="54">
        <f>'个人技术逐级'!E564</f>
        <v/>
      </c>
      <c r="G564" s="55">
        <f>'个人技术逐级'!F564</f>
        <v/>
      </c>
      <c r="H564" s="56">
        <f>'个人技术逐级'!G564</f>
        <v/>
      </c>
      <c r="I564" s="52" t="inlineStr">
        <is>
          <t>个人技术计时升级</t>
        </is>
      </c>
      <c r="J564" s="57">
        <f>'个人技术逐级'!M564</f>
        <v/>
      </c>
      <c r="K564" s="35">
        <f>J564/3600</f>
        <v/>
      </c>
      <c r="L564" s="35">
        <f>SUMIFS($K$5:$K$692,$A$5:$A$692,A564,$B$5:$B$692,B564,$F$5:$F$692,"&lt;="&amp;F564)</f>
        <v/>
      </c>
      <c r="M564" s="58">
        <f>'个人技术逐级'!N564</f>
        <v/>
      </c>
      <c r="N564" s="58">
        <f>SUMIFS($M$5:$M$692,$A$5:$A$692,A564,$B$5:$B$692,B564,$F$5:$F$692,"&lt;="&amp;F564)</f>
        <v/>
      </c>
      <c r="O564" s="58">
        <f>0</f>
        <v/>
      </c>
      <c r="P564" s="58">
        <f>SUMIFS($O$5:$O$692,$A$5:$A$692,A564,$B$5:$B$692,B564,$F$5:$F$692,"&lt;="&amp;F564)</f>
        <v/>
      </c>
      <c r="Q564" s="58">
        <f>0</f>
        <v/>
      </c>
      <c r="R564" s="58">
        <f>SUMIFS($Q$5:$Q$692,$A$5:$A$692,A564,$B$5:$B$692,B564,$F$5:$F$692,"&lt;="&amp;F564)</f>
        <v/>
      </c>
      <c r="S564" s="58">
        <f>0</f>
        <v/>
      </c>
      <c r="T564" s="58">
        <f>SUMIFS($S$5:$S$692,$A$5:$A$692,A564,$B$5:$B$692,B564,$F$5:$F$692,"&lt;="&amp;F564)</f>
        <v/>
      </c>
      <c r="U564" s="52">
        <f>'个人技术逐级'!O564</f>
        <v/>
      </c>
    </row>
    <row r="565">
      <c r="A565" s="33" t="inlineStr">
        <is>
          <t>个人技术</t>
        </is>
      </c>
      <c r="B565" s="33">
        <f>'个人技术逐级'!A565</f>
        <v/>
      </c>
      <c r="C565" s="33">
        <f>'个人技术逐级'!B565</f>
        <v/>
      </c>
      <c r="D565" s="33">
        <f>'个人技术逐级'!C565</f>
        <v/>
      </c>
      <c r="E565">
        <f>'个人技术逐级'!D565</f>
        <v/>
      </c>
      <c r="F565" s="54">
        <f>'个人技术逐级'!E565</f>
        <v/>
      </c>
      <c r="G565" s="55">
        <f>'个人技术逐级'!F565</f>
        <v/>
      </c>
      <c r="H565" s="56">
        <f>'个人技术逐级'!G565</f>
        <v/>
      </c>
      <c r="I565" s="52" t="inlineStr">
        <is>
          <t>个人技术计时升级</t>
        </is>
      </c>
      <c r="J565" s="57">
        <f>'个人技术逐级'!M565</f>
        <v/>
      </c>
      <c r="K565" s="35">
        <f>J565/3600</f>
        <v/>
      </c>
      <c r="L565" s="35">
        <f>SUMIFS($K$5:$K$692,$A$5:$A$692,A565,$B$5:$B$692,B565,$F$5:$F$692,"&lt;="&amp;F565)</f>
        <v/>
      </c>
      <c r="M565" s="58">
        <f>'个人技术逐级'!N565</f>
        <v/>
      </c>
      <c r="N565" s="58">
        <f>SUMIFS($M$5:$M$692,$A$5:$A$692,A565,$B$5:$B$692,B565,$F$5:$F$692,"&lt;="&amp;F565)</f>
        <v/>
      </c>
      <c r="O565" s="58">
        <f>0</f>
        <v/>
      </c>
      <c r="P565" s="58">
        <f>SUMIFS($O$5:$O$692,$A$5:$A$692,A565,$B$5:$B$692,B565,$F$5:$F$692,"&lt;="&amp;F565)</f>
        <v/>
      </c>
      <c r="Q565" s="58">
        <f>0</f>
        <v/>
      </c>
      <c r="R565" s="58">
        <f>SUMIFS($Q$5:$Q$692,$A$5:$A$692,A565,$B$5:$B$692,B565,$F$5:$F$692,"&lt;="&amp;F565)</f>
        <v/>
      </c>
      <c r="S565" s="58">
        <f>0</f>
        <v/>
      </c>
      <c r="T565" s="58">
        <f>SUMIFS($S$5:$S$692,$A$5:$A$692,A565,$B$5:$B$692,B565,$F$5:$F$692,"&lt;="&amp;F565)</f>
        <v/>
      </c>
      <c r="U565" s="52">
        <f>'个人技术逐级'!O565</f>
        <v/>
      </c>
    </row>
    <row r="566">
      <c r="A566" s="33" t="inlineStr">
        <is>
          <t>个人技术</t>
        </is>
      </c>
      <c r="B566" s="33">
        <f>'个人技术逐级'!A566</f>
        <v/>
      </c>
      <c r="C566" s="33">
        <f>'个人技术逐级'!B566</f>
        <v/>
      </c>
      <c r="D566" s="33">
        <f>'个人技术逐级'!C566</f>
        <v/>
      </c>
      <c r="E566">
        <f>'个人技术逐级'!D566</f>
        <v/>
      </c>
      <c r="F566" s="54">
        <f>'个人技术逐级'!E566</f>
        <v/>
      </c>
      <c r="G566" s="55">
        <f>'个人技术逐级'!F566</f>
        <v/>
      </c>
      <c r="H566" s="56">
        <f>'个人技术逐级'!G566</f>
        <v/>
      </c>
      <c r="I566" s="52" t="inlineStr">
        <is>
          <t>个人技术计时升级</t>
        </is>
      </c>
      <c r="J566" s="57">
        <f>'个人技术逐级'!M566</f>
        <v/>
      </c>
      <c r="K566" s="35">
        <f>J566/3600</f>
        <v/>
      </c>
      <c r="L566" s="35">
        <f>SUMIFS($K$5:$K$692,$A$5:$A$692,A566,$B$5:$B$692,B566,$F$5:$F$692,"&lt;="&amp;F566)</f>
        <v/>
      </c>
      <c r="M566" s="58">
        <f>'个人技术逐级'!N566</f>
        <v/>
      </c>
      <c r="N566" s="58">
        <f>SUMIFS($M$5:$M$692,$A$5:$A$692,A566,$B$5:$B$692,B566,$F$5:$F$692,"&lt;="&amp;F566)</f>
        <v/>
      </c>
      <c r="O566" s="58">
        <f>0</f>
        <v/>
      </c>
      <c r="P566" s="58">
        <f>SUMIFS($O$5:$O$692,$A$5:$A$692,A566,$B$5:$B$692,B566,$F$5:$F$692,"&lt;="&amp;F566)</f>
        <v/>
      </c>
      <c r="Q566" s="58">
        <f>0</f>
        <v/>
      </c>
      <c r="R566" s="58">
        <f>SUMIFS($Q$5:$Q$692,$A$5:$A$692,A566,$B$5:$B$692,B566,$F$5:$F$692,"&lt;="&amp;F566)</f>
        <v/>
      </c>
      <c r="S566" s="58">
        <f>0</f>
        <v/>
      </c>
      <c r="T566" s="58">
        <f>SUMIFS($S$5:$S$692,$A$5:$A$692,A566,$B$5:$B$692,B566,$F$5:$F$692,"&lt;="&amp;F566)</f>
        <v/>
      </c>
      <c r="U566" s="52">
        <f>'个人技术逐级'!O566</f>
        <v/>
      </c>
    </row>
    <row r="567">
      <c r="A567" s="33" t="inlineStr">
        <is>
          <t>个人技术</t>
        </is>
      </c>
      <c r="B567" s="33">
        <f>'个人技术逐级'!A567</f>
        <v/>
      </c>
      <c r="C567" s="33">
        <f>'个人技术逐级'!B567</f>
        <v/>
      </c>
      <c r="D567" s="33">
        <f>'个人技术逐级'!C567</f>
        <v/>
      </c>
      <c r="E567">
        <f>'个人技术逐级'!D567</f>
        <v/>
      </c>
      <c r="F567" s="54">
        <f>'个人技术逐级'!E567</f>
        <v/>
      </c>
      <c r="G567" s="55">
        <f>'个人技术逐级'!F567</f>
        <v/>
      </c>
      <c r="H567" s="56">
        <f>'个人技术逐级'!G567</f>
        <v/>
      </c>
      <c r="I567" s="52" t="inlineStr">
        <is>
          <t>个人技术计时升级</t>
        </is>
      </c>
      <c r="J567" s="57">
        <f>'个人技术逐级'!M567</f>
        <v/>
      </c>
      <c r="K567" s="35">
        <f>J567/3600</f>
        <v/>
      </c>
      <c r="L567" s="35">
        <f>SUMIFS($K$5:$K$692,$A$5:$A$692,A567,$B$5:$B$692,B567,$F$5:$F$692,"&lt;="&amp;F567)</f>
        <v/>
      </c>
      <c r="M567" s="58">
        <f>'个人技术逐级'!N567</f>
        <v/>
      </c>
      <c r="N567" s="58">
        <f>SUMIFS($M$5:$M$692,$A$5:$A$692,A567,$B$5:$B$692,B567,$F$5:$F$692,"&lt;="&amp;F567)</f>
        <v/>
      </c>
      <c r="O567" s="58">
        <f>0</f>
        <v/>
      </c>
      <c r="P567" s="58">
        <f>SUMIFS($O$5:$O$692,$A$5:$A$692,A567,$B$5:$B$692,B567,$F$5:$F$692,"&lt;="&amp;F567)</f>
        <v/>
      </c>
      <c r="Q567" s="58">
        <f>0</f>
        <v/>
      </c>
      <c r="R567" s="58">
        <f>SUMIFS($Q$5:$Q$692,$A$5:$A$692,A567,$B$5:$B$692,B567,$F$5:$F$692,"&lt;="&amp;F567)</f>
        <v/>
      </c>
      <c r="S567" s="58">
        <f>0</f>
        <v/>
      </c>
      <c r="T567" s="58">
        <f>SUMIFS($S$5:$S$692,$A$5:$A$692,A567,$B$5:$B$692,B567,$F$5:$F$692,"&lt;="&amp;F567)</f>
        <v/>
      </c>
      <c r="U567" s="52">
        <f>'个人技术逐级'!O567</f>
        <v/>
      </c>
    </row>
    <row r="568">
      <c r="A568" s="33" t="inlineStr">
        <is>
          <t>个人技术</t>
        </is>
      </c>
      <c r="B568" s="33">
        <f>'个人技术逐级'!A568</f>
        <v/>
      </c>
      <c r="C568" s="33">
        <f>'个人技术逐级'!B568</f>
        <v/>
      </c>
      <c r="D568" s="33">
        <f>'个人技术逐级'!C568</f>
        <v/>
      </c>
      <c r="E568">
        <f>'个人技术逐级'!D568</f>
        <v/>
      </c>
      <c r="F568" s="54">
        <f>'个人技术逐级'!E568</f>
        <v/>
      </c>
      <c r="G568" s="55">
        <f>'个人技术逐级'!F568</f>
        <v/>
      </c>
      <c r="H568" s="56">
        <f>'个人技术逐级'!G568</f>
        <v/>
      </c>
      <c r="I568" s="52" t="inlineStr">
        <is>
          <t>个人技术计时升级</t>
        </is>
      </c>
      <c r="J568" s="57">
        <f>'个人技术逐级'!M568</f>
        <v/>
      </c>
      <c r="K568" s="35">
        <f>J568/3600</f>
        <v/>
      </c>
      <c r="L568" s="35">
        <f>SUMIFS($K$5:$K$692,$A$5:$A$692,A568,$B$5:$B$692,B568,$F$5:$F$692,"&lt;="&amp;F568)</f>
        <v/>
      </c>
      <c r="M568" s="58">
        <f>'个人技术逐级'!N568</f>
        <v/>
      </c>
      <c r="N568" s="58">
        <f>SUMIFS($M$5:$M$692,$A$5:$A$692,A568,$B$5:$B$692,B568,$F$5:$F$692,"&lt;="&amp;F568)</f>
        <v/>
      </c>
      <c r="O568" s="58">
        <f>0</f>
        <v/>
      </c>
      <c r="P568" s="58">
        <f>SUMIFS($O$5:$O$692,$A$5:$A$692,A568,$B$5:$B$692,B568,$F$5:$F$692,"&lt;="&amp;F568)</f>
        <v/>
      </c>
      <c r="Q568" s="58">
        <f>0</f>
        <v/>
      </c>
      <c r="R568" s="58">
        <f>SUMIFS($Q$5:$Q$692,$A$5:$A$692,A568,$B$5:$B$692,B568,$F$5:$F$692,"&lt;="&amp;F568)</f>
        <v/>
      </c>
      <c r="S568" s="58">
        <f>0</f>
        <v/>
      </c>
      <c r="T568" s="58">
        <f>SUMIFS($S$5:$S$692,$A$5:$A$692,A568,$B$5:$B$692,B568,$F$5:$F$692,"&lt;="&amp;F568)</f>
        <v/>
      </c>
      <c r="U568" s="52">
        <f>'个人技术逐级'!O568</f>
        <v/>
      </c>
    </row>
    <row r="569">
      <c r="A569" s="33" t="inlineStr">
        <is>
          <t>个人技术</t>
        </is>
      </c>
      <c r="B569" s="33">
        <f>'个人技术逐级'!A569</f>
        <v/>
      </c>
      <c r="C569" s="33">
        <f>'个人技术逐级'!B569</f>
        <v/>
      </c>
      <c r="D569" s="33">
        <f>'个人技术逐级'!C569</f>
        <v/>
      </c>
      <c r="E569">
        <f>'个人技术逐级'!D569</f>
        <v/>
      </c>
      <c r="F569" s="54">
        <f>'个人技术逐级'!E569</f>
        <v/>
      </c>
      <c r="G569" s="55">
        <f>'个人技术逐级'!F569</f>
        <v/>
      </c>
      <c r="H569" s="56">
        <f>'个人技术逐级'!G569</f>
        <v/>
      </c>
      <c r="I569" s="52" t="inlineStr">
        <is>
          <t>个人技术计时升级</t>
        </is>
      </c>
      <c r="J569" s="57">
        <f>'个人技术逐级'!M569</f>
        <v/>
      </c>
      <c r="K569" s="35">
        <f>J569/3600</f>
        <v/>
      </c>
      <c r="L569" s="35">
        <f>SUMIFS($K$5:$K$692,$A$5:$A$692,A569,$B$5:$B$692,B569,$F$5:$F$692,"&lt;="&amp;F569)</f>
        <v/>
      </c>
      <c r="M569" s="58">
        <f>'个人技术逐级'!N569</f>
        <v/>
      </c>
      <c r="N569" s="58">
        <f>SUMIFS($M$5:$M$692,$A$5:$A$692,A569,$B$5:$B$692,B569,$F$5:$F$692,"&lt;="&amp;F569)</f>
        <v/>
      </c>
      <c r="O569" s="58">
        <f>0</f>
        <v/>
      </c>
      <c r="P569" s="58">
        <f>SUMIFS($O$5:$O$692,$A$5:$A$692,A569,$B$5:$B$692,B569,$F$5:$F$692,"&lt;="&amp;F569)</f>
        <v/>
      </c>
      <c r="Q569" s="58">
        <f>0</f>
        <v/>
      </c>
      <c r="R569" s="58">
        <f>SUMIFS($Q$5:$Q$692,$A$5:$A$692,A569,$B$5:$B$692,B569,$F$5:$F$692,"&lt;="&amp;F569)</f>
        <v/>
      </c>
      <c r="S569" s="58">
        <f>0</f>
        <v/>
      </c>
      <c r="T569" s="58">
        <f>SUMIFS($S$5:$S$692,$A$5:$A$692,A569,$B$5:$B$692,B569,$F$5:$F$692,"&lt;="&amp;F569)</f>
        <v/>
      </c>
      <c r="U569" s="52">
        <f>'个人技术逐级'!O569</f>
        <v/>
      </c>
    </row>
    <row r="570">
      <c r="A570" s="33" t="inlineStr">
        <is>
          <t>个人技术</t>
        </is>
      </c>
      <c r="B570" s="33">
        <f>'个人技术逐级'!A570</f>
        <v/>
      </c>
      <c r="C570" s="33">
        <f>'个人技术逐级'!B570</f>
        <v/>
      </c>
      <c r="D570" s="33">
        <f>'个人技术逐级'!C570</f>
        <v/>
      </c>
      <c r="E570">
        <f>'个人技术逐级'!D570</f>
        <v/>
      </c>
      <c r="F570" s="54">
        <f>'个人技术逐级'!E570</f>
        <v/>
      </c>
      <c r="G570" s="55">
        <f>'个人技术逐级'!F570</f>
        <v/>
      </c>
      <c r="H570" s="56">
        <f>'个人技术逐级'!G570</f>
        <v/>
      </c>
      <c r="I570" s="52" t="inlineStr">
        <is>
          <t>个人技术计时升级</t>
        </is>
      </c>
      <c r="J570" s="57">
        <f>'个人技术逐级'!M570</f>
        <v/>
      </c>
      <c r="K570" s="35">
        <f>J570/3600</f>
        <v/>
      </c>
      <c r="L570" s="35">
        <f>SUMIFS($K$5:$K$692,$A$5:$A$692,A570,$B$5:$B$692,B570,$F$5:$F$692,"&lt;="&amp;F570)</f>
        <v/>
      </c>
      <c r="M570" s="58">
        <f>'个人技术逐级'!N570</f>
        <v/>
      </c>
      <c r="N570" s="58">
        <f>SUMIFS($M$5:$M$692,$A$5:$A$692,A570,$B$5:$B$692,B570,$F$5:$F$692,"&lt;="&amp;F570)</f>
        <v/>
      </c>
      <c r="O570" s="58">
        <f>0</f>
        <v/>
      </c>
      <c r="P570" s="58">
        <f>SUMIFS($O$5:$O$692,$A$5:$A$692,A570,$B$5:$B$692,B570,$F$5:$F$692,"&lt;="&amp;F570)</f>
        <v/>
      </c>
      <c r="Q570" s="58">
        <f>0</f>
        <v/>
      </c>
      <c r="R570" s="58">
        <f>SUMIFS($Q$5:$Q$692,$A$5:$A$692,A570,$B$5:$B$692,B570,$F$5:$F$692,"&lt;="&amp;F570)</f>
        <v/>
      </c>
      <c r="S570" s="58">
        <f>0</f>
        <v/>
      </c>
      <c r="T570" s="58">
        <f>SUMIFS($S$5:$S$692,$A$5:$A$692,A570,$B$5:$B$692,B570,$F$5:$F$692,"&lt;="&amp;F570)</f>
        <v/>
      </c>
      <c r="U570" s="52">
        <f>'个人技术逐级'!O570</f>
        <v/>
      </c>
    </row>
    <row r="571">
      <c r="A571" s="33" t="inlineStr">
        <is>
          <t>个人技术</t>
        </is>
      </c>
      <c r="B571" s="33">
        <f>'个人技术逐级'!A571</f>
        <v/>
      </c>
      <c r="C571" s="33">
        <f>'个人技术逐级'!B571</f>
        <v/>
      </c>
      <c r="D571" s="33">
        <f>'个人技术逐级'!C571</f>
        <v/>
      </c>
      <c r="E571">
        <f>'个人技术逐级'!D571</f>
        <v/>
      </c>
      <c r="F571" s="54">
        <f>'个人技术逐级'!E571</f>
        <v/>
      </c>
      <c r="G571" s="55">
        <f>'个人技术逐级'!F571</f>
        <v/>
      </c>
      <c r="H571" s="56">
        <f>'个人技术逐级'!G571</f>
        <v/>
      </c>
      <c r="I571" s="52" t="inlineStr">
        <is>
          <t>个人技术计时升级</t>
        </is>
      </c>
      <c r="J571" s="57">
        <f>'个人技术逐级'!M571</f>
        <v/>
      </c>
      <c r="K571" s="35">
        <f>J571/3600</f>
        <v/>
      </c>
      <c r="L571" s="35">
        <f>SUMIFS($K$5:$K$692,$A$5:$A$692,A571,$B$5:$B$692,B571,$F$5:$F$692,"&lt;="&amp;F571)</f>
        <v/>
      </c>
      <c r="M571" s="58">
        <f>'个人技术逐级'!N571</f>
        <v/>
      </c>
      <c r="N571" s="58">
        <f>SUMIFS($M$5:$M$692,$A$5:$A$692,A571,$B$5:$B$692,B571,$F$5:$F$692,"&lt;="&amp;F571)</f>
        <v/>
      </c>
      <c r="O571" s="58">
        <f>0</f>
        <v/>
      </c>
      <c r="P571" s="58">
        <f>SUMIFS($O$5:$O$692,$A$5:$A$692,A571,$B$5:$B$692,B571,$F$5:$F$692,"&lt;="&amp;F571)</f>
        <v/>
      </c>
      <c r="Q571" s="58">
        <f>0</f>
        <v/>
      </c>
      <c r="R571" s="58">
        <f>SUMIFS($Q$5:$Q$692,$A$5:$A$692,A571,$B$5:$B$692,B571,$F$5:$F$692,"&lt;="&amp;F571)</f>
        <v/>
      </c>
      <c r="S571" s="58">
        <f>0</f>
        <v/>
      </c>
      <c r="T571" s="58">
        <f>SUMIFS($S$5:$S$692,$A$5:$A$692,A571,$B$5:$B$692,B571,$F$5:$F$692,"&lt;="&amp;F571)</f>
        <v/>
      </c>
      <c r="U571" s="52">
        <f>'个人技术逐级'!O571</f>
        <v/>
      </c>
    </row>
    <row r="572">
      <c r="A572" s="33" t="inlineStr">
        <is>
          <t>个人技术</t>
        </is>
      </c>
      <c r="B572" s="33">
        <f>'个人技术逐级'!A572</f>
        <v/>
      </c>
      <c r="C572" s="33">
        <f>'个人技术逐级'!B572</f>
        <v/>
      </c>
      <c r="D572" s="33">
        <f>'个人技术逐级'!C572</f>
        <v/>
      </c>
      <c r="E572">
        <f>'个人技术逐级'!D572</f>
        <v/>
      </c>
      <c r="F572" s="54">
        <f>'个人技术逐级'!E572</f>
        <v/>
      </c>
      <c r="G572" s="55">
        <f>'个人技术逐级'!F572</f>
        <v/>
      </c>
      <c r="H572" s="56">
        <f>'个人技术逐级'!G572</f>
        <v/>
      </c>
      <c r="I572" s="52" t="inlineStr">
        <is>
          <t>个人技术计时升级</t>
        </is>
      </c>
      <c r="J572" s="57">
        <f>'个人技术逐级'!M572</f>
        <v/>
      </c>
      <c r="K572" s="35">
        <f>J572/3600</f>
        <v/>
      </c>
      <c r="L572" s="35">
        <f>SUMIFS($K$5:$K$692,$A$5:$A$692,A572,$B$5:$B$692,B572,$F$5:$F$692,"&lt;="&amp;F572)</f>
        <v/>
      </c>
      <c r="M572" s="58">
        <f>'个人技术逐级'!N572</f>
        <v/>
      </c>
      <c r="N572" s="58">
        <f>SUMIFS($M$5:$M$692,$A$5:$A$692,A572,$B$5:$B$692,B572,$F$5:$F$692,"&lt;="&amp;F572)</f>
        <v/>
      </c>
      <c r="O572" s="58">
        <f>0</f>
        <v/>
      </c>
      <c r="P572" s="58">
        <f>SUMIFS($O$5:$O$692,$A$5:$A$692,A572,$B$5:$B$692,B572,$F$5:$F$692,"&lt;="&amp;F572)</f>
        <v/>
      </c>
      <c r="Q572" s="58">
        <f>0</f>
        <v/>
      </c>
      <c r="R572" s="58">
        <f>SUMIFS($Q$5:$Q$692,$A$5:$A$692,A572,$B$5:$B$692,B572,$F$5:$F$692,"&lt;="&amp;F572)</f>
        <v/>
      </c>
      <c r="S572" s="58">
        <f>0</f>
        <v/>
      </c>
      <c r="T572" s="58">
        <f>SUMIFS($S$5:$S$692,$A$5:$A$692,A572,$B$5:$B$692,B572,$F$5:$F$692,"&lt;="&amp;F572)</f>
        <v/>
      </c>
      <c r="U572" s="52">
        <f>'个人技术逐级'!O572</f>
        <v/>
      </c>
    </row>
    <row r="573">
      <c r="A573" s="33" t="inlineStr">
        <is>
          <t>个人技术</t>
        </is>
      </c>
      <c r="B573" s="33">
        <f>'个人技术逐级'!A573</f>
        <v/>
      </c>
      <c r="C573" s="33">
        <f>'个人技术逐级'!B573</f>
        <v/>
      </c>
      <c r="D573" s="33">
        <f>'个人技术逐级'!C573</f>
        <v/>
      </c>
      <c r="E573">
        <f>'个人技术逐级'!D573</f>
        <v/>
      </c>
      <c r="F573" s="54">
        <f>'个人技术逐级'!E573</f>
        <v/>
      </c>
      <c r="G573" s="55">
        <f>'个人技术逐级'!F573</f>
        <v/>
      </c>
      <c r="H573" s="56">
        <f>'个人技术逐级'!G573</f>
        <v/>
      </c>
      <c r="I573" s="52" t="inlineStr">
        <is>
          <t>个人技术计时升级</t>
        </is>
      </c>
      <c r="J573" s="57">
        <f>'个人技术逐级'!M573</f>
        <v/>
      </c>
      <c r="K573" s="35">
        <f>J573/3600</f>
        <v/>
      </c>
      <c r="L573" s="35">
        <f>SUMIFS($K$5:$K$692,$A$5:$A$692,A573,$B$5:$B$692,B573,$F$5:$F$692,"&lt;="&amp;F573)</f>
        <v/>
      </c>
      <c r="M573" s="58">
        <f>'个人技术逐级'!N573</f>
        <v/>
      </c>
      <c r="N573" s="58">
        <f>SUMIFS($M$5:$M$692,$A$5:$A$692,A573,$B$5:$B$692,B573,$F$5:$F$692,"&lt;="&amp;F573)</f>
        <v/>
      </c>
      <c r="O573" s="58">
        <f>0</f>
        <v/>
      </c>
      <c r="P573" s="58">
        <f>SUMIFS($O$5:$O$692,$A$5:$A$692,A573,$B$5:$B$692,B573,$F$5:$F$692,"&lt;="&amp;F573)</f>
        <v/>
      </c>
      <c r="Q573" s="58">
        <f>0</f>
        <v/>
      </c>
      <c r="R573" s="58">
        <f>SUMIFS($Q$5:$Q$692,$A$5:$A$692,A573,$B$5:$B$692,B573,$F$5:$F$692,"&lt;="&amp;F573)</f>
        <v/>
      </c>
      <c r="S573" s="58">
        <f>0</f>
        <v/>
      </c>
      <c r="T573" s="58">
        <f>SUMIFS($S$5:$S$692,$A$5:$A$692,A573,$B$5:$B$692,B573,$F$5:$F$692,"&lt;="&amp;F573)</f>
        <v/>
      </c>
      <c r="U573" s="52">
        <f>'个人技术逐级'!O573</f>
        <v/>
      </c>
    </row>
    <row r="574">
      <c r="A574" s="33" t="inlineStr">
        <is>
          <t>个人技术</t>
        </is>
      </c>
      <c r="B574" s="33">
        <f>'个人技术逐级'!A574</f>
        <v/>
      </c>
      <c r="C574" s="33">
        <f>'个人技术逐级'!B574</f>
        <v/>
      </c>
      <c r="D574" s="33">
        <f>'个人技术逐级'!C574</f>
        <v/>
      </c>
      <c r="E574">
        <f>'个人技术逐级'!D574</f>
        <v/>
      </c>
      <c r="F574" s="54">
        <f>'个人技术逐级'!E574</f>
        <v/>
      </c>
      <c r="G574" s="55">
        <f>'个人技术逐级'!F574</f>
        <v/>
      </c>
      <c r="H574" s="56">
        <f>'个人技术逐级'!G574</f>
        <v/>
      </c>
      <c r="I574" s="52" t="inlineStr">
        <is>
          <t>个人技术计时升级</t>
        </is>
      </c>
      <c r="J574" s="57">
        <f>'个人技术逐级'!M574</f>
        <v/>
      </c>
      <c r="K574" s="35">
        <f>J574/3600</f>
        <v/>
      </c>
      <c r="L574" s="35">
        <f>SUMIFS($K$5:$K$692,$A$5:$A$692,A574,$B$5:$B$692,B574,$F$5:$F$692,"&lt;="&amp;F574)</f>
        <v/>
      </c>
      <c r="M574" s="58">
        <f>'个人技术逐级'!N574</f>
        <v/>
      </c>
      <c r="N574" s="58">
        <f>SUMIFS($M$5:$M$692,$A$5:$A$692,A574,$B$5:$B$692,B574,$F$5:$F$692,"&lt;="&amp;F574)</f>
        <v/>
      </c>
      <c r="O574" s="58">
        <f>0</f>
        <v/>
      </c>
      <c r="P574" s="58">
        <f>SUMIFS($O$5:$O$692,$A$5:$A$692,A574,$B$5:$B$692,B574,$F$5:$F$692,"&lt;="&amp;F574)</f>
        <v/>
      </c>
      <c r="Q574" s="58">
        <f>0</f>
        <v/>
      </c>
      <c r="R574" s="58">
        <f>SUMIFS($Q$5:$Q$692,$A$5:$A$692,A574,$B$5:$B$692,B574,$F$5:$F$692,"&lt;="&amp;F574)</f>
        <v/>
      </c>
      <c r="S574" s="58">
        <f>0</f>
        <v/>
      </c>
      <c r="T574" s="58">
        <f>SUMIFS($S$5:$S$692,$A$5:$A$692,A574,$B$5:$B$692,B574,$F$5:$F$692,"&lt;="&amp;F574)</f>
        <v/>
      </c>
      <c r="U574" s="52">
        <f>'个人技术逐级'!O574</f>
        <v/>
      </c>
    </row>
    <row r="575">
      <c r="A575" s="33" t="inlineStr">
        <is>
          <t>个人技术</t>
        </is>
      </c>
      <c r="B575" s="33">
        <f>'个人技术逐级'!A575</f>
        <v/>
      </c>
      <c r="C575" s="33">
        <f>'个人技术逐级'!B575</f>
        <v/>
      </c>
      <c r="D575" s="33">
        <f>'个人技术逐级'!C575</f>
        <v/>
      </c>
      <c r="E575">
        <f>'个人技术逐级'!D575</f>
        <v/>
      </c>
      <c r="F575" s="54">
        <f>'个人技术逐级'!E575</f>
        <v/>
      </c>
      <c r="G575" s="55">
        <f>'个人技术逐级'!F575</f>
        <v/>
      </c>
      <c r="H575" s="56">
        <f>'个人技术逐级'!G575</f>
        <v/>
      </c>
      <c r="I575" s="52" t="inlineStr">
        <is>
          <t>个人技术计时升级</t>
        </is>
      </c>
      <c r="J575" s="57">
        <f>'个人技术逐级'!M575</f>
        <v/>
      </c>
      <c r="K575" s="35">
        <f>J575/3600</f>
        <v/>
      </c>
      <c r="L575" s="35">
        <f>SUMIFS($K$5:$K$692,$A$5:$A$692,A575,$B$5:$B$692,B575,$F$5:$F$692,"&lt;="&amp;F575)</f>
        <v/>
      </c>
      <c r="M575" s="58">
        <f>'个人技术逐级'!N575</f>
        <v/>
      </c>
      <c r="N575" s="58">
        <f>SUMIFS($M$5:$M$692,$A$5:$A$692,A575,$B$5:$B$692,B575,$F$5:$F$692,"&lt;="&amp;F575)</f>
        <v/>
      </c>
      <c r="O575" s="58">
        <f>0</f>
        <v/>
      </c>
      <c r="P575" s="58">
        <f>SUMIFS($O$5:$O$692,$A$5:$A$692,A575,$B$5:$B$692,B575,$F$5:$F$692,"&lt;="&amp;F575)</f>
        <v/>
      </c>
      <c r="Q575" s="58">
        <f>0</f>
        <v/>
      </c>
      <c r="R575" s="58">
        <f>SUMIFS($Q$5:$Q$692,$A$5:$A$692,A575,$B$5:$B$692,B575,$F$5:$F$692,"&lt;="&amp;F575)</f>
        <v/>
      </c>
      <c r="S575" s="58">
        <f>0</f>
        <v/>
      </c>
      <c r="T575" s="58">
        <f>SUMIFS($S$5:$S$692,$A$5:$A$692,A575,$B$5:$B$692,B575,$F$5:$F$692,"&lt;="&amp;F575)</f>
        <v/>
      </c>
      <c r="U575" s="52">
        <f>'个人技术逐级'!O575</f>
        <v/>
      </c>
    </row>
    <row r="576">
      <c r="A576" s="33" t="inlineStr">
        <is>
          <t>个人技术</t>
        </is>
      </c>
      <c r="B576" s="33">
        <f>'个人技术逐级'!A576</f>
        <v/>
      </c>
      <c r="C576" s="33">
        <f>'个人技术逐级'!B576</f>
        <v/>
      </c>
      <c r="D576" s="33">
        <f>'个人技术逐级'!C576</f>
        <v/>
      </c>
      <c r="E576">
        <f>'个人技术逐级'!D576</f>
        <v/>
      </c>
      <c r="F576" s="54">
        <f>'个人技术逐级'!E576</f>
        <v/>
      </c>
      <c r="G576" s="55">
        <f>'个人技术逐级'!F576</f>
        <v/>
      </c>
      <c r="H576" s="56">
        <f>'个人技术逐级'!G576</f>
        <v/>
      </c>
      <c r="I576" s="52" t="inlineStr">
        <is>
          <t>个人技术计时升级</t>
        </is>
      </c>
      <c r="J576" s="57">
        <f>'个人技术逐级'!M576</f>
        <v/>
      </c>
      <c r="K576" s="35">
        <f>J576/3600</f>
        <v/>
      </c>
      <c r="L576" s="35">
        <f>SUMIFS($K$5:$K$692,$A$5:$A$692,A576,$B$5:$B$692,B576,$F$5:$F$692,"&lt;="&amp;F576)</f>
        <v/>
      </c>
      <c r="M576" s="58">
        <f>'个人技术逐级'!N576</f>
        <v/>
      </c>
      <c r="N576" s="58">
        <f>SUMIFS($M$5:$M$692,$A$5:$A$692,A576,$B$5:$B$692,B576,$F$5:$F$692,"&lt;="&amp;F576)</f>
        <v/>
      </c>
      <c r="O576" s="58">
        <f>0</f>
        <v/>
      </c>
      <c r="P576" s="58">
        <f>SUMIFS($O$5:$O$692,$A$5:$A$692,A576,$B$5:$B$692,B576,$F$5:$F$692,"&lt;="&amp;F576)</f>
        <v/>
      </c>
      <c r="Q576" s="58">
        <f>0</f>
        <v/>
      </c>
      <c r="R576" s="58">
        <f>SUMIFS($Q$5:$Q$692,$A$5:$A$692,A576,$B$5:$B$692,B576,$F$5:$F$692,"&lt;="&amp;F576)</f>
        <v/>
      </c>
      <c r="S576" s="58">
        <f>0</f>
        <v/>
      </c>
      <c r="T576" s="58">
        <f>SUMIFS($S$5:$S$692,$A$5:$A$692,A576,$B$5:$B$692,B576,$F$5:$F$692,"&lt;="&amp;F576)</f>
        <v/>
      </c>
      <c r="U576" s="52">
        <f>'个人技术逐级'!O576</f>
        <v/>
      </c>
    </row>
    <row r="577">
      <c r="A577" s="33" t="inlineStr">
        <is>
          <t>个人技术</t>
        </is>
      </c>
      <c r="B577" s="33">
        <f>'个人技术逐级'!A577</f>
        <v/>
      </c>
      <c r="C577" s="33">
        <f>'个人技术逐级'!B577</f>
        <v/>
      </c>
      <c r="D577" s="33">
        <f>'个人技术逐级'!C577</f>
        <v/>
      </c>
      <c r="E577">
        <f>'个人技术逐级'!D577</f>
        <v/>
      </c>
      <c r="F577" s="54">
        <f>'个人技术逐级'!E577</f>
        <v/>
      </c>
      <c r="G577" s="55">
        <f>'个人技术逐级'!F577</f>
        <v/>
      </c>
      <c r="H577" s="56">
        <f>'个人技术逐级'!G577</f>
        <v/>
      </c>
      <c r="I577" s="52" t="inlineStr">
        <is>
          <t>个人技术计时升级</t>
        </is>
      </c>
      <c r="J577" s="57">
        <f>'个人技术逐级'!M577</f>
        <v/>
      </c>
      <c r="K577" s="35">
        <f>J577/3600</f>
        <v/>
      </c>
      <c r="L577" s="35">
        <f>SUMIFS($K$5:$K$692,$A$5:$A$692,A577,$B$5:$B$692,B577,$F$5:$F$692,"&lt;="&amp;F577)</f>
        <v/>
      </c>
      <c r="M577" s="58">
        <f>'个人技术逐级'!N577</f>
        <v/>
      </c>
      <c r="N577" s="58">
        <f>SUMIFS($M$5:$M$692,$A$5:$A$692,A577,$B$5:$B$692,B577,$F$5:$F$692,"&lt;="&amp;F577)</f>
        <v/>
      </c>
      <c r="O577" s="58">
        <f>0</f>
        <v/>
      </c>
      <c r="P577" s="58">
        <f>SUMIFS($O$5:$O$692,$A$5:$A$692,A577,$B$5:$B$692,B577,$F$5:$F$692,"&lt;="&amp;F577)</f>
        <v/>
      </c>
      <c r="Q577" s="58">
        <f>0</f>
        <v/>
      </c>
      <c r="R577" s="58">
        <f>SUMIFS($Q$5:$Q$692,$A$5:$A$692,A577,$B$5:$B$692,B577,$F$5:$F$692,"&lt;="&amp;F577)</f>
        <v/>
      </c>
      <c r="S577" s="58">
        <f>0</f>
        <v/>
      </c>
      <c r="T577" s="58">
        <f>SUMIFS($S$5:$S$692,$A$5:$A$692,A577,$B$5:$B$692,B577,$F$5:$F$692,"&lt;="&amp;F577)</f>
        <v/>
      </c>
      <c r="U577" s="52">
        <f>'个人技术逐级'!O577</f>
        <v/>
      </c>
    </row>
    <row r="578">
      <c r="A578" s="33" t="inlineStr">
        <is>
          <t>个人技术</t>
        </is>
      </c>
      <c r="B578" s="33">
        <f>'个人技术逐级'!A578</f>
        <v/>
      </c>
      <c r="C578" s="33">
        <f>'个人技术逐级'!B578</f>
        <v/>
      </c>
      <c r="D578" s="33">
        <f>'个人技术逐级'!C578</f>
        <v/>
      </c>
      <c r="E578">
        <f>'个人技术逐级'!D578</f>
        <v/>
      </c>
      <c r="F578" s="54">
        <f>'个人技术逐级'!E578</f>
        <v/>
      </c>
      <c r="G578" s="55">
        <f>'个人技术逐级'!F578</f>
        <v/>
      </c>
      <c r="H578" s="56">
        <f>'个人技术逐级'!G578</f>
        <v/>
      </c>
      <c r="I578" s="52" t="inlineStr">
        <is>
          <t>个人技术计时升级</t>
        </is>
      </c>
      <c r="J578" s="57">
        <f>'个人技术逐级'!M578</f>
        <v/>
      </c>
      <c r="K578" s="35">
        <f>J578/3600</f>
        <v/>
      </c>
      <c r="L578" s="35">
        <f>SUMIFS($K$5:$K$692,$A$5:$A$692,A578,$B$5:$B$692,B578,$F$5:$F$692,"&lt;="&amp;F578)</f>
        <v/>
      </c>
      <c r="M578" s="58">
        <f>'个人技术逐级'!N578</f>
        <v/>
      </c>
      <c r="N578" s="58">
        <f>SUMIFS($M$5:$M$692,$A$5:$A$692,A578,$B$5:$B$692,B578,$F$5:$F$692,"&lt;="&amp;F578)</f>
        <v/>
      </c>
      <c r="O578" s="58">
        <f>0</f>
        <v/>
      </c>
      <c r="P578" s="58">
        <f>SUMIFS($O$5:$O$692,$A$5:$A$692,A578,$B$5:$B$692,B578,$F$5:$F$692,"&lt;="&amp;F578)</f>
        <v/>
      </c>
      <c r="Q578" s="58">
        <f>0</f>
        <v/>
      </c>
      <c r="R578" s="58">
        <f>SUMIFS($Q$5:$Q$692,$A$5:$A$692,A578,$B$5:$B$692,B578,$F$5:$F$692,"&lt;="&amp;F578)</f>
        <v/>
      </c>
      <c r="S578" s="58">
        <f>0</f>
        <v/>
      </c>
      <c r="T578" s="58">
        <f>SUMIFS($S$5:$S$692,$A$5:$A$692,A578,$B$5:$B$692,B578,$F$5:$F$692,"&lt;="&amp;F578)</f>
        <v/>
      </c>
      <c r="U578" s="52">
        <f>'个人技术逐级'!O578</f>
        <v/>
      </c>
    </row>
    <row r="579">
      <c r="A579" s="33" t="inlineStr">
        <is>
          <t>个人技术</t>
        </is>
      </c>
      <c r="B579" s="33">
        <f>'个人技术逐级'!A579</f>
        <v/>
      </c>
      <c r="C579" s="33">
        <f>'个人技术逐级'!B579</f>
        <v/>
      </c>
      <c r="D579" s="33">
        <f>'个人技术逐级'!C579</f>
        <v/>
      </c>
      <c r="E579">
        <f>'个人技术逐级'!D579</f>
        <v/>
      </c>
      <c r="F579" s="54">
        <f>'个人技术逐级'!E579</f>
        <v/>
      </c>
      <c r="G579" s="55">
        <f>'个人技术逐级'!F579</f>
        <v/>
      </c>
      <c r="H579" s="56">
        <f>'个人技术逐级'!G579</f>
        <v/>
      </c>
      <c r="I579" s="52" t="inlineStr">
        <is>
          <t>个人技术计时升级</t>
        </is>
      </c>
      <c r="J579" s="57">
        <f>'个人技术逐级'!M579</f>
        <v/>
      </c>
      <c r="K579" s="35">
        <f>J579/3600</f>
        <v/>
      </c>
      <c r="L579" s="35">
        <f>SUMIFS($K$5:$K$692,$A$5:$A$692,A579,$B$5:$B$692,B579,$F$5:$F$692,"&lt;="&amp;F579)</f>
        <v/>
      </c>
      <c r="M579" s="58">
        <f>'个人技术逐级'!N579</f>
        <v/>
      </c>
      <c r="N579" s="58">
        <f>SUMIFS($M$5:$M$692,$A$5:$A$692,A579,$B$5:$B$692,B579,$F$5:$F$692,"&lt;="&amp;F579)</f>
        <v/>
      </c>
      <c r="O579" s="58">
        <f>0</f>
        <v/>
      </c>
      <c r="P579" s="58">
        <f>SUMIFS($O$5:$O$692,$A$5:$A$692,A579,$B$5:$B$692,B579,$F$5:$F$692,"&lt;="&amp;F579)</f>
        <v/>
      </c>
      <c r="Q579" s="58">
        <f>0</f>
        <v/>
      </c>
      <c r="R579" s="58">
        <f>SUMIFS($Q$5:$Q$692,$A$5:$A$692,A579,$B$5:$B$692,B579,$F$5:$F$692,"&lt;="&amp;F579)</f>
        <v/>
      </c>
      <c r="S579" s="58">
        <f>0</f>
        <v/>
      </c>
      <c r="T579" s="58">
        <f>SUMIFS($S$5:$S$692,$A$5:$A$692,A579,$B$5:$B$692,B579,$F$5:$F$692,"&lt;="&amp;F579)</f>
        <v/>
      </c>
      <c r="U579" s="52">
        <f>'个人技术逐级'!O579</f>
        <v/>
      </c>
    </row>
    <row r="580">
      <c r="A580" s="33" t="inlineStr">
        <is>
          <t>个人技术</t>
        </is>
      </c>
      <c r="B580" s="33">
        <f>'个人技术逐级'!A580</f>
        <v/>
      </c>
      <c r="C580" s="33">
        <f>'个人技术逐级'!B580</f>
        <v/>
      </c>
      <c r="D580" s="33">
        <f>'个人技术逐级'!C580</f>
        <v/>
      </c>
      <c r="E580">
        <f>'个人技术逐级'!D580</f>
        <v/>
      </c>
      <c r="F580" s="54">
        <f>'个人技术逐级'!E580</f>
        <v/>
      </c>
      <c r="G580" s="55">
        <f>'个人技术逐级'!F580</f>
        <v/>
      </c>
      <c r="H580" s="56">
        <f>'个人技术逐级'!G580</f>
        <v/>
      </c>
      <c r="I580" s="52" t="inlineStr">
        <is>
          <t>个人技术计时升级</t>
        </is>
      </c>
      <c r="J580" s="57">
        <f>'个人技术逐级'!M580</f>
        <v/>
      </c>
      <c r="K580" s="35">
        <f>J580/3600</f>
        <v/>
      </c>
      <c r="L580" s="35">
        <f>SUMIFS($K$5:$K$692,$A$5:$A$692,A580,$B$5:$B$692,B580,$F$5:$F$692,"&lt;="&amp;F580)</f>
        <v/>
      </c>
      <c r="M580" s="58">
        <f>'个人技术逐级'!N580</f>
        <v/>
      </c>
      <c r="N580" s="58">
        <f>SUMIFS($M$5:$M$692,$A$5:$A$692,A580,$B$5:$B$692,B580,$F$5:$F$692,"&lt;="&amp;F580)</f>
        <v/>
      </c>
      <c r="O580" s="58">
        <f>0</f>
        <v/>
      </c>
      <c r="P580" s="58">
        <f>SUMIFS($O$5:$O$692,$A$5:$A$692,A580,$B$5:$B$692,B580,$F$5:$F$692,"&lt;="&amp;F580)</f>
        <v/>
      </c>
      <c r="Q580" s="58">
        <f>0</f>
        <v/>
      </c>
      <c r="R580" s="58">
        <f>SUMIFS($Q$5:$Q$692,$A$5:$A$692,A580,$B$5:$B$692,B580,$F$5:$F$692,"&lt;="&amp;F580)</f>
        <v/>
      </c>
      <c r="S580" s="58">
        <f>0</f>
        <v/>
      </c>
      <c r="T580" s="58">
        <f>SUMIFS($S$5:$S$692,$A$5:$A$692,A580,$B$5:$B$692,B580,$F$5:$F$692,"&lt;="&amp;F580)</f>
        <v/>
      </c>
      <c r="U580" s="52">
        <f>'个人技术逐级'!O580</f>
        <v/>
      </c>
    </row>
    <row r="581">
      <c r="A581" s="33" t="inlineStr">
        <is>
          <t>个人技术</t>
        </is>
      </c>
      <c r="B581" s="33">
        <f>'个人技术逐级'!A581</f>
        <v/>
      </c>
      <c r="C581" s="33">
        <f>'个人技术逐级'!B581</f>
        <v/>
      </c>
      <c r="D581" s="33">
        <f>'个人技术逐级'!C581</f>
        <v/>
      </c>
      <c r="E581">
        <f>'个人技术逐级'!D581</f>
        <v/>
      </c>
      <c r="F581" s="54">
        <f>'个人技术逐级'!E581</f>
        <v/>
      </c>
      <c r="G581" s="55">
        <f>'个人技术逐级'!F581</f>
        <v/>
      </c>
      <c r="H581" s="56">
        <f>'个人技术逐级'!G581</f>
        <v/>
      </c>
      <c r="I581" s="52" t="inlineStr">
        <is>
          <t>个人技术计时升级</t>
        </is>
      </c>
      <c r="J581" s="57">
        <f>'个人技术逐级'!M581</f>
        <v/>
      </c>
      <c r="K581" s="35">
        <f>J581/3600</f>
        <v/>
      </c>
      <c r="L581" s="35">
        <f>SUMIFS($K$5:$K$692,$A$5:$A$692,A581,$B$5:$B$692,B581,$F$5:$F$692,"&lt;="&amp;F581)</f>
        <v/>
      </c>
      <c r="M581" s="58">
        <f>'个人技术逐级'!N581</f>
        <v/>
      </c>
      <c r="N581" s="58">
        <f>SUMIFS($M$5:$M$692,$A$5:$A$692,A581,$B$5:$B$692,B581,$F$5:$F$692,"&lt;="&amp;F581)</f>
        <v/>
      </c>
      <c r="O581" s="58">
        <f>0</f>
        <v/>
      </c>
      <c r="P581" s="58">
        <f>SUMIFS($O$5:$O$692,$A$5:$A$692,A581,$B$5:$B$692,B581,$F$5:$F$692,"&lt;="&amp;F581)</f>
        <v/>
      </c>
      <c r="Q581" s="58">
        <f>0</f>
        <v/>
      </c>
      <c r="R581" s="58">
        <f>SUMIFS($Q$5:$Q$692,$A$5:$A$692,A581,$B$5:$B$692,B581,$F$5:$F$692,"&lt;="&amp;F581)</f>
        <v/>
      </c>
      <c r="S581" s="58">
        <f>0</f>
        <v/>
      </c>
      <c r="T581" s="58">
        <f>SUMIFS($S$5:$S$692,$A$5:$A$692,A581,$B$5:$B$692,B581,$F$5:$F$692,"&lt;="&amp;F581)</f>
        <v/>
      </c>
      <c r="U581" s="52">
        <f>'个人技术逐级'!O581</f>
        <v/>
      </c>
    </row>
    <row r="582">
      <c r="A582" s="33" t="inlineStr">
        <is>
          <t>个人技术</t>
        </is>
      </c>
      <c r="B582" s="33">
        <f>'个人技术逐级'!A582</f>
        <v/>
      </c>
      <c r="C582" s="33">
        <f>'个人技术逐级'!B582</f>
        <v/>
      </c>
      <c r="D582" s="33">
        <f>'个人技术逐级'!C582</f>
        <v/>
      </c>
      <c r="E582">
        <f>'个人技术逐级'!D582</f>
        <v/>
      </c>
      <c r="F582" s="54">
        <f>'个人技术逐级'!E582</f>
        <v/>
      </c>
      <c r="G582" s="55">
        <f>'个人技术逐级'!F582</f>
        <v/>
      </c>
      <c r="H582" s="56">
        <f>'个人技术逐级'!G582</f>
        <v/>
      </c>
      <c r="I582" s="52" t="inlineStr">
        <is>
          <t>个人技术计时升级</t>
        </is>
      </c>
      <c r="J582" s="57">
        <f>'个人技术逐级'!M582</f>
        <v/>
      </c>
      <c r="K582" s="35">
        <f>J582/3600</f>
        <v/>
      </c>
      <c r="L582" s="35">
        <f>SUMIFS($K$5:$K$692,$A$5:$A$692,A582,$B$5:$B$692,B582,$F$5:$F$692,"&lt;="&amp;F582)</f>
        <v/>
      </c>
      <c r="M582" s="58">
        <f>'个人技术逐级'!N582</f>
        <v/>
      </c>
      <c r="N582" s="58">
        <f>SUMIFS($M$5:$M$692,$A$5:$A$692,A582,$B$5:$B$692,B582,$F$5:$F$692,"&lt;="&amp;F582)</f>
        <v/>
      </c>
      <c r="O582" s="58">
        <f>0</f>
        <v/>
      </c>
      <c r="P582" s="58">
        <f>SUMIFS($O$5:$O$692,$A$5:$A$692,A582,$B$5:$B$692,B582,$F$5:$F$692,"&lt;="&amp;F582)</f>
        <v/>
      </c>
      <c r="Q582" s="58">
        <f>0</f>
        <v/>
      </c>
      <c r="R582" s="58">
        <f>SUMIFS($Q$5:$Q$692,$A$5:$A$692,A582,$B$5:$B$692,B582,$F$5:$F$692,"&lt;="&amp;F582)</f>
        <v/>
      </c>
      <c r="S582" s="58">
        <f>0</f>
        <v/>
      </c>
      <c r="T582" s="58">
        <f>SUMIFS($S$5:$S$692,$A$5:$A$692,A582,$B$5:$B$692,B582,$F$5:$F$692,"&lt;="&amp;F582)</f>
        <v/>
      </c>
      <c r="U582" s="52">
        <f>'个人技术逐级'!O582</f>
        <v/>
      </c>
    </row>
    <row r="583">
      <c r="A583" s="33" t="inlineStr">
        <is>
          <t>个人技术</t>
        </is>
      </c>
      <c r="B583" s="33">
        <f>'个人技术逐级'!A583</f>
        <v/>
      </c>
      <c r="C583" s="33">
        <f>'个人技术逐级'!B583</f>
        <v/>
      </c>
      <c r="D583" s="33">
        <f>'个人技术逐级'!C583</f>
        <v/>
      </c>
      <c r="E583">
        <f>'个人技术逐级'!D583</f>
        <v/>
      </c>
      <c r="F583" s="54">
        <f>'个人技术逐级'!E583</f>
        <v/>
      </c>
      <c r="G583" s="55">
        <f>'个人技术逐级'!F583</f>
        <v/>
      </c>
      <c r="H583" s="56">
        <f>'个人技术逐级'!G583</f>
        <v/>
      </c>
      <c r="I583" s="52" t="inlineStr">
        <is>
          <t>个人技术计时升级</t>
        </is>
      </c>
      <c r="J583" s="57">
        <f>'个人技术逐级'!M583</f>
        <v/>
      </c>
      <c r="K583" s="35">
        <f>J583/3600</f>
        <v/>
      </c>
      <c r="L583" s="35">
        <f>SUMIFS($K$5:$K$692,$A$5:$A$692,A583,$B$5:$B$692,B583,$F$5:$F$692,"&lt;="&amp;F583)</f>
        <v/>
      </c>
      <c r="M583" s="58">
        <f>'个人技术逐级'!N583</f>
        <v/>
      </c>
      <c r="N583" s="58">
        <f>SUMIFS($M$5:$M$692,$A$5:$A$692,A583,$B$5:$B$692,B583,$F$5:$F$692,"&lt;="&amp;F583)</f>
        <v/>
      </c>
      <c r="O583" s="58">
        <f>0</f>
        <v/>
      </c>
      <c r="P583" s="58">
        <f>SUMIFS($O$5:$O$692,$A$5:$A$692,A583,$B$5:$B$692,B583,$F$5:$F$692,"&lt;="&amp;F583)</f>
        <v/>
      </c>
      <c r="Q583" s="58">
        <f>0</f>
        <v/>
      </c>
      <c r="R583" s="58">
        <f>SUMIFS($Q$5:$Q$692,$A$5:$A$692,A583,$B$5:$B$692,B583,$F$5:$F$692,"&lt;="&amp;F583)</f>
        <v/>
      </c>
      <c r="S583" s="58">
        <f>0</f>
        <v/>
      </c>
      <c r="T583" s="58">
        <f>SUMIFS($S$5:$S$692,$A$5:$A$692,A583,$B$5:$B$692,B583,$F$5:$F$692,"&lt;="&amp;F583)</f>
        <v/>
      </c>
      <c r="U583" s="52">
        <f>'个人技术逐级'!O583</f>
        <v/>
      </c>
    </row>
    <row r="584">
      <c r="A584" s="33" t="inlineStr">
        <is>
          <t>个人技术</t>
        </is>
      </c>
      <c r="B584" s="33">
        <f>'个人技术逐级'!A584</f>
        <v/>
      </c>
      <c r="C584" s="33">
        <f>'个人技术逐级'!B584</f>
        <v/>
      </c>
      <c r="D584" s="33">
        <f>'个人技术逐级'!C584</f>
        <v/>
      </c>
      <c r="E584">
        <f>'个人技术逐级'!D584</f>
        <v/>
      </c>
      <c r="F584" s="54">
        <f>'个人技术逐级'!E584</f>
        <v/>
      </c>
      <c r="G584" s="55">
        <f>'个人技术逐级'!F584</f>
        <v/>
      </c>
      <c r="H584" s="56">
        <f>'个人技术逐级'!G584</f>
        <v/>
      </c>
      <c r="I584" s="52" t="inlineStr">
        <is>
          <t>个人技术计时升级</t>
        </is>
      </c>
      <c r="J584" s="57">
        <f>'个人技术逐级'!M584</f>
        <v/>
      </c>
      <c r="K584" s="35">
        <f>J584/3600</f>
        <v/>
      </c>
      <c r="L584" s="35">
        <f>SUMIFS($K$5:$K$692,$A$5:$A$692,A584,$B$5:$B$692,B584,$F$5:$F$692,"&lt;="&amp;F584)</f>
        <v/>
      </c>
      <c r="M584" s="58">
        <f>'个人技术逐级'!N584</f>
        <v/>
      </c>
      <c r="N584" s="58">
        <f>SUMIFS($M$5:$M$692,$A$5:$A$692,A584,$B$5:$B$692,B584,$F$5:$F$692,"&lt;="&amp;F584)</f>
        <v/>
      </c>
      <c r="O584" s="58">
        <f>0</f>
        <v/>
      </c>
      <c r="P584" s="58">
        <f>SUMIFS($O$5:$O$692,$A$5:$A$692,A584,$B$5:$B$692,B584,$F$5:$F$692,"&lt;="&amp;F584)</f>
        <v/>
      </c>
      <c r="Q584" s="58">
        <f>0</f>
        <v/>
      </c>
      <c r="R584" s="58">
        <f>SUMIFS($Q$5:$Q$692,$A$5:$A$692,A584,$B$5:$B$692,B584,$F$5:$F$692,"&lt;="&amp;F584)</f>
        <v/>
      </c>
      <c r="S584" s="58">
        <f>0</f>
        <v/>
      </c>
      <c r="T584" s="58">
        <f>SUMIFS($S$5:$S$692,$A$5:$A$692,A584,$B$5:$B$692,B584,$F$5:$F$692,"&lt;="&amp;F584)</f>
        <v/>
      </c>
      <c r="U584" s="52">
        <f>'个人技术逐级'!O584</f>
        <v/>
      </c>
    </row>
    <row r="585">
      <c r="A585" s="33" t="inlineStr">
        <is>
          <t>个人技术</t>
        </is>
      </c>
      <c r="B585" s="33">
        <f>'个人技术逐级'!A585</f>
        <v/>
      </c>
      <c r="C585" s="33">
        <f>'个人技术逐级'!B585</f>
        <v/>
      </c>
      <c r="D585" s="33">
        <f>'个人技术逐级'!C585</f>
        <v/>
      </c>
      <c r="E585">
        <f>'个人技术逐级'!D585</f>
        <v/>
      </c>
      <c r="F585" s="54">
        <f>'个人技术逐级'!E585</f>
        <v/>
      </c>
      <c r="G585" s="55">
        <f>'个人技术逐级'!F585</f>
        <v/>
      </c>
      <c r="H585" s="56">
        <f>'个人技术逐级'!G585</f>
        <v/>
      </c>
      <c r="I585" s="52" t="inlineStr">
        <is>
          <t>个人技术计时升级</t>
        </is>
      </c>
      <c r="J585" s="57">
        <f>'个人技术逐级'!M585</f>
        <v/>
      </c>
      <c r="K585" s="35">
        <f>J585/3600</f>
        <v/>
      </c>
      <c r="L585" s="35">
        <f>SUMIFS($K$5:$K$692,$A$5:$A$692,A585,$B$5:$B$692,B585,$F$5:$F$692,"&lt;="&amp;F585)</f>
        <v/>
      </c>
      <c r="M585" s="58">
        <f>'个人技术逐级'!N585</f>
        <v/>
      </c>
      <c r="N585" s="58">
        <f>SUMIFS($M$5:$M$692,$A$5:$A$692,A585,$B$5:$B$692,B585,$F$5:$F$692,"&lt;="&amp;F585)</f>
        <v/>
      </c>
      <c r="O585" s="58">
        <f>0</f>
        <v/>
      </c>
      <c r="P585" s="58">
        <f>SUMIFS($O$5:$O$692,$A$5:$A$692,A585,$B$5:$B$692,B585,$F$5:$F$692,"&lt;="&amp;F585)</f>
        <v/>
      </c>
      <c r="Q585" s="58">
        <f>0</f>
        <v/>
      </c>
      <c r="R585" s="58">
        <f>SUMIFS($Q$5:$Q$692,$A$5:$A$692,A585,$B$5:$B$692,B585,$F$5:$F$692,"&lt;="&amp;F585)</f>
        <v/>
      </c>
      <c r="S585" s="58">
        <f>0</f>
        <v/>
      </c>
      <c r="T585" s="58">
        <f>SUMIFS($S$5:$S$692,$A$5:$A$692,A585,$B$5:$B$692,B585,$F$5:$F$692,"&lt;="&amp;F585)</f>
        <v/>
      </c>
      <c r="U585" s="52">
        <f>'个人技术逐级'!O585</f>
        <v/>
      </c>
    </row>
    <row r="586">
      <c r="A586" s="33" t="inlineStr">
        <is>
          <t>个人技术</t>
        </is>
      </c>
      <c r="B586" s="33">
        <f>'个人技术逐级'!A586</f>
        <v/>
      </c>
      <c r="C586" s="33">
        <f>'个人技术逐级'!B586</f>
        <v/>
      </c>
      <c r="D586" s="33">
        <f>'个人技术逐级'!C586</f>
        <v/>
      </c>
      <c r="E586">
        <f>'个人技术逐级'!D586</f>
        <v/>
      </c>
      <c r="F586" s="54">
        <f>'个人技术逐级'!E586</f>
        <v/>
      </c>
      <c r="G586" s="55">
        <f>'个人技术逐级'!F586</f>
        <v/>
      </c>
      <c r="H586" s="56">
        <f>'个人技术逐级'!G586</f>
        <v/>
      </c>
      <c r="I586" s="52" t="inlineStr">
        <is>
          <t>个人技术计时升级</t>
        </is>
      </c>
      <c r="J586" s="57">
        <f>'个人技术逐级'!M586</f>
        <v/>
      </c>
      <c r="K586" s="35">
        <f>J586/3600</f>
        <v/>
      </c>
      <c r="L586" s="35">
        <f>SUMIFS($K$5:$K$692,$A$5:$A$692,A586,$B$5:$B$692,B586,$F$5:$F$692,"&lt;="&amp;F586)</f>
        <v/>
      </c>
      <c r="M586" s="58">
        <f>'个人技术逐级'!N586</f>
        <v/>
      </c>
      <c r="N586" s="58">
        <f>SUMIFS($M$5:$M$692,$A$5:$A$692,A586,$B$5:$B$692,B586,$F$5:$F$692,"&lt;="&amp;F586)</f>
        <v/>
      </c>
      <c r="O586" s="58">
        <f>0</f>
        <v/>
      </c>
      <c r="P586" s="58">
        <f>SUMIFS($O$5:$O$692,$A$5:$A$692,A586,$B$5:$B$692,B586,$F$5:$F$692,"&lt;="&amp;F586)</f>
        <v/>
      </c>
      <c r="Q586" s="58">
        <f>0</f>
        <v/>
      </c>
      <c r="R586" s="58">
        <f>SUMIFS($Q$5:$Q$692,$A$5:$A$692,A586,$B$5:$B$692,B586,$F$5:$F$692,"&lt;="&amp;F586)</f>
        <v/>
      </c>
      <c r="S586" s="58">
        <f>0</f>
        <v/>
      </c>
      <c r="T586" s="58">
        <f>SUMIFS($S$5:$S$692,$A$5:$A$692,A586,$B$5:$B$692,B586,$F$5:$F$692,"&lt;="&amp;F586)</f>
        <v/>
      </c>
      <c r="U586" s="52">
        <f>'个人技术逐级'!O586</f>
        <v/>
      </c>
    </row>
    <row r="587">
      <c r="A587" s="33" t="inlineStr">
        <is>
          <t>个人技术</t>
        </is>
      </c>
      <c r="B587" s="33">
        <f>'个人技术逐级'!A587</f>
        <v/>
      </c>
      <c r="C587" s="33">
        <f>'个人技术逐级'!B587</f>
        <v/>
      </c>
      <c r="D587" s="33">
        <f>'个人技术逐级'!C587</f>
        <v/>
      </c>
      <c r="E587">
        <f>'个人技术逐级'!D587</f>
        <v/>
      </c>
      <c r="F587" s="54">
        <f>'个人技术逐级'!E587</f>
        <v/>
      </c>
      <c r="G587" s="55">
        <f>'个人技术逐级'!F587</f>
        <v/>
      </c>
      <c r="H587" s="56">
        <f>'个人技术逐级'!G587</f>
        <v/>
      </c>
      <c r="I587" s="52" t="inlineStr">
        <is>
          <t>个人技术计时升级</t>
        </is>
      </c>
      <c r="J587" s="57">
        <f>'个人技术逐级'!M587</f>
        <v/>
      </c>
      <c r="K587" s="35">
        <f>J587/3600</f>
        <v/>
      </c>
      <c r="L587" s="35">
        <f>SUMIFS($K$5:$K$692,$A$5:$A$692,A587,$B$5:$B$692,B587,$F$5:$F$692,"&lt;="&amp;F587)</f>
        <v/>
      </c>
      <c r="M587" s="58">
        <f>'个人技术逐级'!N587</f>
        <v/>
      </c>
      <c r="N587" s="58">
        <f>SUMIFS($M$5:$M$692,$A$5:$A$692,A587,$B$5:$B$692,B587,$F$5:$F$692,"&lt;="&amp;F587)</f>
        <v/>
      </c>
      <c r="O587" s="58">
        <f>0</f>
        <v/>
      </c>
      <c r="P587" s="58">
        <f>SUMIFS($O$5:$O$692,$A$5:$A$692,A587,$B$5:$B$692,B587,$F$5:$F$692,"&lt;="&amp;F587)</f>
        <v/>
      </c>
      <c r="Q587" s="58">
        <f>0</f>
        <v/>
      </c>
      <c r="R587" s="58">
        <f>SUMIFS($Q$5:$Q$692,$A$5:$A$692,A587,$B$5:$B$692,B587,$F$5:$F$692,"&lt;="&amp;F587)</f>
        <v/>
      </c>
      <c r="S587" s="58">
        <f>0</f>
        <v/>
      </c>
      <c r="T587" s="58">
        <f>SUMIFS($S$5:$S$692,$A$5:$A$692,A587,$B$5:$B$692,B587,$F$5:$F$692,"&lt;="&amp;F587)</f>
        <v/>
      </c>
      <c r="U587" s="52">
        <f>'个人技术逐级'!O587</f>
        <v/>
      </c>
    </row>
    <row r="588">
      <c r="A588" s="33" t="inlineStr">
        <is>
          <t>个人技术</t>
        </is>
      </c>
      <c r="B588" s="33">
        <f>'个人技术逐级'!A588</f>
        <v/>
      </c>
      <c r="C588" s="33">
        <f>'个人技术逐级'!B588</f>
        <v/>
      </c>
      <c r="D588" s="33">
        <f>'个人技术逐级'!C588</f>
        <v/>
      </c>
      <c r="E588">
        <f>'个人技术逐级'!D588</f>
        <v/>
      </c>
      <c r="F588" s="54">
        <f>'个人技术逐级'!E588</f>
        <v/>
      </c>
      <c r="G588" s="55">
        <f>'个人技术逐级'!F588</f>
        <v/>
      </c>
      <c r="H588" s="56">
        <f>'个人技术逐级'!G588</f>
        <v/>
      </c>
      <c r="I588" s="52" t="inlineStr">
        <is>
          <t>个人技术计时升级</t>
        </is>
      </c>
      <c r="J588" s="57">
        <f>'个人技术逐级'!M588</f>
        <v/>
      </c>
      <c r="K588" s="35">
        <f>J588/3600</f>
        <v/>
      </c>
      <c r="L588" s="35">
        <f>SUMIFS($K$5:$K$692,$A$5:$A$692,A588,$B$5:$B$692,B588,$F$5:$F$692,"&lt;="&amp;F588)</f>
        <v/>
      </c>
      <c r="M588" s="58">
        <f>'个人技术逐级'!N588</f>
        <v/>
      </c>
      <c r="N588" s="58">
        <f>SUMIFS($M$5:$M$692,$A$5:$A$692,A588,$B$5:$B$692,B588,$F$5:$F$692,"&lt;="&amp;F588)</f>
        <v/>
      </c>
      <c r="O588" s="58">
        <f>0</f>
        <v/>
      </c>
      <c r="P588" s="58">
        <f>SUMIFS($O$5:$O$692,$A$5:$A$692,A588,$B$5:$B$692,B588,$F$5:$F$692,"&lt;="&amp;F588)</f>
        <v/>
      </c>
      <c r="Q588" s="58">
        <f>0</f>
        <v/>
      </c>
      <c r="R588" s="58">
        <f>SUMIFS($Q$5:$Q$692,$A$5:$A$692,A588,$B$5:$B$692,B588,$F$5:$F$692,"&lt;="&amp;F588)</f>
        <v/>
      </c>
      <c r="S588" s="58">
        <f>0</f>
        <v/>
      </c>
      <c r="T588" s="58">
        <f>SUMIFS($S$5:$S$692,$A$5:$A$692,A588,$B$5:$B$692,B588,$F$5:$F$692,"&lt;="&amp;F588)</f>
        <v/>
      </c>
      <c r="U588" s="52">
        <f>'个人技术逐级'!O588</f>
        <v/>
      </c>
    </row>
    <row r="589">
      <c r="A589" s="33" t="inlineStr">
        <is>
          <t>个人技术</t>
        </is>
      </c>
      <c r="B589" s="33">
        <f>'个人技术逐级'!A589</f>
        <v/>
      </c>
      <c r="C589" s="33">
        <f>'个人技术逐级'!B589</f>
        <v/>
      </c>
      <c r="D589" s="33">
        <f>'个人技术逐级'!C589</f>
        <v/>
      </c>
      <c r="E589">
        <f>'个人技术逐级'!D589</f>
        <v/>
      </c>
      <c r="F589" s="54">
        <f>'个人技术逐级'!E589</f>
        <v/>
      </c>
      <c r="G589" s="55">
        <f>'个人技术逐级'!F589</f>
        <v/>
      </c>
      <c r="H589" s="56">
        <f>'个人技术逐级'!G589</f>
        <v/>
      </c>
      <c r="I589" s="52" t="inlineStr">
        <is>
          <t>个人技术计时升级</t>
        </is>
      </c>
      <c r="J589" s="57">
        <f>'个人技术逐级'!M589</f>
        <v/>
      </c>
      <c r="K589" s="35">
        <f>J589/3600</f>
        <v/>
      </c>
      <c r="L589" s="35">
        <f>SUMIFS($K$5:$K$692,$A$5:$A$692,A589,$B$5:$B$692,B589,$F$5:$F$692,"&lt;="&amp;F589)</f>
        <v/>
      </c>
      <c r="M589" s="58">
        <f>'个人技术逐级'!N589</f>
        <v/>
      </c>
      <c r="N589" s="58">
        <f>SUMIFS($M$5:$M$692,$A$5:$A$692,A589,$B$5:$B$692,B589,$F$5:$F$692,"&lt;="&amp;F589)</f>
        <v/>
      </c>
      <c r="O589" s="58">
        <f>0</f>
        <v/>
      </c>
      <c r="P589" s="58">
        <f>SUMIFS($O$5:$O$692,$A$5:$A$692,A589,$B$5:$B$692,B589,$F$5:$F$692,"&lt;="&amp;F589)</f>
        <v/>
      </c>
      <c r="Q589" s="58">
        <f>0</f>
        <v/>
      </c>
      <c r="R589" s="58">
        <f>SUMIFS($Q$5:$Q$692,$A$5:$A$692,A589,$B$5:$B$692,B589,$F$5:$F$692,"&lt;="&amp;F589)</f>
        <v/>
      </c>
      <c r="S589" s="58">
        <f>0</f>
        <v/>
      </c>
      <c r="T589" s="58">
        <f>SUMIFS($S$5:$S$692,$A$5:$A$692,A589,$B$5:$B$692,B589,$F$5:$F$692,"&lt;="&amp;F589)</f>
        <v/>
      </c>
      <c r="U589" s="52">
        <f>'个人技术逐级'!O589</f>
        <v/>
      </c>
    </row>
    <row r="590">
      <c r="A590" s="33" t="inlineStr">
        <is>
          <t>帮会科技</t>
        </is>
      </c>
      <c r="B590" s="33">
        <f>'帮会科技逐级'!A5</f>
        <v/>
      </c>
      <c r="C590" s="33">
        <f>'帮会科技逐级'!B5</f>
        <v/>
      </c>
      <c r="D590" s="33">
        <f>'帮会科技逐级'!C5</f>
        <v/>
      </c>
      <c r="E590" t="inlineStr">
        <is>
          <t>—</t>
        </is>
      </c>
      <c r="F590" s="54">
        <f>'帮会科技逐级'!D5</f>
        <v/>
      </c>
      <c r="G590" s="55">
        <f>'帮会科技逐级'!E5</f>
        <v/>
      </c>
      <c r="H590" s="56">
        <f>'帮会科技逐级'!F5</f>
        <v/>
      </c>
      <c r="I590" s="52" t="inlineStr">
        <is>
          <t>帮会科技即时完成</t>
        </is>
      </c>
      <c r="J590" s="57">
        <f>'帮会科技逐级'!G5</f>
        <v/>
      </c>
      <c r="K590" s="35">
        <f>J590/3600</f>
        <v/>
      </c>
      <c r="L590" s="35">
        <f>SUMIFS($K$5:$K$692,$A$5:$A$692,A590,$B$5:$B$692,B590,$F$5:$F$692,"&lt;="&amp;F590)</f>
        <v/>
      </c>
      <c r="M590" s="58">
        <f>'帮会科技逐级'!R5</f>
        <v/>
      </c>
      <c r="N590" s="58">
        <f>SUMIFS($M$5:$M$692,$A$5:$A$692,A590,$B$5:$B$692,B590,$F$5:$F$692,"&lt;="&amp;F590)</f>
        <v/>
      </c>
      <c r="O590" s="58">
        <f>'帮会科技逐级'!S5</f>
        <v/>
      </c>
      <c r="P590" s="58">
        <f>SUMIFS($O$5:$O$692,$A$5:$A$692,A590,$B$5:$B$692,B590,$F$5:$F$692,"&lt;="&amp;F590)</f>
        <v/>
      </c>
      <c r="Q590" s="58">
        <f>'帮会科技逐级'!T5</f>
        <v/>
      </c>
      <c r="R590" s="58">
        <f>SUMIFS($Q$5:$Q$692,$A$5:$A$692,A590,$B$5:$B$692,B590,$F$5:$F$692,"&lt;="&amp;F590)</f>
        <v/>
      </c>
      <c r="S590" s="58">
        <f>'帮会科技逐级'!U5</f>
        <v/>
      </c>
      <c r="T590" s="58">
        <f>SUMIFS($S$5:$S$692,$A$5:$A$692,A590,$B$5:$B$692,B590,$F$5:$F$692,"&lt;="&amp;F590)</f>
        <v/>
      </c>
      <c r="U590" s="52">
        <f>'帮会科技逐级'!V5</f>
        <v/>
      </c>
    </row>
    <row r="591">
      <c r="A591" s="33" t="inlineStr">
        <is>
          <t>帮会科技</t>
        </is>
      </c>
      <c r="B591" s="33">
        <f>'帮会科技逐级'!A6</f>
        <v/>
      </c>
      <c r="C591" s="33">
        <f>'帮会科技逐级'!B6</f>
        <v/>
      </c>
      <c r="D591" s="33">
        <f>'帮会科技逐级'!C6</f>
        <v/>
      </c>
      <c r="E591" t="inlineStr">
        <is>
          <t>—</t>
        </is>
      </c>
      <c r="F591" s="54">
        <f>'帮会科技逐级'!D6</f>
        <v/>
      </c>
      <c r="G591" s="55">
        <f>'帮会科技逐级'!E6</f>
        <v/>
      </c>
      <c r="H591" s="56">
        <f>'帮会科技逐级'!F6</f>
        <v/>
      </c>
      <c r="I591" s="52" t="inlineStr">
        <is>
          <t>帮会科技即时完成</t>
        </is>
      </c>
      <c r="J591" s="57">
        <f>'帮会科技逐级'!G6</f>
        <v/>
      </c>
      <c r="K591" s="35">
        <f>J591/3600</f>
        <v/>
      </c>
      <c r="L591" s="35">
        <f>SUMIFS($K$5:$K$692,$A$5:$A$692,A591,$B$5:$B$692,B591,$F$5:$F$692,"&lt;="&amp;F591)</f>
        <v/>
      </c>
      <c r="M591" s="58">
        <f>'帮会科技逐级'!R6</f>
        <v/>
      </c>
      <c r="N591" s="58">
        <f>SUMIFS($M$5:$M$692,$A$5:$A$692,A591,$B$5:$B$692,B591,$F$5:$F$692,"&lt;="&amp;F591)</f>
        <v/>
      </c>
      <c r="O591" s="58">
        <f>'帮会科技逐级'!S6</f>
        <v/>
      </c>
      <c r="P591" s="58">
        <f>SUMIFS($O$5:$O$692,$A$5:$A$692,A591,$B$5:$B$692,B591,$F$5:$F$692,"&lt;="&amp;F591)</f>
        <v/>
      </c>
      <c r="Q591" s="58">
        <f>'帮会科技逐级'!T6</f>
        <v/>
      </c>
      <c r="R591" s="58">
        <f>SUMIFS($Q$5:$Q$692,$A$5:$A$692,A591,$B$5:$B$692,B591,$F$5:$F$692,"&lt;="&amp;F591)</f>
        <v/>
      </c>
      <c r="S591" s="58">
        <f>'帮会科技逐级'!U6</f>
        <v/>
      </c>
      <c r="T591" s="58">
        <f>SUMIFS($S$5:$S$692,$A$5:$A$692,A591,$B$5:$B$692,B591,$F$5:$F$692,"&lt;="&amp;F591)</f>
        <v/>
      </c>
      <c r="U591" s="52">
        <f>'帮会科技逐级'!V6</f>
        <v/>
      </c>
    </row>
    <row r="592">
      <c r="A592" s="33" t="inlineStr">
        <is>
          <t>帮会科技</t>
        </is>
      </c>
      <c r="B592" s="33">
        <f>'帮会科技逐级'!A7</f>
        <v/>
      </c>
      <c r="C592" s="33">
        <f>'帮会科技逐级'!B7</f>
        <v/>
      </c>
      <c r="D592" s="33">
        <f>'帮会科技逐级'!C7</f>
        <v/>
      </c>
      <c r="E592" t="inlineStr">
        <is>
          <t>—</t>
        </is>
      </c>
      <c r="F592" s="54">
        <f>'帮会科技逐级'!D7</f>
        <v/>
      </c>
      <c r="G592" s="55">
        <f>'帮会科技逐级'!E7</f>
        <v/>
      </c>
      <c r="H592" s="56">
        <f>'帮会科技逐级'!F7</f>
        <v/>
      </c>
      <c r="I592" s="52" t="inlineStr">
        <is>
          <t>帮会科技即时完成</t>
        </is>
      </c>
      <c r="J592" s="57">
        <f>'帮会科技逐级'!G7</f>
        <v/>
      </c>
      <c r="K592" s="35">
        <f>J592/3600</f>
        <v/>
      </c>
      <c r="L592" s="35">
        <f>SUMIFS($K$5:$K$692,$A$5:$A$692,A592,$B$5:$B$692,B592,$F$5:$F$692,"&lt;="&amp;F592)</f>
        <v/>
      </c>
      <c r="M592" s="58">
        <f>'帮会科技逐级'!R7</f>
        <v/>
      </c>
      <c r="N592" s="58">
        <f>SUMIFS($M$5:$M$692,$A$5:$A$692,A592,$B$5:$B$692,B592,$F$5:$F$692,"&lt;="&amp;F592)</f>
        <v/>
      </c>
      <c r="O592" s="58">
        <f>'帮会科技逐级'!S7</f>
        <v/>
      </c>
      <c r="P592" s="58">
        <f>SUMIFS($O$5:$O$692,$A$5:$A$692,A592,$B$5:$B$692,B592,$F$5:$F$692,"&lt;="&amp;F592)</f>
        <v/>
      </c>
      <c r="Q592" s="58">
        <f>'帮会科技逐级'!T7</f>
        <v/>
      </c>
      <c r="R592" s="58">
        <f>SUMIFS($Q$5:$Q$692,$A$5:$A$692,A592,$B$5:$B$692,B592,$F$5:$F$692,"&lt;="&amp;F592)</f>
        <v/>
      </c>
      <c r="S592" s="58">
        <f>'帮会科技逐级'!U7</f>
        <v/>
      </c>
      <c r="T592" s="58">
        <f>SUMIFS($S$5:$S$692,$A$5:$A$692,A592,$B$5:$B$692,B592,$F$5:$F$692,"&lt;="&amp;F592)</f>
        <v/>
      </c>
      <c r="U592" s="52">
        <f>'帮会科技逐级'!V7</f>
        <v/>
      </c>
    </row>
    <row r="593">
      <c r="A593" s="33" t="inlineStr">
        <is>
          <t>帮会科技</t>
        </is>
      </c>
      <c r="B593" s="33">
        <f>'帮会科技逐级'!A8</f>
        <v/>
      </c>
      <c r="C593" s="33">
        <f>'帮会科技逐级'!B8</f>
        <v/>
      </c>
      <c r="D593" s="33">
        <f>'帮会科技逐级'!C8</f>
        <v/>
      </c>
      <c r="E593" t="inlineStr">
        <is>
          <t>—</t>
        </is>
      </c>
      <c r="F593" s="54">
        <f>'帮会科技逐级'!D8</f>
        <v/>
      </c>
      <c r="G593" s="55">
        <f>'帮会科技逐级'!E8</f>
        <v/>
      </c>
      <c r="H593" s="56">
        <f>'帮会科技逐级'!F8</f>
        <v/>
      </c>
      <c r="I593" s="52" t="inlineStr">
        <is>
          <t>帮会科技即时完成</t>
        </is>
      </c>
      <c r="J593" s="57">
        <f>'帮会科技逐级'!G8</f>
        <v/>
      </c>
      <c r="K593" s="35">
        <f>J593/3600</f>
        <v/>
      </c>
      <c r="L593" s="35">
        <f>SUMIFS($K$5:$K$692,$A$5:$A$692,A593,$B$5:$B$692,B593,$F$5:$F$692,"&lt;="&amp;F593)</f>
        <v/>
      </c>
      <c r="M593" s="58">
        <f>'帮会科技逐级'!R8</f>
        <v/>
      </c>
      <c r="N593" s="58">
        <f>SUMIFS($M$5:$M$692,$A$5:$A$692,A593,$B$5:$B$692,B593,$F$5:$F$692,"&lt;="&amp;F593)</f>
        <v/>
      </c>
      <c r="O593" s="58">
        <f>'帮会科技逐级'!S8</f>
        <v/>
      </c>
      <c r="P593" s="58">
        <f>SUMIFS($O$5:$O$692,$A$5:$A$692,A593,$B$5:$B$692,B593,$F$5:$F$692,"&lt;="&amp;F593)</f>
        <v/>
      </c>
      <c r="Q593" s="58">
        <f>'帮会科技逐级'!T8</f>
        <v/>
      </c>
      <c r="R593" s="58">
        <f>SUMIFS($Q$5:$Q$692,$A$5:$A$692,A593,$B$5:$B$692,B593,$F$5:$F$692,"&lt;="&amp;F593)</f>
        <v/>
      </c>
      <c r="S593" s="58">
        <f>'帮会科技逐级'!U8</f>
        <v/>
      </c>
      <c r="T593" s="58">
        <f>SUMIFS($S$5:$S$692,$A$5:$A$692,A593,$B$5:$B$692,B593,$F$5:$F$692,"&lt;="&amp;F593)</f>
        <v/>
      </c>
      <c r="U593" s="52">
        <f>'帮会科技逐级'!V8</f>
        <v/>
      </c>
    </row>
    <row r="594">
      <c r="A594" s="33" t="inlineStr">
        <is>
          <t>帮会科技</t>
        </is>
      </c>
      <c r="B594" s="33">
        <f>'帮会科技逐级'!A9</f>
        <v/>
      </c>
      <c r="C594" s="33">
        <f>'帮会科技逐级'!B9</f>
        <v/>
      </c>
      <c r="D594" s="33">
        <f>'帮会科技逐级'!C9</f>
        <v/>
      </c>
      <c r="E594" t="inlineStr">
        <is>
          <t>—</t>
        </is>
      </c>
      <c r="F594" s="54">
        <f>'帮会科技逐级'!D9</f>
        <v/>
      </c>
      <c r="G594" s="55">
        <f>'帮会科技逐级'!E9</f>
        <v/>
      </c>
      <c r="H594" s="56">
        <f>'帮会科技逐级'!F9</f>
        <v/>
      </c>
      <c r="I594" s="52" t="inlineStr">
        <is>
          <t>帮会科技即时完成</t>
        </is>
      </c>
      <c r="J594" s="57">
        <f>'帮会科技逐级'!G9</f>
        <v/>
      </c>
      <c r="K594" s="35">
        <f>J594/3600</f>
        <v/>
      </c>
      <c r="L594" s="35">
        <f>SUMIFS($K$5:$K$692,$A$5:$A$692,A594,$B$5:$B$692,B594,$F$5:$F$692,"&lt;="&amp;F594)</f>
        <v/>
      </c>
      <c r="M594" s="58">
        <f>'帮会科技逐级'!R9</f>
        <v/>
      </c>
      <c r="N594" s="58">
        <f>SUMIFS($M$5:$M$692,$A$5:$A$692,A594,$B$5:$B$692,B594,$F$5:$F$692,"&lt;="&amp;F594)</f>
        <v/>
      </c>
      <c r="O594" s="58">
        <f>'帮会科技逐级'!S9</f>
        <v/>
      </c>
      <c r="P594" s="58">
        <f>SUMIFS($O$5:$O$692,$A$5:$A$692,A594,$B$5:$B$692,B594,$F$5:$F$692,"&lt;="&amp;F594)</f>
        <v/>
      </c>
      <c r="Q594" s="58">
        <f>'帮会科技逐级'!T9</f>
        <v/>
      </c>
      <c r="R594" s="58">
        <f>SUMIFS($Q$5:$Q$692,$A$5:$A$692,A594,$B$5:$B$692,B594,$F$5:$F$692,"&lt;="&amp;F594)</f>
        <v/>
      </c>
      <c r="S594" s="58">
        <f>'帮会科技逐级'!U9</f>
        <v/>
      </c>
      <c r="T594" s="58">
        <f>SUMIFS($S$5:$S$692,$A$5:$A$692,A594,$B$5:$B$692,B594,$F$5:$F$692,"&lt;="&amp;F594)</f>
        <v/>
      </c>
      <c r="U594" s="52">
        <f>'帮会科技逐级'!V9</f>
        <v/>
      </c>
    </row>
    <row r="595">
      <c r="A595" s="33" t="inlineStr">
        <is>
          <t>帮会科技</t>
        </is>
      </c>
      <c r="B595" s="33">
        <f>'帮会科技逐级'!A10</f>
        <v/>
      </c>
      <c r="C595" s="33">
        <f>'帮会科技逐级'!B10</f>
        <v/>
      </c>
      <c r="D595" s="33">
        <f>'帮会科技逐级'!C10</f>
        <v/>
      </c>
      <c r="E595" t="inlineStr">
        <is>
          <t>—</t>
        </is>
      </c>
      <c r="F595" s="54">
        <f>'帮会科技逐级'!D10</f>
        <v/>
      </c>
      <c r="G595" s="55">
        <f>'帮会科技逐级'!E10</f>
        <v/>
      </c>
      <c r="H595" s="56">
        <f>'帮会科技逐级'!F10</f>
        <v/>
      </c>
      <c r="I595" s="52" t="inlineStr">
        <is>
          <t>帮会科技即时完成</t>
        </is>
      </c>
      <c r="J595" s="57">
        <f>'帮会科技逐级'!G10</f>
        <v/>
      </c>
      <c r="K595" s="35">
        <f>J595/3600</f>
        <v/>
      </c>
      <c r="L595" s="35">
        <f>SUMIFS($K$5:$K$692,$A$5:$A$692,A595,$B$5:$B$692,B595,$F$5:$F$692,"&lt;="&amp;F595)</f>
        <v/>
      </c>
      <c r="M595" s="58">
        <f>'帮会科技逐级'!R10</f>
        <v/>
      </c>
      <c r="N595" s="58">
        <f>SUMIFS($M$5:$M$692,$A$5:$A$692,A595,$B$5:$B$692,B595,$F$5:$F$692,"&lt;="&amp;F595)</f>
        <v/>
      </c>
      <c r="O595" s="58">
        <f>'帮会科技逐级'!S10</f>
        <v/>
      </c>
      <c r="P595" s="58">
        <f>SUMIFS($O$5:$O$692,$A$5:$A$692,A595,$B$5:$B$692,B595,$F$5:$F$692,"&lt;="&amp;F595)</f>
        <v/>
      </c>
      <c r="Q595" s="58">
        <f>'帮会科技逐级'!T10</f>
        <v/>
      </c>
      <c r="R595" s="58">
        <f>SUMIFS($Q$5:$Q$692,$A$5:$A$692,A595,$B$5:$B$692,B595,$F$5:$F$692,"&lt;="&amp;F595)</f>
        <v/>
      </c>
      <c r="S595" s="58">
        <f>'帮会科技逐级'!U10</f>
        <v/>
      </c>
      <c r="T595" s="58">
        <f>SUMIFS($S$5:$S$692,$A$5:$A$692,A595,$B$5:$B$692,B595,$F$5:$F$692,"&lt;="&amp;F595)</f>
        <v/>
      </c>
      <c r="U595" s="52">
        <f>'帮会科技逐级'!V10</f>
        <v/>
      </c>
    </row>
    <row r="596">
      <c r="A596" s="33" t="inlineStr">
        <is>
          <t>帮会科技</t>
        </is>
      </c>
      <c r="B596" s="33">
        <f>'帮会科技逐级'!A11</f>
        <v/>
      </c>
      <c r="C596" s="33">
        <f>'帮会科技逐级'!B11</f>
        <v/>
      </c>
      <c r="D596" s="33">
        <f>'帮会科技逐级'!C11</f>
        <v/>
      </c>
      <c r="E596" t="inlineStr">
        <is>
          <t>—</t>
        </is>
      </c>
      <c r="F596" s="54">
        <f>'帮会科技逐级'!D11</f>
        <v/>
      </c>
      <c r="G596" s="55">
        <f>'帮会科技逐级'!E11</f>
        <v/>
      </c>
      <c r="H596" s="56">
        <f>'帮会科技逐级'!F11</f>
        <v/>
      </c>
      <c r="I596" s="52" t="inlineStr">
        <is>
          <t>帮会科技即时完成</t>
        </is>
      </c>
      <c r="J596" s="57">
        <f>'帮会科技逐级'!G11</f>
        <v/>
      </c>
      <c r="K596" s="35">
        <f>J596/3600</f>
        <v/>
      </c>
      <c r="L596" s="35">
        <f>SUMIFS($K$5:$K$692,$A$5:$A$692,A596,$B$5:$B$692,B596,$F$5:$F$692,"&lt;="&amp;F596)</f>
        <v/>
      </c>
      <c r="M596" s="58">
        <f>'帮会科技逐级'!R11</f>
        <v/>
      </c>
      <c r="N596" s="58">
        <f>SUMIFS($M$5:$M$692,$A$5:$A$692,A596,$B$5:$B$692,B596,$F$5:$F$692,"&lt;="&amp;F596)</f>
        <v/>
      </c>
      <c r="O596" s="58">
        <f>'帮会科技逐级'!S11</f>
        <v/>
      </c>
      <c r="P596" s="58">
        <f>SUMIFS($O$5:$O$692,$A$5:$A$692,A596,$B$5:$B$692,B596,$F$5:$F$692,"&lt;="&amp;F596)</f>
        <v/>
      </c>
      <c r="Q596" s="58">
        <f>'帮会科技逐级'!T11</f>
        <v/>
      </c>
      <c r="R596" s="58">
        <f>SUMIFS($Q$5:$Q$692,$A$5:$A$692,A596,$B$5:$B$692,B596,$F$5:$F$692,"&lt;="&amp;F596)</f>
        <v/>
      </c>
      <c r="S596" s="58">
        <f>'帮会科技逐级'!U11</f>
        <v/>
      </c>
      <c r="T596" s="58">
        <f>SUMIFS($S$5:$S$692,$A$5:$A$692,A596,$B$5:$B$692,B596,$F$5:$F$692,"&lt;="&amp;F596)</f>
        <v/>
      </c>
      <c r="U596" s="52">
        <f>'帮会科技逐级'!V11</f>
        <v/>
      </c>
    </row>
    <row r="597">
      <c r="A597" s="33" t="inlineStr">
        <is>
          <t>帮会科技</t>
        </is>
      </c>
      <c r="B597" s="33">
        <f>'帮会科技逐级'!A12</f>
        <v/>
      </c>
      <c r="C597" s="33">
        <f>'帮会科技逐级'!B12</f>
        <v/>
      </c>
      <c r="D597" s="33">
        <f>'帮会科技逐级'!C12</f>
        <v/>
      </c>
      <c r="E597" t="inlineStr">
        <is>
          <t>—</t>
        </is>
      </c>
      <c r="F597" s="54">
        <f>'帮会科技逐级'!D12</f>
        <v/>
      </c>
      <c r="G597" s="55">
        <f>'帮会科技逐级'!E12</f>
        <v/>
      </c>
      <c r="H597" s="56">
        <f>'帮会科技逐级'!F12</f>
        <v/>
      </c>
      <c r="I597" s="52" t="inlineStr">
        <is>
          <t>帮会科技即时完成</t>
        </is>
      </c>
      <c r="J597" s="57">
        <f>'帮会科技逐级'!G12</f>
        <v/>
      </c>
      <c r="K597" s="35">
        <f>J597/3600</f>
        <v/>
      </c>
      <c r="L597" s="35">
        <f>SUMIFS($K$5:$K$692,$A$5:$A$692,A597,$B$5:$B$692,B597,$F$5:$F$692,"&lt;="&amp;F597)</f>
        <v/>
      </c>
      <c r="M597" s="58">
        <f>'帮会科技逐级'!R12</f>
        <v/>
      </c>
      <c r="N597" s="58">
        <f>SUMIFS($M$5:$M$692,$A$5:$A$692,A597,$B$5:$B$692,B597,$F$5:$F$692,"&lt;="&amp;F597)</f>
        <v/>
      </c>
      <c r="O597" s="58">
        <f>'帮会科技逐级'!S12</f>
        <v/>
      </c>
      <c r="P597" s="58">
        <f>SUMIFS($O$5:$O$692,$A$5:$A$692,A597,$B$5:$B$692,B597,$F$5:$F$692,"&lt;="&amp;F597)</f>
        <v/>
      </c>
      <c r="Q597" s="58">
        <f>'帮会科技逐级'!T12</f>
        <v/>
      </c>
      <c r="R597" s="58">
        <f>SUMIFS($Q$5:$Q$692,$A$5:$A$692,A597,$B$5:$B$692,B597,$F$5:$F$692,"&lt;="&amp;F597)</f>
        <v/>
      </c>
      <c r="S597" s="58">
        <f>'帮会科技逐级'!U12</f>
        <v/>
      </c>
      <c r="T597" s="58">
        <f>SUMIFS($S$5:$S$692,$A$5:$A$692,A597,$B$5:$B$692,B597,$F$5:$F$692,"&lt;="&amp;F597)</f>
        <v/>
      </c>
      <c r="U597" s="52">
        <f>'帮会科技逐级'!V12</f>
        <v/>
      </c>
    </row>
    <row r="598">
      <c r="A598" s="33" t="inlineStr">
        <is>
          <t>帮会科技</t>
        </is>
      </c>
      <c r="B598" s="33">
        <f>'帮会科技逐级'!A13</f>
        <v/>
      </c>
      <c r="C598" s="33">
        <f>'帮会科技逐级'!B13</f>
        <v/>
      </c>
      <c r="D598" s="33">
        <f>'帮会科技逐级'!C13</f>
        <v/>
      </c>
      <c r="E598" t="inlineStr">
        <is>
          <t>—</t>
        </is>
      </c>
      <c r="F598" s="54">
        <f>'帮会科技逐级'!D13</f>
        <v/>
      </c>
      <c r="G598" s="55">
        <f>'帮会科技逐级'!E13</f>
        <v/>
      </c>
      <c r="H598" s="56">
        <f>'帮会科技逐级'!F13</f>
        <v/>
      </c>
      <c r="I598" s="52" t="inlineStr">
        <is>
          <t>帮会科技即时完成</t>
        </is>
      </c>
      <c r="J598" s="57">
        <f>'帮会科技逐级'!G13</f>
        <v/>
      </c>
      <c r="K598" s="35">
        <f>J598/3600</f>
        <v/>
      </c>
      <c r="L598" s="35">
        <f>SUMIFS($K$5:$K$692,$A$5:$A$692,A598,$B$5:$B$692,B598,$F$5:$F$692,"&lt;="&amp;F598)</f>
        <v/>
      </c>
      <c r="M598" s="58">
        <f>'帮会科技逐级'!R13</f>
        <v/>
      </c>
      <c r="N598" s="58">
        <f>SUMIFS($M$5:$M$692,$A$5:$A$692,A598,$B$5:$B$692,B598,$F$5:$F$692,"&lt;="&amp;F598)</f>
        <v/>
      </c>
      <c r="O598" s="58">
        <f>'帮会科技逐级'!S13</f>
        <v/>
      </c>
      <c r="P598" s="58">
        <f>SUMIFS($O$5:$O$692,$A$5:$A$692,A598,$B$5:$B$692,B598,$F$5:$F$692,"&lt;="&amp;F598)</f>
        <v/>
      </c>
      <c r="Q598" s="58">
        <f>'帮会科技逐级'!T13</f>
        <v/>
      </c>
      <c r="R598" s="58">
        <f>SUMIFS($Q$5:$Q$692,$A$5:$A$692,A598,$B$5:$B$692,B598,$F$5:$F$692,"&lt;="&amp;F598)</f>
        <v/>
      </c>
      <c r="S598" s="58">
        <f>'帮会科技逐级'!U13</f>
        <v/>
      </c>
      <c r="T598" s="58">
        <f>SUMIFS($S$5:$S$692,$A$5:$A$692,A598,$B$5:$B$692,B598,$F$5:$F$692,"&lt;="&amp;F598)</f>
        <v/>
      </c>
      <c r="U598" s="52">
        <f>'帮会科技逐级'!V13</f>
        <v/>
      </c>
    </row>
    <row r="599">
      <c r="A599" s="33" t="inlineStr">
        <is>
          <t>帮会科技</t>
        </is>
      </c>
      <c r="B599" s="33">
        <f>'帮会科技逐级'!A14</f>
        <v/>
      </c>
      <c r="C599" s="33">
        <f>'帮会科技逐级'!B14</f>
        <v/>
      </c>
      <c r="D599" s="33">
        <f>'帮会科技逐级'!C14</f>
        <v/>
      </c>
      <c r="E599" t="inlineStr">
        <is>
          <t>—</t>
        </is>
      </c>
      <c r="F599" s="54">
        <f>'帮会科技逐级'!D14</f>
        <v/>
      </c>
      <c r="G599" s="55">
        <f>'帮会科技逐级'!E14</f>
        <v/>
      </c>
      <c r="H599" s="56">
        <f>'帮会科技逐级'!F14</f>
        <v/>
      </c>
      <c r="I599" s="52" t="inlineStr">
        <is>
          <t>帮会科技即时完成</t>
        </is>
      </c>
      <c r="J599" s="57">
        <f>'帮会科技逐级'!G14</f>
        <v/>
      </c>
      <c r="K599" s="35">
        <f>J599/3600</f>
        <v/>
      </c>
      <c r="L599" s="35">
        <f>SUMIFS($K$5:$K$692,$A$5:$A$692,A599,$B$5:$B$692,B599,$F$5:$F$692,"&lt;="&amp;F599)</f>
        <v/>
      </c>
      <c r="M599" s="58">
        <f>'帮会科技逐级'!R14</f>
        <v/>
      </c>
      <c r="N599" s="58">
        <f>SUMIFS($M$5:$M$692,$A$5:$A$692,A599,$B$5:$B$692,B599,$F$5:$F$692,"&lt;="&amp;F599)</f>
        <v/>
      </c>
      <c r="O599" s="58">
        <f>'帮会科技逐级'!S14</f>
        <v/>
      </c>
      <c r="P599" s="58">
        <f>SUMIFS($O$5:$O$692,$A$5:$A$692,A599,$B$5:$B$692,B599,$F$5:$F$692,"&lt;="&amp;F599)</f>
        <v/>
      </c>
      <c r="Q599" s="58">
        <f>'帮会科技逐级'!T14</f>
        <v/>
      </c>
      <c r="R599" s="58">
        <f>SUMIFS($Q$5:$Q$692,$A$5:$A$692,A599,$B$5:$B$692,B599,$F$5:$F$692,"&lt;="&amp;F599)</f>
        <v/>
      </c>
      <c r="S599" s="58">
        <f>'帮会科技逐级'!U14</f>
        <v/>
      </c>
      <c r="T599" s="58">
        <f>SUMIFS($S$5:$S$692,$A$5:$A$692,A599,$B$5:$B$692,B599,$F$5:$F$692,"&lt;="&amp;F599)</f>
        <v/>
      </c>
      <c r="U599" s="52">
        <f>'帮会科技逐级'!V14</f>
        <v/>
      </c>
    </row>
    <row r="600">
      <c r="A600" s="33" t="inlineStr">
        <is>
          <t>帮会科技</t>
        </is>
      </c>
      <c r="B600" s="33">
        <f>'帮会科技逐级'!A15</f>
        <v/>
      </c>
      <c r="C600" s="33">
        <f>'帮会科技逐级'!B15</f>
        <v/>
      </c>
      <c r="D600" s="33">
        <f>'帮会科技逐级'!C15</f>
        <v/>
      </c>
      <c r="E600" t="inlineStr">
        <is>
          <t>—</t>
        </is>
      </c>
      <c r="F600" s="54">
        <f>'帮会科技逐级'!D15</f>
        <v/>
      </c>
      <c r="G600" s="55">
        <f>'帮会科技逐级'!E15</f>
        <v/>
      </c>
      <c r="H600" s="56">
        <f>'帮会科技逐级'!F15</f>
        <v/>
      </c>
      <c r="I600" s="52" t="inlineStr">
        <is>
          <t>帮会科技即时完成</t>
        </is>
      </c>
      <c r="J600" s="57">
        <f>'帮会科技逐级'!G15</f>
        <v/>
      </c>
      <c r="K600" s="35">
        <f>J600/3600</f>
        <v/>
      </c>
      <c r="L600" s="35">
        <f>SUMIFS($K$5:$K$692,$A$5:$A$692,A600,$B$5:$B$692,B600,$F$5:$F$692,"&lt;="&amp;F600)</f>
        <v/>
      </c>
      <c r="M600" s="58">
        <f>'帮会科技逐级'!R15</f>
        <v/>
      </c>
      <c r="N600" s="58">
        <f>SUMIFS($M$5:$M$692,$A$5:$A$692,A600,$B$5:$B$692,B600,$F$5:$F$692,"&lt;="&amp;F600)</f>
        <v/>
      </c>
      <c r="O600" s="58">
        <f>'帮会科技逐级'!S15</f>
        <v/>
      </c>
      <c r="P600" s="58">
        <f>SUMIFS($O$5:$O$692,$A$5:$A$692,A600,$B$5:$B$692,B600,$F$5:$F$692,"&lt;="&amp;F600)</f>
        <v/>
      </c>
      <c r="Q600" s="58">
        <f>'帮会科技逐级'!T15</f>
        <v/>
      </c>
      <c r="R600" s="58">
        <f>SUMIFS($Q$5:$Q$692,$A$5:$A$692,A600,$B$5:$B$692,B600,$F$5:$F$692,"&lt;="&amp;F600)</f>
        <v/>
      </c>
      <c r="S600" s="58">
        <f>'帮会科技逐级'!U15</f>
        <v/>
      </c>
      <c r="T600" s="58">
        <f>SUMIFS($S$5:$S$692,$A$5:$A$692,A600,$B$5:$B$692,B600,$F$5:$F$692,"&lt;="&amp;F600)</f>
        <v/>
      </c>
      <c r="U600" s="52">
        <f>'帮会科技逐级'!V15</f>
        <v/>
      </c>
    </row>
    <row r="601">
      <c r="A601" s="33" t="inlineStr">
        <is>
          <t>帮会科技</t>
        </is>
      </c>
      <c r="B601" s="33">
        <f>'帮会科技逐级'!A16</f>
        <v/>
      </c>
      <c r="C601" s="33">
        <f>'帮会科技逐级'!B16</f>
        <v/>
      </c>
      <c r="D601" s="33">
        <f>'帮会科技逐级'!C16</f>
        <v/>
      </c>
      <c r="E601" t="inlineStr">
        <is>
          <t>—</t>
        </is>
      </c>
      <c r="F601" s="54">
        <f>'帮会科技逐级'!D16</f>
        <v/>
      </c>
      <c r="G601" s="55">
        <f>'帮会科技逐级'!E16</f>
        <v/>
      </c>
      <c r="H601" s="56">
        <f>'帮会科技逐级'!F16</f>
        <v/>
      </c>
      <c r="I601" s="52" t="inlineStr">
        <is>
          <t>帮会科技即时完成</t>
        </is>
      </c>
      <c r="J601" s="57">
        <f>'帮会科技逐级'!G16</f>
        <v/>
      </c>
      <c r="K601" s="35">
        <f>J601/3600</f>
        <v/>
      </c>
      <c r="L601" s="35">
        <f>SUMIFS($K$5:$K$692,$A$5:$A$692,A601,$B$5:$B$692,B601,$F$5:$F$692,"&lt;="&amp;F601)</f>
        <v/>
      </c>
      <c r="M601" s="58">
        <f>'帮会科技逐级'!R16</f>
        <v/>
      </c>
      <c r="N601" s="58">
        <f>SUMIFS($M$5:$M$692,$A$5:$A$692,A601,$B$5:$B$692,B601,$F$5:$F$692,"&lt;="&amp;F601)</f>
        <v/>
      </c>
      <c r="O601" s="58">
        <f>'帮会科技逐级'!S16</f>
        <v/>
      </c>
      <c r="P601" s="58">
        <f>SUMIFS($O$5:$O$692,$A$5:$A$692,A601,$B$5:$B$692,B601,$F$5:$F$692,"&lt;="&amp;F601)</f>
        <v/>
      </c>
      <c r="Q601" s="58">
        <f>'帮会科技逐级'!T16</f>
        <v/>
      </c>
      <c r="R601" s="58">
        <f>SUMIFS($Q$5:$Q$692,$A$5:$A$692,A601,$B$5:$B$692,B601,$F$5:$F$692,"&lt;="&amp;F601)</f>
        <v/>
      </c>
      <c r="S601" s="58">
        <f>'帮会科技逐级'!U16</f>
        <v/>
      </c>
      <c r="T601" s="58">
        <f>SUMIFS($S$5:$S$692,$A$5:$A$692,A601,$B$5:$B$692,B601,$F$5:$F$692,"&lt;="&amp;F601)</f>
        <v/>
      </c>
      <c r="U601" s="52">
        <f>'帮会科技逐级'!V16</f>
        <v/>
      </c>
    </row>
    <row r="602">
      <c r="A602" s="33" t="inlineStr">
        <is>
          <t>帮会科技</t>
        </is>
      </c>
      <c r="B602" s="33">
        <f>'帮会科技逐级'!A17</f>
        <v/>
      </c>
      <c r="C602" s="33">
        <f>'帮会科技逐级'!B17</f>
        <v/>
      </c>
      <c r="D602" s="33">
        <f>'帮会科技逐级'!C17</f>
        <v/>
      </c>
      <c r="E602" t="inlineStr">
        <is>
          <t>—</t>
        </is>
      </c>
      <c r="F602" s="54">
        <f>'帮会科技逐级'!D17</f>
        <v/>
      </c>
      <c r="G602" s="55">
        <f>'帮会科技逐级'!E17</f>
        <v/>
      </c>
      <c r="H602" s="56">
        <f>'帮会科技逐级'!F17</f>
        <v/>
      </c>
      <c r="I602" s="52" t="inlineStr">
        <is>
          <t>帮会科技即时完成</t>
        </is>
      </c>
      <c r="J602" s="57">
        <f>'帮会科技逐级'!G17</f>
        <v/>
      </c>
      <c r="K602" s="35">
        <f>J602/3600</f>
        <v/>
      </c>
      <c r="L602" s="35">
        <f>SUMIFS($K$5:$K$692,$A$5:$A$692,A602,$B$5:$B$692,B602,$F$5:$F$692,"&lt;="&amp;F602)</f>
        <v/>
      </c>
      <c r="M602" s="58">
        <f>'帮会科技逐级'!R17</f>
        <v/>
      </c>
      <c r="N602" s="58">
        <f>SUMIFS($M$5:$M$692,$A$5:$A$692,A602,$B$5:$B$692,B602,$F$5:$F$692,"&lt;="&amp;F602)</f>
        <v/>
      </c>
      <c r="O602" s="58">
        <f>'帮会科技逐级'!S17</f>
        <v/>
      </c>
      <c r="P602" s="58">
        <f>SUMIFS($O$5:$O$692,$A$5:$A$692,A602,$B$5:$B$692,B602,$F$5:$F$692,"&lt;="&amp;F602)</f>
        <v/>
      </c>
      <c r="Q602" s="58">
        <f>'帮会科技逐级'!T17</f>
        <v/>
      </c>
      <c r="R602" s="58">
        <f>SUMIFS($Q$5:$Q$692,$A$5:$A$692,A602,$B$5:$B$692,B602,$F$5:$F$692,"&lt;="&amp;F602)</f>
        <v/>
      </c>
      <c r="S602" s="58">
        <f>'帮会科技逐级'!U17</f>
        <v/>
      </c>
      <c r="T602" s="58">
        <f>SUMIFS($S$5:$S$692,$A$5:$A$692,A602,$B$5:$B$692,B602,$F$5:$F$692,"&lt;="&amp;F602)</f>
        <v/>
      </c>
      <c r="U602" s="52">
        <f>'帮会科技逐级'!V17</f>
        <v/>
      </c>
    </row>
    <row r="603">
      <c r="A603" s="33" t="inlineStr">
        <is>
          <t>帮会科技</t>
        </is>
      </c>
      <c r="B603" s="33">
        <f>'帮会科技逐级'!A18</f>
        <v/>
      </c>
      <c r="C603" s="33">
        <f>'帮会科技逐级'!B18</f>
        <v/>
      </c>
      <c r="D603" s="33">
        <f>'帮会科技逐级'!C18</f>
        <v/>
      </c>
      <c r="E603" t="inlineStr">
        <is>
          <t>—</t>
        </is>
      </c>
      <c r="F603" s="54">
        <f>'帮会科技逐级'!D18</f>
        <v/>
      </c>
      <c r="G603" s="55">
        <f>'帮会科技逐级'!E18</f>
        <v/>
      </c>
      <c r="H603" s="56">
        <f>'帮会科技逐级'!F18</f>
        <v/>
      </c>
      <c r="I603" s="52" t="inlineStr">
        <is>
          <t>帮会科技即时完成</t>
        </is>
      </c>
      <c r="J603" s="57">
        <f>'帮会科技逐级'!G18</f>
        <v/>
      </c>
      <c r="K603" s="35">
        <f>J603/3600</f>
        <v/>
      </c>
      <c r="L603" s="35">
        <f>SUMIFS($K$5:$K$692,$A$5:$A$692,A603,$B$5:$B$692,B603,$F$5:$F$692,"&lt;="&amp;F603)</f>
        <v/>
      </c>
      <c r="M603" s="58">
        <f>'帮会科技逐级'!R18</f>
        <v/>
      </c>
      <c r="N603" s="58">
        <f>SUMIFS($M$5:$M$692,$A$5:$A$692,A603,$B$5:$B$692,B603,$F$5:$F$692,"&lt;="&amp;F603)</f>
        <v/>
      </c>
      <c r="O603" s="58">
        <f>'帮会科技逐级'!S18</f>
        <v/>
      </c>
      <c r="P603" s="58">
        <f>SUMIFS($O$5:$O$692,$A$5:$A$692,A603,$B$5:$B$692,B603,$F$5:$F$692,"&lt;="&amp;F603)</f>
        <v/>
      </c>
      <c r="Q603" s="58">
        <f>'帮会科技逐级'!T18</f>
        <v/>
      </c>
      <c r="R603" s="58">
        <f>SUMIFS($Q$5:$Q$692,$A$5:$A$692,A603,$B$5:$B$692,B603,$F$5:$F$692,"&lt;="&amp;F603)</f>
        <v/>
      </c>
      <c r="S603" s="58">
        <f>'帮会科技逐级'!U18</f>
        <v/>
      </c>
      <c r="T603" s="58">
        <f>SUMIFS($S$5:$S$692,$A$5:$A$692,A603,$B$5:$B$692,B603,$F$5:$F$692,"&lt;="&amp;F603)</f>
        <v/>
      </c>
      <c r="U603" s="52">
        <f>'帮会科技逐级'!V18</f>
        <v/>
      </c>
    </row>
    <row r="604">
      <c r="A604" s="33" t="inlineStr">
        <is>
          <t>帮会科技</t>
        </is>
      </c>
      <c r="B604" s="33">
        <f>'帮会科技逐级'!A19</f>
        <v/>
      </c>
      <c r="C604" s="33">
        <f>'帮会科技逐级'!B19</f>
        <v/>
      </c>
      <c r="D604" s="33">
        <f>'帮会科技逐级'!C19</f>
        <v/>
      </c>
      <c r="E604" t="inlineStr">
        <is>
          <t>—</t>
        </is>
      </c>
      <c r="F604" s="54">
        <f>'帮会科技逐级'!D19</f>
        <v/>
      </c>
      <c r="G604" s="55">
        <f>'帮会科技逐级'!E19</f>
        <v/>
      </c>
      <c r="H604" s="56">
        <f>'帮会科技逐级'!F19</f>
        <v/>
      </c>
      <c r="I604" s="52" t="inlineStr">
        <is>
          <t>帮会科技即时完成</t>
        </is>
      </c>
      <c r="J604" s="57">
        <f>'帮会科技逐级'!G19</f>
        <v/>
      </c>
      <c r="K604" s="35">
        <f>J604/3600</f>
        <v/>
      </c>
      <c r="L604" s="35">
        <f>SUMIFS($K$5:$K$692,$A$5:$A$692,A604,$B$5:$B$692,B604,$F$5:$F$692,"&lt;="&amp;F604)</f>
        <v/>
      </c>
      <c r="M604" s="58">
        <f>'帮会科技逐级'!R19</f>
        <v/>
      </c>
      <c r="N604" s="58">
        <f>SUMIFS($M$5:$M$692,$A$5:$A$692,A604,$B$5:$B$692,B604,$F$5:$F$692,"&lt;="&amp;F604)</f>
        <v/>
      </c>
      <c r="O604" s="58">
        <f>'帮会科技逐级'!S19</f>
        <v/>
      </c>
      <c r="P604" s="58">
        <f>SUMIFS($O$5:$O$692,$A$5:$A$692,A604,$B$5:$B$692,B604,$F$5:$F$692,"&lt;="&amp;F604)</f>
        <v/>
      </c>
      <c r="Q604" s="58">
        <f>'帮会科技逐级'!T19</f>
        <v/>
      </c>
      <c r="R604" s="58">
        <f>SUMIFS($Q$5:$Q$692,$A$5:$A$692,A604,$B$5:$B$692,B604,$F$5:$F$692,"&lt;="&amp;F604)</f>
        <v/>
      </c>
      <c r="S604" s="58">
        <f>'帮会科技逐级'!U19</f>
        <v/>
      </c>
      <c r="T604" s="58">
        <f>SUMIFS($S$5:$S$692,$A$5:$A$692,A604,$B$5:$B$692,B604,$F$5:$F$692,"&lt;="&amp;F604)</f>
        <v/>
      </c>
      <c r="U604" s="52">
        <f>'帮会科技逐级'!V19</f>
        <v/>
      </c>
    </row>
    <row r="605">
      <c r="A605" s="33" t="inlineStr">
        <is>
          <t>帮会科技</t>
        </is>
      </c>
      <c r="B605" s="33">
        <f>'帮会科技逐级'!A20</f>
        <v/>
      </c>
      <c r="C605" s="33">
        <f>'帮会科技逐级'!B20</f>
        <v/>
      </c>
      <c r="D605" s="33">
        <f>'帮会科技逐级'!C20</f>
        <v/>
      </c>
      <c r="E605" t="inlineStr">
        <is>
          <t>—</t>
        </is>
      </c>
      <c r="F605" s="54">
        <f>'帮会科技逐级'!D20</f>
        <v/>
      </c>
      <c r="G605" s="55">
        <f>'帮会科技逐级'!E20</f>
        <v/>
      </c>
      <c r="H605" s="56">
        <f>'帮会科技逐级'!F20</f>
        <v/>
      </c>
      <c r="I605" s="52" t="inlineStr">
        <is>
          <t>帮会科技即时完成</t>
        </is>
      </c>
      <c r="J605" s="57">
        <f>'帮会科技逐级'!G20</f>
        <v/>
      </c>
      <c r="K605" s="35">
        <f>J605/3600</f>
        <v/>
      </c>
      <c r="L605" s="35">
        <f>SUMIFS($K$5:$K$692,$A$5:$A$692,A605,$B$5:$B$692,B605,$F$5:$F$692,"&lt;="&amp;F605)</f>
        <v/>
      </c>
      <c r="M605" s="58">
        <f>'帮会科技逐级'!R20</f>
        <v/>
      </c>
      <c r="N605" s="58">
        <f>SUMIFS($M$5:$M$692,$A$5:$A$692,A605,$B$5:$B$692,B605,$F$5:$F$692,"&lt;="&amp;F605)</f>
        <v/>
      </c>
      <c r="O605" s="58">
        <f>'帮会科技逐级'!S20</f>
        <v/>
      </c>
      <c r="P605" s="58">
        <f>SUMIFS($O$5:$O$692,$A$5:$A$692,A605,$B$5:$B$692,B605,$F$5:$F$692,"&lt;="&amp;F605)</f>
        <v/>
      </c>
      <c r="Q605" s="58">
        <f>'帮会科技逐级'!T20</f>
        <v/>
      </c>
      <c r="R605" s="58">
        <f>SUMIFS($Q$5:$Q$692,$A$5:$A$692,A605,$B$5:$B$692,B605,$F$5:$F$692,"&lt;="&amp;F605)</f>
        <v/>
      </c>
      <c r="S605" s="58">
        <f>'帮会科技逐级'!U20</f>
        <v/>
      </c>
      <c r="T605" s="58">
        <f>SUMIFS($S$5:$S$692,$A$5:$A$692,A605,$B$5:$B$692,B605,$F$5:$F$692,"&lt;="&amp;F605)</f>
        <v/>
      </c>
      <c r="U605" s="52">
        <f>'帮会科技逐级'!V20</f>
        <v/>
      </c>
    </row>
    <row r="606">
      <c r="A606" s="33" t="inlineStr">
        <is>
          <t>帮会科技</t>
        </is>
      </c>
      <c r="B606" s="33">
        <f>'帮会科技逐级'!A21</f>
        <v/>
      </c>
      <c r="C606" s="33">
        <f>'帮会科技逐级'!B21</f>
        <v/>
      </c>
      <c r="D606" s="33">
        <f>'帮会科技逐级'!C21</f>
        <v/>
      </c>
      <c r="E606" t="inlineStr">
        <is>
          <t>—</t>
        </is>
      </c>
      <c r="F606" s="54">
        <f>'帮会科技逐级'!D21</f>
        <v/>
      </c>
      <c r="G606" s="55">
        <f>'帮会科技逐级'!E21</f>
        <v/>
      </c>
      <c r="H606" s="56">
        <f>'帮会科技逐级'!F21</f>
        <v/>
      </c>
      <c r="I606" s="52" t="inlineStr">
        <is>
          <t>帮会科技即时完成</t>
        </is>
      </c>
      <c r="J606" s="57">
        <f>'帮会科技逐级'!G21</f>
        <v/>
      </c>
      <c r="K606" s="35">
        <f>J606/3600</f>
        <v/>
      </c>
      <c r="L606" s="35">
        <f>SUMIFS($K$5:$K$692,$A$5:$A$692,A606,$B$5:$B$692,B606,$F$5:$F$692,"&lt;="&amp;F606)</f>
        <v/>
      </c>
      <c r="M606" s="58">
        <f>'帮会科技逐级'!R21</f>
        <v/>
      </c>
      <c r="N606" s="58">
        <f>SUMIFS($M$5:$M$692,$A$5:$A$692,A606,$B$5:$B$692,B606,$F$5:$F$692,"&lt;="&amp;F606)</f>
        <v/>
      </c>
      <c r="O606" s="58">
        <f>'帮会科技逐级'!S21</f>
        <v/>
      </c>
      <c r="P606" s="58">
        <f>SUMIFS($O$5:$O$692,$A$5:$A$692,A606,$B$5:$B$692,B606,$F$5:$F$692,"&lt;="&amp;F606)</f>
        <v/>
      </c>
      <c r="Q606" s="58">
        <f>'帮会科技逐级'!T21</f>
        <v/>
      </c>
      <c r="R606" s="58">
        <f>SUMIFS($Q$5:$Q$692,$A$5:$A$692,A606,$B$5:$B$692,B606,$F$5:$F$692,"&lt;="&amp;F606)</f>
        <v/>
      </c>
      <c r="S606" s="58">
        <f>'帮会科技逐级'!U21</f>
        <v/>
      </c>
      <c r="T606" s="58">
        <f>SUMIFS($S$5:$S$692,$A$5:$A$692,A606,$B$5:$B$692,B606,$F$5:$F$692,"&lt;="&amp;F606)</f>
        <v/>
      </c>
      <c r="U606" s="52">
        <f>'帮会科技逐级'!V21</f>
        <v/>
      </c>
    </row>
    <row r="607">
      <c r="A607" s="33" t="inlineStr">
        <is>
          <t>帮会科技</t>
        </is>
      </c>
      <c r="B607" s="33">
        <f>'帮会科技逐级'!A22</f>
        <v/>
      </c>
      <c r="C607" s="33">
        <f>'帮会科技逐级'!B22</f>
        <v/>
      </c>
      <c r="D607" s="33">
        <f>'帮会科技逐级'!C22</f>
        <v/>
      </c>
      <c r="E607" t="inlineStr">
        <is>
          <t>—</t>
        </is>
      </c>
      <c r="F607" s="54">
        <f>'帮会科技逐级'!D22</f>
        <v/>
      </c>
      <c r="G607" s="55">
        <f>'帮会科技逐级'!E22</f>
        <v/>
      </c>
      <c r="H607" s="56">
        <f>'帮会科技逐级'!F22</f>
        <v/>
      </c>
      <c r="I607" s="52" t="inlineStr">
        <is>
          <t>帮会科技即时完成</t>
        </is>
      </c>
      <c r="J607" s="57">
        <f>'帮会科技逐级'!G22</f>
        <v/>
      </c>
      <c r="K607" s="35">
        <f>J607/3600</f>
        <v/>
      </c>
      <c r="L607" s="35">
        <f>SUMIFS($K$5:$K$692,$A$5:$A$692,A607,$B$5:$B$692,B607,$F$5:$F$692,"&lt;="&amp;F607)</f>
        <v/>
      </c>
      <c r="M607" s="58">
        <f>'帮会科技逐级'!R22</f>
        <v/>
      </c>
      <c r="N607" s="58">
        <f>SUMIFS($M$5:$M$692,$A$5:$A$692,A607,$B$5:$B$692,B607,$F$5:$F$692,"&lt;="&amp;F607)</f>
        <v/>
      </c>
      <c r="O607" s="58">
        <f>'帮会科技逐级'!S22</f>
        <v/>
      </c>
      <c r="P607" s="58">
        <f>SUMIFS($O$5:$O$692,$A$5:$A$692,A607,$B$5:$B$692,B607,$F$5:$F$692,"&lt;="&amp;F607)</f>
        <v/>
      </c>
      <c r="Q607" s="58">
        <f>'帮会科技逐级'!T22</f>
        <v/>
      </c>
      <c r="R607" s="58">
        <f>SUMIFS($Q$5:$Q$692,$A$5:$A$692,A607,$B$5:$B$692,B607,$F$5:$F$692,"&lt;="&amp;F607)</f>
        <v/>
      </c>
      <c r="S607" s="58">
        <f>'帮会科技逐级'!U22</f>
        <v/>
      </c>
      <c r="T607" s="58">
        <f>SUMIFS($S$5:$S$692,$A$5:$A$692,A607,$B$5:$B$692,B607,$F$5:$F$692,"&lt;="&amp;F607)</f>
        <v/>
      </c>
      <c r="U607" s="52">
        <f>'帮会科技逐级'!V22</f>
        <v/>
      </c>
    </row>
    <row r="608">
      <c r="A608" s="33" t="inlineStr">
        <is>
          <t>帮会科技</t>
        </is>
      </c>
      <c r="B608" s="33">
        <f>'帮会科技逐级'!A23</f>
        <v/>
      </c>
      <c r="C608" s="33">
        <f>'帮会科技逐级'!B23</f>
        <v/>
      </c>
      <c r="D608" s="33">
        <f>'帮会科技逐级'!C23</f>
        <v/>
      </c>
      <c r="E608" t="inlineStr">
        <is>
          <t>—</t>
        </is>
      </c>
      <c r="F608" s="54">
        <f>'帮会科技逐级'!D23</f>
        <v/>
      </c>
      <c r="G608" s="55">
        <f>'帮会科技逐级'!E23</f>
        <v/>
      </c>
      <c r="H608" s="56">
        <f>'帮会科技逐级'!F23</f>
        <v/>
      </c>
      <c r="I608" s="52" t="inlineStr">
        <is>
          <t>帮会科技即时完成</t>
        </is>
      </c>
      <c r="J608" s="57">
        <f>'帮会科技逐级'!G23</f>
        <v/>
      </c>
      <c r="K608" s="35">
        <f>J608/3600</f>
        <v/>
      </c>
      <c r="L608" s="35">
        <f>SUMIFS($K$5:$K$692,$A$5:$A$692,A608,$B$5:$B$692,B608,$F$5:$F$692,"&lt;="&amp;F608)</f>
        <v/>
      </c>
      <c r="M608" s="58">
        <f>'帮会科技逐级'!R23</f>
        <v/>
      </c>
      <c r="N608" s="58">
        <f>SUMIFS($M$5:$M$692,$A$5:$A$692,A608,$B$5:$B$692,B608,$F$5:$F$692,"&lt;="&amp;F608)</f>
        <v/>
      </c>
      <c r="O608" s="58">
        <f>'帮会科技逐级'!S23</f>
        <v/>
      </c>
      <c r="P608" s="58">
        <f>SUMIFS($O$5:$O$692,$A$5:$A$692,A608,$B$5:$B$692,B608,$F$5:$F$692,"&lt;="&amp;F608)</f>
        <v/>
      </c>
      <c r="Q608" s="58">
        <f>'帮会科技逐级'!T23</f>
        <v/>
      </c>
      <c r="R608" s="58">
        <f>SUMIFS($Q$5:$Q$692,$A$5:$A$692,A608,$B$5:$B$692,B608,$F$5:$F$692,"&lt;="&amp;F608)</f>
        <v/>
      </c>
      <c r="S608" s="58">
        <f>'帮会科技逐级'!U23</f>
        <v/>
      </c>
      <c r="T608" s="58">
        <f>SUMIFS($S$5:$S$692,$A$5:$A$692,A608,$B$5:$B$692,B608,$F$5:$F$692,"&lt;="&amp;F608)</f>
        <v/>
      </c>
      <c r="U608" s="52">
        <f>'帮会科技逐级'!V23</f>
        <v/>
      </c>
    </row>
    <row r="609">
      <c r="A609" s="33" t="inlineStr">
        <is>
          <t>帮会科技</t>
        </is>
      </c>
      <c r="B609" s="33">
        <f>'帮会科技逐级'!A24</f>
        <v/>
      </c>
      <c r="C609" s="33">
        <f>'帮会科技逐级'!B24</f>
        <v/>
      </c>
      <c r="D609" s="33">
        <f>'帮会科技逐级'!C24</f>
        <v/>
      </c>
      <c r="E609" t="inlineStr">
        <is>
          <t>—</t>
        </is>
      </c>
      <c r="F609" s="54">
        <f>'帮会科技逐级'!D24</f>
        <v/>
      </c>
      <c r="G609" s="55">
        <f>'帮会科技逐级'!E24</f>
        <v/>
      </c>
      <c r="H609" s="56">
        <f>'帮会科技逐级'!F24</f>
        <v/>
      </c>
      <c r="I609" s="52" t="inlineStr">
        <is>
          <t>帮会科技即时完成</t>
        </is>
      </c>
      <c r="J609" s="57">
        <f>'帮会科技逐级'!G24</f>
        <v/>
      </c>
      <c r="K609" s="35">
        <f>J609/3600</f>
        <v/>
      </c>
      <c r="L609" s="35">
        <f>SUMIFS($K$5:$K$692,$A$5:$A$692,A609,$B$5:$B$692,B609,$F$5:$F$692,"&lt;="&amp;F609)</f>
        <v/>
      </c>
      <c r="M609" s="58">
        <f>'帮会科技逐级'!R24</f>
        <v/>
      </c>
      <c r="N609" s="58">
        <f>SUMIFS($M$5:$M$692,$A$5:$A$692,A609,$B$5:$B$692,B609,$F$5:$F$692,"&lt;="&amp;F609)</f>
        <v/>
      </c>
      <c r="O609" s="58">
        <f>'帮会科技逐级'!S24</f>
        <v/>
      </c>
      <c r="P609" s="58">
        <f>SUMIFS($O$5:$O$692,$A$5:$A$692,A609,$B$5:$B$692,B609,$F$5:$F$692,"&lt;="&amp;F609)</f>
        <v/>
      </c>
      <c r="Q609" s="58">
        <f>'帮会科技逐级'!T24</f>
        <v/>
      </c>
      <c r="R609" s="58">
        <f>SUMIFS($Q$5:$Q$692,$A$5:$A$692,A609,$B$5:$B$692,B609,$F$5:$F$692,"&lt;="&amp;F609)</f>
        <v/>
      </c>
      <c r="S609" s="58">
        <f>'帮会科技逐级'!U24</f>
        <v/>
      </c>
      <c r="T609" s="58">
        <f>SUMIFS($S$5:$S$692,$A$5:$A$692,A609,$B$5:$B$692,B609,$F$5:$F$692,"&lt;="&amp;F609)</f>
        <v/>
      </c>
      <c r="U609" s="52">
        <f>'帮会科技逐级'!V24</f>
        <v/>
      </c>
    </row>
    <row r="610">
      <c r="A610" s="33" t="inlineStr">
        <is>
          <t>帮会科技</t>
        </is>
      </c>
      <c r="B610" s="33">
        <f>'帮会科技逐级'!A25</f>
        <v/>
      </c>
      <c r="C610" s="33">
        <f>'帮会科技逐级'!B25</f>
        <v/>
      </c>
      <c r="D610" s="33">
        <f>'帮会科技逐级'!C25</f>
        <v/>
      </c>
      <c r="E610" t="inlineStr">
        <is>
          <t>—</t>
        </is>
      </c>
      <c r="F610" s="54">
        <f>'帮会科技逐级'!D25</f>
        <v/>
      </c>
      <c r="G610" s="55">
        <f>'帮会科技逐级'!E25</f>
        <v/>
      </c>
      <c r="H610" s="56">
        <f>'帮会科技逐级'!F25</f>
        <v/>
      </c>
      <c r="I610" s="52" t="inlineStr">
        <is>
          <t>帮会科技即时完成</t>
        </is>
      </c>
      <c r="J610" s="57">
        <f>'帮会科技逐级'!G25</f>
        <v/>
      </c>
      <c r="K610" s="35">
        <f>J610/3600</f>
        <v/>
      </c>
      <c r="L610" s="35">
        <f>SUMIFS($K$5:$K$692,$A$5:$A$692,A610,$B$5:$B$692,B610,$F$5:$F$692,"&lt;="&amp;F610)</f>
        <v/>
      </c>
      <c r="M610" s="58">
        <f>'帮会科技逐级'!R25</f>
        <v/>
      </c>
      <c r="N610" s="58">
        <f>SUMIFS($M$5:$M$692,$A$5:$A$692,A610,$B$5:$B$692,B610,$F$5:$F$692,"&lt;="&amp;F610)</f>
        <v/>
      </c>
      <c r="O610" s="58">
        <f>'帮会科技逐级'!S25</f>
        <v/>
      </c>
      <c r="P610" s="58">
        <f>SUMIFS($O$5:$O$692,$A$5:$A$692,A610,$B$5:$B$692,B610,$F$5:$F$692,"&lt;="&amp;F610)</f>
        <v/>
      </c>
      <c r="Q610" s="58">
        <f>'帮会科技逐级'!T25</f>
        <v/>
      </c>
      <c r="R610" s="58">
        <f>SUMIFS($Q$5:$Q$692,$A$5:$A$692,A610,$B$5:$B$692,B610,$F$5:$F$692,"&lt;="&amp;F610)</f>
        <v/>
      </c>
      <c r="S610" s="58">
        <f>'帮会科技逐级'!U25</f>
        <v/>
      </c>
      <c r="T610" s="58">
        <f>SUMIFS($S$5:$S$692,$A$5:$A$692,A610,$B$5:$B$692,B610,$F$5:$F$692,"&lt;="&amp;F610)</f>
        <v/>
      </c>
      <c r="U610" s="52">
        <f>'帮会科技逐级'!V25</f>
        <v/>
      </c>
    </row>
    <row r="611">
      <c r="A611" s="33" t="inlineStr">
        <is>
          <t>帮会科技</t>
        </is>
      </c>
      <c r="B611" s="33">
        <f>'帮会科技逐级'!A26</f>
        <v/>
      </c>
      <c r="C611" s="33">
        <f>'帮会科技逐级'!B26</f>
        <v/>
      </c>
      <c r="D611" s="33">
        <f>'帮会科技逐级'!C26</f>
        <v/>
      </c>
      <c r="E611" t="inlineStr">
        <is>
          <t>—</t>
        </is>
      </c>
      <c r="F611" s="54">
        <f>'帮会科技逐级'!D26</f>
        <v/>
      </c>
      <c r="G611" s="55">
        <f>'帮会科技逐级'!E26</f>
        <v/>
      </c>
      <c r="H611" s="56">
        <f>'帮会科技逐级'!F26</f>
        <v/>
      </c>
      <c r="I611" s="52" t="inlineStr">
        <is>
          <t>帮会科技即时完成</t>
        </is>
      </c>
      <c r="J611" s="57">
        <f>'帮会科技逐级'!G26</f>
        <v/>
      </c>
      <c r="K611" s="35">
        <f>J611/3600</f>
        <v/>
      </c>
      <c r="L611" s="35">
        <f>SUMIFS($K$5:$K$692,$A$5:$A$692,A611,$B$5:$B$692,B611,$F$5:$F$692,"&lt;="&amp;F611)</f>
        <v/>
      </c>
      <c r="M611" s="58">
        <f>'帮会科技逐级'!R26</f>
        <v/>
      </c>
      <c r="N611" s="58">
        <f>SUMIFS($M$5:$M$692,$A$5:$A$692,A611,$B$5:$B$692,B611,$F$5:$F$692,"&lt;="&amp;F611)</f>
        <v/>
      </c>
      <c r="O611" s="58">
        <f>'帮会科技逐级'!S26</f>
        <v/>
      </c>
      <c r="P611" s="58">
        <f>SUMIFS($O$5:$O$692,$A$5:$A$692,A611,$B$5:$B$692,B611,$F$5:$F$692,"&lt;="&amp;F611)</f>
        <v/>
      </c>
      <c r="Q611" s="58">
        <f>'帮会科技逐级'!T26</f>
        <v/>
      </c>
      <c r="R611" s="58">
        <f>SUMIFS($Q$5:$Q$692,$A$5:$A$692,A611,$B$5:$B$692,B611,$F$5:$F$692,"&lt;="&amp;F611)</f>
        <v/>
      </c>
      <c r="S611" s="58">
        <f>'帮会科技逐级'!U26</f>
        <v/>
      </c>
      <c r="T611" s="58">
        <f>SUMIFS($S$5:$S$692,$A$5:$A$692,A611,$B$5:$B$692,B611,$F$5:$F$692,"&lt;="&amp;F611)</f>
        <v/>
      </c>
      <c r="U611" s="52">
        <f>'帮会科技逐级'!V26</f>
        <v/>
      </c>
    </row>
    <row r="612">
      <c r="A612" s="33" t="inlineStr">
        <is>
          <t>帮会科技</t>
        </is>
      </c>
      <c r="B612" s="33">
        <f>'帮会科技逐级'!A27</f>
        <v/>
      </c>
      <c r="C612" s="33">
        <f>'帮会科技逐级'!B27</f>
        <v/>
      </c>
      <c r="D612" s="33">
        <f>'帮会科技逐级'!C27</f>
        <v/>
      </c>
      <c r="E612" t="inlineStr">
        <is>
          <t>—</t>
        </is>
      </c>
      <c r="F612" s="54">
        <f>'帮会科技逐级'!D27</f>
        <v/>
      </c>
      <c r="G612" s="55">
        <f>'帮会科技逐级'!E27</f>
        <v/>
      </c>
      <c r="H612" s="56">
        <f>'帮会科技逐级'!F27</f>
        <v/>
      </c>
      <c r="I612" s="52" t="inlineStr">
        <is>
          <t>帮会科技即时完成</t>
        </is>
      </c>
      <c r="J612" s="57">
        <f>'帮会科技逐级'!G27</f>
        <v/>
      </c>
      <c r="K612" s="35">
        <f>J612/3600</f>
        <v/>
      </c>
      <c r="L612" s="35">
        <f>SUMIFS($K$5:$K$692,$A$5:$A$692,A612,$B$5:$B$692,B612,$F$5:$F$692,"&lt;="&amp;F612)</f>
        <v/>
      </c>
      <c r="M612" s="58">
        <f>'帮会科技逐级'!R27</f>
        <v/>
      </c>
      <c r="N612" s="58">
        <f>SUMIFS($M$5:$M$692,$A$5:$A$692,A612,$B$5:$B$692,B612,$F$5:$F$692,"&lt;="&amp;F612)</f>
        <v/>
      </c>
      <c r="O612" s="58">
        <f>'帮会科技逐级'!S27</f>
        <v/>
      </c>
      <c r="P612" s="58">
        <f>SUMIFS($O$5:$O$692,$A$5:$A$692,A612,$B$5:$B$692,B612,$F$5:$F$692,"&lt;="&amp;F612)</f>
        <v/>
      </c>
      <c r="Q612" s="58">
        <f>'帮会科技逐级'!T27</f>
        <v/>
      </c>
      <c r="R612" s="58">
        <f>SUMIFS($Q$5:$Q$692,$A$5:$A$692,A612,$B$5:$B$692,B612,$F$5:$F$692,"&lt;="&amp;F612)</f>
        <v/>
      </c>
      <c r="S612" s="58">
        <f>'帮会科技逐级'!U27</f>
        <v/>
      </c>
      <c r="T612" s="58">
        <f>SUMIFS($S$5:$S$692,$A$5:$A$692,A612,$B$5:$B$692,B612,$F$5:$F$692,"&lt;="&amp;F612)</f>
        <v/>
      </c>
      <c r="U612" s="52">
        <f>'帮会科技逐级'!V27</f>
        <v/>
      </c>
    </row>
    <row r="613">
      <c r="A613" s="33" t="inlineStr">
        <is>
          <t>帮会科技</t>
        </is>
      </c>
      <c r="B613" s="33">
        <f>'帮会科技逐级'!A28</f>
        <v/>
      </c>
      <c r="C613" s="33">
        <f>'帮会科技逐级'!B28</f>
        <v/>
      </c>
      <c r="D613" s="33">
        <f>'帮会科技逐级'!C28</f>
        <v/>
      </c>
      <c r="E613" t="inlineStr">
        <is>
          <t>—</t>
        </is>
      </c>
      <c r="F613" s="54">
        <f>'帮会科技逐级'!D28</f>
        <v/>
      </c>
      <c r="G613" s="55">
        <f>'帮会科技逐级'!E28</f>
        <v/>
      </c>
      <c r="H613" s="56">
        <f>'帮会科技逐级'!F28</f>
        <v/>
      </c>
      <c r="I613" s="52" t="inlineStr">
        <is>
          <t>帮会科技即时完成</t>
        </is>
      </c>
      <c r="J613" s="57">
        <f>'帮会科技逐级'!G28</f>
        <v/>
      </c>
      <c r="K613" s="35">
        <f>J613/3600</f>
        <v/>
      </c>
      <c r="L613" s="35">
        <f>SUMIFS($K$5:$K$692,$A$5:$A$692,A613,$B$5:$B$692,B613,$F$5:$F$692,"&lt;="&amp;F613)</f>
        <v/>
      </c>
      <c r="M613" s="58">
        <f>'帮会科技逐级'!R28</f>
        <v/>
      </c>
      <c r="N613" s="58">
        <f>SUMIFS($M$5:$M$692,$A$5:$A$692,A613,$B$5:$B$692,B613,$F$5:$F$692,"&lt;="&amp;F613)</f>
        <v/>
      </c>
      <c r="O613" s="58">
        <f>'帮会科技逐级'!S28</f>
        <v/>
      </c>
      <c r="P613" s="58">
        <f>SUMIFS($O$5:$O$692,$A$5:$A$692,A613,$B$5:$B$692,B613,$F$5:$F$692,"&lt;="&amp;F613)</f>
        <v/>
      </c>
      <c r="Q613" s="58">
        <f>'帮会科技逐级'!T28</f>
        <v/>
      </c>
      <c r="R613" s="58">
        <f>SUMIFS($Q$5:$Q$692,$A$5:$A$692,A613,$B$5:$B$692,B613,$F$5:$F$692,"&lt;="&amp;F613)</f>
        <v/>
      </c>
      <c r="S613" s="58">
        <f>'帮会科技逐级'!U28</f>
        <v/>
      </c>
      <c r="T613" s="58">
        <f>SUMIFS($S$5:$S$692,$A$5:$A$692,A613,$B$5:$B$692,B613,$F$5:$F$692,"&lt;="&amp;F613)</f>
        <v/>
      </c>
      <c r="U613" s="52">
        <f>'帮会科技逐级'!V28</f>
        <v/>
      </c>
    </row>
    <row r="614">
      <c r="A614" s="33" t="inlineStr">
        <is>
          <t>帮会科技</t>
        </is>
      </c>
      <c r="B614" s="33">
        <f>'帮会科技逐级'!A29</f>
        <v/>
      </c>
      <c r="C614" s="33">
        <f>'帮会科技逐级'!B29</f>
        <v/>
      </c>
      <c r="D614" s="33">
        <f>'帮会科技逐级'!C29</f>
        <v/>
      </c>
      <c r="E614" t="inlineStr">
        <is>
          <t>—</t>
        </is>
      </c>
      <c r="F614" s="54">
        <f>'帮会科技逐级'!D29</f>
        <v/>
      </c>
      <c r="G614" s="55">
        <f>'帮会科技逐级'!E29</f>
        <v/>
      </c>
      <c r="H614" s="56">
        <f>'帮会科技逐级'!F29</f>
        <v/>
      </c>
      <c r="I614" s="52" t="inlineStr">
        <is>
          <t>帮会科技即时完成</t>
        </is>
      </c>
      <c r="J614" s="57">
        <f>'帮会科技逐级'!G29</f>
        <v/>
      </c>
      <c r="K614" s="35">
        <f>J614/3600</f>
        <v/>
      </c>
      <c r="L614" s="35">
        <f>SUMIFS($K$5:$K$692,$A$5:$A$692,A614,$B$5:$B$692,B614,$F$5:$F$692,"&lt;="&amp;F614)</f>
        <v/>
      </c>
      <c r="M614" s="58">
        <f>'帮会科技逐级'!R29</f>
        <v/>
      </c>
      <c r="N614" s="58">
        <f>SUMIFS($M$5:$M$692,$A$5:$A$692,A614,$B$5:$B$692,B614,$F$5:$F$692,"&lt;="&amp;F614)</f>
        <v/>
      </c>
      <c r="O614" s="58">
        <f>'帮会科技逐级'!S29</f>
        <v/>
      </c>
      <c r="P614" s="58">
        <f>SUMIFS($O$5:$O$692,$A$5:$A$692,A614,$B$5:$B$692,B614,$F$5:$F$692,"&lt;="&amp;F614)</f>
        <v/>
      </c>
      <c r="Q614" s="58">
        <f>'帮会科技逐级'!T29</f>
        <v/>
      </c>
      <c r="R614" s="58">
        <f>SUMIFS($Q$5:$Q$692,$A$5:$A$692,A614,$B$5:$B$692,B614,$F$5:$F$692,"&lt;="&amp;F614)</f>
        <v/>
      </c>
      <c r="S614" s="58">
        <f>'帮会科技逐级'!U29</f>
        <v/>
      </c>
      <c r="T614" s="58">
        <f>SUMIFS($S$5:$S$692,$A$5:$A$692,A614,$B$5:$B$692,B614,$F$5:$F$692,"&lt;="&amp;F614)</f>
        <v/>
      </c>
      <c r="U614" s="52">
        <f>'帮会科技逐级'!V29</f>
        <v/>
      </c>
    </row>
    <row r="615">
      <c r="A615" s="33" t="inlineStr">
        <is>
          <t>帮会科技</t>
        </is>
      </c>
      <c r="B615" s="33">
        <f>'帮会科技逐级'!A30</f>
        <v/>
      </c>
      <c r="C615" s="33">
        <f>'帮会科技逐级'!B30</f>
        <v/>
      </c>
      <c r="D615" s="33">
        <f>'帮会科技逐级'!C30</f>
        <v/>
      </c>
      <c r="E615" t="inlineStr">
        <is>
          <t>—</t>
        </is>
      </c>
      <c r="F615" s="54">
        <f>'帮会科技逐级'!D30</f>
        <v/>
      </c>
      <c r="G615" s="55">
        <f>'帮会科技逐级'!E30</f>
        <v/>
      </c>
      <c r="H615" s="56">
        <f>'帮会科技逐级'!F30</f>
        <v/>
      </c>
      <c r="I615" s="52" t="inlineStr">
        <is>
          <t>帮会科技即时完成</t>
        </is>
      </c>
      <c r="J615" s="57">
        <f>'帮会科技逐级'!G30</f>
        <v/>
      </c>
      <c r="K615" s="35">
        <f>J615/3600</f>
        <v/>
      </c>
      <c r="L615" s="35">
        <f>SUMIFS($K$5:$K$692,$A$5:$A$692,A615,$B$5:$B$692,B615,$F$5:$F$692,"&lt;="&amp;F615)</f>
        <v/>
      </c>
      <c r="M615" s="58">
        <f>'帮会科技逐级'!R30</f>
        <v/>
      </c>
      <c r="N615" s="58">
        <f>SUMIFS($M$5:$M$692,$A$5:$A$692,A615,$B$5:$B$692,B615,$F$5:$F$692,"&lt;="&amp;F615)</f>
        <v/>
      </c>
      <c r="O615" s="58">
        <f>'帮会科技逐级'!S30</f>
        <v/>
      </c>
      <c r="P615" s="58">
        <f>SUMIFS($O$5:$O$692,$A$5:$A$692,A615,$B$5:$B$692,B615,$F$5:$F$692,"&lt;="&amp;F615)</f>
        <v/>
      </c>
      <c r="Q615" s="58">
        <f>'帮会科技逐级'!T30</f>
        <v/>
      </c>
      <c r="R615" s="58">
        <f>SUMIFS($Q$5:$Q$692,$A$5:$A$692,A615,$B$5:$B$692,B615,$F$5:$F$692,"&lt;="&amp;F615)</f>
        <v/>
      </c>
      <c r="S615" s="58">
        <f>'帮会科技逐级'!U30</f>
        <v/>
      </c>
      <c r="T615" s="58">
        <f>SUMIFS($S$5:$S$692,$A$5:$A$692,A615,$B$5:$B$692,B615,$F$5:$F$692,"&lt;="&amp;F615)</f>
        <v/>
      </c>
      <c r="U615" s="52">
        <f>'帮会科技逐级'!V30</f>
        <v/>
      </c>
    </row>
    <row r="616">
      <c r="A616" s="33" t="inlineStr">
        <is>
          <t>帮会科技</t>
        </is>
      </c>
      <c r="B616" s="33">
        <f>'帮会科技逐级'!A31</f>
        <v/>
      </c>
      <c r="C616" s="33">
        <f>'帮会科技逐级'!B31</f>
        <v/>
      </c>
      <c r="D616" s="33">
        <f>'帮会科技逐级'!C31</f>
        <v/>
      </c>
      <c r="E616" t="inlineStr">
        <is>
          <t>—</t>
        </is>
      </c>
      <c r="F616" s="54">
        <f>'帮会科技逐级'!D31</f>
        <v/>
      </c>
      <c r="G616" s="55">
        <f>'帮会科技逐级'!E31</f>
        <v/>
      </c>
      <c r="H616" s="56">
        <f>'帮会科技逐级'!F31</f>
        <v/>
      </c>
      <c r="I616" s="52" t="inlineStr">
        <is>
          <t>帮会科技即时完成</t>
        </is>
      </c>
      <c r="J616" s="57">
        <f>'帮会科技逐级'!G31</f>
        <v/>
      </c>
      <c r="K616" s="35">
        <f>J616/3600</f>
        <v/>
      </c>
      <c r="L616" s="35">
        <f>SUMIFS($K$5:$K$692,$A$5:$A$692,A616,$B$5:$B$692,B616,$F$5:$F$692,"&lt;="&amp;F616)</f>
        <v/>
      </c>
      <c r="M616" s="58">
        <f>'帮会科技逐级'!R31</f>
        <v/>
      </c>
      <c r="N616" s="58">
        <f>SUMIFS($M$5:$M$692,$A$5:$A$692,A616,$B$5:$B$692,B616,$F$5:$F$692,"&lt;="&amp;F616)</f>
        <v/>
      </c>
      <c r="O616" s="58">
        <f>'帮会科技逐级'!S31</f>
        <v/>
      </c>
      <c r="P616" s="58">
        <f>SUMIFS($O$5:$O$692,$A$5:$A$692,A616,$B$5:$B$692,B616,$F$5:$F$692,"&lt;="&amp;F616)</f>
        <v/>
      </c>
      <c r="Q616" s="58">
        <f>'帮会科技逐级'!T31</f>
        <v/>
      </c>
      <c r="R616" s="58">
        <f>SUMIFS($Q$5:$Q$692,$A$5:$A$692,A616,$B$5:$B$692,B616,$F$5:$F$692,"&lt;="&amp;F616)</f>
        <v/>
      </c>
      <c r="S616" s="58">
        <f>'帮会科技逐级'!U31</f>
        <v/>
      </c>
      <c r="T616" s="58">
        <f>SUMIFS($S$5:$S$692,$A$5:$A$692,A616,$B$5:$B$692,B616,$F$5:$F$692,"&lt;="&amp;F616)</f>
        <v/>
      </c>
      <c r="U616" s="52">
        <f>'帮会科技逐级'!V31</f>
        <v/>
      </c>
    </row>
    <row r="617">
      <c r="A617" s="33" t="inlineStr">
        <is>
          <t>帮会科技</t>
        </is>
      </c>
      <c r="B617" s="33">
        <f>'帮会科技逐级'!A32</f>
        <v/>
      </c>
      <c r="C617" s="33">
        <f>'帮会科技逐级'!B32</f>
        <v/>
      </c>
      <c r="D617" s="33">
        <f>'帮会科技逐级'!C32</f>
        <v/>
      </c>
      <c r="E617" t="inlineStr">
        <is>
          <t>—</t>
        </is>
      </c>
      <c r="F617" s="54">
        <f>'帮会科技逐级'!D32</f>
        <v/>
      </c>
      <c r="G617" s="55">
        <f>'帮会科技逐级'!E32</f>
        <v/>
      </c>
      <c r="H617" s="56">
        <f>'帮会科技逐级'!F32</f>
        <v/>
      </c>
      <c r="I617" s="52" t="inlineStr">
        <is>
          <t>帮会科技即时完成</t>
        </is>
      </c>
      <c r="J617" s="57">
        <f>'帮会科技逐级'!G32</f>
        <v/>
      </c>
      <c r="K617" s="35">
        <f>J617/3600</f>
        <v/>
      </c>
      <c r="L617" s="35">
        <f>SUMIFS($K$5:$K$692,$A$5:$A$692,A617,$B$5:$B$692,B617,$F$5:$F$692,"&lt;="&amp;F617)</f>
        <v/>
      </c>
      <c r="M617" s="58">
        <f>'帮会科技逐级'!R32</f>
        <v/>
      </c>
      <c r="N617" s="58">
        <f>SUMIFS($M$5:$M$692,$A$5:$A$692,A617,$B$5:$B$692,B617,$F$5:$F$692,"&lt;="&amp;F617)</f>
        <v/>
      </c>
      <c r="O617" s="58">
        <f>'帮会科技逐级'!S32</f>
        <v/>
      </c>
      <c r="P617" s="58">
        <f>SUMIFS($O$5:$O$692,$A$5:$A$692,A617,$B$5:$B$692,B617,$F$5:$F$692,"&lt;="&amp;F617)</f>
        <v/>
      </c>
      <c r="Q617" s="58">
        <f>'帮会科技逐级'!T32</f>
        <v/>
      </c>
      <c r="R617" s="58">
        <f>SUMIFS($Q$5:$Q$692,$A$5:$A$692,A617,$B$5:$B$692,B617,$F$5:$F$692,"&lt;="&amp;F617)</f>
        <v/>
      </c>
      <c r="S617" s="58">
        <f>'帮会科技逐级'!U32</f>
        <v/>
      </c>
      <c r="T617" s="58">
        <f>SUMIFS($S$5:$S$692,$A$5:$A$692,A617,$B$5:$B$692,B617,$F$5:$F$692,"&lt;="&amp;F617)</f>
        <v/>
      </c>
      <c r="U617" s="52">
        <f>'帮会科技逐级'!V32</f>
        <v/>
      </c>
    </row>
    <row r="618">
      <c r="A618" s="33" t="inlineStr">
        <is>
          <t>帮会科技</t>
        </is>
      </c>
      <c r="B618" s="33">
        <f>'帮会科技逐级'!A33</f>
        <v/>
      </c>
      <c r="C618" s="33">
        <f>'帮会科技逐级'!B33</f>
        <v/>
      </c>
      <c r="D618" s="33">
        <f>'帮会科技逐级'!C33</f>
        <v/>
      </c>
      <c r="E618" t="inlineStr">
        <is>
          <t>—</t>
        </is>
      </c>
      <c r="F618" s="54">
        <f>'帮会科技逐级'!D33</f>
        <v/>
      </c>
      <c r="G618" s="55">
        <f>'帮会科技逐级'!E33</f>
        <v/>
      </c>
      <c r="H618" s="56">
        <f>'帮会科技逐级'!F33</f>
        <v/>
      </c>
      <c r="I618" s="52" t="inlineStr">
        <is>
          <t>帮会科技即时完成</t>
        </is>
      </c>
      <c r="J618" s="57">
        <f>'帮会科技逐级'!G33</f>
        <v/>
      </c>
      <c r="K618" s="35">
        <f>J618/3600</f>
        <v/>
      </c>
      <c r="L618" s="35">
        <f>SUMIFS($K$5:$K$692,$A$5:$A$692,A618,$B$5:$B$692,B618,$F$5:$F$692,"&lt;="&amp;F618)</f>
        <v/>
      </c>
      <c r="M618" s="58">
        <f>'帮会科技逐级'!R33</f>
        <v/>
      </c>
      <c r="N618" s="58">
        <f>SUMIFS($M$5:$M$692,$A$5:$A$692,A618,$B$5:$B$692,B618,$F$5:$F$692,"&lt;="&amp;F618)</f>
        <v/>
      </c>
      <c r="O618" s="58">
        <f>'帮会科技逐级'!S33</f>
        <v/>
      </c>
      <c r="P618" s="58">
        <f>SUMIFS($O$5:$O$692,$A$5:$A$692,A618,$B$5:$B$692,B618,$F$5:$F$692,"&lt;="&amp;F618)</f>
        <v/>
      </c>
      <c r="Q618" s="58">
        <f>'帮会科技逐级'!T33</f>
        <v/>
      </c>
      <c r="R618" s="58">
        <f>SUMIFS($Q$5:$Q$692,$A$5:$A$692,A618,$B$5:$B$692,B618,$F$5:$F$692,"&lt;="&amp;F618)</f>
        <v/>
      </c>
      <c r="S618" s="58">
        <f>'帮会科技逐级'!U33</f>
        <v/>
      </c>
      <c r="T618" s="58">
        <f>SUMIFS($S$5:$S$692,$A$5:$A$692,A618,$B$5:$B$692,B618,$F$5:$F$692,"&lt;="&amp;F618)</f>
        <v/>
      </c>
      <c r="U618" s="52">
        <f>'帮会科技逐级'!V33</f>
        <v/>
      </c>
    </row>
    <row r="619">
      <c r="A619" s="33" t="inlineStr">
        <is>
          <t>帮会科技</t>
        </is>
      </c>
      <c r="B619" s="33">
        <f>'帮会科技逐级'!A34</f>
        <v/>
      </c>
      <c r="C619" s="33">
        <f>'帮会科技逐级'!B34</f>
        <v/>
      </c>
      <c r="D619" s="33">
        <f>'帮会科技逐级'!C34</f>
        <v/>
      </c>
      <c r="E619" t="inlineStr">
        <is>
          <t>—</t>
        </is>
      </c>
      <c r="F619" s="54">
        <f>'帮会科技逐级'!D34</f>
        <v/>
      </c>
      <c r="G619" s="55">
        <f>'帮会科技逐级'!E34</f>
        <v/>
      </c>
      <c r="H619" s="56">
        <f>'帮会科技逐级'!F34</f>
        <v/>
      </c>
      <c r="I619" s="52" t="inlineStr">
        <is>
          <t>帮会科技即时完成</t>
        </is>
      </c>
      <c r="J619" s="57">
        <f>'帮会科技逐级'!G34</f>
        <v/>
      </c>
      <c r="K619" s="35">
        <f>J619/3600</f>
        <v/>
      </c>
      <c r="L619" s="35">
        <f>SUMIFS($K$5:$K$692,$A$5:$A$692,A619,$B$5:$B$692,B619,$F$5:$F$692,"&lt;="&amp;F619)</f>
        <v/>
      </c>
      <c r="M619" s="58">
        <f>'帮会科技逐级'!R34</f>
        <v/>
      </c>
      <c r="N619" s="58">
        <f>SUMIFS($M$5:$M$692,$A$5:$A$692,A619,$B$5:$B$692,B619,$F$5:$F$692,"&lt;="&amp;F619)</f>
        <v/>
      </c>
      <c r="O619" s="58">
        <f>'帮会科技逐级'!S34</f>
        <v/>
      </c>
      <c r="P619" s="58">
        <f>SUMIFS($O$5:$O$692,$A$5:$A$692,A619,$B$5:$B$692,B619,$F$5:$F$692,"&lt;="&amp;F619)</f>
        <v/>
      </c>
      <c r="Q619" s="58">
        <f>'帮会科技逐级'!T34</f>
        <v/>
      </c>
      <c r="R619" s="58">
        <f>SUMIFS($Q$5:$Q$692,$A$5:$A$692,A619,$B$5:$B$692,B619,$F$5:$F$692,"&lt;="&amp;F619)</f>
        <v/>
      </c>
      <c r="S619" s="58">
        <f>'帮会科技逐级'!U34</f>
        <v/>
      </c>
      <c r="T619" s="58">
        <f>SUMIFS($S$5:$S$692,$A$5:$A$692,A619,$B$5:$B$692,B619,$F$5:$F$692,"&lt;="&amp;F619)</f>
        <v/>
      </c>
      <c r="U619" s="52">
        <f>'帮会科技逐级'!V34</f>
        <v/>
      </c>
    </row>
    <row r="620">
      <c r="A620" s="33" t="inlineStr">
        <is>
          <t>帮会科技</t>
        </is>
      </c>
      <c r="B620" s="33">
        <f>'帮会科技逐级'!A35</f>
        <v/>
      </c>
      <c r="C620" s="33">
        <f>'帮会科技逐级'!B35</f>
        <v/>
      </c>
      <c r="D620" s="33">
        <f>'帮会科技逐级'!C35</f>
        <v/>
      </c>
      <c r="E620" t="inlineStr">
        <is>
          <t>—</t>
        </is>
      </c>
      <c r="F620" s="54">
        <f>'帮会科技逐级'!D35</f>
        <v/>
      </c>
      <c r="G620" s="55">
        <f>'帮会科技逐级'!E35</f>
        <v/>
      </c>
      <c r="H620" s="56">
        <f>'帮会科技逐级'!F35</f>
        <v/>
      </c>
      <c r="I620" s="52" t="inlineStr">
        <is>
          <t>帮会科技即时完成</t>
        </is>
      </c>
      <c r="J620" s="57">
        <f>'帮会科技逐级'!G35</f>
        <v/>
      </c>
      <c r="K620" s="35">
        <f>J620/3600</f>
        <v/>
      </c>
      <c r="L620" s="35">
        <f>SUMIFS($K$5:$K$692,$A$5:$A$692,A620,$B$5:$B$692,B620,$F$5:$F$692,"&lt;="&amp;F620)</f>
        <v/>
      </c>
      <c r="M620" s="58">
        <f>'帮会科技逐级'!R35</f>
        <v/>
      </c>
      <c r="N620" s="58">
        <f>SUMIFS($M$5:$M$692,$A$5:$A$692,A620,$B$5:$B$692,B620,$F$5:$F$692,"&lt;="&amp;F620)</f>
        <v/>
      </c>
      <c r="O620" s="58">
        <f>'帮会科技逐级'!S35</f>
        <v/>
      </c>
      <c r="P620" s="58">
        <f>SUMIFS($O$5:$O$692,$A$5:$A$692,A620,$B$5:$B$692,B620,$F$5:$F$692,"&lt;="&amp;F620)</f>
        <v/>
      </c>
      <c r="Q620" s="58">
        <f>'帮会科技逐级'!T35</f>
        <v/>
      </c>
      <c r="R620" s="58">
        <f>SUMIFS($Q$5:$Q$692,$A$5:$A$692,A620,$B$5:$B$692,B620,$F$5:$F$692,"&lt;="&amp;F620)</f>
        <v/>
      </c>
      <c r="S620" s="58">
        <f>'帮会科技逐级'!U35</f>
        <v/>
      </c>
      <c r="T620" s="58">
        <f>SUMIFS($S$5:$S$692,$A$5:$A$692,A620,$B$5:$B$692,B620,$F$5:$F$692,"&lt;="&amp;F620)</f>
        <v/>
      </c>
      <c r="U620" s="52">
        <f>'帮会科技逐级'!V35</f>
        <v/>
      </c>
    </row>
    <row r="621">
      <c r="A621" s="33" t="inlineStr">
        <is>
          <t>帮会科技</t>
        </is>
      </c>
      <c r="B621" s="33">
        <f>'帮会科技逐级'!A36</f>
        <v/>
      </c>
      <c r="C621" s="33">
        <f>'帮会科技逐级'!B36</f>
        <v/>
      </c>
      <c r="D621" s="33">
        <f>'帮会科技逐级'!C36</f>
        <v/>
      </c>
      <c r="E621" t="inlineStr">
        <is>
          <t>—</t>
        </is>
      </c>
      <c r="F621" s="54">
        <f>'帮会科技逐级'!D36</f>
        <v/>
      </c>
      <c r="G621" s="55">
        <f>'帮会科技逐级'!E36</f>
        <v/>
      </c>
      <c r="H621" s="56">
        <f>'帮会科技逐级'!F36</f>
        <v/>
      </c>
      <c r="I621" s="52" t="inlineStr">
        <is>
          <t>帮会科技即时完成</t>
        </is>
      </c>
      <c r="J621" s="57">
        <f>'帮会科技逐级'!G36</f>
        <v/>
      </c>
      <c r="K621" s="35">
        <f>J621/3600</f>
        <v/>
      </c>
      <c r="L621" s="35">
        <f>SUMIFS($K$5:$K$692,$A$5:$A$692,A621,$B$5:$B$692,B621,$F$5:$F$692,"&lt;="&amp;F621)</f>
        <v/>
      </c>
      <c r="M621" s="58">
        <f>'帮会科技逐级'!R36</f>
        <v/>
      </c>
      <c r="N621" s="58">
        <f>SUMIFS($M$5:$M$692,$A$5:$A$692,A621,$B$5:$B$692,B621,$F$5:$F$692,"&lt;="&amp;F621)</f>
        <v/>
      </c>
      <c r="O621" s="58">
        <f>'帮会科技逐级'!S36</f>
        <v/>
      </c>
      <c r="P621" s="58">
        <f>SUMIFS($O$5:$O$692,$A$5:$A$692,A621,$B$5:$B$692,B621,$F$5:$F$692,"&lt;="&amp;F621)</f>
        <v/>
      </c>
      <c r="Q621" s="58">
        <f>'帮会科技逐级'!T36</f>
        <v/>
      </c>
      <c r="R621" s="58">
        <f>SUMIFS($Q$5:$Q$692,$A$5:$A$692,A621,$B$5:$B$692,B621,$F$5:$F$692,"&lt;="&amp;F621)</f>
        <v/>
      </c>
      <c r="S621" s="58">
        <f>'帮会科技逐级'!U36</f>
        <v/>
      </c>
      <c r="T621" s="58">
        <f>SUMIFS($S$5:$S$692,$A$5:$A$692,A621,$B$5:$B$692,B621,$F$5:$F$692,"&lt;="&amp;F621)</f>
        <v/>
      </c>
      <c r="U621" s="52">
        <f>'帮会科技逐级'!V36</f>
        <v/>
      </c>
    </row>
    <row r="622">
      <c r="A622" s="33" t="inlineStr">
        <is>
          <t>帮会科技</t>
        </is>
      </c>
      <c r="B622" s="33">
        <f>'帮会科技逐级'!A37</f>
        <v/>
      </c>
      <c r="C622" s="33">
        <f>'帮会科技逐级'!B37</f>
        <v/>
      </c>
      <c r="D622" s="33">
        <f>'帮会科技逐级'!C37</f>
        <v/>
      </c>
      <c r="E622" t="inlineStr">
        <is>
          <t>—</t>
        </is>
      </c>
      <c r="F622" s="54">
        <f>'帮会科技逐级'!D37</f>
        <v/>
      </c>
      <c r="G622" s="55">
        <f>'帮会科技逐级'!E37</f>
        <v/>
      </c>
      <c r="H622" s="56">
        <f>'帮会科技逐级'!F37</f>
        <v/>
      </c>
      <c r="I622" s="52" t="inlineStr">
        <is>
          <t>帮会科技即时完成</t>
        </is>
      </c>
      <c r="J622" s="57">
        <f>'帮会科技逐级'!G37</f>
        <v/>
      </c>
      <c r="K622" s="35">
        <f>J622/3600</f>
        <v/>
      </c>
      <c r="L622" s="35">
        <f>SUMIFS($K$5:$K$692,$A$5:$A$692,A622,$B$5:$B$692,B622,$F$5:$F$692,"&lt;="&amp;F622)</f>
        <v/>
      </c>
      <c r="M622" s="58">
        <f>'帮会科技逐级'!R37</f>
        <v/>
      </c>
      <c r="N622" s="58">
        <f>SUMIFS($M$5:$M$692,$A$5:$A$692,A622,$B$5:$B$692,B622,$F$5:$F$692,"&lt;="&amp;F622)</f>
        <v/>
      </c>
      <c r="O622" s="58">
        <f>'帮会科技逐级'!S37</f>
        <v/>
      </c>
      <c r="P622" s="58">
        <f>SUMIFS($O$5:$O$692,$A$5:$A$692,A622,$B$5:$B$692,B622,$F$5:$F$692,"&lt;="&amp;F622)</f>
        <v/>
      </c>
      <c r="Q622" s="58">
        <f>'帮会科技逐级'!T37</f>
        <v/>
      </c>
      <c r="R622" s="58">
        <f>SUMIFS($Q$5:$Q$692,$A$5:$A$692,A622,$B$5:$B$692,B622,$F$5:$F$692,"&lt;="&amp;F622)</f>
        <v/>
      </c>
      <c r="S622" s="58">
        <f>'帮会科技逐级'!U37</f>
        <v/>
      </c>
      <c r="T622" s="58">
        <f>SUMIFS($S$5:$S$692,$A$5:$A$692,A622,$B$5:$B$692,B622,$F$5:$F$692,"&lt;="&amp;F622)</f>
        <v/>
      </c>
      <c r="U622" s="52">
        <f>'帮会科技逐级'!V37</f>
        <v/>
      </c>
    </row>
    <row r="623">
      <c r="A623" s="33" t="inlineStr">
        <is>
          <t>帮会科技</t>
        </is>
      </c>
      <c r="B623" s="33">
        <f>'帮会科技逐级'!A38</f>
        <v/>
      </c>
      <c r="C623" s="33">
        <f>'帮会科技逐级'!B38</f>
        <v/>
      </c>
      <c r="D623" s="33">
        <f>'帮会科技逐级'!C38</f>
        <v/>
      </c>
      <c r="E623" t="inlineStr">
        <is>
          <t>—</t>
        </is>
      </c>
      <c r="F623" s="54">
        <f>'帮会科技逐级'!D38</f>
        <v/>
      </c>
      <c r="G623" s="55">
        <f>'帮会科技逐级'!E38</f>
        <v/>
      </c>
      <c r="H623" s="56">
        <f>'帮会科技逐级'!F38</f>
        <v/>
      </c>
      <c r="I623" s="52" t="inlineStr">
        <is>
          <t>帮会科技即时完成</t>
        </is>
      </c>
      <c r="J623" s="57">
        <f>'帮会科技逐级'!G38</f>
        <v/>
      </c>
      <c r="K623" s="35">
        <f>J623/3600</f>
        <v/>
      </c>
      <c r="L623" s="35">
        <f>SUMIFS($K$5:$K$692,$A$5:$A$692,A623,$B$5:$B$692,B623,$F$5:$F$692,"&lt;="&amp;F623)</f>
        <v/>
      </c>
      <c r="M623" s="58">
        <f>'帮会科技逐级'!R38</f>
        <v/>
      </c>
      <c r="N623" s="58">
        <f>SUMIFS($M$5:$M$692,$A$5:$A$692,A623,$B$5:$B$692,B623,$F$5:$F$692,"&lt;="&amp;F623)</f>
        <v/>
      </c>
      <c r="O623" s="58">
        <f>'帮会科技逐级'!S38</f>
        <v/>
      </c>
      <c r="P623" s="58">
        <f>SUMIFS($O$5:$O$692,$A$5:$A$692,A623,$B$5:$B$692,B623,$F$5:$F$692,"&lt;="&amp;F623)</f>
        <v/>
      </c>
      <c r="Q623" s="58">
        <f>'帮会科技逐级'!T38</f>
        <v/>
      </c>
      <c r="R623" s="58">
        <f>SUMIFS($Q$5:$Q$692,$A$5:$A$692,A623,$B$5:$B$692,B623,$F$5:$F$692,"&lt;="&amp;F623)</f>
        <v/>
      </c>
      <c r="S623" s="58">
        <f>'帮会科技逐级'!U38</f>
        <v/>
      </c>
      <c r="T623" s="58">
        <f>SUMIFS($S$5:$S$692,$A$5:$A$692,A623,$B$5:$B$692,B623,$F$5:$F$692,"&lt;="&amp;F623)</f>
        <v/>
      </c>
      <c r="U623" s="52">
        <f>'帮会科技逐级'!V38</f>
        <v/>
      </c>
    </row>
    <row r="624">
      <c r="A624" s="33" t="inlineStr">
        <is>
          <t>帮会科技</t>
        </is>
      </c>
      <c r="B624" s="33">
        <f>'帮会科技逐级'!A39</f>
        <v/>
      </c>
      <c r="C624" s="33">
        <f>'帮会科技逐级'!B39</f>
        <v/>
      </c>
      <c r="D624" s="33">
        <f>'帮会科技逐级'!C39</f>
        <v/>
      </c>
      <c r="E624" t="inlineStr">
        <is>
          <t>—</t>
        </is>
      </c>
      <c r="F624" s="54">
        <f>'帮会科技逐级'!D39</f>
        <v/>
      </c>
      <c r="G624" s="55">
        <f>'帮会科技逐级'!E39</f>
        <v/>
      </c>
      <c r="H624" s="56">
        <f>'帮会科技逐级'!F39</f>
        <v/>
      </c>
      <c r="I624" s="52" t="inlineStr">
        <is>
          <t>帮会科技即时完成</t>
        </is>
      </c>
      <c r="J624" s="57">
        <f>'帮会科技逐级'!G39</f>
        <v/>
      </c>
      <c r="K624" s="35">
        <f>J624/3600</f>
        <v/>
      </c>
      <c r="L624" s="35">
        <f>SUMIFS($K$5:$K$692,$A$5:$A$692,A624,$B$5:$B$692,B624,$F$5:$F$692,"&lt;="&amp;F624)</f>
        <v/>
      </c>
      <c r="M624" s="58">
        <f>'帮会科技逐级'!R39</f>
        <v/>
      </c>
      <c r="N624" s="58">
        <f>SUMIFS($M$5:$M$692,$A$5:$A$692,A624,$B$5:$B$692,B624,$F$5:$F$692,"&lt;="&amp;F624)</f>
        <v/>
      </c>
      <c r="O624" s="58">
        <f>'帮会科技逐级'!S39</f>
        <v/>
      </c>
      <c r="P624" s="58">
        <f>SUMIFS($O$5:$O$692,$A$5:$A$692,A624,$B$5:$B$692,B624,$F$5:$F$692,"&lt;="&amp;F624)</f>
        <v/>
      </c>
      <c r="Q624" s="58">
        <f>'帮会科技逐级'!T39</f>
        <v/>
      </c>
      <c r="R624" s="58">
        <f>SUMIFS($Q$5:$Q$692,$A$5:$A$692,A624,$B$5:$B$692,B624,$F$5:$F$692,"&lt;="&amp;F624)</f>
        <v/>
      </c>
      <c r="S624" s="58">
        <f>'帮会科技逐级'!U39</f>
        <v/>
      </c>
      <c r="T624" s="58">
        <f>SUMIFS($S$5:$S$692,$A$5:$A$692,A624,$B$5:$B$692,B624,$F$5:$F$692,"&lt;="&amp;F624)</f>
        <v/>
      </c>
      <c r="U624" s="52">
        <f>'帮会科技逐级'!V39</f>
        <v/>
      </c>
    </row>
    <row r="625">
      <c r="A625" s="33" t="inlineStr">
        <is>
          <t>帮会科技</t>
        </is>
      </c>
      <c r="B625" s="33">
        <f>'帮会科技逐级'!A40</f>
        <v/>
      </c>
      <c r="C625" s="33">
        <f>'帮会科技逐级'!B40</f>
        <v/>
      </c>
      <c r="D625" s="33">
        <f>'帮会科技逐级'!C40</f>
        <v/>
      </c>
      <c r="E625" t="inlineStr">
        <is>
          <t>—</t>
        </is>
      </c>
      <c r="F625" s="54">
        <f>'帮会科技逐级'!D40</f>
        <v/>
      </c>
      <c r="G625" s="55">
        <f>'帮会科技逐级'!E40</f>
        <v/>
      </c>
      <c r="H625" s="56">
        <f>'帮会科技逐级'!F40</f>
        <v/>
      </c>
      <c r="I625" s="52" t="inlineStr">
        <is>
          <t>帮会科技即时完成</t>
        </is>
      </c>
      <c r="J625" s="57">
        <f>'帮会科技逐级'!G40</f>
        <v/>
      </c>
      <c r="K625" s="35">
        <f>J625/3600</f>
        <v/>
      </c>
      <c r="L625" s="35">
        <f>SUMIFS($K$5:$K$692,$A$5:$A$692,A625,$B$5:$B$692,B625,$F$5:$F$692,"&lt;="&amp;F625)</f>
        <v/>
      </c>
      <c r="M625" s="58">
        <f>'帮会科技逐级'!R40</f>
        <v/>
      </c>
      <c r="N625" s="58">
        <f>SUMIFS($M$5:$M$692,$A$5:$A$692,A625,$B$5:$B$692,B625,$F$5:$F$692,"&lt;="&amp;F625)</f>
        <v/>
      </c>
      <c r="O625" s="58">
        <f>'帮会科技逐级'!S40</f>
        <v/>
      </c>
      <c r="P625" s="58">
        <f>SUMIFS($O$5:$O$692,$A$5:$A$692,A625,$B$5:$B$692,B625,$F$5:$F$692,"&lt;="&amp;F625)</f>
        <v/>
      </c>
      <c r="Q625" s="58">
        <f>'帮会科技逐级'!T40</f>
        <v/>
      </c>
      <c r="R625" s="58">
        <f>SUMIFS($Q$5:$Q$692,$A$5:$A$692,A625,$B$5:$B$692,B625,$F$5:$F$692,"&lt;="&amp;F625)</f>
        <v/>
      </c>
      <c r="S625" s="58">
        <f>'帮会科技逐级'!U40</f>
        <v/>
      </c>
      <c r="T625" s="58">
        <f>SUMIFS($S$5:$S$692,$A$5:$A$692,A625,$B$5:$B$692,B625,$F$5:$F$692,"&lt;="&amp;F625)</f>
        <v/>
      </c>
      <c r="U625" s="52">
        <f>'帮会科技逐级'!V40</f>
        <v/>
      </c>
    </row>
    <row r="626">
      <c r="A626" s="33" t="inlineStr">
        <is>
          <t>帮会科技</t>
        </is>
      </c>
      <c r="B626" s="33">
        <f>'帮会科技逐级'!A41</f>
        <v/>
      </c>
      <c r="C626" s="33">
        <f>'帮会科技逐级'!B41</f>
        <v/>
      </c>
      <c r="D626" s="33">
        <f>'帮会科技逐级'!C41</f>
        <v/>
      </c>
      <c r="E626" t="inlineStr">
        <is>
          <t>—</t>
        </is>
      </c>
      <c r="F626" s="54">
        <f>'帮会科技逐级'!D41</f>
        <v/>
      </c>
      <c r="G626" s="55">
        <f>'帮会科技逐级'!E41</f>
        <v/>
      </c>
      <c r="H626" s="56">
        <f>'帮会科技逐级'!F41</f>
        <v/>
      </c>
      <c r="I626" s="52" t="inlineStr">
        <is>
          <t>帮会科技即时完成</t>
        </is>
      </c>
      <c r="J626" s="57">
        <f>'帮会科技逐级'!G41</f>
        <v/>
      </c>
      <c r="K626" s="35">
        <f>J626/3600</f>
        <v/>
      </c>
      <c r="L626" s="35">
        <f>SUMIFS($K$5:$K$692,$A$5:$A$692,A626,$B$5:$B$692,B626,$F$5:$F$692,"&lt;="&amp;F626)</f>
        <v/>
      </c>
      <c r="M626" s="58">
        <f>'帮会科技逐级'!R41</f>
        <v/>
      </c>
      <c r="N626" s="58">
        <f>SUMIFS($M$5:$M$692,$A$5:$A$692,A626,$B$5:$B$692,B626,$F$5:$F$692,"&lt;="&amp;F626)</f>
        <v/>
      </c>
      <c r="O626" s="58">
        <f>'帮会科技逐级'!S41</f>
        <v/>
      </c>
      <c r="P626" s="58">
        <f>SUMIFS($O$5:$O$692,$A$5:$A$692,A626,$B$5:$B$692,B626,$F$5:$F$692,"&lt;="&amp;F626)</f>
        <v/>
      </c>
      <c r="Q626" s="58">
        <f>'帮会科技逐级'!T41</f>
        <v/>
      </c>
      <c r="R626" s="58">
        <f>SUMIFS($Q$5:$Q$692,$A$5:$A$692,A626,$B$5:$B$692,B626,$F$5:$F$692,"&lt;="&amp;F626)</f>
        <v/>
      </c>
      <c r="S626" s="58">
        <f>'帮会科技逐级'!U41</f>
        <v/>
      </c>
      <c r="T626" s="58">
        <f>SUMIFS($S$5:$S$692,$A$5:$A$692,A626,$B$5:$B$692,B626,$F$5:$F$692,"&lt;="&amp;F626)</f>
        <v/>
      </c>
      <c r="U626" s="52">
        <f>'帮会科技逐级'!V41</f>
        <v/>
      </c>
    </row>
    <row r="627">
      <c r="A627" s="33" t="inlineStr">
        <is>
          <t>帮会科技</t>
        </is>
      </c>
      <c r="B627" s="33">
        <f>'帮会科技逐级'!A42</f>
        <v/>
      </c>
      <c r="C627" s="33">
        <f>'帮会科技逐级'!B42</f>
        <v/>
      </c>
      <c r="D627" s="33">
        <f>'帮会科技逐级'!C42</f>
        <v/>
      </c>
      <c r="E627" t="inlineStr">
        <is>
          <t>—</t>
        </is>
      </c>
      <c r="F627" s="54">
        <f>'帮会科技逐级'!D42</f>
        <v/>
      </c>
      <c r="G627" s="55">
        <f>'帮会科技逐级'!E42</f>
        <v/>
      </c>
      <c r="H627" s="56">
        <f>'帮会科技逐级'!F42</f>
        <v/>
      </c>
      <c r="I627" s="52" t="inlineStr">
        <is>
          <t>帮会科技即时完成</t>
        </is>
      </c>
      <c r="J627" s="57">
        <f>'帮会科技逐级'!G42</f>
        <v/>
      </c>
      <c r="K627" s="35">
        <f>J627/3600</f>
        <v/>
      </c>
      <c r="L627" s="35">
        <f>SUMIFS($K$5:$K$692,$A$5:$A$692,A627,$B$5:$B$692,B627,$F$5:$F$692,"&lt;="&amp;F627)</f>
        <v/>
      </c>
      <c r="M627" s="58">
        <f>'帮会科技逐级'!R42</f>
        <v/>
      </c>
      <c r="N627" s="58">
        <f>SUMIFS($M$5:$M$692,$A$5:$A$692,A627,$B$5:$B$692,B627,$F$5:$F$692,"&lt;="&amp;F627)</f>
        <v/>
      </c>
      <c r="O627" s="58">
        <f>'帮会科技逐级'!S42</f>
        <v/>
      </c>
      <c r="P627" s="58">
        <f>SUMIFS($O$5:$O$692,$A$5:$A$692,A627,$B$5:$B$692,B627,$F$5:$F$692,"&lt;="&amp;F627)</f>
        <v/>
      </c>
      <c r="Q627" s="58">
        <f>'帮会科技逐级'!T42</f>
        <v/>
      </c>
      <c r="R627" s="58">
        <f>SUMIFS($Q$5:$Q$692,$A$5:$A$692,A627,$B$5:$B$692,B627,$F$5:$F$692,"&lt;="&amp;F627)</f>
        <v/>
      </c>
      <c r="S627" s="58">
        <f>'帮会科技逐级'!U42</f>
        <v/>
      </c>
      <c r="T627" s="58">
        <f>SUMIFS($S$5:$S$692,$A$5:$A$692,A627,$B$5:$B$692,B627,$F$5:$F$692,"&lt;="&amp;F627)</f>
        <v/>
      </c>
      <c r="U627" s="52">
        <f>'帮会科技逐级'!V42</f>
        <v/>
      </c>
    </row>
    <row r="628">
      <c r="A628" s="33" t="inlineStr">
        <is>
          <t>帮会科技</t>
        </is>
      </c>
      <c r="B628" s="33">
        <f>'帮会科技逐级'!A43</f>
        <v/>
      </c>
      <c r="C628" s="33">
        <f>'帮会科技逐级'!B43</f>
        <v/>
      </c>
      <c r="D628" s="33">
        <f>'帮会科技逐级'!C43</f>
        <v/>
      </c>
      <c r="E628" t="inlineStr">
        <is>
          <t>—</t>
        </is>
      </c>
      <c r="F628" s="54">
        <f>'帮会科技逐级'!D43</f>
        <v/>
      </c>
      <c r="G628" s="55">
        <f>'帮会科技逐级'!E43</f>
        <v/>
      </c>
      <c r="H628" s="56">
        <f>'帮会科技逐级'!F43</f>
        <v/>
      </c>
      <c r="I628" s="52" t="inlineStr">
        <is>
          <t>帮会科技即时完成</t>
        </is>
      </c>
      <c r="J628" s="57">
        <f>'帮会科技逐级'!G43</f>
        <v/>
      </c>
      <c r="K628" s="35">
        <f>J628/3600</f>
        <v/>
      </c>
      <c r="L628" s="35">
        <f>SUMIFS($K$5:$K$692,$A$5:$A$692,A628,$B$5:$B$692,B628,$F$5:$F$692,"&lt;="&amp;F628)</f>
        <v/>
      </c>
      <c r="M628" s="58">
        <f>'帮会科技逐级'!R43</f>
        <v/>
      </c>
      <c r="N628" s="58">
        <f>SUMIFS($M$5:$M$692,$A$5:$A$692,A628,$B$5:$B$692,B628,$F$5:$F$692,"&lt;="&amp;F628)</f>
        <v/>
      </c>
      <c r="O628" s="58">
        <f>'帮会科技逐级'!S43</f>
        <v/>
      </c>
      <c r="P628" s="58">
        <f>SUMIFS($O$5:$O$692,$A$5:$A$692,A628,$B$5:$B$692,B628,$F$5:$F$692,"&lt;="&amp;F628)</f>
        <v/>
      </c>
      <c r="Q628" s="58">
        <f>'帮会科技逐级'!T43</f>
        <v/>
      </c>
      <c r="R628" s="58">
        <f>SUMIFS($Q$5:$Q$692,$A$5:$A$692,A628,$B$5:$B$692,B628,$F$5:$F$692,"&lt;="&amp;F628)</f>
        <v/>
      </c>
      <c r="S628" s="58">
        <f>'帮会科技逐级'!U43</f>
        <v/>
      </c>
      <c r="T628" s="58">
        <f>SUMIFS($S$5:$S$692,$A$5:$A$692,A628,$B$5:$B$692,B628,$F$5:$F$692,"&lt;="&amp;F628)</f>
        <v/>
      </c>
      <c r="U628" s="52">
        <f>'帮会科技逐级'!V43</f>
        <v/>
      </c>
    </row>
    <row r="629">
      <c r="A629" s="33" t="inlineStr">
        <is>
          <t>帮会科技</t>
        </is>
      </c>
      <c r="B629" s="33">
        <f>'帮会科技逐级'!A44</f>
        <v/>
      </c>
      <c r="C629" s="33">
        <f>'帮会科技逐级'!B44</f>
        <v/>
      </c>
      <c r="D629" s="33">
        <f>'帮会科技逐级'!C44</f>
        <v/>
      </c>
      <c r="E629" t="inlineStr">
        <is>
          <t>—</t>
        </is>
      </c>
      <c r="F629" s="54">
        <f>'帮会科技逐级'!D44</f>
        <v/>
      </c>
      <c r="G629" s="55">
        <f>'帮会科技逐级'!E44</f>
        <v/>
      </c>
      <c r="H629" s="56">
        <f>'帮会科技逐级'!F44</f>
        <v/>
      </c>
      <c r="I629" s="52" t="inlineStr">
        <is>
          <t>帮会科技即时完成</t>
        </is>
      </c>
      <c r="J629" s="57">
        <f>'帮会科技逐级'!G44</f>
        <v/>
      </c>
      <c r="K629" s="35">
        <f>J629/3600</f>
        <v/>
      </c>
      <c r="L629" s="35">
        <f>SUMIFS($K$5:$K$692,$A$5:$A$692,A629,$B$5:$B$692,B629,$F$5:$F$692,"&lt;="&amp;F629)</f>
        <v/>
      </c>
      <c r="M629" s="58">
        <f>'帮会科技逐级'!R44</f>
        <v/>
      </c>
      <c r="N629" s="58">
        <f>SUMIFS($M$5:$M$692,$A$5:$A$692,A629,$B$5:$B$692,B629,$F$5:$F$692,"&lt;="&amp;F629)</f>
        <v/>
      </c>
      <c r="O629" s="58">
        <f>'帮会科技逐级'!S44</f>
        <v/>
      </c>
      <c r="P629" s="58">
        <f>SUMIFS($O$5:$O$692,$A$5:$A$692,A629,$B$5:$B$692,B629,$F$5:$F$692,"&lt;="&amp;F629)</f>
        <v/>
      </c>
      <c r="Q629" s="58">
        <f>'帮会科技逐级'!T44</f>
        <v/>
      </c>
      <c r="R629" s="58">
        <f>SUMIFS($Q$5:$Q$692,$A$5:$A$692,A629,$B$5:$B$692,B629,$F$5:$F$692,"&lt;="&amp;F629)</f>
        <v/>
      </c>
      <c r="S629" s="58">
        <f>'帮会科技逐级'!U44</f>
        <v/>
      </c>
      <c r="T629" s="58">
        <f>SUMIFS($S$5:$S$692,$A$5:$A$692,A629,$B$5:$B$692,B629,$F$5:$F$692,"&lt;="&amp;F629)</f>
        <v/>
      </c>
      <c r="U629" s="52">
        <f>'帮会科技逐级'!V44</f>
        <v/>
      </c>
    </row>
    <row r="630">
      <c r="A630" s="33" t="inlineStr">
        <is>
          <t>帮会科技</t>
        </is>
      </c>
      <c r="B630" s="33">
        <f>'帮会科技逐级'!A45</f>
        <v/>
      </c>
      <c r="C630" s="33">
        <f>'帮会科技逐级'!B45</f>
        <v/>
      </c>
      <c r="D630" s="33">
        <f>'帮会科技逐级'!C45</f>
        <v/>
      </c>
      <c r="E630" t="inlineStr">
        <is>
          <t>—</t>
        </is>
      </c>
      <c r="F630" s="54">
        <f>'帮会科技逐级'!D45</f>
        <v/>
      </c>
      <c r="G630" s="55">
        <f>'帮会科技逐级'!E45</f>
        <v/>
      </c>
      <c r="H630" s="56">
        <f>'帮会科技逐级'!F45</f>
        <v/>
      </c>
      <c r="I630" s="52" t="inlineStr">
        <is>
          <t>帮会科技即时完成</t>
        </is>
      </c>
      <c r="J630" s="57">
        <f>'帮会科技逐级'!G45</f>
        <v/>
      </c>
      <c r="K630" s="35">
        <f>J630/3600</f>
        <v/>
      </c>
      <c r="L630" s="35">
        <f>SUMIFS($K$5:$K$692,$A$5:$A$692,A630,$B$5:$B$692,B630,$F$5:$F$692,"&lt;="&amp;F630)</f>
        <v/>
      </c>
      <c r="M630" s="58">
        <f>'帮会科技逐级'!R45</f>
        <v/>
      </c>
      <c r="N630" s="58">
        <f>SUMIFS($M$5:$M$692,$A$5:$A$692,A630,$B$5:$B$692,B630,$F$5:$F$692,"&lt;="&amp;F630)</f>
        <v/>
      </c>
      <c r="O630" s="58">
        <f>'帮会科技逐级'!S45</f>
        <v/>
      </c>
      <c r="P630" s="58">
        <f>SUMIFS($O$5:$O$692,$A$5:$A$692,A630,$B$5:$B$692,B630,$F$5:$F$692,"&lt;="&amp;F630)</f>
        <v/>
      </c>
      <c r="Q630" s="58">
        <f>'帮会科技逐级'!T45</f>
        <v/>
      </c>
      <c r="R630" s="58">
        <f>SUMIFS($Q$5:$Q$692,$A$5:$A$692,A630,$B$5:$B$692,B630,$F$5:$F$692,"&lt;="&amp;F630)</f>
        <v/>
      </c>
      <c r="S630" s="58">
        <f>'帮会科技逐级'!U45</f>
        <v/>
      </c>
      <c r="T630" s="58">
        <f>SUMIFS($S$5:$S$692,$A$5:$A$692,A630,$B$5:$B$692,B630,$F$5:$F$692,"&lt;="&amp;F630)</f>
        <v/>
      </c>
      <c r="U630" s="52">
        <f>'帮会科技逐级'!V45</f>
        <v/>
      </c>
    </row>
    <row r="631">
      <c r="A631" s="33" t="inlineStr">
        <is>
          <t>帮会科技</t>
        </is>
      </c>
      <c r="B631" s="33">
        <f>'帮会科技逐级'!A46</f>
        <v/>
      </c>
      <c r="C631" s="33">
        <f>'帮会科技逐级'!B46</f>
        <v/>
      </c>
      <c r="D631" s="33">
        <f>'帮会科技逐级'!C46</f>
        <v/>
      </c>
      <c r="E631" t="inlineStr">
        <is>
          <t>—</t>
        </is>
      </c>
      <c r="F631" s="54">
        <f>'帮会科技逐级'!D46</f>
        <v/>
      </c>
      <c r="G631" s="55">
        <f>'帮会科技逐级'!E46</f>
        <v/>
      </c>
      <c r="H631" s="56">
        <f>'帮会科技逐级'!F46</f>
        <v/>
      </c>
      <c r="I631" s="52" t="inlineStr">
        <is>
          <t>帮会科技即时完成</t>
        </is>
      </c>
      <c r="J631" s="57">
        <f>'帮会科技逐级'!G46</f>
        <v/>
      </c>
      <c r="K631" s="35">
        <f>J631/3600</f>
        <v/>
      </c>
      <c r="L631" s="35">
        <f>SUMIFS($K$5:$K$692,$A$5:$A$692,A631,$B$5:$B$692,B631,$F$5:$F$692,"&lt;="&amp;F631)</f>
        <v/>
      </c>
      <c r="M631" s="58">
        <f>'帮会科技逐级'!R46</f>
        <v/>
      </c>
      <c r="N631" s="58">
        <f>SUMIFS($M$5:$M$692,$A$5:$A$692,A631,$B$5:$B$692,B631,$F$5:$F$692,"&lt;="&amp;F631)</f>
        <v/>
      </c>
      <c r="O631" s="58">
        <f>'帮会科技逐级'!S46</f>
        <v/>
      </c>
      <c r="P631" s="58">
        <f>SUMIFS($O$5:$O$692,$A$5:$A$692,A631,$B$5:$B$692,B631,$F$5:$F$692,"&lt;="&amp;F631)</f>
        <v/>
      </c>
      <c r="Q631" s="58">
        <f>'帮会科技逐级'!T46</f>
        <v/>
      </c>
      <c r="R631" s="58">
        <f>SUMIFS($Q$5:$Q$692,$A$5:$A$692,A631,$B$5:$B$692,B631,$F$5:$F$692,"&lt;="&amp;F631)</f>
        <v/>
      </c>
      <c r="S631" s="58">
        <f>'帮会科技逐级'!U46</f>
        <v/>
      </c>
      <c r="T631" s="58">
        <f>SUMIFS($S$5:$S$692,$A$5:$A$692,A631,$B$5:$B$692,B631,$F$5:$F$692,"&lt;="&amp;F631)</f>
        <v/>
      </c>
      <c r="U631" s="52">
        <f>'帮会科技逐级'!V46</f>
        <v/>
      </c>
    </row>
    <row r="632">
      <c r="A632" s="33" t="inlineStr">
        <is>
          <t>帮会科技</t>
        </is>
      </c>
      <c r="B632" s="33">
        <f>'帮会科技逐级'!A47</f>
        <v/>
      </c>
      <c r="C632" s="33">
        <f>'帮会科技逐级'!B47</f>
        <v/>
      </c>
      <c r="D632" s="33">
        <f>'帮会科技逐级'!C47</f>
        <v/>
      </c>
      <c r="E632" t="inlineStr">
        <is>
          <t>—</t>
        </is>
      </c>
      <c r="F632" s="54">
        <f>'帮会科技逐级'!D47</f>
        <v/>
      </c>
      <c r="G632" s="55">
        <f>'帮会科技逐级'!E47</f>
        <v/>
      </c>
      <c r="H632" s="56">
        <f>'帮会科技逐级'!F47</f>
        <v/>
      </c>
      <c r="I632" s="52" t="inlineStr">
        <is>
          <t>帮会科技即时完成</t>
        </is>
      </c>
      <c r="J632" s="57">
        <f>'帮会科技逐级'!G47</f>
        <v/>
      </c>
      <c r="K632" s="35">
        <f>J632/3600</f>
        <v/>
      </c>
      <c r="L632" s="35">
        <f>SUMIFS($K$5:$K$692,$A$5:$A$692,A632,$B$5:$B$692,B632,$F$5:$F$692,"&lt;="&amp;F632)</f>
        <v/>
      </c>
      <c r="M632" s="58">
        <f>'帮会科技逐级'!R47</f>
        <v/>
      </c>
      <c r="N632" s="58">
        <f>SUMIFS($M$5:$M$692,$A$5:$A$692,A632,$B$5:$B$692,B632,$F$5:$F$692,"&lt;="&amp;F632)</f>
        <v/>
      </c>
      <c r="O632" s="58">
        <f>'帮会科技逐级'!S47</f>
        <v/>
      </c>
      <c r="P632" s="58">
        <f>SUMIFS($O$5:$O$692,$A$5:$A$692,A632,$B$5:$B$692,B632,$F$5:$F$692,"&lt;="&amp;F632)</f>
        <v/>
      </c>
      <c r="Q632" s="58">
        <f>'帮会科技逐级'!T47</f>
        <v/>
      </c>
      <c r="R632" s="58">
        <f>SUMIFS($Q$5:$Q$692,$A$5:$A$692,A632,$B$5:$B$692,B632,$F$5:$F$692,"&lt;="&amp;F632)</f>
        <v/>
      </c>
      <c r="S632" s="58">
        <f>'帮会科技逐级'!U47</f>
        <v/>
      </c>
      <c r="T632" s="58">
        <f>SUMIFS($S$5:$S$692,$A$5:$A$692,A632,$B$5:$B$692,B632,$F$5:$F$692,"&lt;="&amp;F632)</f>
        <v/>
      </c>
      <c r="U632" s="52">
        <f>'帮会科技逐级'!V47</f>
        <v/>
      </c>
    </row>
    <row r="633">
      <c r="A633" s="33" t="inlineStr">
        <is>
          <t>帮会科技</t>
        </is>
      </c>
      <c r="B633" s="33">
        <f>'帮会科技逐级'!A48</f>
        <v/>
      </c>
      <c r="C633" s="33">
        <f>'帮会科技逐级'!B48</f>
        <v/>
      </c>
      <c r="D633" s="33">
        <f>'帮会科技逐级'!C48</f>
        <v/>
      </c>
      <c r="E633" t="inlineStr">
        <is>
          <t>—</t>
        </is>
      </c>
      <c r="F633" s="54">
        <f>'帮会科技逐级'!D48</f>
        <v/>
      </c>
      <c r="G633" s="55">
        <f>'帮会科技逐级'!E48</f>
        <v/>
      </c>
      <c r="H633" s="56">
        <f>'帮会科技逐级'!F48</f>
        <v/>
      </c>
      <c r="I633" s="52" t="inlineStr">
        <is>
          <t>帮会科技即时完成</t>
        </is>
      </c>
      <c r="J633" s="57">
        <f>'帮会科技逐级'!G48</f>
        <v/>
      </c>
      <c r="K633" s="35">
        <f>J633/3600</f>
        <v/>
      </c>
      <c r="L633" s="35">
        <f>SUMIFS($K$5:$K$692,$A$5:$A$692,A633,$B$5:$B$692,B633,$F$5:$F$692,"&lt;="&amp;F633)</f>
        <v/>
      </c>
      <c r="M633" s="58">
        <f>'帮会科技逐级'!R48</f>
        <v/>
      </c>
      <c r="N633" s="58">
        <f>SUMIFS($M$5:$M$692,$A$5:$A$692,A633,$B$5:$B$692,B633,$F$5:$F$692,"&lt;="&amp;F633)</f>
        <v/>
      </c>
      <c r="O633" s="58">
        <f>'帮会科技逐级'!S48</f>
        <v/>
      </c>
      <c r="P633" s="58">
        <f>SUMIFS($O$5:$O$692,$A$5:$A$692,A633,$B$5:$B$692,B633,$F$5:$F$692,"&lt;="&amp;F633)</f>
        <v/>
      </c>
      <c r="Q633" s="58">
        <f>'帮会科技逐级'!T48</f>
        <v/>
      </c>
      <c r="R633" s="58">
        <f>SUMIFS($Q$5:$Q$692,$A$5:$A$692,A633,$B$5:$B$692,B633,$F$5:$F$692,"&lt;="&amp;F633)</f>
        <v/>
      </c>
      <c r="S633" s="58">
        <f>'帮会科技逐级'!U48</f>
        <v/>
      </c>
      <c r="T633" s="58">
        <f>SUMIFS($S$5:$S$692,$A$5:$A$692,A633,$B$5:$B$692,B633,$F$5:$F$692,"&lt;="&amp;F633)</f>
        <v/>
      </c>
      <c r="U633" s="52">
        <f>'帮会科技逐级'!V48</f>
        <v/>
      </c>
    </row>
    <row r="634">
      <c r="A634" s="33" t="inlineStr">
        <is>
          <t>帮会科技</t>
        </is>
      </c>
      <c r="B634" s="33">
        <f>'帮会科技逐级'!A49</f>
        <v/>
      </c>
      <c r="C634" s="33">
        <f>'帮会科技逐级'!B49</f>
        <v/>
      </c>
      <c r="D634" s="33">
        <f>'帮会科技逐级'!C49</f>
        <v/>
      </c>
      <c r="E634" t="inlineStr">
        <is>
          <t>—</t>
        </is>
      </c>
      <c r="F634" s="54">
        <f>'帮会科技逐级'!D49</f>
        <v/>
      </c>
      <c r="G634" s="55">
        <f>'帮会科技逐级'!E49</f>
        <v/>
      </c>
      <c r="H634" s="56">
        <f>'帮会科技逐级'!F49</f>
        <v/>
      </c>
      <c r="I634" s="52" t="inlineStr">
        <is>
          <t>帮会科技即时完成</t>
        </is>
      </c>
      <c r="J634" s="57">
        <f>'帮会科技逐级'!G49</f>
        <v/>
      </c>
      <c r="K634" s="35">
        <f>J634/3600</f>
        <v/>
      </c>
      <c r="L634" s="35">
        <f>SUMIFS($K$5:$K$692,$A$5:$A$692,A634,$B$5:$B$692,B634,$F$5:$F$692,"&lt;="&amp;F634)</f>
        <v/>
      </c>
      <c r="M634" s="58">
        <f>'帮会科技逐级'!R49</f>
        <v/>
      </c>
      <c r="N634" s="58">
        <f>SUMIFS($M$5:$M$692,$A$5:$A$692,A634,$B$5:$B$692,B634,$F$5:$F$692,"&lt;="&amp;F634)</f>
        <v/>
      </c>
      <c r="O634" s="58">
        <f>'帮会科技逐级'!S49</f>
        <v/>
      </c>
      <c r="P634" s="58">
        <f>SUMIFS($O$5:$O$692,$A$5:$A$692,A634,$B$5:$B$692,B634,$F$5:$F$692,"&lt;="&amp;F634)</f>
        <v/>
      </c>
      <c r="Q634" s="58">
        <f>'帮会科技逐级'!T49</f>
        <v/>
      </c>
      <c r="R634" s="58">
        <f>SUMIFS($Q$5:$Q$692,$A$5:$A$692,A634,$B$5:$B$692,B634,$F$5:$F$692,"&lt;="&amp;F634)</f>
        <v/>
      </c>
      <c r="S634" s="58">
        <f>'帮会科技逐级'!U49</f>
        <v/>
      </c>
      <c r="T634" s="58">
        <f>SUMIFS($S$5:$S$692,$A$5:$A$692,A634,$B$5:$B$692,B634,$F$5:$F$692,"&lt;="&amp;F634)</f>
        <v/>
      </c>
      <c r="U634" s="52">
        <f>'帮会科技逐级'!V49</f>
        <v/>
      </c>
    </row>
    <row r="635">
      <c r="A635" s="33" t="inlineStr">
        <is>
          <t>帮会科技</t>
        </is>
      </c>
      <c r="B635" s="33">
        <f>'帮会科技逐级'!A50</f>
        <v/>
      </c>
      <c r="C635" s="33">
        <f>'帮会科技逐级'!B50</f>
        <v/>
      </c>
      <c r="D635" s="33">
        <f>'帮会科技逐级'!C50</f>
        <v/>
      </c>
      <c r="E635" t="inlineStr">
        <is>
          <t>—</t>
        </is>
      </c>
      <c r="F635" s="54">
        <f>'帮会科技逐级'!D50</f>
        <v/>
      </c>
      <c r="G635" s="55">
        <f>'帮会科技逐级'!E50</f>
        <v/>
      </c>
      <c r="H635" s="56">
        <f>'帮会科技逐级'!F50</f>
        <v/>
      </c>
      <c r="I635" s="52" t="inlineStr">
        <is>
          <t>帮会科技即时完成</t>
        </is>
      </c>
      <c r="J635" s="57">
        <f>'帮会科技逐级'!G50</f>
        <v/>
      </c>
      <c r="K635" s="35">
        <f>J635/3600</f>
        <v/>
      </c>
      <c r="L635" s="35">
        <f>SUMIFS($K$5:$K$692,$A$5:$A$692,A635,$B$5:$B$692,B635,$F$5:$F$692,"&lt;="&amp;F635)</f>
        <v/>
      </c>
      <c r="M635" s="58">
        <f>'帮会科技逐级'!R50</f>
        <v/>
      </c>
      <c r="N635" s="58">
        <f>SUMIFS($M$5:$M$692,$A$5:$A$692,A635,$B$5:$B$692,B635,$F$5:$F$692,"&lt;="&amp;F635)</f>
        <v/>
      </c>
      <c r="O635" s="58">
        <f>'帮会科技逐级'!S50</f>
        <v/>
      </c>
      <c r="P635" s="58">
        <f>SUMIFS($O$5:$O$692,$A$5:$A$692,A635,$B$5:$B$692,B635,$F$5:$F$692,"&lt;="&amp;F635)</f>
        <v/>
      </c>
      <c r="Q635" s="58">
        <f>'帮会科技逐级'!T50</f>
        <v/>
      </c>
      <c r="R635" s="58">
        <f>SUMIFS($Q$5:$Q$692,$A$5:$A$692,A635,$B$5:$B$692,B635,$F$5:$F$692,"&lt;="&amp;F635)</f>
        <v/>
      </c>
      <c r="S635" s="58">
        <f>'帮会科技逐级'!U50</f>
        <v/>
      </c>
      <c r="T635" s="58">
        <f>SUMIFS($S$5:$S$692,$A$5:$A$692,A635,$B$5:$B$692,B635,$F$5:$F$692,"&lt;="&amp;F635)</f>
        <v/>
      </c>
      <c r="U635" s="52">
        <f>'帮会科技逐级'!V50</f>
        <v/>
      </c>
    </row>
    <row r="636">
      <c r="A636" s="33" t="inlineStr">
        <is>
          <t>帮会科技</t>
        </is>
      </c>
      <c r="B636" s="33">
        <f>'帮会科技逐级'!A51</f>
        <v/>
      </c>
      <c r="C636" s="33">
        <f>'帮会科技逐级'!B51</f>
        <v/>
      </c>
      <c r="D636" s="33">
        <f>'帮会科技逐级'!C51</f>
        <v/>
      </c>
      <c r="E636" t="inlineStr">
        <is>
          <t>—</t>
        </is>
      </c>
      <c r="F636" s="54">
        <f>'帮会科技逐级'!D51</f>
        <v/>
      </c>
      <c r="G636" s="55">
        <f>'帮会科技逐级'!E51</f>
        <v/>
      </c>
      <c r="H636" s="56">
        <f>'帮会科技逐级'!F51</f>
        <v/>
      </c>
      <c r="I636" s="52" t="inlineStr">
        <is>
          <t>帮会科技即时完成</t>
        </is>
      </c>
      <c r="J636" s="57">
        <f>'帮会科技逐级'!G51</f>
        <v/>
      </c>
      <c r="K636" s="35">
        <f>J636/3600</f>
        <v/>
      </c>
      <c r="L636" s="35">
        <f>SUMIFS($K$5:$K$692,$A$5:$A$692,A636,$B$5:$B$692,B636,$F$5:$F$692,"&lt;="&amp;F636)</f>
        <v/>
      </c>
      <c r="M636" s="58">
        <f>'帮会科技逐级'!R51</f>
        <v/>
      </c>
      <c r="N636" s="58">
        <f>SUMIFS($M$5:$M$692,$A$5:$A$692,A636,$B$5:$B$692,B636,$F$5:$F$692,"&lt;="&amp;F636)</f>
        <v/>
      </c>
      <c r="O636" s="58">
        <f>'帮会科技逐级'!S51</f>
        <v/>
      </c>
      <c r="P636" s="58">
        <f>SUMIFS($O$5:$O$692,$A$5:$A$692,A636,$B$5:$B$692,B636,$F$5:$F$692,"&lt;="&amp;F636)</f>
        <v/>
      </c>
      <c r="Q636" s="58">
        <f>'帮会科技逐级'!T51</f>
        <v/>
      </c>
      <c r="R636" s="58">
        <f>SUMIFS($Q$5:$Q$692,$A$5:$A$692,A636,$B$5:$B$692,B636,$F$5:$F$692,"&lt;="&amp;F636)</f>
        <v/>
      </c>
      <c r="S636" s="58">
        <f>'帮会科技逐级'!U51</f>
        <v/>
      </c>
      <c r="T636" s="58">
        <f>SUMIFS($S$5:$S$692,$A$5:$A$692,A636,$B$5:$B$692,B636,$F$5:$F$692,"&lt;="&amp;F636)</f>
        <v/>
      </c>
      <c r="U636" s="52">
        <f>'帮会科技逐级'!V51</f>
        <v/>
      </c>
    </row>
    <row r="637">
      <c r="A637" s="33" t="inlineStr">
        <is>
          <t>帮会科技</t>
        </is>
      </c>
      <c r="B637" s="33">
        <f>'帮会科技逐级'!A52</f>
        <v/>
      </c>
      <c r="C637" s="33">
        <f>'帮会科技逐级'!B52</f>
        <v/>
      </c>
      <c r="D637" s="33">
        <f>'帮会科技逐级'!C52</f>
        <v/>
      </c>
      <c r="E637" t="inlineStr">
        <is>
          <t>—</t>
        </is>
      </c>
      <c r="F637" s="54">
        <f>'帮会科技逐级'!D52</f>
        <v/>
      </c>
      <c r="G637" s="55">
        <f>'帮会科技逐级'!E52</f>
        <v/>
      </c>
      <c r="H637" s="56">
        <f>'帮会科技逐级'!F52</f>
        <v/>
      </c>
      <c r="I637" s="52" t="inlineStr">
        <is>
          <t>帮会科技即时完成</t>
        </is>
      </c>
      <c r="J637" s="57">
        <f>'帮会科技逐级'!G52</f>
        <v/>
      </c>
      <c r="K637" s="35">
        <f>J637/3600</f>
        <v/>
      </c>
      <c r="L637" s="35">
        <f>SUMIFS($K$5:$K$692,$A$5:$A$692,A637,$B$5:$B$692,B637,$F$5:$F$692,"&lt;="&amp;F637)</f>
        <v/>
      </c>
      <c r="M637" s="58">
        <f>'帮会科技逐级'!R52</f>
        <v/>
      </c>
      <c r="N637" s="58">
        <f>SUMIFS($M$5:$M$692,$A$5:$A$692,A637,$B$5:$B$692,B637,$F$5:$F$692,"&lt;="&amp;F637)</f>
        <v/>
      </c>
      <c r="O637" s="58">
        <f>'帮会科技逐级'!S52</f>
        <v/>
      </c>
      <c r="P637" s="58">
        <f>SUMIFS($O$5:$O$692,$A$5:$A$692,A637,$B$5:$B$692,B637,$F$5:$F$692,"&lt;="&amp;F637)</f>
        <v/>
      </c>
      <c r="Q637" s="58">
        <f>'帮会科技逐级'!T52</f>
        <v/>
      </c>
      <c r="R637" s="58">
        <f>SUMIFS($Q$5:$Q$692,$A$5:$A$692,A637,$B$5:$B$692,B637,$F$5:$F$692,"&lt;="&amp;F637)</f>
        <v/>
      </c>
      <c r="S637" s="58">
        <f>'帮会科技逐级'!U52</f>
        <v/>
      </c>
      <c r="T637" s="58">
        <f>SUMIFS($S$5:$S$692,$A$5:$A$692,A637,$B$5:$B$692,B637,$F$5:$F$692,"&lt;="&amp;F637)</f>
        <v/>
      </c>
      <c r="U637" s="52">
        <f>'帮会科技逐级'!V52</f>
        <v/>
      </c>
    </row>
    <row r="638">
      <c r="A638" s="33" t="inlineStr">
        <is>
          <t>帮会科技</t>
        </is>
      </c>
      <c r="B638" s="33">
        <f>'帮会科技逐级'!A53</f>
        <v/>
      </c>
      <c r="C638" s="33">
        <f>'帮会科技逐级'!B53</f>
        <v/>
      </c>
      <c r="D638" s="33">
        <f>'帮会科技逐级'!C53</f>
        <v/>
      </c>
      <c r="E638" t="inlineStr">
        <is>
          <t>—</t>
        </is>
      </c>
      <c r="F638" s="54">
        <f>'帮会科技逐级'!D53</f>
        <v/>
      </c>
      <c r="G638" s="55">
        <f>'帮会科技逐级'!E53</f>
        <v/>
      </c>
      <c r="H638" s="56">
        <f>'帮会科技逐级'!F53</f>
        <v/>
      </c>
      <c r="I638" s="52" t="inlineStr">
        <is>
          <t>帮会科技即时完成</t>
        </is>
      </c>
      <c r="J638" s="57">
        <f>'帮会科技逐级'!G53</f>
        <v/>
      </c>
      <c r="K638" s="35">
        <f>J638/3600</f>
        <v/>
      </c>
      <c r="L638" s="35">
        <f>SUMIFS($K$5:$K$692,$A$5:$A$692,A638,$B$5:$B$692,B638,$F$5:$F$692,"&lt;="&amp;F638)</f>
        <v/>
      </c>
      <c r="M638" s="58">
        <f>'帮会科技逐级'!R53</f>
        <v/>
      </c>
      <c r="N638" s="58">
        <f>SUMIFS($M$5:$M$692,$A$5:$A$692,A638,$B$5:$B$692,B638,$F$5:$F$692,"&lt;="&amp;F638)</f>
        <v/>
      </c>
      <c r="O638" s="58">
        <f>'帮会科技逐级'!S53</f>
        <v/>
      </c>
      <c r="P638" s="58">
        <f>SUMIFS($O$5:$O$692,$A$5:$A$692,A638,$B$5:$B$692,B638,$F$5:$F$692,"&lt;="&amp;F638)</f>
        <v/>
      </c>
      <c r="Q638" s="58">
        <f>'帮会科技逐级'!T53</f>
        <v/>
      </c>
      <c r="R638" s="58">
        <f>SUMIFS($Q$5:$Q$692,$A$5:$A$692,A638,$B$5:$B$692,B638,$F$5:$F$692,"&lt;="&amp;F638)</f>
        <v/>
      </c>
      <c r="S638" s="58">
        <f>'帮会科技逐级'!U53</f>
        <v/>
      </c>
      <c r="T638" s="58">
        <f>SUMIFS($S$5:$S$692,$A$5:$A$692,A638,$B$5:$B$692,B638,$F$5:$F$692,"&lt;="&amp;F638)</f>
        <v/>
      </c>
      <c r="U638" s="52">
        <f>'帮会科技逐级'!V53</f>
        <v/>
      </c>
    </row>
    <row r="639">
      <c r="A639" s="33" t="inlineStr">
        <is>
          <t>帮会科技</t>
        </is>
      </c>
      <c r="B639" s="33">
        <f>'帮会科技逐级'!A54</f>
        <v/>
      </c>
      <c r="C639" s="33">
        <f>'帮会科技逐级'!B54</f>
        <v/>
      </c>
      <c r="D639" s="33">
        <f>'帮会科技逐级'!C54</f>
        <v/>
      </c>
      <c r="E639" t="inlineStr">
        <is>
          <t>—</t>
        </is>
      </c>
      <c r="F639" s="54">
        <f>'帮会科技逐级'!D54</f>
        <v/>
      </c>
      <c r="G639" s="55">
        <f>'帮会科技逐级'!E54</f>
        <v/>
      </c>
      <c r="H639" s="56">
        <f>'帮会科技逐级'!F54</f>
        <v/>
      </c>
      <c r="I639" s="52" t="inlineStr">
        <is>
          <t>帮会科技即时完成</t>
        </is>
      </c>
      <c r="J639" s="57">
        <f>'帮会科技逐级'!G54</f>
        <v/>
      </c>
      <c r="K639" s="35">
        <f>J639/3600</f>
        <v/>
      </c>
      <c r="L639" s="35">
        <f>SUMIFS($K$5:$K$692,$A$5:$A$692,A639,$B$5:$B$692,B639,$F$5:$F$692,"&lt;="&amp;F639)</f>
        <v/>
      </c>
      <c r="M639" s="58">
        <f>'帮会科技逐级'!R54</f>
        <v/>
      </c>
      <c r="N639" s="58">
        <f>SUMIFS($M$5:$M$692,$A$5:$A$692,A639,$B$5:$B$692,B639,$F$5:$F$692,"&lt;="&amp;F639)</f>
        <v/>
      </c>
      <c r="O639" s="58">
        <f>'帮会科技逐级'!S54</f>
        <v/>
      </c>
      <c r="P639" s="58">
        <f>SUMIFS($O$5:$O$692,$A$5:$A$692,A639,$B$5:$B$692,B639,$F$5:$F$692,"&lt;="&amp;F639)</f>
        <v/>
      </c>
      <c r="Q639" s="58">
        <f>'帮会科技逐级'!T54</f>
        <v/>
      </c>
      <c r="R639" s="58">
        <f>SUMIFS($Q$5:$Q$692,$A$5:$A$692,A639,$B$5:$B$692,B639,$F$5:$F$692,"&lt;="&amp;F639)</f>
        <v/>
      </c>
      <c r="S639" s="58">
        <f>'帮会科技逐级'!U54</f>
        <v/>
      </c>
      <c r="T639" s="58">
        <f>SUMIFS($S$5:$S$692,$A$5:$A$692,A639,$B$5:$B$692,B639,$F$5:$F$692,"&lt;="&amp;F639)</f>
        <v/>
      </c>
      <c r="U639" s="52">
        <f>'帮会科技逐级'!V54</f>
        <v/>
      </c>
    </row>
    <row r="640">
      <c r="A640" s="33" t="inlineStr">
        <is>
          <t>帮会科技</t>
        </is>
      </c>
      <c r="B640" s="33">
        <f>'帮会科技逐级'!A55</f>
        <v/>
      </c>
      <c r="C640" s="33">
        <f>'帮会科技逐级'!B55</f>
        <v/>
      </c>
      <c r="D640" s="33">
        <f>'帮会科技逐级'!C55</f>
        <v/>
      </c>
      <c r="E640" t="inlineStr">
        <is>
          <t>—</t>
        </is>
      </c>
      <c r="F640" s="54">
        <f>'帮会科技逐级'!D55</f>
        <v/>
      </c>
      <c r="G640" s="55">
        <f>'帮会科技逐级'!E55</f>
        <v/>
      </c>
      <c r="H640" s="56">
        <f>'帮会科技逐级'!F55</f>
        <v/>
      </c>
      <c r="I640" s="52" t="inlineStr">
        <is>
          <t>帮会科技即时完成</t>
        </is>
      </c>
      <c r="J640" s="57">
        <f>'帮会科技逐级'!G55</f>
        <v/>
      </c>
      <c r="K640" s="35">
        <f>J640/3600</f>
        <v/>
      </c>
      <c r="L640" s="35">
        <f>SUMIFS($K$5:$K$692,$A$5:$A$692,A640,$B$5:$B$692,B640,$F$5:$F$692,"&lt;="&amp;F640)</f>
        <v/>
      </c>
      <c r="M640" s="58">
        <f>'帮会科技逐级'!R55</f>
        <v/>
      </c>
      <c r="N640" s="58">
        <f>SUMIFS($M$5:$M$692,$A$5:$A$692,A640,$B$5:$B$692,B640,$F$5:$F$692,"&lt;="&amp;F640)</f>
        <v/>
      </c>
      <c r="O640" s="58">
        <f>'帮会科技逐级'!S55</f>
        <v/>
      </c>
      <c r="P640" s="58">
        <f>SUMIFS($O$5:$O$692,$A$5:$A$692,A640,$B$5:$B$692,B640,$F$5:$F$692,"&lt;="&amp;F640)</f>
        <v/>
      </c>
      <c r="Q640" s="58">
        <f>'帮会科技逐级'!T55</f>
        <v/>
      </c>
      <c r="R640" s="58">
        <f>SUMIFS($Q$5:$Q$692,$A$5:$A$692,A640,$B$5:$B$692,B640,$F$5:$F$692,"&lt;="&amp;F640)</f>
        <v/>
      </c>
      <c r="S640" s="58">
        <f>'帮会科技逐级'!U55</f>
        <v/>
      </c>
      <c r="T640" s="58">
        <f>SUMIFS($S$5:$S$692,$A$5:$A$692,A640,$B$5:$B$692,B640,$F$5:$F$692,"&lt;="&amp;F640)</f>
        <v/>
      </c>
      <c r="U640" s="52">
        <f>'帮会科技逐级'!V55</f>
        <v/>
      </c>
    </row>
    <row r="641">
      <c r="A641" s="33" t="inlineStr">
        <is>
          <t>帮会科技</t>
        </is>
      </c>
      <c r="B641" s="33">
        <f>'帮会科技逐级'!A56</f>
        <v/>
      </c>
      <c r="C641" s="33">
        <f>'帮会科技逐级'!B56</f>
        <v/>
      </c>
      <c r="D641" s="33">
        <f>'帮会科技逐级'!C56</f>
        <v/>
      </c>
      <c r="E641" t="inlineStr">
        <is>
          <t>—</t>
        </is>
      </c>
      <c r="F641" s="54">
        <f>'帮会科技逐级'!D56</f>
        <v/>
      </c>
      <c r="G641" s="55">
        <f>'帮会科技逐级'!E56</f>
        <v/>
      </c>
      <c r="H641" s="56">
        <f>'帮会科技逐级'!F56</f>
        <v/>
      </c>
      <c r="I641" s="52" t="inlineStr">
        <is>
          <t>帮会科技即时完成</t>
        </is>
      </c>
      <c r="J641" s="57">
        <f>'帮会科技逐级'!G56</f>
        <v/>
      </c>
      <c r="K641" s="35">
        <f>J641/3600</f>
        <v/>
      </c>
      <c r="L641" s="35">
        <f>SUMIFS($K$5:$K$692,$A$5:$A$692,A641,$B$5:$B$692,B641,$F$5:$F$692,"&lt;="&amp;F641)</f>
        <v/>
      </c>
      <c r="M641" s="58">
        <f>'帮会科技逐级'!R56</f>
        <v/>
      </c>
      <c r="N641" s="58">
        <f>SUMIFS($M$5:$M$692,$A$5:$A$692,A641,$B$5:$B$692,B641,$F$5:$F$692,"&lt;="&amp;F641)</f>
        <v/>
      </c>
      <c r="O641" s="58">
        <f>'帮会科技逐级'!S56</f>
        <v/>
      </c>
      <c r="P641" s="58">
        <f>SUMIFS($O$5:$O$692,$A$5:$A$692,A641,$B$5:$B$692,B641,$F$5:$F$692,"&lt;="&amp;F641)</f>
        <v/>
      </c>
      <c r="Q641" s="58">
        <f>'帮会科技逐级'!T56</f>
        <v/>
      </c>
      <c r="R641" s="58">
        <f>SUMIFS($Q$5:$Q$692,$A$5:$A$692,A641,$B$5:$B$692,B641,$F$5:$F$692,"&lt;="&amp;F641)</f>
        <v/>
      </c>
      <c r="S641" s="58">
        <f>'帮会科技逐级'!U56</f>
        <v/>
      </c>
      <c r="T641" s="58">
        <f>SUMIFS($S$5:$S$692,$A$5:$A$692,A641,$B$5:$B$692,B641,$F$5:$F$692,"&lt;="&amp;F641)</f>
        <v/>
      </c>
      <c r="U641" s="52">
        <f>'帮会科技逐级'!V56</f>
        <v/>
      </c>
    </row>
    <row r="642">
      <c r="A642" s="33" t="inlineStr">
        <is>
          <t>帮会科技</t>
        </is>
      </c>
      <c r="B642" s="33">
        <f>'帮会科技逐级'!A57</f>
        <v/>
      </c>
      <c r="C642" s="33">
        <f>'帮会科技逐级'!B57</f>
        <v/>
      </c>
      <c r="D642" s="33">
        <f>'帮会科技逐级'!C57</f>
        <v/>
      </c>
      <c r="E642" t="inlineStr">
        <is>
          <t>—</t>
        </is>
      </c>
      <c r="F642" s="54">
        <f>'帮会科技逐级'!D57</f>
        <v/>
      </c>
      <c r="G642" s="55">
        <f>'帮会科技逐级'!E57</f>
        <v/>
      </c>
      <c r="H642" s="56">
        <f>'帮会科技逐级'!F57</f>
        <v/>
      </c>
      <c r="I642" s="52" t="inlineStr">
        <is>
          <t>帮会科技即时完成</t>
        </is>
      </c>
      <c r="J642" s="57">
        <f>'帮会科技逐级'!G57</f>
        <v/>
      </c>
      <c r="K642" s="35">
        <f>J642/3600</f>
        <v/>
      </c>
      <c r="L642" s="35">
        <f>SUMIFS($K$5:$K$692,$A$5:$A$692,A642,$B$5:$B$692,B642,$F$5:$F$692,"&lt;="&amp;F642)</f>
        <v/>
      </c>
      <c r="M642" s="58">
        <f>'帮会科技逐级'!R57</f>
        <v/>
      </c>
      <c r="N642" s="58">
        <f>SUMIFS($M$5:$M$692,$A$5:$A$692,A642,$B$5:$B$692,B642,$F$5:$F$692,"&lt;="&amp;F642)</f>
        <v/>
      </c>
      <c r="O642" s="58">
        <f>'帮会科技逐级'!S57</f>
        <v/>
      </c>
      <c r="P642" s="58">
        <f>SUMIFS($O$5:$O$692,$A$5:$A$692,A642,$B$5:$B$692,B642,$F$5:$F$692,"&lt;="&amp;F642)</f>
        <v/>
      </c>
      <c r="Q642" s="58">
        <f>'帮会科技逐级'!T57</f>
        <v/>
      </c>
      <c r="R642" s="58">
        <f>SUMIFS($Q$5:$Q$692,$A$5:$A$692,A642,$B$5:$B$692,B642,$F$5:$F$692,"&lt;="&amp;F642)</f>
        <v/>
      </c>
      <c r="S642" s="58">
        <f>'帮会科技逐级'!U57</f>
        <v/>
      </c>
      <c r="T642" s="58">
        <f>SUMIFS($S$5:$S$692,$A$5:$A$692,A642,$B$5:$B$692,B642,$F$5:$F$692,"&lt;="&amp;F642)</f>
        <v/>
      </c>
      <c r="U642" s="52">
        <f>'帮会科技逐级'!V57</f>
        <v/>
      </c>
    </row>
    <row r="643">
      <c r="A643" s="33" t="inlineStr">
        <is>
          <t>帮会科技</t>
        </is>
      </c>
      <c r="B643" s="33">
        <f>'帮会科技逐级'!A58</f>
        <v/>
      </c>
      <c r="C643" s="33">
        <f>'帮会科技逐级'!B58</f>
        <v/>
      </c>
      <c r="D643" s="33">
        <f>'帮会科技逐级'!C58</f>
        <v/>
      </c>
      <c r="E643" t="inlineStr">
        <is>
          <t>—</t>
        </is>
      </c>
      <c r="F643" s="54">
        <f>'帮会科技逐级'!D58</f>
        <v/>
      </c>
      <c r="G643" s="55">
        <f>'帮会科技逐级'!E58</f>
        <v/>
      </c>
      <c r="H643" s="56">
        <f>'帮会科技逐级'!F58</f>
        <v/>
      </c>
      <c r="I643" s="52" t="inlineStr">
        <is>
          <t>帮会科技即时完成</t>
        </is>
      </c>
      <c r="J643" s="57">
        <f>'帮会科技逐级'!G58</f>
        <v/>
      </c>
      <c r="K643" s="35">
        <f>J643/3600</f>
        <v/>
      </c>
      <c r="L643" s="35">
        <f>SUMIFS($K$5:$K$692,$A$5:$A$692,A643,$B$5:$B$692,B643,$F$5:$F$692,"&lt;="&amp;F643)</f>
        <v/>
      </c>
      <c r="M643" s="58">
        <f>'帮会科技逐级'!R58</f>
        <v/>
      </c>
      <c r="N643" s="58">
        <f>SUMIFS($M$5:$M$692,$A$5:$A$692,A643,$B$5:$B$692,B643,$F$5:$F$692,"&lt;="&amp;F643)</f>
        <v/>
      </c>
      <c r="O643" s="58">
        <f>'帮会科技逐级'!S58</f>
        <v/>
      </c>
      <c r="P643" s="58">
        <f>SUMIFS($O$5:$O$692,$A$5:$A$692,A643,$B$5:$B$692,B643,$F$5:$F$692,"&lt;="&amp;F643)</f>
        <v/>
      </c>
      <c r="Q643" s="58">
        <f>'帮会科技逐级'!T58</f>
        <v/>
      </c>
      <c r="R643" s="58">
        <f>SUMIFS($Q$5:$Q$692,$A$5:$A$692,A643,$B$5:$B$692,B643,$F$5:$F$692,"&lt;="&amp;F643)</f>
        <v/>
      </c>
      <c r="S643" s="58">
        <f>'帮会科技逐级'!U58</f>
        <v/>
      </c>
      <c r="T643" s="58">
        <f>SUMIFS($S$5:$S$692,$A$5:$A$692,A643,$B$5:$B$692,B643,$F$5:$F$692,"&lt;="&amp;F643)</f>
        <v/>
      </c>
      <c r="U643" s="52">
        <f>'帮会科技逐级'!V58</f>
        <v/>
      </c>
    </row>
    <row r="644">
      <c r="A644" s="33" t="inlineStr">
        <is>
          <t>帮会科技</t>
        </is>
      </c>
      <c r="B644" s="33">
        <f>'帮会科技逐级'!A59</f>
        <v/>
      </c>
      <c r="C644" s="33">
        <f>'帮会科技逐级'!B59</f>
        <v/>
      </c>
      <c r="D644" s="33">
        <f>'帮会科技逐级'!C59</f>
        <v/>
      </c>
      <c r="E644" t="inlineStr">
        <is>
          <t>—</t>
        </is>
      </c>
      <c r="F644" s="54">
        <f>'帮会科技逐级'!D59</f>
        <v/>
      </c>
      <c r="G644" s="55">
        <f>'帮会科技逐级'!E59</f>
        <v/>
      </c>
      <c r="H644" s="56">
        <f>'帮会科技逐级'!F59</f>
        <v/>
      </c>
      <c r="I644" s="52" t="inlineStr">
        <is>
          <t>帮会科技即时完成</t>
        </is>
      </c>
      <c r="J644" s="57">
        <f>'帮会科技逐级'!G59</f>
        <v/>
      </c>
      <c r="K644" s="35">
        <f>J644/3600</f>
        <v/>
      </c>
      <c r="L644" s="35">
        <f>SUMIFS($K$5:$K$692,$A$5:$A$692,A644,$B$5:$B$692,B644,$F$5:$F$692,"&lt;="&amp;F644)</f>
        <v/>
      </c>
      <c r="M644" s="58">
        <f>'帮会科技逐级'!R59</f>
        <v/>
      </c>
      <c r="N644" s="58">
        <f>SUMIFS($M$5:$M$692,$A$5:$A$692,A644,$B$5:$B$692,B644,$F$5:$F$692,"&lt;="&amp;F644)</f>
        <v/>
      </c>
      <c r="O644" s="58">
        <f>'帮会科技逐级'!S59</f>
        <v/>
      </c>
      <c r="P644" s="58">
        <f>SUMIFS($O$5:$O$692,$A$5:$A$692,A644,$B$5:$B$692,B644,$F$5:$F$692,"&lt;="&amp;F644)</f>
        <v/>
      </c>
      <c r="Q644" s="58">
        <f>'帮会科技逐级'!T59</f>
        <v/>
      </c>
      <c r="R644" s="58">
        <f>SUMIFS($Q$5:$Q$692,$A$5:$A$692,A644,$B$5:$B$692,B644,$F$5:$F$692,"&lt;="&amp;F644)</f>
        <v/>
      </c>
      <c r="S644" s="58">
        <f>'帮会科技逐级'!U59</f>
        <v/>
      </c>
      <c r="T644" s="58">
        <f>SUMIFS($S$5:$S$692,$A$5:$A$692,A644,$B$5:$B$692,B644,$F$5:$F$692,"&lt;="&amp;F644)</f>
        <v/>
      </c>
      <c r="U644" s="52">
        <f>'帮会科技逐级'!V59</f>
        <v/>
      </c>
    </row>
    <row r="645">
      <c r="A645" s="33" t="inlineStr">
        <is>
          <t>帮会科技</t>
        </is>
      </c>
      <c r="B645" s="33">
        <f>'帮会科技逐级'!A60</f>
        <v/>
      </c>
      <c r="C645" s="33">
        <f>'帮会科技逐级'!B60</f>
        <v/>
      </c>
      <c r="D645" s="33">
        <f>'帮会科技逐级'!C60</f>
        <v/>
      </c>
      <c r="E645" t="inlineStr">
        <is>
          <t>—</t>
        </is>
      </c>
      <c r="F645" s="54">
        <f>'帮会科技逐级'!D60</f>
        <v/>
      </c>
      <c r="G645" s="55">
        <f>'帮会科技逐级'!E60</f>
        <v/>
      </c>
      <c r="H645" s="56">
        <f>'帮会科技逐级'!F60</f>
        <v/>
      </c>
      <c r="I645" s="52" t="inlineStr">
        <is>
          <t>帮会科技即时完成</t>
        </is>
      </c>
      <c r="J645" s="57">
        <f>'帮会科技逐级'!G60</f>
        <v/>
      </c>
      <c r="K645" s="35">
        <f>J645/3600</f>
        <v/>
      </c>
      <c r="L645" s="35">
        <f>SUMIFS($K$5:$K$692,$A$5:$A$692,A645,$B$5:$B$692,B645,$F$5:$F$692,"&lt;="&amp;F645)</f>
        <v/>
      </c>
      <c r="M645" s="58">
        <f>'帮会科技逐级'!R60</f>
        <v/>
      </c>
      <c r="N645" s="58">
        <f>SUMIFS($M$5:$M$692,$A$5:$A$692,A645,$B$5:$B$692,B645,$F$5:$F$692,"&lt;="&amp;F645)</f>
        <v/>
      </c>
      <c r="O645" s="58">
        <f>'帮会科技逐级'!S60</f>
        <v/>
      </c>
      <c r="P645" s="58">
        <f>SUMIFS($O$5:$O$692,$A$5:$A$692,A645,$B$5:$B$692,B645,$F$5:$F$692,"&lt;="&amp;F645)</f>
        <v/>
      </c>
      <c r="Q645" s="58">
        <f>'帮会科技逐级'!T60</f>
        <v/>
      </c>
      <c r="R645" s="58">
        <f>SUMIFS($Q$5:$Q$692,$A$5:$A$692,A645,$B$5:$B$692,B645,$F$5:$F$692,"&lt;="&amp;F645)</f>
        <v/>
      </c>
      <c r="S645" s="58">
        <f>'帮会科技逐级'!U60</f>
        <v/>
      </c>
      <c r="T645" s="58">
        <f>SUMIFS($S$5:$S$692,$A$5:$A$692,A645,$B$5:$B$692,B645,$F$5:$F$692,"&lt;="&amp;F645)</f>
        <v/>
      </c>
      <c r="U645" s="52">
        <f>'帮会科技逐级'!V60</f>
        <v/>
      </c>
    </row>
    <row r="646">
      <c r="A646" s="33" t="inlineStr">
        <is>
          <t>帮会科技</t>
        </is>
      </c>
      <c r="B646" s="33">
        <f>'帮会科技逐级'!A61</f>
        <v/>
      </c>
      <c r="C646" s="33">
        <f>'帮会科技逐级'!B61</f>
        <v/>
      </c>
      <c r="D646" s="33">
        <f>'帮会科技逐级'!C61</f>
        <v/>
      </c>
      <c r="E646" t="inlineStr">
        <is>
          <t>—</t>
        </is>
      </c>
      <c r="F646" s="54">
        <f>'帮会科技逐级'!D61</f>
        <v/>
      </c>
      <c r="G646" s="55">
        <f>'帮会科技逐级'!E61</f>
        <v/>
      </c>
      <c r="H646" s="56">
        <f>'帮会科技逐级'!F61</f>
        <v/>
      </c>
      <c r="I646" s="52" t="inlineStr">
        <is>
          <t>帮会科技即时完成</t>
        </is>
      </c>
      <c r="J646" s="57">
        <f>'帮会科技逐级'!G61</f>
        <v/>
      </c>
      <c r="K646" s="35">
        <f>J646/3600</f>
        <v/>
      </c>
      <c r="L646" s="35">
        <f>SUMIFS($K$5:$K$692,$A$5:$A$692,A646,$B$5:$B$692,B646,$F$5:$F$692,"&lt;="&amp;F646)</f>
        <v/>
      </c>
      <c r="M646" s="58">
        <f>'帮会科技逐级'!R61</f>
        <v/>
      </c>
      <c r="N646" s="58">
        <f>SUMIFS($M$5:$M$692,$A$5:$A$692,A646,$B$5:$B$692,B646,$F$5:$F$692,"&lt;="&amp;F646)</f>
        <v/>
      </c>
      <c r="O646" s="58">
        <f>'帮会科技逐级'!S61</f>
        <v/>
      </c>
      <c r="P646" s="58">
        <f>SUMIFS($O$5:$O$692,$A$5:$A$692,A646,$B$5:$B$692,B646,$F$5:$F$692,"&lt;="&amp;F646)</f>
        <v/>
      </c>
      <c r="Q646" s="58">
        <f>'帮会科技逐级'!T61</f>
        <v/>
      </c>
      <c r="R646" s="58">
        <f>SUMIFS($Q$5:$Q$692,$A$5:$A$692,A646,$B$5:$B$692,B646,$F$5:$F$692,"&lt;="&amp;F646)</f>
        <v/>
      </c>
      <c r="S646" s="58">
        <f>'帮会科技逐级'!U61</f>
        <v/>
      </c>
      <c r="T646" s="58">
        <f>SUMIFS($S$5:$S$692,$A$5:$A$692,A646,$B$5:$B$692,B646,$F$5:$F$692,"&lt;="&amp;F646)</f>
        <v/>
      </c>
      <c r="U646" s="52">
        <f>'帮会科技逐级'!V61</f>
        <v/>
      </c>
    </row>
    <row r="647">
      <c r="A647" s="33" t="inlineStr">
        <is>
          <t>帮会科技</t>
        </is>
      </c>
      <c r="B647" s="33">
        <f>'帮会科技逐级'!A62</f>
        <v/>
      </c>
      <c r="C647" s="33">
        <f>'帮会科技逐级'!B62</f>
        <v/>
      </c>
      <c r="D647" s="33">
        <f>'帮会科技逐级'!C62</f>
        <v/>
      </c>
      <c r="E647" t="inlineStr">
        <is>
          <t>—</t>
        </is>
      </c>
      <c r="F647" s="54">
        <f>'帮会科技逐级'!D62</f>
        <v/>
      </c>
      <c r="G647" s="55">
        <f>'帮会科技逐级'!E62</f>
        <v/>
      </c>
      <c r="H647" s="56">
        <f>'帮会科技逐级'!F62</f>
        <v/>
      </c>
      <c r="I647" s="52" t="inlineStr">
        <is>
          <t>帮会科技即时完成</t>
        </is>
      </c>
      <c r="J647" s="57">
        <f>'帮会科技逐级'!G62</f>
        <v/>
      </c>
      <c r="K647" s="35">
        <f>J647/3600</f>
        <v/>
      </c>
      <c r="L647" s="35">
        <f>SUMIFS($K$5:$K$692,$A$5:$A$692,A647,$B$5:$B$692,B647,$F$5:$F$692,"&lt;="&amp;F647)</f>
        <v/>
      </c>
      <c r="M647" s="58">
        <f>'帮会科技逐级'!R62</f>
        <v/>
      </c>
      <c r="N647" s="58">
        <f>SUMIFS($M$5:$M$692,$A$5:$A$692,A647,$B$5:$B$692,B647,$F$5:$F$692,"&lt;="&amp;F647)</f>
        <v/>
      </c>
      <c r="O647" s="58">
        <f>'帮会科技逐级'!S62</f>
        <v/>
      </c>
      <c r="P647" s="58">
        <f>SUMIFS($O$5:$O$692,$A$5:$A$692,A647,$B$5:$B$692,B647,$F$5:$F$692,"&lt;="&amp;F647)</f>
        <v/>
      </c>
      <c r="Q647" s="58">
        <f>'帮会科技逐级'!T62</f>
        <v/>
      </c>
      <c r="R647" s="58">
        <f>SUMIFS($Q$5:$Q$692,$A$5:$A$692,A647,$B$5:$B$692,B647,$F$5:$F$692,"&lt;="&amp;F647)</f>
        <v/>
      </c>
      <c r="S647" s="58">
        <f>'帮会科技逐级'!U62</f>
        <v/>
      </c>
      <c r="T647" s="58">
        <f>SUMIFS($S$5:$S$692,$A$5:$A$692,A647,$B$5:$B$692,B647,$F$5:$F$692,"&lt;="&amp;F647)</f>
        <v/>
      </c>
      <c r="U647" s="52">
        <f>'帮会科技逐级'!V62</f>
        <v/>
      </c>
    </row>
    <row r="648">
      <c r="A648" s="33" t="inlineStr">
        <is>
          <t>帮会科技</t>
        </is>
      </c>
      <c r="B648" s="33">
        <f>'帮会科技逐级'!A63</f>
        <v/>
      </c>
      <c r="C648" s="33">
        <f>'帮会科技逐级'!B63</f>
        <v/>
      </c>
      <c r="D648" s="33">
        <f>'帮会科技逐级'!C63</f>
        <v/>
      </c>
      <c r="E648" t="inlineStr">
        <is>
          <t>—</t>
        </is>
      </c>
      <c r="F648" s="54">
        <f>'帮会科技逐级'!D63</f>
        <v/>
      </c>
      <c r="G648" s="55">
        <f>'帮会科技逐级'!E63</f>
        <v/>
      </c>
      <c r="H648" s="56">
        <f>'帮会科技逐级'!F63</f>
        <v/>
      </c>
      <c r="I648" s="52" t="inlineStr">
        <is>
          <t>帮会科技即时完成</t>
        </is>
      </c>
      <c r="J648" s="57">
        <f>'帮会科技逐级'!G63</f>
        <v/>
      </c>
      <c r="K648" s="35">
        <f>J648/3600</f>
        <v/>
      </c>
      <c r="L648" s="35">
        <f>SUMIFS($K$5:$K$692,$A$5:$A$692,A648,$B$5:$B$692,B648,$F$5:$F$692,"&lt;="&amp;F648)</f>
        <v/>
      </c>
      <c r="M648" s="58">
        <f>'帮会科技逐级'!R63</f>
        <v/>
      </c>
      <c r="N648" s="58">
        <f>SUMIFS($M$5:$M$692,$A$5:$A$692,A648,$B$5:$B$692,B648,$F$5:$F$692,"&lt;="&amp;F648)</f>
        <v/>
      </c>
      <c r="O648" s="58">
        <f>'帮会科技逐级'!S63</f>
        <v/>
      </c>
      <c r="P648" s="58">
        <f>SUMIFS($O$5:$O$692,$A$5:$A$692,A648,$B$5:$B$692,B648,$F$5:$F$692,"&lt;="&amp;F648)</f>
        <v/>
      </c>
      <c r="Q648" s="58">
        <f>'帮会科技逐级'!T63</f>
        <v/>
      </c>
      <c r="R648" s="58">
        <f>SUMIFS($Q$5:$Q$692,$A$5:$A$692,A648,$B$5:$B$692,B648,$F$5:$F$692,"&lt;="&amp;F648)</f>
        <v/>
      </c>
      <c r="S648" s="58">
        <f>'帮会科技逐级'!U63</f>
        <v/>
      </c>
      <c r="T648" s="58">
        <f>SUMIFS($S$5:$S$692,$A$5:$A$692,A648,$B$5:$B$692,B648,$F$5:$F$692,"&lt;="&amp;F648)</f>
        <v/>
      </c>
      <c r="U648" s="52">
        <f>'帮会科技逐级'!V63</f>
        <v/>
      </c>
    </row>
    <row r="649">
      <c r="A649" s="33" t="inlineStr">
        <is>
          <t>帮会科技</t>
        </is>
      </c>
      <c r="B649" s="33">
        <f>'帮会科技逐级'!A64</f>
        <v/>
      </c>
      <c r="C649" s="33">
        <f>'帮会科技逐级'!B64</f>
        <v/>
      </c>
      <c r="D649" s="33">
        <f>'帮会科技逐级'!C64</f>
        <v/>
      </c>
      <c r="E649" t="inlineStr">
        <is>
          <t>—</t>
        </is>
      </c>
      <c r="F649" s="54">
        <f>'帮会科技逐级'!D64</f>
        <v/>
      </c>
      <c r="G649" s="55">
        <f>'帮会科技逐级'!E64</f>
        <v/>
      </c>
      <c r="H649" s="56">
        <f>'帮会科技逐级'!F64</f>
        <v/>
      </c>
      <c r="I649" s="52" t="inlineStr">
        <is>
          <t>帮会科技即时完成</t>
        </is>
      </c>
      <c r="J649" s="57">
        <f>'帮会科技逐级'!G64</f>
        <v/>
      </c>
      <c r="K649" s="35">
        <f>J649/3600</f>
        <v/>
      </c>
      <c r="L649" s="35">
        <f>SUMIFS($K$5:$K$692,$A$5:$A$692,A649,$B$5:$B$692,B649,$F$5:$F$692,"&lt;="&amp;F649)</f>
        <v/>
      </c>
      <c r="M649" s="58">
        <f>'帮会科技逐级'!R64</f>
        <v/>
      </c>
      <c r="N649" s="58">
        <f>SUMIFS($M$5:$M$692,$A$5:$A$692,A649,$B$5:$B$692,B649,$F$5:$F$692,"&lt;="&amp;F649)</f>
        <v/>
      </c>
      <c r="O649" s="58">
        <f>'帮会科技逐级'!S64</f>
        <v/>
      </c>
      <c r="P649" s="58">
        <f>SUMIFS($O$5:$O$692,$A$5:$A$692,A649,$B$5:$B$692,B649,$F$5:$F$692,"&lt;="&amp;F649)</f>
        <v/>
      </c>
      <c r="Q649" s="58">
        <f>'帮会科技逐级'!T64</f>
        <v/>
      </c>
      <c r="R649" s="58">
        <f>SUMIFS($Q$5:$Q$692,$A$5:$A$692,A649,$B$5:$B$692,B649,$F$5:$F$692,"&lt;="&amp;F649)</f>
        <v/>
      </c>
      <c r="S649" s="58">
        <f>'帮会科技逐级'!U64</f>
        <v/>
      </c>
      <c r="T649" s="58">
        <f>SUMIFS($S$5:$S$692,$A$5:$A$692,A649,$B$5:$B$692,B649,$F$5:$F$692,"&lt;="&amp;F649)</f>
        <v/>
      </c>
      <c r="U649" s="52">
        <f>'帮会科技逐级'!V64</f>
        <v/>
      </c>
    </row>
    <row r="650">
      <c r="A650" s="33" t="inlineStr">
        <is>
          <t>帮会科技</t>
        </is>
      </c>
      <c r="B650" s="33">
        <f>'帮会科技逐级'!A65</f>
        <v/>
      </c>
      <c r="C650" s="33">
        <f>'帮会科技逐级'!B65</f>
        <v/>
      </c>
      <c r="D650" s="33">
        <f>'帮会科技逐级'!C65</f>
        <v/>
      </c>
      <c r="E650" t="inlineStr">
        <is>
          <t>—</t>
        </is>
      </c>
      <c r="F650" s="54">
        <f>'帮会科技逐级'!D65</f>
        <v/>
      </c>
      <c r="G650" s="55">
        <f>'帮会科技逐级'!E65</f>
        <v/>
      </c>
      <c r="H650" s="56">
        <f>'帮会科技逐级'!F65</f>
        <v/>
      </c>
      <c r="I650" s="52" t="inlineStr">
        <is>
          <t>帮会科技即时完成</t>
        </is>
      </c>
      <c r="J650" s="57">
        <f>'帮会科技逐级'!G65</f>
        <v/>
      </c>
      <c r="K650" s="35">
        <f>J650/3600</f>
        <v/>
      </c>
      <c r="L650" s="35">
        <f>SUMIFS($K$5:$K$692,$A$5:$A$692,A650,$B$5:$B$692,B650,$F$5:$F$692,"&lt;="&amp;F650)</f>
        <v/>
      </c>
      <c r="M650" s="58">
        <f>'帮会科技逐级'!R65</f>
        <v/>
      </c>
      <c r="N650" s="58">
        <f>SUMIFS($M$5:$M$692,$A$5:$A$692,A650,$B$5:$B$692,B650,$F$5:$F$692,"&lt;="&amp;F650)</f>
        <v/>
      </c>
      <c r="O650" s="58">
        <f>'帮会科技逐级'!S65</f>
        <v/>
      </c>
      <c r="P650" s="58">
        <f>SUMIFS($O$5:$O$692,$A$5:$A$692,A650,$B$5:$B$692,B650,$F$5:$F$692,"&lt;="&amp;F650)</f>
        <v/>
      </c>
      <c r="Q650" s="58">
        <f>'帮会科技逐级'!T65</f>
        <v/>
      </c>
      <c r="R650" s="58">
        <f>SUMIFS($Q$5:$Q$692,$A$5:$A$692,A650,$B$5:$B$692,B650,$F$5:$F$692,"&lt;="&amp;F650)</f>
        <v/>
      </c>
      <c r="S650" s="58">
        <f>'帮会科技逐级'!U65</f>
        <v/>
      </c>
      <c r="T650" s="58">
        <f>SUMIFS($S$5:$S$692,$A$5:$A$692,A650,$B$5:$B$692,B650,$F$5:$F$692,"&lt;="&amp;F650)</f>
        <v/>
      </c>
      <c r="U650" s="52">
        <f>'帮会科技逐级'!V65</f>
        <v/>
      </c>
    </row>
    <row r="651">
      <c r="A651" s="33" t="inlineStr">
        <is>
          <t>帮会科技</t>
        </is>
      </c>
      <c r="B651" s="33">
        <f>'帮会科技逐级'!A66</f>
        <v/>
      </c>
      <c r="C651" s="33">
        <f>'帮会科技逐级'!B66</f>
        <v/>
      </c>
      <c r="D651" s="33">
        <f>'帮会科技逐级'!C66</f>
        <v/>
      </c>
      <c r="E651" t="inlineStr">
        <is>
          <t>—</t>
        </is>
      </c>
      <c r="F651" s="54">
        <f>'帮会科技逐级'!D66</f>
        <v/>
      </c>
      <c r="G651" s="55">
        <f>'帮会科技逐级'!E66</f>
        <v/>
      </c>
      <c r="H651" s="56">
        <f>'帮会科技逐级'!F66</f>
        <v/>
      </c>
      <c r="I651" s="52" t="inlineStr">
        <is>
          <t>帮会科技即时完成</t>
        </is>
      </c>
      <c r="J651" s="57">
        <f>'帮会科技逐级'!G66</f>
        <v/>
      </c>
      <c r="K651" s="35">
        <f>J651/3600</f>
        <v/>
      </c>
      <c r="L651" s="35">
        <f>SUMIFS($K$5:$K$692,$A$5:$A$692,A651,$B$5:$B$692,B651,$F$5:$F$692,"&lt;="&amp;F651)</f>
        <v/>
      </c>
      <c r="M651" s="58">
        <f>'帮会科技逐级'!R66</f>
        <v/>
      </c>
      <c r="N651" s="58">
        <f>SUMIFS($M$5:$M$692,$A$5:$A$692,A651,$B$5:$B$692,B651,$F$5:$F$692,"&lt;="&amp;F651)</f>
        <v/>
      </c>
      <c r="O651" s="58">
        <f>'帮会科技逐级'!S66</f>
        <v/>
      </c>
      <c r="P651" s="58">
        <f>SUMIFS($O$5:$O$692,$A$5:$A$692,A651,$B$5:$B$692,B651,$F$5:$F$692,"&lt;="&amp;F651)</f>
        <v/>
      </c>
      <c r="Q651" s="58">
        <f>'帮会科技逐级'!T66</f>
        <v/>
      </c>
      <c r="R651" s="58">
        <f>SUMIFS($Q$5:$Q$692,$A$5:$A$692,A651,$B$5:$B$692,B651,$F$5:$F$692,"&lt;="&amp;F651)</f>
        <v/>
      </c>
      <c r="S651" s="58">
        <f>'帮会科技逐级'!U66</f>
        <v/>
      </c>
      <c r="T651" s="58">
        <f>SUMIFS($S$5:$S$692,$A$5:$A$692,A651,$B$5:$B$692,B651,$F$5:$F$692,"&lt;="&amp;F651)</f>
        <v/>
      </c>
      <c r="U651" s="52">
        <f>'帮会科技逐级'!V66</f>
        <v/>
      </c>
    </row>
    <row r="652">
      <c r="A652" s="33" t="inlineStr">
        <is>
          <t>帮会科技</t>
        </is>
      </c>
      <c r="B652" s="33">
        <f>'帮会科技逐级'!A67</f>
        <v/>
      </c>
      <c r="C652" s="33">
        <f>'帮会科技逐级'!B67</f>
        <v/>
      </c>
      <c r="D652" s="33">
        <f>'帮会科技逐级'!C67</f>
        <v/>
      </c>
      <c r="E652" t="inlineStr">
        <is>
          <t>—</t>
        </is>
      </c>
      <c r="F652" s="54">
        <f>'帮会科技逐级'!D67</f>
        <v/>
      </c>
      <c r="G652" s="55">
        <f>'帮会科技逐级'!E67</f>
        <v/>
      </c>
      <c r="H652" s="56">
        <f>'帮会科技逐级'!F67</f>
        <v/>
      </c>
      <c r="I652" s="52" t="inlineStr">
        <is>
          <t>帮会科技即时完成</t>
        </is>
      </c>
      <c r="J652" s="57">
        <f>'帮会科技逐级'!G67</f>
        <v/>
      </c>
      <c r="K652" s="35">
        <f>J652/3600</f>
        <v/>
      </c>
      <c r="L652" s="35">
        <f>SUMIFS($K$5:$K$692,$A$5:$A$692,A652,$B$5:$B$692,B652,$F$5:$F$692,"&lt;="&amp;F652)</f>
        <v/>
      </c>
      <c r="M652" s="58">
        <f>'帮会科技逐级'!R67</f>
        <v/>
      </c>
      <c r="N652" s="58">
        <f>SUMIFS($M$5:$M$692,$A$5:$A$692,A652,$B$5:$B$692,B652,$F$5:$F$692,"&lt;="&amp;F652)</f>
        <v/>
      </c>
      <c r="O652" s="58">
        <f>'帮会科技逐级'!S67</f>
        <v/>
      </c>
      <c r="P652" s="58">
        <f>SUMIFS($O$5:$O$692,$A$5:$A$692,A652,$B$5:$B$692,B652,$F$5:$F$692,"&lt;="&amp;F652)</f>
        <v/>
      </c>
      <c r="Q652" s="58">
        <f>'帮会科技逐级'!T67</f>
        <v/>
      </c>
      <c r="R652" s="58">
        <f>SUMIFS($Q$5:$Q$692,$A$5:$A$692,A652,$B$5:$B$692,B652,$F$5:$F$692,"&lt;="&amp;F652)</f>
        <v/>
      </c>
      <c r="S652" s="58">
        <f>'帮会科技逐级'!U67</f>
        <v/>
      </c>
      <c r="T652" s="58">
        <f>SUMIFS($S$5:$S$692,$A$5:$A$692,A652,$B$5:$B$692,B652,$F$5:$F$692,"&lt;="&amp;F652)</f>
        <v/>
      </c>
      <c r="U652" s="52">
        <f>'帮会科技逐级'!V67</f>
        <v/>
      </c>
    </row>
    <row r="653">
      <c r="A653" s="33" t="inlineStr">
        <is>
          <t>帮会科技</t>
        </is>
      </c>
      <c r="B653" s="33">
        <f>'帮会科技逐级'!A68</f>
        <v/>
      </c>
      <c r="C653" s="33">
        <f>'帮会科技逐级'!B68</f>
        <v/>
      </c>
      <c r="D653" s="33">
        <f>'帮会科技逐级'!C68</f>
        <v/>
      </c>
      <c r="E653" t="inlineStr">
        <is>
          <t>—</t>
        </is>
      </c>
      <c r="F653" s="54">
        <f>'帮会科技逐级'!D68</f>
        <v/>
      </c>
      <c r="G653" s="55">
        <f>'帮会科技逐级'!E68</f>
        <v/>
      </c>
      <c r="H653" s="56">
        <f>'帮会科技逐级'!F68</f>
        <v/>
      </c>
      <c r="I653" s="52" t="inlineStr">
        <is>
          <t>帮会科技即时完成</t>
        </is>
      </c>
      <c r="J653" s="57">
        <f>'帮会科技逐级'!G68</f>
        <v/>
      </c>
      <c r="K653" s="35">
        <f>J653/3600</f>
        <v/>
      </c>
      <c r="L653" s="35">
        <f>SUMIFS($K$5:$K$692,$A$5:$A$692,A653,$B$5:$B$692,B653,$F$5:$F$692,"&lt;="&amp;F653)</f>
        <v/>
      </c>
      <c r="M653" s="58">
        <f>'帮会科技逐级'!R68</f>
        <v/>
      </c>
      <c r="N653" s="58">
        <f>SUMIFS($M$5:$M$692,$A$5:$A$692,A653,$B$5:$B$692,B653,$F$5:$F$692,"&lt;="&amp;F653)</f>
        <v/>
      </c>
      <c r="O653" s="58">
        <f>'帮会科技逐级'!S68</f>
        <v/>
      </c>
      <c r="P653" s="58">
        <f>SUMIFS($O$5:$O$692,$A$5:$A$692,A653,$B$5:$B$692,B653,$F$5:$F$692,"&lt;="&amp;F653)</f>
        <v/>
      </c>
      <c r="Q653" s="58">
        <f>'帮会科技逐级'!T68</f>
        <v/>
      </c>
      <c r="R653" s="58">
        <f>SUMIFS($Q$5:$Q$692,$A$5:$A$692,A653,$B$5:$B$692,B653,$F$5:$F$692,"&lt;="&amp;F653)</f>
        <v/>
      </c>
      <c r="S653" s="58">
        <f>'帮会科技逐级'!U68</f>
        <v/>
      </c>
      <c r="T653" s="58">
        <f>SUMIFS($S$5:$S$692,$A$5:$A$692,A653,$B$5:$B$692,B653,$F$5:$F$692,"&lt;="&amp;F653)</f>
        <v/>
      </c>
      <c r="U653" s="52">
        <f>'帮会科技逐级'!V68</f>
        <v/>
      </c>
    </row>
    <row r="654">
      <c r="A654" s="33" t="inlineStr">
        <is>
          <t>帮会科技</t>
        </is>
      </c>
      <c r="B654" s="33">
        <f>'帮会科技逐级'!A69</f>
        <v/>
      </c>
      <c r="C654" s="33">
        <f>'帮会科技逐级'!B69</f>
        <v/>
      </c>
      <c r="D654" s="33">
        <f>'帮会科技逐级'!C69</f>
        <v/>
      </c>
      <c r="E654" t="inlineStr">
        <is>
          <t>—</t>
        </is>
      </c>
      <c r="F654" s="54">
        <f>'帮会科技逐级'!D69</f>
        <v/>
      </c>
      <c r="G654" s="55">
        <f>'帮会科技逐级'!E69</f>
        <v/>
      </c>
      <c r="H654" s="56">
        <f>'帮会科技逐级'!F69</f>
        <v/>
      </c>
      <c r="I654" s="52" t="inlineStr">
        <is>
          <t>帮会科技即时完成</t>
        </is>
      </c>
      <c r="J654" s="57">
        <f>'帮会科技逐级'!G69</f>
        <v/>
      </c>
      <c r="K654" s="35">
        <f>J654/3600</f>
        <v/>
      </c>
      <c r="L654" s="35">
        <f>SUMIFS($K$5:$K$692,$A$5:$A$692,A654,$B$5:$B$692,B654,$F$5:$F$692,"&lt;="&amp;F654)</f>
        <v/>
      </c>
      <c r="M654" s="58">
        <f>'帮会科技逐级'!R69</f>
        <v/>
      </c>
      <c r="N654" s="58">
        <f>SUMIFS($M$5:$M$692,$A$5:$A$692,A654,$B$5:$B$692,B654,$F$5:$F$692,"&lt;="&amp;F654)</f>
        <v/>
      </c>
      <c r="O654" s="58">
        <f>'帮会科技逐级'!S69</f>
        <v/>
      </c>
      <c r="P654" s="58">
        <f>SUMIFS($O$5:$O$692,$A$5:$A$692,A654,$B$5:$B$692,B654,$F$5:$F$692,"&lt;="&amp;F654)</f>
        <v/>
      </c>
      <c r="Q654" s="58">
        <f>'帮会科技逐级'!T69</f>
        <v/>
      </c>
      <c r="R654" s="58">
        <f>SUMIFS($Q$5:$Q$692,$A$5:$A$692,A654,$B$5:$B$692,B654,$F$5:$F$692,"&lt;="&amp;F654)</f>
        <v/>
      </c>
      <c r="S654" s="58">
        <f>'帮会科技逐级'!U69</f>
        <v/>
      </c>
      <c r="T654" s="58">
        <f>SUMIFS($S$5:$S$692,$A$5:$A$692,A654,$B$5:$B$692,B654,$F$5:$F$692,"&lt;="&amp;F654)</f>
        <v/>
      </c>
      <c r="U654" s="52">
        <f>'帮会科技逐级'!V69</f>
        <v/>
      </c>
    </row>
    <row r="655">
      <c r="A655" s="33" t="inlineStr">
        <is>
          <t>帮会科技</t>
        </is>
      </c>
      <c r="B655" s="33">
        <f>'帮会科技逐级'!A70</f>
        <v/>
      </c>
      <c r="C655" s="33">
        <f>'帮会科技逐级'!B70</f>
        <v/>
      </c>
      <c r="D655" s="33">
        <f>'帮会科技逐级'!C70</f>
        <v/>
      </c>
      <c r="E655" t="inlineStr">
        <is>
          <t>—</t>
        </is>
      </c>
      <c r="F655" s="54">
        <f>'帮会科技逐级'!D70</f>
        <v/>
      </c>
      <c r="G655" s="55">
        <f>'帮会科技逐级'!E70</f>
        <v/>
      </c>
      <c r="H655" s="56">
        <f>'帮会科技逐级'!F70</f>
        <v/>
      </c>
      <c r="I655" s="52" t="inlineStr">
        <is>
          <t>帮会科技即时完成</t>
        </is>
      </c>
      <c r="J655" s="57">
        <f>'帮会科技逐级'!G70</f>
        <v/>
      </c>
      <c r="K655" s="35">
        <f>J655/3600</f>
        <v/>
      </c>
      <c r="L655" s="35">
        <f>SUMIFS($K$5:$K$692,$A$5:$A$692,A655,$B$5:$B$692,B655,$F$5:$F$692,"&lt;="&amp;F655)</f>
        <v/>
      </c>
      <c r="M655" s="58">
        <f>'帮会科技逐级'!R70</f>
        <v/>
      </c>
      <c r="N655" s="58">
        <f>SUMIFS($M$5:$M$692,$A$5:$A$692,A655,$B$5:$B$692,B655,$F$5:$F$692,"&lt;="&amp;F655)</f>
        <v/>
      </c>
      <c r="O655" s="58">
        <f>'帮会科技逐级'!S70</f>
        <v/>
      </c>
      <c r="P655" s="58">
        <f>SUMIFS($O$5:$O$692,$A$5:$A$692,A655,$B$5:$B$692,B655,$F$5:$F$692,"&lt;="&amp;F655)</f>
        <v/>
      </c>
      <c r="Q655" s="58">
        <f>'帮会科技逐级'!T70</f>
        <v/>
      </c>
      <c r="R655" s="58">
        <f>SUMIFS($Q$5:$Q$692,$A$5:$A$692,A655,$B$5:$B$692,B655,$F$5:$F$692,"&lt;="&amp;F655)</f>
        <v/>
      </c>
      <c r="S655" s="58">
        <f>'帮会科技逐级'!U70</f>
        <v/>
      </c>
      <c r="T655" s="58">
        <f>SUMIFS($S$5:$S$692,$A$5:$A$692,A655,$B$5:$B$692,B655,$F$5:$F$692,"&lt;="&amp;F655)</f>
        <v/>
      </c>
      <c r="U655" s="52">
        <f>'帮会科技逐级'!V70</f>
        <v/>
      </c>
    </row>
    <row r="656">
      <c r="A656" s="33" t="inlineStr">
        <is>
          <t>帮会科技</t>
        </is>
      </c>
      <c r="B656" s="33">
        <f>'帮会科技逐级'!A71</f>
        <v/>
      </c>
      <c r="C656" s="33">
        <f>'帮会科技逐级'!B71</f>
        <v/>
      </c>
      <c r="D656" s="33">
        <f>'帮会科技逐级'!C71</f>
        <v/>
      </c>
      <c r="E656" t="inlineStr">
        <is>
          <t>—</t>
        </is>
      </c>
      <c r="F656" s="54">
        <f>'帮会科技逐级'!D71</f>
        <v/>
      </c>
      <c r="G656" s="55">
        <f>'帮会科技逐级'!E71</f>
        <v/>
      </c>
      <c r="H656" s="56">
        <f>'帮会科技逐级'!F71</f>
        <v/>
      </c>
      <c r="I656" s="52" t="inlineStr">
        <is>
          <t>帮会科技即时完成</t>
        </is>
      </c>
      <c r="J656" s="57">
        <f>'帮会科技逐级'!G71</f>
        <v/>
      </c>
      <c r="K656" s="35">
        <f>J656/3600</f>
        <v/>
      </c>
      <c r="L656" s="35">
        <f>SUMIFS($K$5:$K$692,$A$5:$A$692,A656,$B$5:$B$692,B656,$F$5:$F$692,"&lt;="&amp;F656)</f>
        <v/>
      </c>
      <c r="M656" s="58">
        <f>'帮会科技逐级'!R71</f>
        <v/>
      </c>
      <c r="N656" s="58">
        <f>SUMIFS($M$5:$M$692,$A$5:$A$692,A656,$B$5:$B$692,B656,$F$5:$F$692,"&lt;="&amp;F656)</f>
        <v/>
      </c>
      <c r="O656" s="58">
        <f>'帮会科技逐级'!S71</f>
        <v/>
      </c>
      <c r="P656" s="58">
        <f>SUMIFS($O$5:$O$692,$A$5:$A$692,A656,$B$5:$B$692,B656,$F$5:$F$692,"&lt;="&amp;F656)</f>
        <v/>
      </c>
      <c r="Q656" s="58">
        <f>'帮会科技逐级'!T71</f>
        <v/>
      </c>
      <c r="R656" s="58">
        <f>SUMIFS($Q$5:$Q$692,$A$5:$A$692,A656,$B$5:$B$692,B656,$F$5:$F$692,"&lt;="&amp;F656)</f>
        <v/>
      </c>
      <c r="S656" s="58">
        <f>'帮会科技逐级'!U71</f>
        <v/>
      </c>
      <c r="T656" s="58">
        <f>SUMIFS($S$5:$S$692,$A$5:$A$692,A656,$B$5:$B$692,B656,$F$5:$F$692,"&lt;="&amp;F656)</f>
        <v/>
      </c>
      <c r="U656" s="52">
        <f>'帮会科技逐级'!V71</f>
        <v/>
      </c>
    </row>
    <row r="657">
      <c r="A657" s="33" t="inlineStr">
        <is>
          <t>帮会科技</t>
        </is>
      </c>
      <c r="B657" s="33">
        <f>'帮会科技逐级'!A72</f>
        <v/>
      </c>
      <c r="C657" s="33">
        <f>'帮会科技逐级'!B72</f>
        <v/>
      </c>
      <c r="D657" s="33">
        <f>'帮会科技逐级'!C72</f>
        <v/>
      </c>
      <c r="E657" t="inlineStr">
        <is>
          <t>—</t>
        </is>
      </c>
      <c r="F657" s="54">
        <f>'帮会科技逐级'!D72</f>
        <v/>
      </c>
      <c r="G657" s="55">
        <f>'帮会科技逐级'!E72</f>
        <v/>
      </c>
      <c r="H657" s="56">
        <f>'帮会科技逐级'!F72</f>
        <v/>
      </c>
      <c r="I657" s="52" t="inlineStr">
        <is>
          <t>帮会科技即时完成</t>
        </is>
      </c>
      <c r="J657" s="57">
        <f>'帮会科技逐级'!G72</f>
        <v/>
      </c>
      <c r="K657" s="35">
        <f>J657/3600</f>
        <v/>
      </c>
      <c r="L657" s="35">
        <f>SUMIFS($K$5:$K$692,$A$5:$A$692,A657,$B$5:$B$692,B657,$F$5:$F$692,"&lt;="&amp;F657)</f>
        <v/>
      </c>
      <c r="M657" s="58">
        <f>'帮会科技逐级'!R72</f>
        <v/>
      </c>
      <c r="N657" s="58">
        <f>SUMIFS($M$5:$M$692,$A$5:$A$692,A657,$B$5:$B$692,B657,$F$5:$F$692,"&lt;="&amp;F657)</f>
        <v/>
      </c>
      <c r="O657" s="58">
        <f>'帮会科技逐级'!S72</f>
        <v/>
      </c>
      <c r="P657" s="58">
        <f>SUMIFS($O$5:$O$692,$A$5:$A$692,A657,$B$5:$B$692,B657,$F$5:$F$692,"&lt;="&amp;F657)</f>
        <v/>
      </c>
      <c r="Q657" s="58">
        <f>'帮会科技逐级'!T72</f>
        <v/>
      </c>
      <c r="R657" s="58">
        <f>SUMIFS($Q$5:$Q$692,$A$5:$A$692,A657,$B$5:$B$692,B657,$F$5:$F$692,"&lt;="&amp;F657)</f>
        <v/>
      </c>
      <c r="S657" s="58">
        <f>'帮会科技逐级'!U72</f>
        <v/>
      </c>
      <c r="T657" s="58">
        <f>SUMIFS($S$5:$S$692,$A$5:$A$692,A657,$B$5:$B$692,B657,$F$5:$F$692,"&lt;="&amp;F657)</f>
        <v/>
      </c>
      <c r="U657" s="52">
        <f>'帮会科技逐级'!V72</f>
        <v/>
      </c>
    </row>
    <row r="658">
      <c r="A658" s="33" t="inlineStr">
        <is>
          <t>帮会科技</t>
        </is>
      </c>
      <c r="B658" s="33">
        <f>'帮会科技逐级'!A73</f>
        <v/>
      </c>
      <c r="C658" s="33">
        <f>'帮会科技逐级'!B73</f>
        <v/>
      </c>
      <c r="D658" s="33">
        <f>'帮会科技逐级'!C73</f>
        <v/>
      </c>
      <c r="E658" t="inlineStr">
        <is>
          <t>—</t>
        </is>
      </c>
      <c r="F658" s="54">
        <f>'帮会科技逐级'!D73</f>
        <v/>
      </c>
      <c r="G658" s="55">
        <f>'帮会科技逐级'!E73</f>
        <v/>
      </c>
      <c r="H658" s="56">
        <f>'帮会科技逐级'!F73</f>
        <v/>
      </c>
      <c r="I658" s="52" t="inlineStr">
        <is>
          <t>帮会科技即时完成</t>
        </is>
      </c>
      <c r="J658" s="57">
        <f>'帮会科技逐级'!G73</f>
        <v/>
      </c>
      <c r="K658" s="35">
        <f>J658/3600</f>
        <v/>
      </c>
      <c r="L658" s="35">
        <f>SUMIFS($K$5:$K$692,$A$5:$A$692,A658,$B$5:$B$692,B658,$F$5:$F$692,"&lt;="&amp;F658)</f>
        <v/>
      </c>
      <c r="M658" s="58">
        <f>'帮会科技逐级'!R73</f>
        <v/>
      </c>
      <c r="N658" s="58">
        <f>SUMIFS($M$5:$M$692,$A$5:$A$692,A658,$B$5:$B$692,B658,$F$5:$F$692,"&lt;="&amp;F658)</f>
        <v/>
      </c>
      <c r="O658" s="58">
        <f>'帮会科技逐级'!S73</f>
        <v/>
      </c>
      <c r="P658" s="58">
        <f>SUMIFS($O$5:$O$692,$A$5:$A$692,A658,$B$5:$B$692,B658,$F$5:$F$692,"&lt;="&amp;F658)</f>
        <v/>
      </c>
      <c r="Q658" s="58">
        <f>'帮会科技逐级'!T73</f>
        <v/>
      </c>
      <c r="R658" s="58">
        <f>SUMIFS($Q$5:$Q$692,$A$5:$A$692,A658,$B$5:$B$692,B658,$F$5:$F$692,"&lt;="&amp;F658)</f>
        <v/>
      </c>
      <c r="S658" s="58">
        <f>'帮会科技逐级'!U73</f>
        <v/>
      </c>
      <c r="T658" s="58">
        <f>SUMIFS($S$5:$S$692,$A$5:$A$692,A658,$B$5:$B$692,B658,$F$5:$F$692,"&lt;="&amp;F658)</f>
        <v/>
      </c>
      <c r="U658" s="52">
        <f>'帮会科技逐级'!V73</f>
        <v/>
      </c>
    </row>
    <row r="659">
      <c r="A659" s="33" t="inlineStr">
        <is>
          <t>帮会科技</t>
        </is>
      </c>
      <c r="B659" s="33">
        <f>'帮会科技逐级'!A74</f>
        <v/>
      </c>
      <c r="C659" s="33">
        <f>'帮会科技逐级'!B74</f>
        <v/>
      </c>
      <c r="D659" s="33">
        <f>'帮会科技逐级'!C74</f>
        <v/>
      </c>
      <c r="E659" t="inlineStr">
        <is>
          <t>—</t>
        </is>
      </c>
      <c r="F659" s="54">
        <f>'帮会科技逐级'!D74</f>
        <v/>
      </c>
      <c r="G659" s="55">
        <f>'帮会科技逐级'!E74</f>
        <v/>
      </c>
      <c r="H659" s="56">
        <f>'帮会科技逐级'!F74</f>
        <v/>
      </c>
      <c r="I659" s="52" t="inlineStr">
        <is>
          <t>帮会科技即时完成</t>
        </is>
      </c>
      <c r="J659" s="57">
        <f>'帮会科技逐级'!G74</f>
        <v/>
      </c>
      <c r="K659" s="35">
        <f>J659/3600</f>
        <v/>
      </c>
      <c r="L659" s="35">
        <f>SUMIFS($K$5:$K$692,$A$5:$A$692,A659,$B$5:$B$692,B659,$F$5:$F$692,"&lt;="&amp;F659)</f>
        <v/>
      </c>
      <c r="M659" s="58">
        <f>'帮会科技逐级'!R74</f>
        <v/>
      </c>
      <c r="N659" s="58">
        <f>SUMIFS($M$5:$M$692,$A$5:$A$692,A659,$B$5:$B$692,B659,$F$5:$F$692,"&lt;="&amp;F659)</f>
        <v/>
      </c>
      <c r="O659" s="58">
        <f>'帮会科技逐级'!S74</f>
        <v/>
      </c>
      <c r="P659" s="58">
        <f>SUMIFS($O$5:$O$692,$A$5:$A$692,A659,$B$5:$B$692,B659,$F$5:$F$692,"&lt;="&amp;F659)</f>
        <v/>
      </c>
      <c r="Q659" s="58">
        <f>'帮会科技逐级'!T74</f>
        <v/>
      </c>
      <c r="R659" s="58">
        <f>SUMIFS($Q$5:$Q$692,$A$5:$A$692,A659,$B$5:$B$692,B659,$F$5:$F$692,"&lt;="&amp;F659)</f>
        <v/>
      </c>
      <c r="S659" s="58">
        <f>'帮会科技逐级'!U74</f>
        <v/>
      </c>
      <c r="T659" s="58">
        <f>SUMIFS($S$5:$S$692,$A$5:$A$692,A659,$B$5:$B$692,B659,$F$5:$F$692,"&lt;="&amp;F659)</f>
        <v/>
      </c>
      <c r="U659" s="52">
        <f>'帮会科技逐级'!V74</f>
        <v/>
      </c>
    </row>
    <row r="660">
      <c r="A660" s="33" t="inlineStr">
        <is>
          <t>帮会科技</t>
        </is>
      </c>
      <c r="B660" s="33">
        <f>'帮会科技逐级'!A75</f>
        <v/>
      </c>
      <c r="C660" s="33">
        <f>'帮会科技逐级'!B75</f>
        <v/>
      </c>
      <c r="D660" s="33">
        <f>'帮会科技逐级'!C75</f>
        <v/>
      </c>
      <c r="E660" t="inlineStr">
        <is>
          <t>—</t>
        </is>
      </c>
      <c r="F660" s="54">
        <f>'帮会科技逐级'!D75</f>
        <v/>
      </c>
      <c r="G660" s="55">
        <f>'帮会科技逐级'!E75</f>
        <v/>
      </c>
      <c r="H660" s="56">
        <f>'帮会科技逐级'!F75</f>
        <v/>
      </c>
      <c r="I660" s="52" t="inlineStr">
        <is>
          <t>帮会科技即时完成</t>
        </is>
      </c>
      <c r="J660" s="57">
        <f>'帮会科技逐级'!G75</f>
        <v/>
      </c>
      <c r="K660" s="35">
        <f>J660/3600</f>
        <v/>
      </c>
      <c r="L660" s="35">
        <f>SUMIFS($K$5:$K$692,$A$5:$A$692,A660,$B$5:$B$692,B660,$F$5:$F$692,"&lt;="&amp;F660)</f>
        <v/>
      </c>
      <c r="M660" s="58">
        <f>'帮会科技逐级'!R75</f>
        <v/>
      </c>
      <c r="N660" s="58">
        <f>SUMIFS($M$5:$M$692,$A$5:$A$692,A660,$B$5:$B$692,B660,$F$5:$F$692,"&lt;="&amp;F660)</f>
        <v/>
      </c>
      <c r="O660" s="58">
        <f>'帮会科技逐级'!S75</f>
        <v/>
      </c>
      <c r="P660" s="58">
        <f>SUMIFS($O$5:$O$692,$A$5:$A$692,A660,$B$5:$B$692,B660,$F$5:$F$692,"&lt;="&amp;F660)</f>
        <v/>
      </c>
      <c r="Q660" s="58">
        <f>'帮会科技逐级'!T75</f>
        <v/>
      </c>
      <c r="R660" s="58">
        <f>SUMIFS($Q$5:$Q$692,$A$5:$A$692,A660,$B$5:$B$692,B660,$F$5:$F$692,"&lt;="&amp;F660)</f>
        <v/>
      </c>
      <c r="S660" s="58">
        <f>'帮会科技逐级'!U75</f>
        <v/>
      </c>
      <c r="T660" s="58">
        <f>SUMIFS($S$5:$S$692,$A$5:$A$692,A660,$B$5:$B$692,B660,$F$5:$F$692,"&lt;="&amp;F660)</f>
        <v/>
      </c>
      <c r="U660" s="52">
        <f>'帮会科技逐级'!V75</f>
        <v/>
      </c>
    </row>
    <row r="661">
      <c r="A661" s="33" t="inlineStr">
        <is>
          <t>帮会科技</t>
        </is>
      </c>
      <c r="B661" s="33">
        <f>'帮会科技逐级'!A76</f>
        <v/>
      </c>
      <c r="C661" s="33">
        <f>'帮会科技逐级'!B76</f>
        <v/>
      </c>
      <c r="D661" s="33">
        <f>'帮会科技逐级'!C76</f>
        <v/>
      </c>
      <c r="E661" t="inlineStr">
        <is>
          <t>—</t>
        </is>
      </c>
      <c r="F661" s="54">
        <f>'帮会科技逐级'!D76</f>
        <v/>
      </c>
      <c r="G661" s="55">
        <f>'帮会科技逐级'!E76</f>
        <v/>
      </c>
      <c r="H661" s="56">
        <f>'帮会科技逐级'!F76</f>
        <v/>
      </c>
      <c r="I661" s="52" t="inlineStr">
        <is>
          <t>帮会科技即时完成</t>
        </is>
      </c>
      <c r="J661" s="57">
        <f>'帮会科技逐级'!G76</f>
        <v/>
      </c>
      <c r="K661" s="35">
        <f>J661/3600</f>
        <v/>
      </c>
      <c r="L661" s="35">
        <f>SUMIFS($K$5:$K$692,$A$5:$A$692,A661,$B$5:$B$692,B661,$F$5:$F$692,"&lt;="&amp;F661)</f>
        <v/>
      </c>
      <c r="M661" s="58">
        <f>'帮会科技逐级'!R76</f>
        <v/>
      </c>
      <c r="N661" s="58">
        <f>SUMIFS($M$5:$M$692,$A$5:$A$692,A661,$B$5:$B$692,B661,$F$5:$F$692,"&lt;="&amp;F661)</f>
        <v/>
      </c>
      <c r="O661" s="58">
        <f>'帮会科技逐级'!S76</f>
        <v/>
      </c>
      <c r="P661" s="58">
        <f>SUMIFS($O$5:$O$692,$A$5:$A$692,A661,$B$5:$B$692,B661,$F$5:$F$692,"&lt;="&amp;F661)</f>
        <v/>
      </c>
      <c r="Q661" s="58">
        <f>'帮会科技逐级'!T76</f>
        <v/>
      </c>
      <c r="R661" s="58">
        <f>SUMIFS($Q$5:$Q$692,$A$5:$A$692,A661,$B$5:$B$692,B661,$F$5:$F$692,"&lt;="&amp;F661)</f>
        <v/>
      </c>
      <c r="S661" s="58">
        <f>'帮会科技逐级'!U76</f>
        <v/>
      </c>
      <c r="T661" s="58">
        <f>SUMIFS($S$5:$S$692,$A$5:$A$692,A661,$B$5:$B$692,B661,$F$5:$F$692,"&lt;="&amp;F661)</f>
        <v/>
      </c>
      <c r="U661" s="52">
        <f>'帮会科技逐级'!V76</f>
        <v/>
      </c>
    </row>
    <row r="662">
      <c r="A662" s="33" t="inlineStr">
        <is>
          <t>帮会科技</t>
        </is>
      </c>
      <c r="B662" s="33">
        <f>'帮会科技逐级'!A77</f>
        <v/>
      </c>
      <c r="C662" s="33">
        <f>'帮会科技逐级'!B77</f>
        <v/>
      </c>
      <c r="D662" s="33">
        <f>'帮会科技逐级'!C77</f>
        <v/>
      </c>
      <c r="E662" t="inlineStr">
        <is>
          <t>—</t>
        </is>
      </c>
      <c r="F662" s="54">
        <f>'帮会科技逐级'!D77</f>
        <v/>
      </c>
      <c r="G662" s="55">
        <f>'帮会科技逐级'!E77</f>
        <v/>
      </c>
      <c r="H662" s="56">
        <f>'帮会科技逐级'!F77</f>
        <v/>
      </c>
      <c r="I662" s="52" t="inlineStr">
        <is>
          <t>帮会科技即时完成</t>
        </is>
      </c>
      <c r="J662" s="57">
        <f>'帮会科技逐级'!G77</f>
        <v/>
      </c>
      <c r="K662" s="35">
        <f>J662/3600</f>
        <v/>
      </c>
      <c r="L662" s="35">
        <f>SUMIFS($K$5:$K$692,$A$5:$A$692,A662,$B$5:$B$692,B662,$F$5:$F$692,"&lt;="&amp;F662)</f>
        <v/>
      </c>
      <c r="M662" s="58">
        <f>'帮会科技逐级'!R77</f>
        <v/>
      </c>
      <c r="N662" s="58">
        <f>SUMIFS($M$5:$M$692,$A$5:$A$692,A662,$B$5:$B$692,B662,$F$5:$F$692,"&lt;="&amp;F662)</f>
        <v/>
      </c>
      <c r="O662" s="58">
        <f>'帮会科技逐级'!S77</f>
        <v/>
      </c>
      <c r="P662" s="58">
        <f>SUMIFS($O$5:$O$692,$A$5:$A$692,A662,$B$5:$B$692,B662,$F$5:$F$692,"&lt;="&amp;F662)</f>
        <v/>
      </c>
      <c r="Q662" s="58">
        <f>'帮会科技逐级'!T77</f>
        <v/>
      </c>
      <c r="R662" s="58">
        <f>SUMIFS($Q$5:$Q$692,$A$5:$A$692,A662,$B$5:$B$692,B662,$F$5:$F$692,"&lt;="&amp;F662)</f>
        <v/>
      </c>
      <c r="S662" s="58">
        <f>'帮会科技逐级'!U77</f>
        <v/>
      </c>
      <c r="T662" s="58">
        <f>SUMIFS($S$5:$S$692,$A$5:$A$692,A662,$B$5:$B$692,B662,$F$5:$F$692,"&lt;="&amp;F662)</f>
        <v/>
      </c>
      <c r="U662" s="52">
        <f>'帮会科技逐级'!V77</f>
        <v/>
      </c>
    </row>
    <row r="663">
      <c r="A663" s="33" t="inlineStr">
        <is>
          <t>帮会科技</t>
        </is>
      </c>
      <c r="B663" s="33">
        <f>'帮会科技逐级'!A78</f>
        <v/>
      </c>
      <c r="C663" s="33">
        <f>'帮会科技逐级'!B78</f>
        <v/>
      </c>
      <c r="D663" s="33">
        <f>'帮会科技逐级'!C78</f>
        <v/>
      </c>
      <c r="E663" t="inlineStr">
        <is>
          <t>—</t>
        </is>
      </c>
      <c r="F663" s="54">
        <f>'帮会科技逐级'!D78</f>
        <v/>
      </c>
      <c r="G663" s="55">
        <f>'帮会科技逐级'!E78</f>
        <v/>
      </c>
      <c r="H663" s="56">
        <f>'帮会科技逐级'!F78</f>
        <v/>
      </c>
      <c r="I663" s="52" t="inlineStr">
        <is>
          <t>帮会科技即时完成</t>
        </is>
      </c>
      <c r="J663" s="57">
        <f>'帮会科技逐级'!G78</f>
        <v/>
      </c>
      <c r="K663" s="35">
        <f>J663/3600</f>
        <v/>
      </c>
      <c r="L663" s="35">
        <f>SUMIFS($K$5:$K$692,$A$5:$A$692,A663,$B$5:$B$692,B663,$F$5:$F$692,"&lt;="&amp;F663)</f>
        <v/>
      </c>
      <c r="M663" s="58">
        <f>'帮会科技逐级'!R78</f>
        <v/>
      </c>
      <c r="N663" s="58">
        <f>SUMIFS($M$5:$M$692,$A$5:$A$692,A663,$B$5:$B$692,B663,$F$5:$F$692,"&lt;="&amp;F663)</f>
        <v/>
      </c>
      <c r="O663" s="58">
        <f>'帮会科技逐级'!S78</f>
        <v/>
      </c>
      <c r="P663" s="58">
        <f>SUMIFS($O$5:$O$692,$A$5:$A$692,A663,$B$5:$B$692,B663,$F$5:$F$692,"&lt;="&amp;F663)</f>
        <v/>
      </c>
      <c r="Q663" s="58">
        <f>'帮会科技逐级'!T78</f>
        <v/>
      </c>
      <c r="R663" s="58">
        <f>SUMIFS($Q$5:$Q$692,$A$5:$A$692,A663,$B$5:$B$692,B663,$F$5:$F$692,"&lt;="&amp;F663)</f>
        <v/>
      </c>
      <c r="S663" s="58">
        <f>'帮会科技逐级'!U78</f>
        <v/>
      </c>
      <c r="T663" s="58">
        <f>SUMIFS($S$5:$S$692,$A$5:$A$692,A663,$B$5:$B$692,B663,$F$5:$F$692,"&lt;="&amp;F663)</f>
        <v/>
      </c>
      <c r="U663" s="52">
        <f>'帮会科技逐级'!V78</f>
        <v/>
      </c>
    </row>
    <row r="664">
      <c r="A664" s="33" t="inlineStr">
        <is>
          <t>帮会科技</t>
        </is>
      </c>
      <c r="B664" s="33">
        <f>'帮会科技逐级'!A79</f>
        <v/>
      </c>
      <c r="C664" s="33">
        <f>'帮会科技逐级'!B79</f>
        <v/>
      </c>
      <c r="D664" s="33">
        <f>'帮会科技逐级'!C79</f>
        <v/>
      </c>
      <c r="E664" t="inlineStr">
        <is>
          <t>—</t>
        </is>
      </c>
      <c r="F664" s="54">
        <f>'帮会科技逐级'!D79</f>
        <v/>
      </c>
      <c r="G664" s="55">
        <f>'帮会科技逐级'!E79</f>
        <v/>
      </c>
      <c r="H664" s="56">
        <f>'帮会科技逐级'!F79</f>
        <v/>
      </c>
      <c r="I664" s="52" t="inlineStr">
        <is>
          <t>帮会科技即时完成</t>
        </is>
      </c>
      <c r="J664" s="57">
        <f>'帮会科技逐级'!G79</f>
        <v/>
      </c>
      <c r="K664" s="35">
        <f>J664/3600</f>
        <v/>
      </c>
      <c r="L664" s="35">
        <f>SUMIFS($K$5:$K$692,$A$5:$A$692,A664,$B$5:$B$692,B664,$F$5:$F$692,"&lt;="&amp;F664)</f>
        <v/>
      </c>
      <c r="M664" s="58">
        <f>'帮会科技逐级'!R79</f>
        <v/>
      </c>
      <c r="N664" s="58">
        <f>SUMIFS($M$5:$M$692,$A$5:$A$692,A664,$B$5:$B$692,B664,$F$5:$F$692,"&lt;="&amp;F664)</f>
        <v/>
      </c>
      <c r="O664" s="58">
        <f>'帮会科技逐级'!S79</f>
        <v/>
      </c>
      <c r="P664" s="58">
        <f>SUMIFS($O$5:$O$692,$A$5:$A$692,A664,$B$5:$B$692,B664,$F$5:$F$692,"&lt;="&amp;F664)</f>
        <v/>
      </c>
      <c r="Q664" s="58">
        <f>'帮会科技逐级'!T79</f>
        <v/>
      </c>
      <c r="R664" s="58">
        <f>SUMIFS($Q$5:$Q$692,$A$5:$A$692,A664,$B$5:$B$692,B664,$F$5:$F$692,"&lt;="&amp;F664)</f>
        <v/>
      </c>
      <c r="S664" s="58">
        <f>'帮会科技逐级'!U79</f>
        <v/>
      </c>
      <c r="T664" s="58">
        <f>SUMIFS($S$5:$S$692,$A$5:$A$692,A664,$B$5:$B$692,B664,$F$5:$F$692,"&lt;="&amp;F664)</f>
        <v/>
      </c>
      <c r="U664" s="52">
        <f>'帮会科技逐级'!V79</f>
        <v/>
      </c>
    </row>
    <row r="665">
      <c r="A665" s="33" t="inlineStr">
        <is>
          <t>帮会科技</t>
        </is>
      </c>
      <c r="B665" s="33">
        <f>'帮会科技逐级'!A80</f>
        <v/>
      </c>
      <c r="C665" s="33">
        <f>'帮会科技逐级'!B80</f>
        <v/>
      </c>
      <c r="D665" s="33">
        <f>'帮会科技逐级'!C80</f>
        <v/>
      </c>
      <c r="E665" t="inlineStr">
        <is>
          <t>—</t>
        </is>
      </c>
      <c r="F665" s="54">
        <f>'帮会科技逐级'!D80</f>
        <v/>
      </c>
      <c r="G665" s="55">
        <f>'帮会科技逐级'!E80</f>
        <v/>
      </c>
      <c r="H665" s="56">
        <f>'帮会科技逐级'!F80</f>
        <v/>
      </c>
      <c r="I665" s="52" t="inlineStr">
        <is>
          <t>帮会科技即时完成</t>
        </is>
      </c>
      <c r="J665" s="57">
        <f>'帮会科技逐级'!G80</f>
        <v/>
      </c>
      <c r="K665" s="35">
        <f>J665/3600</f>
        <v/>
      </c>
      <c r="L665" s="35">
        <f>SUMIFS($K$5:$K$692,$A$5:$A$692,A665,$B$5:$B$692,B665,$F$5:$F$692,"&lt;="&amp;F665)</f>
        <v/>
      </c>
      <c r="M665" s="58">
        <f>'帮会科技逐级'!R80</f>
        <v/>
      </c>
      <c r="N665" s="58">
        <f>SUMIFS($M$5:$M$692,$A$5:$A$692,A665,$B$5:$B$692,B665,$F$5:$F$692,"&lt;="&amp;F665)</f>
        <v/>
      </c>
      <c r="O665" s="58">
        <f>'帮会科技逐级'!S80</f>
        <v/>
      </c>
      <c r="P665" s="58">
        <f>SUMIFS($O$5:$O$692,$A$5:$A$692,A665,$B$5:$B$692,B665,$F$5:$F$692,"&lt;="&amp;F665)</f>
        <v/>
      </c>
      <c r="Q665" s="58">
        <f>'帮会科技逐级'!T80</f>
        <v/>
      </c>
      <c r="R665" s="58">
        <f>SUMIFS($Q$5:$Q$692,$A$5:$A$692,A665,$B$5:$B$692,B665,$F$5:$F$692,"&lt;="&amp;F665)</f>
        <v/>
      </c>
      <c r="S665" s="58">
        <f>'帮会科技逐级'!U80</f>
        <v/>
      </c>
      <c r="T665" s="58">
        <f>SUMIFS($S$5:$S$692,$A$5:$A$692,A665,$B$5:$B$692,B665,$F$5:$F$692,"&lt;="&amp;F665)</f>
        <v/>
      </c>
      <c r="U665" s="52">
        <f>'帮会科技逐级'!V80</f>
        <v/>
      </c>
    </row>
    <row r="666">
      <c r="A666" s="33" t="inlineStr">
        <is>
          <t>帮会科技</t>
        </is>
      </c>
      <c r="B666" s="33">
        <f>'帮会科技逐级'!A81</f>
        <v/>
      </c>
      <c r="C666" s="33">
        <f>'帮会科技逐级'!B81</f>
        <v/>
      </c>
      <c r="D666" s="33">
        <f>'帮会科技逐级'!C81</f>
        <v/>
      </c>
      <c r="E666" t="inlineStr">
        <is>
          <t>—</t>
        </is>
      </c>
      <c r="F666" s="54">
        <f>'帮会科技逐级'!D81</f>
        <v/>
      </c>
      <c r="G666" s="55">
        <f>'帮会科技逐级'!E81</f>
        <v/>
      </c>
      <c r="H666" s="56">
        <f>'帮会科技逐级'!F81</f>
        <v/>
      </c>
      <c r="I666" s="52" t="inlineStr">
        <is>
          <t>帮会科技即时完成</t>
        </is>
      </c>
      <c r="J666" s="57">
        <f>'帮会科技逐级'!G81</f>
        <v/>
      </c>
      <c r="K666" s="35">
        <f>J666/3600</f>
        <v/>
      </c>
      <c r="L666" s="35">
        <f>SUMIFS($K$5:$K$692,$A$5:$A$692,A666,$B$5:$B$692,B666,$F$5:$F$692,"&lt;="&amp;F666)</f>
        <v/>
      </c>
      <c r="M666" s="58">
        <f>'帮会科技逐级'!R81</f>
        <v/>
      </c>
      <c r="N666" s="58">
        <f>SUMIFS($M$5:$M$692,$A$5:$A$692,A666,$B$5:$B$692,B666,$F$5:$F$692,"&lt;="&amp;F666)</f>
        <v/>
      </c>
      <c r="O666" s="58">
        <f>'帮会科技逐级'!S81</f>
        <v/>
      </c>
      <c r="P666" s="58">
        <f>SUMIFS($O$5:$O$692,$A$5:$A$692,A666,$B$5:$B$692,B666,$F$5:$F$692,"&lt;="&amp;F666)</f>
        <v/>
      </c>
      <c r="Q666" s="58">
        <f>'帮会科技逐级'!T81</f>
        <v/>
      </c>
      <c r="R666" s="58">
        <f>SUMIFS($Q$5:$Q$692,$A$5:$A$692,A666,$B$5:$B$692,B666,$F$5:$F$692,"&lt;="&amp;F666)</f>
        <v/>
      </c>
      <c r="S666" s="58">
        <f>'帮会科技逐级'!U81</f>
        <v/>
      </c>
      <c r="T666" s="58">
        <f>SUMIFS($S$5:$S$692,$A$5:$A$692,A666,$B$5:$B$692,B666,$F$5:$F$692,"&lt;="&amp;F666)</f>
        <v/>
      </c>
      <c r="U666" s="52">
        <f>'帮会科技逐级'!V81</f>
        <v/>
      </c>
    </row>
    <row r="667">
      <c r="A667" s="33" t="inlineStr">
        <is>
          <t>帮会科技</t>
        </is>
      </c>
      <c r="B667" s="33">
        <f>'帮会科技逐级'!A82</f>
        <v/>
      </c>
      <c r="C667" s="33">
        <f>'帮会科技逐级'!B82</f>
        <v/>
      </c>
      <c r="D667" s="33">
        <f>'帮会科技逐级'!C82</f>
        <v/>
      </c>
      <c r="E667" t="inlineStr">
        <is>
          <t>—</t>
        </is>
      </c>
      <c r="F667" s="54">
        <f>'帮会科技逐级'!D82</f>
        <v/>
      </c>
      <c r="G667" s="55">
        <f>'帮会科技逐级'!E82</f>
        <v/>
      </c>
      <c r="H667" s="56">
        <f>'帮会科技逐级'!F82</f>
        <v/>
      </c>
      <c r="I667" s="52" t="inlineStr">
        <is>
          <t>帮会科技即时完成</t>
        </is>
      </c>
      <c r="J667" s="57">
        <f>'帮会科技逐级'!G82</f>
        <v/>
      </c>
      <c r="K667" s="35">
        <f>J667/3600</f>
        <v/>
      </c>
      <c r="L667" s="35">
        <f>SUMIFS($K$5:$K$692,$A$5:$A$692,A667,$B$5:$B$692,B667,$F$5:$F$692,"&lt;="&amp;F667)</f>
        <v/>
      </c>
      <c r="M667" s="58">
        <f>'帮会科技逐级'!R82</f>
        <v/>
      </c>
      <c r="N667" s="58">
        <f>SUMIFS($M$5:$M$692,$A$5:$A$692,A667,$B$5:$B$692,B667,$F$5:$F$692,"&lt;="&amp;F667)</f>
        <v/>
      </c>
      <c r="O667" s="58">
        <f>'帮会科技逐级'!S82</f>
        <v/>
      </c>
      <c r="P667" s="58">
        <f>SUMIFS($O$5:$O$692,$A$5:$A$692,A667,$B$5:$B$692,B667,$F$5:$F$692,"&lt;="&amp;F667)</f>
        <v/>
      </c>
      <c r="Q667" s="58">
        <f>'帮会科技逐级'!T82</f>
        <v/>
      </c>
      <c r="R667" s="58">
        <f>SUMIFS($Q$5:$Q$692,$A$5:$A$692,A667,$B$5:$B$692,B667,$F$5:$F$692,"&lt;="&amp;F667)</f>
        <v/>
      </c>
      <c r="S667" s="58">
        <f>'帮会科技逐级'!U82</f>
        <v/>
      </c>
      <c r="T667" s="58">
        <f>SUMIFS($S$5:$S$692,$A$5:$A$692,A667,$B$5:$B$692,B667,$F$5:$F$692,"&lt;="&amp;F667)</f>
        <v/>
      </c>
      <c r="U667" s="52">
        <f>'帮会科技逐级'!V82</f>
        <v/>
      </c>
    </row>
    <row r="668">
      <c r="A668" s="33" t="inlineStr">
        <is>
          <t>帮会科技</t>
        </is>
      </c>
      <c r="B668" s="33">
        <f>'帮会科技逐级'!A83</f>
        <v/>
      </c>
      <c r="C668" s="33">
        <f>'帮会科技逐级'!B83</f>
        <v/>
      </c>
      <c r="D668" s="33">
        <f>'帮会科技逐级'!C83</f>
        <v/>
      </c>
      <c r="E668" t="inlineStr">
        <is>
          <t>—</t>
        </is>
      </c>
      <c r="F668" s="54">
        <f>'帮会科技逐级'!D83</f>
        <v/>
      </c>
      <c r="G668" s="55">
        <f>'帮会科技逐级'!E83</f>
        <v/>
      </c>
      <c r="H668" s="56">
        <f>'帮会科技逐级'!F83</f>
        <v/>
      </c>
      <c r="I668" s="52" t="inlineStr">
        <is>
          <t>帮会科技即时完成</t>
        </is>
      </c>
      <c r="J668" s="57">
        <f>'帮会科技逐级'!G83</f>
        <v/>
      </c>
      <c r="K668" s="35">
        <f>J668/3600</f>
        <v/>
      </c>
      <c r="L668" s="35">
        <f>SUMIFS($K$5:$K$692,$A$5:$A$692,A668,$B$5:$B$692,B668,$F$5:$F$692,"&lt;="&amp;F668)</f>
        <v/>
      </c>
      <c r="M668" s="58">
        <f>'帮会科技逐级'!R83</f>
        <v/>
      </c>
      <c r="N668" s="58">
        <f>SUMIFS($M$5:$M$692,$A$5:$A$692,A668,$B$5:$B$692,B668,$F$5:$F$692,"&lt;="&amp;F668)</f>
        <v/>
      </c>
      <c r="O668" s="58">
        <f>'帮会科技逐级'!S83</f>
        <v/>
      </c>
      <c r="P668" s="58">
        <f>SUMIFS($O$5:$O$692,$A$5:$A$692,A668,$B$5:$B$692,B668,$F$5:$F$692,"&lt;="&amp;F668)</f>
        <v/>
      </c>
      <c r="Q668" s="58">
        <f>'帮会科技逐级'!T83</f>
        <v/>
      </c>
      <c r="R668" s="58">
        <f>SUMIFS($Q$5:$Q$692,$A$5:$A$692,A668,$B$5:$B$692,B668,$F$5:$F$692,"&lt;="&amp;F668)</f>
        <v/>
      </c>
      <c r="S668" s="58">
        <f>'帮会科技逐级'!U83</f>
        <v/>
      </c>
      <c r="T668" s="58">
        <f>SUMIFS($S$5:$S$692,$A$5:$A$692,A668,$B$5:$B$692,B668,$F$5:$F$692,"&lt;="&amp;F668)</f>
        <v/>
      </c>
      <c r="U668" s="52">
        <f>'帮会科技逐级'!V83</f>
        <v/>
      </c>
    </row>
    <row r="669">
      <c r="A669" s="33" t="inlineStr">
        <is>
          <t>帮会科技</t>
        </is>
      </c>
      <c r="B669" s="33">
        <f>'帮会科技逐级'!A84</f>
        <v/>
      </c>
      <c r="C669" s="33">
        <f>'帮会科技逐级'!B84</f>
        <v/>
      </c>
      <c r="D669" s="33">
        <f>'帮会科技逐级'!C84</f>
        <v/>
      </c>
      <c r="E669" t="inlineStr">
        <is>
          <t>—</t>
        </is>
      </c>
      <c r="F669" s="54">
        <f>'帮会科技逐级'!D84</f>
        <v/>
      </c>
      <c r="G669" s="55">
        <f>'帮会科技逐级'!E84</f>
        <v/>
      </c>
      <c r="H669" s="56">
        <f>'帮会科技逐级'!F84</f>
        <v/>
      </c>
      <c r="I669" s="52" t="inlineStr">
        <is>
          <t>帮会科技即时完成</t>
        </is>
      </c>
      <c r="J669" s="57">
        <f>'帮会科技逐级'!G84</f>
        <v/>
      </c>
      <c r="K669" s="35">
        <f>J669/3600</f>
        <v/>
      </c>
      <c r="L669" s="35">
        <f>SUMIFS($K$5:$K$692,$A$5:$A$692,A669,$B$5:$B$692,B669,$F$5:$F$692,"&lt;="&amp;F669)</f>
        <v/>
      </c>
      <c r="M669" s="58">
        <f>'帮会科技逐级'!R84</f>
        <v/>
      </c>
      <c r="N669" s="58">
        <f>SUMIFS($M$5:$M$692,$A$5:$A$692,A669,$B$5:$B$692,B669,$F$5:$F$692,"&lt;="&amp;F669)</f>
        <v/>
      </c>
      <c r="O669" s="58">
        <f>'帮会科技逐级'!S84</f>
        <v/>
      </c>
      <c r="P669" s="58">
        <f>SUMIFS($O$5:$O$692,$A$5:$A$692,A669,$B$5:$B$692,B669,$F$5:$F$692,"&lt;="&amp;F669)</f>
        <v/>
      </c>
      <c r="Q669" s="58">
        <f>'帮会科技逐级'!T84</f>
        <v/>
      </c>
      <c r="R669" s="58">
        <f>SUMIFS($Q$5:$Q$692,$A$5:$A$692,A669,$B$5:$B$692,B669,$F$5:$F$692,"&lt;="&amp;F669)</f>
        <v/>
      </c>
      <c r="S669" s="58">
        <f>'帮会科技逐级'!U84</f>
        <v/>
      </c>
      <c r="T669" s="58">
        <f>SUMIFS($S$5:$S$692,$A$5:$A$692,A669,$B$5:$B$692,B669,$F$5:$F$692,"&lt;="&amp;F669)</f>
        <v/>
      </c>
      <c r="U669" s="52">
        <f>'帮会科技逐级'!V84</f>
        <v/>
      </c>
    </row>
    <row r="670">
      <c r="A670" s="33" t="inlineStr">
        <is>
          <t>帮会科技</t>
        </is>
      </c>
      <c r="B670" s="33">
        <f>'帮会科技逐级'!A85</f>
        <v/>
      </c>
      <c r="C670" s="33">
        <f>'帮会科技逐级'!B85</f>
        <v/>
      </c>
      <c r="D670" s="33">
        <f>'帮会科技逐级'!C85</f>
        <v/>
      </c>
      <c r="E670" t="inlineStr">
        <is>
          <t>—</t>
        </is>
      </c>
      <c r="F670" s="54">
        <f>'帮会科技逐级'!D85</f>
        <v/>
      </c>
      <c r="G670" s="55">
        <f>'帮会科技逐级'!E85</f>
        <v/>
      </c>
      <c r="H670" s="56">
        <f>'帮会科技逐级'!F85</f>
        <v/>
      </c>
      <c r="I670" s="52" t="inlineStr">
        <is>
          <t>帮会科技即时完成</t>
        </is>
      </c>
      <c r="J670" s="57">
        <f>'帮会科技逐级'!G85</f>
        <v/>
      </c>
      <c r="K670" s="35">
        <f>J670/3600</f>
        <v/>
      </c>
      <c r="L670" s="35">
        <f>SUMIFS($K$5:$K$692,$A$5:$A$692,A670,$B$5:$B$692,B670,$F$5:$F$692,"&lt;="&amp;F670)</f>
        <v/>
      </c>
      <c r="M670" s="58">
        <f>'帮会科技逐级'!R85</f>
        <v/>
      </c>
      <c r="N670" s="58">
        <f>SUMIFS($M$5:$M$692,$A$5:$A$692,A670,$B$5:$B$692,B670,$F$5:$F$692,"&lt;="&amp;F670)</f>
        <v/>
      </c>
      <c r="O670" s="58">
        <f>'帮会科技逐级'!S85</f>
        <v/>
      </c>
      <c r="P670" s="58">
        <f>SUMIFS($O$5:$O$692,$A$5:$A$692,A670,$B$5:$B$692,B670,$F$5:$F$692,"&lt;="&amp;F670)</f>
        <v/>
      </c>
      <c r="Q670" s="58">
        <f>'帮会科技逐级'!T85</f>
        <v/>
      </c>
      <c r="R670" s="58">
        <f>SUMIFS($Q$5:$Q$692,$A$5:$A$692,A670,$B$5:$B$692,B670,$F$5:$F$692,"&lt;="&amp;F670)</f>
        <v/>
      </c>
      <c r="S670" s="58">
        <f>'帮会科技逐级'!U85</f>
        <v/>
      </c>
      <c r="T670" s="58">
        <f>SUMIFS($S$5:$S$692,$A$5:$A$692,A670,$B$5:$B$692,B670,$F$5:$F$692,"&lt;="&amp;F670)</f>
        <v/>
      </c>
      <c r="U670" s="52">
        <f>'帮会科技逐级'!V85</f>
        <v/>
      </c>
    </row>
    <row r="671">
      <c r="A671" s="33" t="inlineStr">
        <is>
          <t>帮会科技</t>
        </is>
      </c>
      <c r="B671" s="33">
        <f>'帮会科技逐级'!A86</f>
        <v/>
      </c>
      <c r="C671" s="33">
        <f>'帮会科技逐级'!B86</f>
        <v/>
      </c>
      <c r="D671" s="33">
        <f>'帮会科技逐级'!C86</f>
        <v/>
      </c>
      <c r="E671" t="inlineStr">
        <is>
          <t>—</t>
        </is>
      </c>
      <c r="F671" s="54">
        <f>'帮会科技逐级'!D86</f>
        <v/>
      </c>
      <c r="G671" s="55">
        <f>'帮会科技逐级'!E86</f>
        <v/>
      </c>
      <c r="H671" s="56">
        <f>'帮会科技逐级'!F86</f>
        <v/>
      </c>
      <c r="I671" s="52" t="inlineStr">
        <is>
          <t>帮会科技即时完成</t>
        </is>
      </c>
      <c r="J671" s="57">
        <f>'帮会科技逐级'!G86</f>
        <v/>
      </c>
      <c r="K671" s="35">
        <f>J671/3600</f>
        <v/>
      </c>
      <c r="L671" s="35">
        <f>SUMIFS($K$5:$K$692,$A$5:$A$692,A671,$B$5:$B$692,B671,$F$5:$F$692,"&lt;="&amp;F671)</f>
        <v/>
      </c>
      <c r="M671" s="58">
        <f>'帮会科技逐级'!R86</f>
        <v/>
      </c>
      <c r="N671" s="58">
        <f>SUMIFS($M$5:$M$692,$A$5:$A$692,A671,$B$5:$B$692,B671,$F$5:$F$692,"&lt;="&amp;F671)</f>
        <v/>
      </c>
      <c r="O671" s="58">
        <f>'帮会科技逐级'!S86</f>
        <v/>
      </c>
      <c r="P671" s="58">
        <f>SUMIFS($O$5:$O$692,$A$5:$A$692,A671,$B$5:$B$692,B671,$F$5:$F$692,"&lt;="&amp;F671)</f>
        <v/>
      </c>
      <c r="Q671" s="58">
        <f>'帮会科技逐级'!T86</f>
        <v/>
      </c>
      <c r="R671" s="58">
        <f>SUMIFS($Q$5:$Q$692,$A$5:$A$692,A671,$B$5:$B$692,B671,$F$5:$F$692,"&lt;="&amp;F671)</f>
        <v/>
      </c>
      <c r="S671" s="58">
        <f>'帮会科技逐级'!U86</f>
        <v/>
      </c>
      <c r="T671" s="58">
        <f>SUMIFS($S$5:$S$692,$A$5:$A$692,A671,$B$5:$B$692,B671,$F$5:$F$692,"&lt;="&amp;F671)</f>
        <v/>
      </c>
      <c r="U671" s="52">
        <f>'帮会科技逐级'!V86</f>
        <v/>
      </c>
    </row>
    <row r="672">
      <c r="A672" s="33" t="inlineStr">
        <is>
          <t>帮会科技</t>
        </is>
      </c>
      <c r="B672" s="33">
        <f>'帮会科技逐级'!A87</f>
        <v/>
      </c>
      <c r="C672" s="33">
        <f>'帮会科技逐级'!B87</f>
        <v/>
      </c>
      <c r="D672" s="33">
        <f>'帮会科技逐级'!C87</f>
        <v/>
      </c>
      <c r="E672" t="inlineStr">
        <is>
          <t>—</t>
        </is>
      </c>
      <c r="F672" s="54">
        <f>'帮会科技逐级'!D87</f>
        <v/>
      </c>
      <c r="G672" s="55">
        <f>'帮会科技逐级'!E87</f>
        <v/>
      </c>
      <c r="H672" s="56">
        <f>'帮会科技逐级'!F87</f>
        <v/>
      </c>
      <c r="I672" s="52" t="inlineStr">
        <is>
          <t>帮会科技即时完成</t>
        </is>
      </c>
      <c r="J672" s="57">
        <f>'帮会科技逐级'!G87</f>
        <v/>
      </c>
      <c r="K672" s="35">
        <f>J672/3600</f>
        <v/>
      </c>
      <c r="L672" s="35">
        <f>SUMIFS($K$5:$K$692,$A$5:$A$692,A672,$B$5:$B$692,B672,$F$5:$F$692,"&lt;="&amp;F672)</f>
        <v/>
      </c>
      <c r="M672" s="58">
        <f>'帮会科技逐级'!R87</f>
        <v/>
      </c>
      <c r="N672" s="58">
        <f>SUMIFS($M$5:$M$692,$A$5:$A$692,A672,$B$5:$B$692,B672,$F$5:$F$692,"&lt;="&amp;F672)</f>
        <v/>
      </c>
      <c r="O672" s="58">
        <f>'帮会科技逐级'!S87</f>
        <v/>
      </c>
      <c r="P672" s="58">
        <f>SUMIFS($O$5:$O$692,$A$5:$A$692,A672,$B$5:$B$692,B672,$F$5:$F$692,"&lt;="&amp;F672)</f>
        <v/>
      </c>
      <c r="Q672" s="58">
        <f>'帮会科技逐级'!T87</f>
        <v/>
      </c>
      <c r="R672" s="58">
        <f>SUMIFS($Q$5:$Q$692,$A$5:$A$692,A672,$B$5:$B$692,B672,$F$5:$F$692,"&lt;="&amp;F672)</f>
        <v/>
      </c>
      <c r="S672" s="58">
        <f>'帮会科技逐级'!U87</f>
        <v/>
      </c>
      <c r="T672" s="58">
        <f>SUMIFS($S$5:$S$692,$A$5:$A$692,A672,$B$5:$B$692,B672,$F$5:$F$692,"&lt;="&amp;F672)</f>
        <v/>
      </c>
      <c r="U672" s="52">
        <f>'帮会科技逐级'!V87</f>
        <v/>
      </c>
    </row>
    <row r="673">
      <c r="A673" s="33" t="inlineStr">
        <is>
          <t>帮会科技</t>
        </is>
      </c>
      <c r="B673" s="33">
        <f>'帮会科技逐级'!A88</f>
        <v/>
      </c>
      <c r="C673" s="33">
        <f>'帮会科技逐级'!B88</f>
        <v/>
      </c>
      <c r="D673" s="33">
        <f>'帮会科技逐级'!C88</f>
        <v/>
      </c>
      <c r="E673" t="inlineStr">
        <is>
          <t>—</t>
        </is>
      </c>
      <c r="F673" s="54">
        <f>'帮会科技逐级'!D88</f>
        <v/>
      </c>
      <c r="G673" s="55">
        <f>'帮会科技逐级'!E88</f>
        <v/>
      </c>
      <c r="H673" s="56">
        <f>'帮会科技逐级'!F88</f>
        <v/>
      </c>
      <c r="I673" s="52" t="inlineStr">
        <is>
          <t>帮会科技即时完成</t>
        </is>
      </c>
      <c r="J673" s="57">
        <f>'帮会科技逐级'!G88</f>
        <v/>
      </c>
      <c r="K673" s="35">
        <f>J673/3600</f>
        <v/>
      </c>
      <c r="L673" s="35">
        <f>SUMIFS($K$5:$K$692,$A$5:$A$692,A673,$B$5:$B$692,B673,$F$5:$F$692,"&lt;="&amp;F673)</f>
        <v/>
      </c>
      <c r="M673" s="58">
        <f>'帮会科技逐级'!R88</f>
        <v/>
      </c>
      <c r="N673" s="58">
        <f>SUMIFS($M$5:$M$692,$A$5:$A$692,A673,$B$5:$B$692,B673,$F$5:$F$692,"&lt;="&amp;F673)</f>
        <v/>
      </c>
      <c r="O673" s="58">
        <f>'帮会科技逐级'!S88</f>
        <v/>
      </c>
      <c r="P673" s="58">
        <f>SUMIFS($O$5:$O$692,$A$5:$A$692,A673,$B$5:$B$692,B673,$F$5:$F$692,"&lt;="&amp;F673)</f>
        <v/>
      </c>
      <c r="Q673" s="58">
        <f>'帮会科技逐级'!T88</f>
        <v/>
      </c>
      <c r="R673" s="58">
        <f>SUMIFS($Q$5:$Q$692,$A$5:$A$692,A673,$B$5:$B$692,B673,$F$5:$F$692,"&lt;="&amp;F673)</f>
        <v/>
      </c>
      <c r="S673" s="58">
        <f>'帮会科技逐级'!U88</f>
        <v/>
      </c>
      <c r="T673" s="58">
        <f>SUMIFS($S$5:$S$692,$A$5:$A$692,A673,$B$5:$B$692,B673,$F$5:$F$692,"&lt;="&amp;F673)</f>
        <v/>
      </c>
      <c r="U673" s="52">
        <f>'帮会科技逐级'!V88</f>
        <v/>
      </c>
    </row>
    <row r="674">
      <c r="A674" s="33" t="inlineStr">
        <is>
          <t>帮会科技</t>
        </is>
      </c>
      <c r="B674" s="33">
        <f>'帮会科技逐级'!A89</f>
        <v/>
      </c>
      <c r="C674" s="33">
        <f>'帮会科技逐级'!B89</f>
        <v/>
      </c>
      <c r="D674" s="33">
        <f>'帮会科技逐级'!C89</f>
        <v/>
      </c>
      <c r="E674" t="inlineStr">
        <is>
          <t>—</t>
        </is>
      </c>
      <c r="F674" s="54">
        <f>'帮会科技逐级'!D89</f>
        <v/>
      </c>
      <c r="G674" s="55">
        <f>'帮会科技逐级'!E89</f>
        <v/>
      </c>
      <c r="H674" s="56">
        <f>'帮会科技逐级'!F89</f>
        <v/>
      </c>
      <c r="I674" s="52" t="inlineStr">
        <is>
          <t>帮会科技即时完成</t>
        </is>
      </c>
      <c r="J674" s="57">
        <f>'帮会科技逐级'!G89</f>
        <v/>
      </c>
      <c r="K674" s="35">
        <f>J674/3600</f>
        <v/>
      </c>
      <c r="L674" s="35">
        <f>SUMIFS($K$5:$K$692,$A$5:$A$692,A674,$B$5:$B$692,B674,$F$5:$F$692,"&lt;="&amp;F674)</f>
        <v/>
      </c>
      <c r="M674" s="58">
        <f>'帮会科技逐级'!R89</f>
        <v/>
      </c>
      <c r="N674" s="58">
        <f>SUMIFS($M$5:$M$692,$A$5:$A$692,A674,$B$5:$B$692,B674,$F$5:$F$692,"&lt;="&amp;F674)</f>
        <v/>
      </c>
      <c r="O674" s="58">
        <f>'帮会科技逐级'!S89</f>
        <v/>
      </c>
      <c r="P674" s="58">
        <f>SUMIFS($O$5:$O$692,$A$5:$A$692,A674,$B$5:$B$692,B674,$F$5:$F$692,"&lt;="&amp;F674)</f>
        <v/>
      </c>
      <c r="Q674" s="58">
        <f>'帮会科技逐级'!T89</f>
        <v/>
      </c>
      <c r="R674" s="58">
        <f>SUMIFS($Q$5:$Q$692,$A$5:$A$692,A674,$B$5:$B$692,B674,$F$5:$F$692,"&lt;="&amp;F674)</f>
        <v/>
      </c>
      <c r="S674" s="58">
        <f>'帮会科技逐级'!U89</f>
        <v/>
      </c>
      <c r="T674" s="58">
        <f>SUMIFS($S$5:$S$692,$A$5:$A$692,A674,$B$5:$B$692,B674,$F$5:$F$692,"&lt;="&amp;F674)</f>
        <v/>
      </c>
      <c r="U674" s="52">
        <f>'帮会科技逐级'!V89</f>
        <v/>
      </c>
    </row>
    <row r="675">
      <c r="A675" s="33" t="inlineStr">
        <is>
          <t>帮会科技</t>
        </is>
      </c>
      <c r="B675" s="33">
        <f>'帮会科技逐级'!A90</f>
        <v/>
      </c>
      <c r="C675" s="33">
        <f>'帮会科技逐级'!B90</f>
        <v/>
      </c>
      <c r="D675" s="33">
        <f>'帮会科技逐级'!C90</f>
        <v/>
      </c>
      <c r="E675" t="inlineStr">
        <is>
          <t>—</t>
        </is>
      </c>
      <c r="F675" s="54">
        <f>'帮会科技逐级'!D90</f>
        <v/>
      </c>
      <c r="G675" s="55">
        <f>'帮会科技逐级'!E90</f>
        <v/>
      </c>
      <c r="H675" s="56">
        <f>'帮会科技逐级'!F90</f>
        <v/>
      </c>
      <c r="I675" s="52" t="inlineStr">
        <is>
          <t>帮会科技即时完成</t>
        </is>
      </c>
      <c r="J675" s="57">
        <f>'帮会科技逐级'!G90</f>
        <v/>
      </c>
      <c r="K675" s="35">
        <f>J675/3600</f>
        <v/>
      </c>
      <c r="L675" s="35">
        <f>SUMIFS($K$5:$K$692,$A$5:$A$692,A675,$B$5:$B$692,B675,$F$5:$F$692,"&lt;="&amp;F675)</f>
        <v/>
      </c>
      <c r="M675" s="58">
        <f>'帮会科技逐级'!R90</f>
        <v/>
      </c>
      <c r="N675" s="58">
        <f>SUMIFS($M$5:$M$692,$A$5:$A$692,A675,$B$5:$B$692,B675,$F$5:$F$692,"&lt;="&amp;F675)</f>
        <v/>
      </c>
      <c r="O675" s="58">
        <f>'帮会科技逐级'!S90</f>
        <v/>
      </c>
      <c r="P675" s="58">
        <f>SUMIFS($O$5:$O$692,$A$5:$A$692,A675,$B$5:$B$692,B675,$F$5:$F$692,"&lt;="&amp;F675)</f>
        <v/>
      </c>
      <c r="Q675" s="58">
        <f>'帮会科技逐级'!T90</f>
        <v/>
      </c>
      <c r="R675" s="58">
        <f>SUMIFS($Q$5:$Q$692,$A$5:$A$692,A675,$B$5:$B$692,B675,$F$5:$F$692,"&lt;="&amp;F675)</f>
        <v/>
      </c>
      <c r="S675" s="58">
        <f>'帮会科技逐级'!U90</f>
        <v/>
      </c>
      <c r="T675" s="58">
        <f>SUMIFS($S$5:$S$692,$A$5:$A$692,A675,$B$5:$B$692,B675,$F$5:$F$692,"&lt;="&amp;F675)</f>
        <v/>
      </c>
      <c r="U675" s="52">
        <f>'帮会科技逐级'!V90</f>
        <v/>
      </c>
    </row>
    <row r="676">
      <c r="A676" s="33" t="inlineStr">
        <is>
          <t>帮会科技</t>
        </is>
      </c>
      <c r="B676" s="33">
        <f>'帮会科技逐级'!A91</f>
        <v/>
      </c>
      <c r="C676" s="33">
        <f>'帮会科技逐级'!B91</f>
        <v/>
      </c>
      <c r="D676" s="33">
        <f>'帮会科技逐级'!C91</f>
        <v/>
      </c>
      <c r="E676" t="inlineStr">
        <is>
          <t>—</t>
        </is>
      </c>
      <c r="F676" s="54">
        <f>'帮会科技逐级'!D91</f>
        <v/>
      </c>
      <c r="G676" s="55">
        <f>'帮会科技逐级'!E91</f>
        <v/>
      </c>
      <c r="H676" s="56">
        <f>'帮会科技逐级'!F91</f>
        <v/>
      </c>
      <c r="I676" s="52" t="inlineStr">
        <is>
          <t>帮会科技即时完成</t>
        </is>
      </c>
      <c r="J676" s="57">
        <f>'帮会科技逐级'!G91</f>
        <v/>
      </c>
      <c r="K676" s="35">
        <f>J676/3600</f>
        <v/>
      </c>
      <c r="L676" s="35">
        <f>SUMIFS($K$5:$K$692,$A$5:$A$692,A676,$B$5:$B$692,B676,$F$5:$F$692,"&lt;="&amp;F676)</f>
        <v/>
      </c>
      <c r="M676" s="58">
        <f>'帮会科技逐级'!R91</f>
        <v/>
      </c>
      <c r="N676" s="58">
        <f>SUMIFS($M$5:$M$692,$A$5:$A$692,A676,$B$5:$B$692,B676,$F$5:$F$692,"&lt;="&amp;F676)</f>
        <v/>
      </c>
      <c r="O676" s="58">
        <f>'帮会科技逐级'!S91</f>
        <v/>
      </c>
      <c r="P676" s="58">
        <f>SUMIFS($O$5:$O$692,$A$5:$A$692,A676,$B$5:$B$692,B676,$F$5:$F$692,"&lt;="&amp;F676)</f>
        <v/>
      </c>
      <c r="Q676" s="58">
        <f>'帮会科技逐级'!T91</f>
        <v/>
      </c>
      <c r="R676" s="58">
        <f>SUMIFS($Q$5:$Q$692,$A$5:$A$692,A676,$B$5:$B$692,B676,$F$5:$F$692,"&lt;="&amp;F676)</f>
        <v/>
      </c>
      <c r="S676" s="58">
        <f>'帮会科技逐级'!U91</f>
        <v/>
      </c>
      <c r="T676" s="58">
        <f>SUMIFS($S$5:$S$692,$A$5:$A$692,A676,$B$5:$B$692,B676,$F$5:$F$692,"&lt;="&amp;F676)</f>
        <v/>
      </c>
      <c r="U676" s="52">
        <f>'帮会科技逐级'!V91</f>
        <v/>
      </c>
    </row>
    <row r="677">
      <c r="A677" s="33" t="inlineStr">
        <is>
          <t>帮会科技</t>
        </is>
      </c>
      <c r="B677" s="33">
        <f>'帮会科技逐级'!A92</f>
        <v/>
      </c>
      <c r="C677" s="33">
        <f>'帮会科技逐级'!B92</f>
        <v/>
      </c>
      <c r="D677" s="33">
        <f>'帮会科技逐级'!C92</f>
        <v/>
      </c>
      <c r="E677" t="inlineStr">
        <is>
          <t>—</t>
        </is>
      </c>
      <c r="F677" s="54">
        <f>'帮会科技逐级'!D92</f>
        <v/>
      </c>
      <c r="G677" s="55">
        <f>'帮会科技逐级'!E92</f>
        <v/>
      </c>
      <c r="H677" s="56">
        <f>'帮会科技逐级'!F92</f>
        <v/>
      </c>
      <c r="I677" s="52" t="inlineStr">
        <is>
          <t>帮会科技即时完成</t>
        </is>
      </c>
      <c r="J677" s="57">
        <f>'帮会科技逐级'!G92</f>
        <v/>
      </c>
      <c r="K677" s="35">
        <f>J677/3600</f>
        <v/>
      </c>
      <c r="L677" s="35">
        <f>SUMIFS($K$5:$K$692,$A$5:$A$692,A677,$B$5:$B$692,B677,$F$5:$F$692,"&lt;="&amp;F677)</f>
        <v/>
      </c>
      <c r="M677" s="58">
        <f>'帮会科技逐级'!R92</f>
        <v/>
      </c>
      <c r="N677" s="58">
        <f>SUMIFS($M$5:$M$692,$A$5:$A$692,A677,$B$5:$B$692,B677,$F$5:$F$692,"&lt;="&amp;F677)</f>
        <v/>
      </c>
      <c r="O677" s="58">
        <f>'帮会科技逐级'!S92</f>
        <v/>
      </c>
      <c r="P677" s="58">
        <f>SUMIFS($O$5:$O$692,$A$5:$A$692,A677,$B$5:$B$692,B677,$F$5:$F$692,"&lt;="&amp;F677)</f>
        <v/>
      </c>
      <c r="Q677" s="58">
        <f>'帮会科技逐级'!T92</f>
        <v/>
      </c>
      <c r="R677" s="58">
        <f>SUMIFS($Q$5:$Q$692,$A$5:$A$692,A677,$B$5:$B$692,B677,$F$5:$F$692,"&lt;="&amp;F677)</f>
        <v/>
      </c>
      <c r="S677" s="58">
        <f>'帮会科技逐级'!U92</f>
        <v/>
      </c>
      <c r="T677" s="58">
        <f>SUMIFS($S$5:$S$692,$A$5:$A$692,A677,$B$5:$B$692,B677,$F$5:$F$692,"&lt;="&amp;F677)</f>
        <v/>
      </c>
      <c r="U677" s="52">
        <f>'帮会科技逐级'!V92</f>
        <v/>
      </c>
    </row>
    <row r="678">
      <c r="A678" s="33" t="inlineStr">
        <is>
          <t>帮会科技</t>
        </is>
      </c>
      <c r="B678" s="33">
        <f>'帮会科技逐级'!A93</f>
        <v/>
      </c>
      <c r="C678" s="33">
        <f>'帮会科技逐级'!B93</f>
        <v/>
      </c>
      <c r="D678" s="33">
        <f>'帮会科技逐级'!C93</f>
        <v/>
      </c>
      <c r="E678" t="inlineStr">
        <is>
          <t>—</t>
        </is>
      </c>
      <c r="F678" s="54">
        <f>'帮会科技逐级'!D93</f>
        <v/>
      </c>
      <c r="G678" s="55">
        <f>'帮会科技逐级'!E93</f>
        <v/>
      </c>
      <c r="H678" s="56">
        <f>'帮会科技逐级'!F93</f>
        <v/>
      </c>
      <c r="I678" s="52" t="inlineStr">
        <is>
          <t>帮会科技即时完成</t>
        </is>
      </c>
      <c r="J678" s="57">
        <f>'帮会科技逐级'!G93</f>
        <v/>
      </c>
      <c r="K678" s="35">
        <f>J678/3600</f>
        <v/>
      </c>
      <c r="L678" s="35">
        <f>SUMIFS($K$5:$K$692,$A$5:$A$692,A678,$B$5:$B$692,B678,$F$5:$F$692,"&lt;="&amp;F678)</f>
        <v/>
      </c>
      <c r="M678" s="58">
        <f>'帮会科技逐级'!R93</f>
        <v/>
      </c>
      <c r="N678" s="58">
        <f>SUMIFS($M$5:$M$692,$A$5:$A$692,A678,$B$5:$B$692,B678,$F$5:$F$692,"&lt;="&amp;F678)</f>
        <v/>
      </c>
      <c r="O678" s="58">
        <f>'帮会科技逐级'!S93</f>
        <v/>
      </c>
      <c r="P678" s="58">
        <f>SUMIFS($O$5:$O$692,$A$5:$A$692,A678,$B$5:$B$692,B678,$F$5:$F$692,"&lt;="&amp;F678)</f>
        <v/>
      </c>
      <c r="Q678" s="58">
        <f>'帮会科技逐级'!T93</f>
        <v/>
      </c>
      <c r="R678" s="58">
        <f>SUMIFS($Q$5:$Q$692,$A$5:$A$692,A678,$B$5:$B$692,B678,$F$5:$F$692,"&lt;="&amp;F678)</f>
        <v/>
      </c>
      <c r="S678" s="58">
        <f>'帮会科技逐级'!U93</f>
        <v/>
      </c>
      <c r="T678" s="58">
        <f>SUMIFS($S$5:$S$692,$A$5:$A$692,A678,$B$5:$B$692,B678,$F$5:$F$692,"&lt;="&amp;F678)</f>
        <v/>
      </c>
      <c r="U678" s="52">
        <f>'帮会科技逐级'!V93</f>
        <v/>
      </c>
    </row>
    <row r="679">
      <c r="A679" s="33" t="inlineStr">
        <is>
          <t>帮会科技</t>
        </is>
      </c>
      <c r="B679" s="33">
        <f>'帮会科技逐级'!A94</f>
        <v/>
      </c>
      <c r="C679" s="33">
        <f>'帮会科技逐级'!B94</f>
        <v/>
      </c>
      <c r="D679" s="33">
        <f>'帮会科技逐级'!C94</f>
        <v/>
      </c>
      <c r="E679" t="inlineStr">
        <is>
          <t>—</t>
        </is>
      </c>
      <c r="F679" s="54">
        <f>'帮会科技逐级'!D94</f>
        <v/>
      </c>
      <c r="G679" s="55">
        <f>'帮会科技逐级'!E94</f>
        <v/>
      </c>
      <c r="H679" s="56">
        <f>'帮会科技逐级'!F94</f>
        <v/>
      </c>
      <c r="I679" s="52" t="inlineStr">
        <is>
          <t>帮会科技即时完成</t>
        </is>
      </c>
      <c r="J679" s="57">
        <f>'帮会科技逐级'!G94</f>
        <v/>
      </c>
      <c r="K679" s="35">
        <f>J679/3600</f>
        <v/>
      </c>
      <c r="L679" s="35">
        <f>SUMIFS($K$5:$K$692,$A$5:$A$692,A679,$B$5:$B$692,B679,$F$5:$F$692,"&lt;="&amp;F679)</f>
        <v/>
      </c>
      <c r="M679" s="58">
        <f>'帮会科技逐级'!R94</f>
        <v/>
      </c>
      <c r="N679" s="58">
        <f>SUMIFS($M$5:$M$692,$A$5:$A$692,A679,$B$5:$B$692,B679,$F$5:$F$692,"&lt;="&amp;F679)</f>
        <v/>
      </c>
      <c r="O679" s="58">
        <f>'帮会科技逐级'!S94</f>
        <v/>
      </c>
      <c r="P679" s="58">
        <f>SUMIFS($O$5:$O$692,$A$5:$A$692,A679,$B$5:$B$692,B679,$F$5:$F$692,"&lt;="&amp;F679)</f>
        <v/>
      </c>
      <c r="Q679" s="58">
        <f>'帮会科技逐级'!T94</f>
        <v/>
      </c>
      <c r="R679" s="58">
        <f>SUMIFS($Q$5:$Q$692,$A$5:$A$692,A679,$B$5:$B$692,B679,$F$5:$F$692,"&lt;="&amp;F679)</f>
        <v/>
      </c>
      <c r="S679" s="58">
        <f>'帮会科技逐级'!U94</f>
        <v/>
      </c>
      <c r="T679" s="58">
        <f>SUMIFS($S$5:$S$692,$A$5:$A$692,A679,$B$5:$B$692,B679,$F$5:$F$692,"&lt;="&amp;F679)</f>
        <v/>
      </c>
      <c r="U679" s="52">
        <f>'帮会科技逐级'!V94</f>
        <v/>
      </c>
    </row>
    <row r="680">
      <c r="A680" s="33" t="inlineStr">
        <is>
          <t>帮会科技</t>
        </is>
      </c>
      <c r="B680" s="33">
        <f>'帮会科技逐级'!A95</f>
        <v/>
      </c>
      <c r="C680" s="33">
        <f>'帮会科技逐级'!B95</f>
        <v/>
      </c>
      <c r="D680" s="33">
        <f>'帮会科技逐级'!C95</f>
        <v/>
      </c>
      <c r="E680" t="inlineStr">
        <is>
          <t>—</t>
        </is>
      </c>
      <c r="F680" s="54">
        <f>'帮会科技逐级'!D95</f>
        <v/>
      </c>
      <c r="G680" s="55">
        <f>'帮会科技逐级'!E95</f>
        <v/>
      </c>
      <c r="H680" s="56">
        <f>'帮会科技逐级'!F95</f>
        <v/>
      </c>
      <c r="I680" s="52" t="inlineStr">
        <is>
          <t>帮会科技即时完成</t>
        </is>
      </c>
      <c r="J680" s="57">
        <f>'帮会科技逐级'!G95</f>
        <v/>
      </c>
      <c r="K680" s="35">
        <f>J680/3600</f>
        <v/>
      </c>
      <c r="L680" s="35">
        <f>SUMIFS($K$5:$K$692,$A$5:$A$692,A680,$B$5:$B$692,B680,$F$5:$F$692,"&lt;="&amp;F680)</f>
        <v/>
      </c>
      <c r="M680" s="58">
        <f>'帮会科技逐级'!R95</f>
        <v/>
      </c>
      <c r="N680" s="58">
        <f>SUMIFS($M$5:$M$692,$A$5:$A$692,A680,$B$5:$B$692,B680,$F$5:$F$692,"&lt;="&amp;F680)</f>
        <v/>
      </c>
      <c r="O680" s="58">
        <f>'帮会科技逐级'!S95</f>
        <v/>
      </c>
      <c r="P680" s="58">
        <f>SUMIFS($O$5:$O$692,$A$5:$A$692,A680,$B$5:$B$692,B680,$F$5:$F$692,"&lt;="&amp;F680)</f>
        <v/>
      </c>
      <c r="Q680" s="58">
        <f>'帮会科技逐级'!T95</f>
        <v/>
      </c>
      <c r="R680" s="58">
        <f>SUMIFS($Q$5:$Q$692,$A$5:$A$692,A680,$B$5:$B$692,B680,$F$5:$F$692,"&lt;="&amp;F680)</f>
        <v/>
      </c>
      <c r="S680" s="58">
        <f>'帮会科技逐级'!U95</f>
        <v/>
      </c>
      <c r="T680" s="58">
        <f>SUMIFS($S$5:$S$692,$A$5:$A$692,A680,$B$5:$B$692,B680,$F$5:$F$692,"&lt;="&amp;F680)</f>
        <v/>
      </c>
      <c r="U680" s="52">
        <f>'帮会科技逐级'!V95</f>
        <v/>
      </c>
    </row>
    <row r="681">
      <c r="A681" s="33" t="inlineStr">
        <is>
          <t>帮会科技</t>
        </is>
      </c>
      <c r="B681" s="33">
        <f>'帮会科技逐级'!A96</f>
        <v/>
      </c>
      <c r="C681" s="33">
        <f>'帮会科技逐级'!B96</f>
        <v/>
      </c>
      <c r="D681" s="33">
        <f>'帮会科技逐级'!C96</f>
        <v/>
      </c>
      <c r="E681" t="inlineStr">
        <is>
          <t>—</t>
        </is>
      </c>
      <c r="F681" s="54">
        <f>'帮会科技逐级'!D96</f>
        <v/>
      </c>
      <c r="G681" s="55">
        <f>'帮会科技逐级'!E96</f>
        <v/>
      </c>
      <c r="H681" s="56">
        <f>'帮会科技逐级'!F96</f>
        <v/>
      </c>
      <c r="I681" s="52" t="inlineStr">
        <is>
          <t>帮会科技即时完成</t>
        </is>
      </c>
      <c r="J681" s="57">
        <f>'帮会科技逐级'!G96</f>
        <v/>
      </c>
      <c r="K681" s="35">
        <f>J681/3600</f>
        <v/>
      </c>
      <c r="L681" s="35">
        <f>SUMIFS($K$5:$K$692,$A$5:$A$692,A681,$B$5:$B$692,B681,$F$5:$F$692,"&lt;="&amp;F681)</f>
        <v/>
      </c>
      <c r="M681" s="58">
        <f>'帮会科技逐级'!R96</f>
        <v/>
      </c>
      <c r="N681" s="58">
        <f>SUMIFS($M$5:$M$692,$A$5:$A$692,A681,$B$5:$B$692,B681,$F$5:$F$692,"&lt;="&amp;F681)</f>
        <v/>
      </c>
      <c r="O681" s="58">
        <f>'帮会科技逐级'!S96</f>
        <v/>
      </c>
      <c r="P681" s="58">
        <f>SUMIFS($O$5:$O$692,$A$5:$A$692,A681,$B$5:$B$692,B681,$F$5:$F$692,"&lt;="&amp;F681)</f>
        <v/>
      </c>
      <c r="Q681" s="58">
        <f>'帮会科技逐级'!T96</f>
        <v/>
      </c>
      <c r="R681" s="58">
        <f>SUMIFS($Q$5:$Q$692,$A$5:$A$692,A681,$B$5:$B$692,B681,$F$5:$F$692,"&lt;="&amp;F681)</f>
        <v/>
      </c>
      <c r="S681" s="58">
        <f>'帮会科技逐级'!U96</f>
        <v/>
      </c>
      <c r="T681" s="58">
        <f>SUMIFS($S$5:$S$692,$A$5:$A$692,A681,$B$5:$B$692,B681,$F$5:$F$692,"&lt;="&amp;F681)</f>
        <v/>
      </c>
      <c r="U681" s="52">
        <f>'帮会科技逐级'!V96</f>
        <v/>
      </c>
    </row>
    <row r="682">
      <c r="A682" s="33" t="inlineStr">
        <is>
          <t>帮会科技</t>
        </is>
      </c>
      <c r="B682" s="33">
        <f>'帮会科技逐级'!A97</f>
        <v/>
      </c>
      <c r="C682" s="33">
        <f>'帮会科技逐级'!B97</f>
        <v/>
      </c>
      <c r="D682" s="33">
        <f>'帮会科技逐级'!C97</f>
        <v/>
      </c>
      <c r="E682" t="inlineStr">
        <is>
          <t>—</t>
        </is>
      </c>
      <c r="F682" s="54">
        <f>'帮会科技逐级'!D97</f>
        <v/>
      </c>
      <c r="G682" s="55">
        <f>'帮会科技逐级'!E97</f>
        <v/>
      </c>
      <c r="H682" s="56">
        <f>'帮会科技逐级'!F97</f>
        <v/>
      </c>
      <c r="I682" s="52" t="inlineStr">
        <is>
          <t>帮会科技即时完成</t>
        </is>
      </c>
      <c r="J682" s="57">
        <f>'帮会科技逐级'!G97</f>
        <v/>
      </c>
      <c r="K682" s="35">
        <f>J682/3600</f>
        <v/>
      </c>
      <c r="L682" s="35">
        <f>SUMIFS($K$5:$K$692,$A$5:$A$692,A682,$B$5:$B$692,B682,$F$5:$F$692,"&lt;="&amp;F682)</f>
        <v/>
      </c>
      <c r="M682" s="58">
        <f>'帮会科技逐级'!R97</f>
        <v/>
      </c>
      <c r="N682" s="58">
        <f>SUMIFS($M$5:$M$692,$A$5:$A$692,A682,$B$5:$B$692,B682,$F$5:$F$692,"&lt;="&amp;F682)</f>
        <v/>
      </c>
      <c r="O682" s="58">
        <f>'帮会科技逐级'!S97</f>
        <v/>
      </c>
      <c r="P682" s="58">
        <f>SUMIFS($O$5:$O$692,$A$5:$A$692,A682,$B$5:$B$692,B682,$F$5:$F$692,"&lt;="&amp;F682)</f>
        <v/>
      </c>
      <c r="Q682" s="58">
        <f>'帮会科技逐级'!T97</f>
        <v/>
      </c>
      <c r="R682" s="58">
        <f>SUMIFS($Q$5:$Q$692,$A$5:$A$692,A682,$B$5:$B$692,B682,$F$5:$F$692,"&lt;="&amp;F682)</f>
        <v/>
      </c>
      <c r="S682" s="58">
        <f>'帮会科技逐级'!U97</f>
        <v/>
      </c>
      <c r="T682" s="58">
        <f>SUMIFS($S$5:$S$692,$A$5:$A$692,A682,$B$5:$B$692,B682,$F$5:$F$692,"&lt;="&amp;F682)</f>
        <v/>
      </c>
      <c r="U682" s="52">
        <f>'帮会科技逐级'!V97</f>
        <v/>
      </c>
    </row>
    <row r="683">
      <c r="A683" s="33" t="inlineStr">
        <is>
          <t>帮会科技</t>
        </is>
      </c>
      <c r="B683" s="33">
        <f>'帮会科技逐级'!A98</f>
        <v/>
      </c>
      <c r="C683" s="33">
        <f>'帮会科技逐级'!B98</f>
        <v/>
      </c>
      <c r="D683" s="33">
        <f>'帮会科技逐级'!C98</f>
        <v/>
      </c>
      <c r="E683" t="inlineStr">
        <is>
          <t>—</t>
        </is>
      </c>
      <c r="F683" s="54">
        <f>'帮会科技逐级'!D98</f>
        <v/>
      </c>
      <c r="G683" s="55">
        <f>'帮会科技逐级'!E98</f>
        <v/>
      </c>
      <c r="H683" s="56">
        <f>'帮会科技逐级'!F98</f>
        <v/>
      </c>
      <c r="I683" s="52" t="inlineStr">
        <is>
          <t>帮会科技即时完成</t>
        </is>
      </c>
      <c r="J683" s="57">
        <f>'帮会科技逐级'!G98</f>
        <v/>
      </c>
      <c r="K683" s="35">
        <f>J683/3600</f>
        <v/>
      </c>
      <c r="L683" s="35">
        <f>SUMIFS($K$5:$K$692,$A$5:$A$692,A683,$B$5:$B$692,B683,$F$5:$F$692,"&lt;="&amp;F683)</f>
        <v/>
      </c>
      <c r="M683" s="58">
        <f>'帮会科技逐级'!R98</f>
        <v/>
      </c>
      <c r="N683" s="58">
        <f>SUMIFS($M$5:$M$692,$A$5:$A$692,A683,$B$5:$B$692,B683,$F$5:$F$692,"&lt;="&amp;F683)</f>
        <v/>
      </c>
      <c r="O683" s="58">
        <f>'帮会科技逐级'!S98</f>
        <v/>
      </c>
      <c r="P683" s="58">
        <f>SUMIFS($O$5:$O$692,$A$5:$A$692,A683,$B$5:$B$692,B683,$F$5:$F$692,"&lt;="&amp;F683)</f>
        <v/>
      </c>
      <c r="Q683" s="58">
        <f>'帮会科技逐级'!T98</f>
        <v/>
      </c>
      <c r="R683" s="58">
        <f>SUMIFS($Q$5:$Q$692,$A$5:$A$692,A683,$B$5:$B$692,B683,$F$5:$F$692,"&lt;="&amp;F683)</f>
        <v/>
      </c>
      <c r="S683" s="58">
        <f>'帮会科技逐级'!U98</f>
        <v/>
      </c>
      <c r="T683" s="58">
        <f>SUMIFS($S$5:$S$692,$A$5:$A$692,A683,$B$5:$B$692,B683,$F$5:$F$692,"&lt;="&amp;F683)</f>
        <v/>
      </c>
      <c r="U683" s="52">
        <f>'帮会科技逐级'!V98</f>
        <v/>
      </c>
    </row>
    <row r="684">
      <c r="A684" s="33" t="inlineStr">
        <is>
          <t>帮会科技</t>
        </is>
      </c>
      <c r="B684" s="33">
        <f>'帮会科技逐级'!A99</f>
        <v/>
      </c>
      <c r="C684" s="33">
        <f>'帮会科技逐级'!B99</f>
        <v/>
      </c>
      <c r="D684" s="33">
        <f>'帮会科技逐级'!C99</f>
        <v/>
      </c>
      <c r="E684" t="inlineStr">
        <is>
          <t>—</t>
        </is>
      </c>
      <c r="F684" s="54">
        <f>'帮会科技逐级'!D99</f>
        <v/>
      </c>
      <c r="G684" s="55">
        <f>'帮会科技逐级'!E99</f>
        <v/>
      </c>
      <c r="H684" s="56">
        <f>'帮会科技逐级'!F99</f>
        <v/>
      </c>
      <c r="I684" s="52" t="inlineStr">
        <is>
          <t>帮会科技即时完成</t>
        </is>
      </c>
      <c r="J684" s="57">
        <f>'帮会科技逐级'!G99</f>
        <v/>
      </c>
      <c r="K684" s="35">
        <f>J684/3600</f>
        <v/>
      </c>
      <c r="L684" s="35">
        <f>SUMIFS($K$5:$K$692,$A$5:$A$692,A684,$B$5:$B$692,B684,$F$5:$F$692,"&lt;="&amp;F684)</f>
        <v/>
      </c>
      <c r="M684" s="58">
        <f>'帮会科技逐级'!R99</f>
        <v/>
      </c>
      <c r="N684" s="58">
        <f>SUMIFS($M$5:$M$692,$A$5:$A$692,A684,$B$5:$B$692,B684,$F$5:$F$692,"&lt;="&amp;F684)</f>
        <v/>
      </c>
      <c r="O684" s="58">
        <f>'帮会科技逐级'!S99</f>
        <v/>
      </c>
      <c r="P684" s="58">
        <f>SUMIFS($O$5:$O$692,$A$5:$A$692,A684,$B$5:$B$692,B684,$F$5:$F$692,"&lt;="&amp;F684)</f>
        <v/>
      </c>
      <c r="Q684" s="58">
        <f>'帮会科技逐级'!T99</f>
        <v/>
      </c>
      <c r="R684" s="58">
        <f>SUMIFS($Q$5:$Q$692,$A$5:$A$692,A684,$B$5:$B$692,B684,$F$5:$F$692,"&lt;="&amp;F684)</f>
        <v/>
      </c>
      <c r="S684" s="58">
        <f>'帮会科技逐级'!U99</f>
        <v/>
      </c>
      <c r="T684" s="58">
        <f>SUMIFS($S$5:$S$692,$A$5:$A$692,A684,$B$5:$B$692,B684,$F$5:$F$692,"&lt;="&amp;F684)</f>
        <v/>
      </c>
      <c r="U684" s="52">
        <f>'帮会科技逐级'!V99</f>
        <v/>
      </c>
    </row>
    <row r="685">
      <c r="A685" s="33" t="inlineStr">
        <is>
          <t>帮会科技</t>
        </is>
      </c>
      <c r="B685" s="33">
        <f>'帮会科技逐级'!A100</f>
        <v/>
      </c>
      <c r="C685" s="33">
        <f>'帮会科技逐级'!B100</f>
        <v/>
      </c>
      <c r="D685" s="33">
        <f>'帮会科技逐级'!C100</f>
        <v/>
      </c>
      <c r="E685" t="inlineStr">
        <is>
          <t>—</t>
        </is>
      </c>
      <c r="F685" s="54">
        <f>'帮会科技逐级'!D100</f>
        <v/>
      </c>
      <c r="G685" s="55">
        <f>'帮会科技逐级'!E100</f>
        <v/>
      </c>
      <c r="H685" s="56">
        <f>'帮会科技逐级'!F100</f>
        <v/>
      </c>
      <c r="I685" s="52" t="inlineStr">
        <is>
          <t>帮会科技即时完成</t>
        </is>
      </c>
      <c r="J685" s="57">
        <f>'帮会科技逐级'!G100</f>
        <v/>
      </c>
      <c r="K685" s="35">
        <f>J685/3600</f>
        <v/>
      </c>
      <c r="L685" s="35">
        <f>SUMIFS($K$5:$K$692,$A$5:$A$692,A685,$B$5:$B$692,B685,$F$5:$F$692,"&lt;="&amp;F685)</f>
        <v/>
      </c>
      <c r="M685" s="58">
        <f>'帮会科技逐级'!R100</f>
        <v/>
      </c>
      <c r="N685" s="58">
        <f>SUMIFS($M$5:$M$692,$A$5:$A$692,A685,$B$5:$B$692,B685,$F$5:$F$692,"&lt;="&amp;F685)</f>
        <v/>
      </c>
      <c r="O685" s="58">
        <f>'帮会科技逐级'!S100</f>
        <v/>
      </c>
      <c r="P685" s="58">
        <f>SUMIFS($O$5:$O$692,$A$5:$A$692,A685,$B$5:$B$692,B685,$F$5:$F$692,"&lt;="&amp;F685)</f>
        <v/>
      </c>
      <c r="Q685" s="58">
        <f>'帮会科技逐级'!T100</f>
        <v/>
      </c>
      <c r="R685" s="58">
        <f>SUMIFS($Q$5:$Q$692,$A$5:$A$692,A685,$B$5:$B$692,B685,$F$5:$F$692,"&lt;="&amp;F685)</f>
        <v/>
      </c>
      <c r="S685" s="58">
        <f>'帮会科技逐级'!U100</f>
        <v/>
      </c>
      <c r="T685" s="58">
        <f>SUMIFS($S$5:$S$692,$A$5:$A$692,A685,$B$5:$B$692,B685,$F$5:$F$692,"&lt;="&amp;F685)</f>
        <v/>
      </c>
      <c r="U685" s="52">
        <f>'帮会科技逐级'!V100</f>
        <v/>
      </c>
    </row>
    <row r="686">
      <c r="A686" s="33" t="inlineStr">
        <is>
          <t>帮会科技</t>
        </is>
      </c>
      <c r="B686" s="33">
        <f>'帮会科技逐级'!A101</f>
        <v/>
      </c>
      <c r="C686" s="33">
        <f>'帮会科技逐级'!B101</f>
        <v/>
      </c>
      <c r="D686" s="33">
        <f>'帮会科技逐级'!C101</f>
        <v/>
      </c>
      <c r="E686" t="inlineStr">
        <is>
          <t>—</t>
        </is>
      </c>
      <c r="F686" s="54">
        <f>'帮会科技逐级'!D101</f>
        <v/>
      </c>
      <c r="G686" s="55">
        <f>'帮会科技逐级'!E101</f>
        <v/>
      </c>
      <c r="H686" s="56">
        <f>'帮会科技逐级'!F101</f>
        <v/>
      </c>
      <c r="I686" s="52" t="inlineStr">
        <is>
          <t>帮会科技即时完成</t>
        </is>
      </c>
      <c r="J686" s="57">
        <f>'帮会科技逐级'!G101</f>
        <v/>
      </c>
      <c r="K686" s="35">
        <f>J686/3600</f>
        <v/>
      </c>
      <c r="L686" s="35">
        <f>SUMIFS($K$5:$K$692,$A$5:$A$692,A686,$B$5:$B$692,B686,$F$5:$F$692,"&lt;="&amp;F686)</f>
        <v/>
      </c>
      <c r="M686" s="58">
        <f>'帮会科技逐级'!R101</f>
        <v/>
      </c>
      <c r="N686" s="58">
        <f>SUMIFS($M$5:$M$692,$A$5:$A$692,A686,$B$5:$B$692,B686,$F$5:$F$692,"&lt;="&amp;F686)</f>
        <v/>
      </c>
      <c r="O686" s="58">
        <f>'帮会科技逐级'!S101</f>
        <v/>
      </c>
      <c r="P686" s="58">
        <f>SUMIFS($O$5:$O$692,$A$5:$A$692,A686,$B$5:$B$692,B686,$F$5:$F$692,"&lt;="&amp;F686)</f>
        <v/>
      </c>
      <c r="Q686" s="58">
        <f>'帮会科技逐级'!T101</f>
        <v/>
      </c>
      <c r="R686" s="58">
        <f>SUMIFS($Q$5:$Q$692,$A$5:$A$692,A686,$B$5:$B$692,B686,$F$5:$F$692,"&lt;="&amp;F686)</f>
        <v/>
      </c>
      <c r="S686" s="58">
        <f>'帮会科技逐级'!U101</f>
        <v/>
      </c>
      <c r="T686" s="58">
        <f>SUMIFS($S$5:$S$692,$A$5:$A$692,A686,$B$5:$B$692,B686,$F$5:$F$692,"&lt;="&amp;F686)</f>
        <v/>
      </c>
      <c r="U686" s="52">
        <f>'帮会科技逐级'!V101</f>
        <v/>
      </c>
    </row>
    <row r="687">
      <c r="A687" s="33" t="inlineStr">
        <is>
          <t>帮会科技</t>
        </is>
      </c>
      <c r="B687" s="33">
        <f>'帮会科技逐级'!A102</f>
        <v/>
      </c>
      <c r="C687" s="33">
        <f>'帮会科技逐级'!B102</f>
        <v/>
      </c>
      <c r="D687" s="33">
        <f>'帮会科技逐级'!C102</f>
        <v/>
      </c>
      <c r="E687" t="inlineStr">
        <is>
          <t>—</t>
        </is>
      </c>
      <c r="F687" s="54">
        <f>'帮会科技逐级'!D102</f>
        <v/>
      </c>
      <c r="G687" s="55">
        <f>'帮会科技逐级'!E102</f>
        <v/>
      </c>
      <c r="H687" s="56">
        <f>'帮会科技逐级'!F102</f>
        <v/>
      </c>
      <c r="I687" s="52" t="inlineStr">
        <is>
          <t>帮会科技即时完成</t>
        </is>
      </c>
      <c r="J687" s="57">
        <f>'帮会科技逐级'!G102</f>
        <v/>
      </c>
      <c r="K687" s="35">
        <f>J687/3600</f>
        <v/>
      </c>
      <c r="L687" s="35">
        <f>SUMIFS($K$5:$K$692,$A$5:$A$692,A687,$B$5:$B$692,B687,$F$5:$F$692,"&lt;="&amp;F687)</f>
        <v/>
      </c>
      <c r="M687" s="58">
        <f>'帮会科技逐级'!R102</f>
        <v/>
      </c>
      <c r="N687" s="58">
        <f>SUMIFS($M$5:$M$692,$A$5:$A$692,A687,$B$5:$B$692,B687,$F$5:$F$692,"&lt;="&amp;F687)</f>
        <v/>
      </c>
      <c r="O687" s="58">
        <f>'帮会科技逐级'!S102</f>
        <v/>
      </c>
      <c r="P687" s="58">
        <f>SUMIFS($O$5:$O$692,$A$5:$A$692,A687,$B$5:$B$692,B687,$F$5:$F$692,"&lt;="&amp;F687)</f>
        <v/>
      </c>
      <c r="Q687" s="58">
        <f>'帮会科技逐级'!T102</f>
        <v/>
      </c>
      <c r="R687" s="58">
        <f>SUMIFS($Q$5:$Q$692,$A$5:$A$692,A687,$B$5:$B$692,B687,$F$5:$F$692,"&lt;="&amp;F687)</f>
        <v/>
      </c>
      <c r="S687" s="58">
        <f>'帮会科技逐级'!U102</f>
        <v/>
      </c>
      <c r="T687" s="58">
        <f>SUMIFS($S$5:$S$692,$A$5:$A$692,A687,$B$5:$B$692,B687,$F$5:$F$692,"&lt;="&amp;F687)</f>
        <v/>
      </c>
      <c r="U687" s="52">
        <f>'帮会科技逐级'!V102</f>
        <v/>
      </c>
    </row>
    <row r="688">
      <c r="A688" s="33" t="inlineStr">
        <is>
          <t>帮会科技</t>
        </is>
      </c>
      <c r="B688" s="33">
        <f>'帮会科技逐级'!A103</f>
        <v/>
      </c>
      <c r="C688" s="33">
        <f>'帮会科技逐级'!B103</f>
        <v/>
      </c>
      <c r="D688" s="33">
        <f>'帮会科技逐级'!C103</f>
        <v/>
      </c>
      <c r="E688" t="inlineStr">
        <is>
          <t>—</t>
        </is>
      </c>
      <c r="F688" s="54">
        <f>'帮会科技逐级'!D103</f>
        <v/>
      </c>
      <c r="G688" s="55">
        <f>'帮会科技逐级'!E103</f>
        <v/>
      </c>
      <c r="H688" s="56">
        <f>'帮会科技逐级'!F103</f>
        <v/>
      </c>
      <c r="I688" s="52" t="inlineStr">
        <is>
          <t>帮会科技即时完成</t>
        </is>
      </c>
      <c r="J688" s="57">
        <f>'帮会科技逐级'!G103</f>
        <v/>
      </c>
      <c r="K688" s="35">
        <f>J688/3600</f>
        <v/>
      </c>
      <c r="L688" s="35">
        <f>SUMIFS($K$5:$K$692,$A$5:$A$692,A688,$B$5:$B$692,B688,$F$5:$F$692,"&lt;="&amp;F688)</f>
        <v/>
      </c>
      <c r="M688" s="58">
        <f>'帮会科技逐级'!R103</f>
        <v/>
      </c>
      <c r="N688" s="58">
        <f>SUMIFS($M$5:$M$692,$A$5:$A$692,A688,$B$5:$B$692,B688,$F$5:$F$692,"&lt;="&amp;F688)</f>
        <v/>
      </c>
      <c r="O688" s="58">
        <f>'帮会科技逐级'!S103</f>
        <v/>
      </c>
      <c r="P688" s="58">
        <f>SUMIFS($O$5:$O$692,$A$5:$A$692,A688,$B$5:$B$692,B688,$F$5:$F$692,"&lt;="&amp;F688)</f>
        <v/>
      </c>
      <c r="Q688" s="58">
        <f>'帮会科技逐级'!T103</f>
        <v/>
      </c>
      <c r="R688" s="58">
        <f>SUMIFS($Q$5:$Q$692,$A$5:$A$692,A688,$B$5:$B$692,B688,$F$5:$F$692,"&lt;="&amp;F688)</f>
        <v/>
      </c>
      <c r="S688" s="58">
        <f>'帮会科技逐级'!U103</f>
        <v/>
      </c>
      <c r="T688" s="58">
        <f>SUMIFS($S$5:$S$692,$A$5:$A$692,A688,$B$5:$B$692,B688,$F$5:$F$692,"&lt;="&amp;F688)</f>
        <v/>
      </c>
      <c r="U688" s="52">
        <f>'帮会科技逐级'!V103</f>
        <v/>
      </c>
    </row>
    <row r="689">
      <c r="A689" s="33" t="inlineStr">
        <is>
          <t>帮会科技</t>
        </is>
      </c>
      <c r="B689" s="33">
        <f>'帮会科技逐级'!A104</f>
        <v/>
      </c>
      <c r="C689" s="33">
        <f>'帮会科技逐级'!B104</f>
        <v/>
      </c>
      <c r="D689" s="33">
        <f>'帮会科技逐级'!C104</f>
        <v/>
      </c>
      <c r="E689" t="inlineStr">
        <is>
          <t>—</t>
        </is>
      </c>
      <c r="F689" s="54">
        <f>'帮会科技逐级'!D104</f>
        <v/>
      </c>
      <c r="G689" s="55">
        <f>'帮会科技逐级'!E104</f>
        <v/>
      </c>
      <c r="H689" s="56">
        <f>'帮会科技逐级'!F104</f>
        <v/>
      </c>
      <c r="I689" s="52" t="inlineStr">
        <is>
          <t>帮会科技即时完成</t>
        </is>
      </c>
      <c r="J689" s="57">
        <f>'帮会科技逐级'!G104</f>
        <v/>
      </c>
      <c r="K689" s="35">
        <f>J689/3600</f>
        <v/>
      </c>
      <c r="L689" s="35">
        <f>SUMIFS($K$5:$K$692,$A$5:$A$692,A689,$B$5:$B$692,B689,$F$5:$F$692,"&lt;="&amp;F689)</f>
        <v/>
      </c>
      <c r="M689" s="58">
        <f>'帮会科技逐级'!R104</f>
        <v/>
      </c>
      <c r="N689" s="58">
        <f>SUMIFS($M$5:$M$692,$A$5:$A$692,A689,$B$5:$B$692,B689,$F$5:$F$692,"&lt;="&amp;F689)</f>
        <v/>
      </c>
      <c r="O689" s="58">
        <f>'帮会科技逐级'!S104</f>
        <v/>
      </c>
      <c r="P689" s="58">
        <f>SUMIFS($O$5:$O$692,$A$5:$A$692,A689,$B$5:$B$692,B689,$F$5:$F$692,"&lt;="&amp;F689)</f>
        <v/>
      </c>
      <c r="Q689" s="58">
        <f>'帮会科技逐级'!T104</f>
        <v/>
      </c>
      <c r="R689" s="58">
        <f>SUMIFS($Q$5:$Q$692,$A$5:$A$692,A689,$B$5:$B$692,B689,$F$5:$F$692,"&lt;="&amp;F689)</f>
        <v/>
      </c>
      <c r="S689" s="58">
        <f>'帮会科技逐级'!U104</f>
        <v/>
      </c>
      <c r="T689" s="58">
        <f>SUMIFS($S$5:$S$692,$A$5:$A$692,A689,$B$5:$B$692,B689,$F$5:$F$692,"&lt;="&amp;F689)</f>
        <v/>
      </c>
      <c r="U689" s="52">
        <f>'帮会科技逐级'!V104</f>
        <v/>
      </c>
    </row>
    <row r="690">
      <c r="A690" s="33" t="inlineStr">
        <is>
          <t>帮会科技</t>
        </is>
      </c>
      <c r="B690" s="33">
        <f>'帮会科技逐级'!A105</f>
        <v/>
      </c>
      <c r="C690" s="33">
        <f>'帮会科技逐级'!B105</f>
        <v/>
      </c>
      <c r="D690" s="33">
        <f>'帮会科技逐级'!C105</f>
        <v/>
      </c>
      <c r="E690" t="inlineStr">
        <is>
          <t>—</t>
        </is>
      </c>
      <c r="F690" s="54">
        <f>'帮会科技逐级'!D105</f>
        <v/>
      </c>
      <c r="G690" s="55">
        <f>'帮会科技逐级'!E105</f>
        <v/>
      </c>
      <c r="H690" s="56">
        <f>'帮会科技逐级'!F105</f>
        <v/>
      </c>
      <c r="I690" s="52" t="inlineStr">
        <is>
          <t>帮会科技即时完成</t>
        </is>
      </c>
      <c r="J690" s="57">
        <f>'帮会科技逐级'!G105</f>
        <v/>
      </c>
      <c r="K690" s="35">
        <f>J690/3600</f>
        <v/>
      </c>
      <c r="L690" s="35">
        <f>SUMIFS($K$5:$K$692,$A$5:$A$692,A690,$B$5:$B$692,B690,$F$5:$F$692,"&lt;="&amp;F690)</f>
        <v/>
      </c>
      <c r="M690" s="58">
        <f>'帮会科技逐级'!R105</f>
        <v/>
      </c>
      <c r="N690" s="58">
        <f>SUMIFS($M$5:$M$692,$A$5:$A$692,A690,$B$5:$B$692,B690,$F$5:$F$692,"&lt;="&amp;F690)</f>
        <v/>
      </c>
      <c r="O690" s="58">
        <f>'帮会科技逐级'!S105</f>
        <v/>
      </c>
      <c r="P690" s="58">
        <f>SUMIFS($O$5:$O$692,$A$5:$A$692,A690,$B$5:$B$692,B690,$F$5:$F$692,"&lt;="&amp;F690)</f>
        <v/>
      </c>
      <c r="Q690" s="58">
        <f>'帮会科技逐级'!T105</f>
        <v/>
      </c>
      <c r="R690" s="58">
        <f>SUMIFS($Q$5:$Q$692,$A$5:$A$692,A690,$B$5:$B$692,B690,$F$5:$F$692,"&lt;="&amp;F690)</f>
        <v/>
      </c>
      <c r="S690" s="58">
        <f>'帮会科技逐级'!U105</f>
        <v/>
      </c>
      <c r="T690" s="58">
        <f>SUMIFS($S$5:$S$692,$A$5:$A$692,A690,$B$5:$B$692,B690,$F$5:$F$692,"&lt;="&amp;F690)</f>
        <v/>
      </c>
      <c r="U690" s="52">
        <f>'帮会科技逐级'!V105</f>
        <v/>
      </c>
    </row>
    <row r="691">
      <c r="A691" s="33" t="inlineStr">
        <is>
          <t>帮会科技</t>
        </is>
      </c>
      <c r="B691" s="33">
        <f>'帮会科技逐级'!A106</f>
        <v/>
      </c>
      <c r="C691" s="33">
        <f>'帮会科技逐级'!B106</f>
        <v/>
      </c>
      <c r="D691" s="33">
        <f>'帮会科技逐级'!C106</f>
        <v/>
      </c>
      <c r="E691" t="inlineStr">
        <is>
          <t>—</t>
        </is>
      </c>
      <c r="F691" s="54">
        <f>'帮会科技逐级'!D106</f>
        <v/>
      </c>
      <c r="G691" s="55">
        <f>'帮会科技逐级'!E106</f>
        <v/>
      </c>
      <c r="H691" s="56">
        <f>'帮会科技逐级'!F106</f>
        <v/>
      </c>
      <c r="I691" s="52" t="inlineStr">
        <is>
          <t>帮会科技即时完成</t>
        </is>
      </c>
      <c r="J691" s="57">
        <f>'帮会科技逐级'!G106</f>
        <v/>
      </c>
      <c r="K691" s="35">
        <f>J691/3600</f>
        <v/>
      </c>
      <c r="L691" s="35">
        <f>SUMIFS($K$5:$K$692,$A$5:$A$692,A691,$B$5:$B$692,B691,$F$5:$F$692,"&lt;="&amp;F691)</f>
        <v/>
      </c>
      <c r="M691" s="58">
        <f>'帮会科技逐级'!R106</f>
        <v/>
      </c>
      <c r="N691" s="58">
        <f>SUMIFS($M$5:$M$692,$A$5:$A$692,A691,$B$5:$B$692,B691,$F$5:$F$692,"&lt;="&amp;F691)</f>
        <v/>
      </c>
      <c r="O691" s="58">
        <f>'帮会科技逐级'!S106</f>
        <v/>
      </c>
      <c r="P691" s="58">
        <f>SUMIFS($O$5:$O$692,$A$5:$A$692,A691,$B$5:$B$692,B691,$F$5:$F$692,"&lt;="&amp;F691)</f>
        <v/>
      </c>
      <c r="Q691" s="58">
        <f>'帮会科技逐级'!T106</f>
        <v/>
      </c>
      <c r="R691" s="58">
        <f>SUMIFS($Q$5:$Q$692,$A$5:$A$692,A691,$B$5:$B$692,B691,$F$5:$F$692,"&lt;="&amp;F691)</f>
        <v/>
      </c>
      <c r="S691" s="58">
        <f>'帮会科技逐级'!U106</f>
        <v/>
      </c>
      <c r="T691" s="58">
        <f>SUMIFS($S$5:$S$692,$A$5:$A$692,A691,$B$5:$B$692,B691,$F$5:$F$692,"&lt;="&amp;F691)</f>
        <v/>
      </c>
      <c r="U691" s="52">
        <f>'帮会科技逐级'!V106</f>
        <v/>
      </c>
    </row>
    <row r="692">
      <c r="A692" s="33" t="inlineStr">
        <is>
          <t>帮会科技</t>
        </is>
      </c>
      <c r="B692" s="33">
        <f>'帮会科技逐级'!A107</f>
        <v/>
      </c>
      <c r="C692" s="33">
        <f>'帮会科技逐级'!B107</f>
        <v/>
      </c>
      <c r="D692" s="33">
        <f>'帮会科技逐级'!C107</f>
        <v/>
      </c>
      <c r="E692" t="inlineStr">
        <is>
          <t>—</t>
        </is>
      </c>
      <c r="F692" s="54">
        <f>'帮会科技逐级'!D107</f>
        <v/>
      </c>
      <c r="G692" s="55">
        <f>'帮会科技逐级'!E107</f>
        <v/>
      </c>
      <c r="H692" s="56">
        <f>'帮会科技逐级'!F107</f>
        <v/>
      </c>
      <c r="I692" s="52" t="inlineStr">
        <is>
          <t>帮会科技即时完成</t>
        </is>
      </c>
      <c r="J692" s="57">
        <f>'帮会科技逐级'!G107</f>
        <v/>
      </c>
      <c r="K692" s="35">
        <f>J692/3600</f>
        <v/>
      </c>
      <c r="L692" s="35">
        <f>SUMIFS($K$5:$K$692,$A$5:$A$692,A692,$B$5:$B$692,B692,$F$5:$F$692,"&lt;="&amp;F692)</f>
        <v/>
      </c>
      <c r="M692" s="58">
        <f>'帮会科技逐级'!R107</f>
        <v/>
      </c>
      <c r="N692" s="58">
        <f>SUMIFS($M$5:$M$692,$A$5:$A$692,A692,$B$5:$B$692,B692,$F$5:$F$692,"&lt;="&amp;F692)</f>
        <v/>
      </c>
      <c r="O692" s="58">
        <f>'帮会科技逐级'!S107</f>
        <v/>
      </c>
      <c r="P692" s="58">
        <f>SUMIFS($O$5:$O$692,$A$5:$A$692,A692,$B$5:$B$692,B692,$F$5:$F$692,"&lt;="&amp;F692)</f>
        <v/>
      </c>
      <c r="Q692" s="58">
        <f>'帮会科技逐级'!T107</f>
        <v/>
      </c>
      <c r="R692" s="58">
        <f>SUMIFS($Q$5:$Q$692,$A$5:$A$692,A692,$B$5:$B$692,B692,$F$5:$F$692,"&lt;="&amp;F692)</f>
        <v/>
      </c>
      <c r="S692" s="58">
        <f>'帮会科技逐级'!U107</f>
        <v/>
      </c>
      <c r="T692" s="58">
        <f>SUMIFS($S$5:$S$692,$A$5:$A$692,A692,$B$5:$B$692,B692,$F$5:$F$692,"&lt;="&amp;F692)</f>
        <v/>
      </c>
      <c r="U692" s="52">
        <f>'帮会科技逐级'!V107</f>
        <v/>
      </c>
    </row>
  </sheetData>
  <autoFilter ref="A4:U692"/>
  <mergeCells count="2">
    <mergeCell ref="A1:U1"/>
    <mergeCell ref="A2:U2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4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6" customWidth="1" min="10" max="10"/>
    <col width="16" customWidth="1" min="11" max="11"/>
    <col width="15" customWidth="1" min="12" max="12"/>
    <col width="15" customWidth="1" min="13" max="13"/>
    <col width="48" customWidth="1" min="14" max="14"/>
    <col width="17" customWidth="1" min="15" max="15"/>
    <col width="12" customWidth="1" min="16" max="16"/>
    <col width="17" customWidth="1" min="17" max="17"/>
    <col width="12" customWidth="1" min="18" max="18"/>
  </cols>
  <sheetData>
    <row r="1" ht="28" customHeight="1">
      <c r="A1" s="1" t="inlineStr">
        <is>
          <t>个人技术升级总览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30" t="n"/>
    </row>
    <row r="2" ht="42" customHeight="1">
      <c r="A2" s="2" t="inlineStr">
        <is>
          <t>汇总覆盖42个个人技术；全程指从0级升到最高等级的全部单级升级成本/时间累加。所有当前技术均使用全等级预算曲线，预算列是验收目标，曲线列负责控制逐级倾斜。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30" t="n"/>
    </row>
    <row r="4" ht="42" customHeight="1">
      <c r="A4" s="5" t="inlineStr">
        <is>
          <t>技术Key</t>
        </is>
      </c>
      <c r="B4" s="5" t="inlineStr">
        <is>
          <t>技术</t>
        </is>
      </c>
      <c r="C4" s="5" t="inlineStr">
        <is>
          <t>分类</t>
        </is>
      </c>
      <c r="D4" s="5" t="inlineStr">
        <is>
          <t>兵种</t>
        </is>
      </c>
      <c r="E4" s="5" t="inlineStr">
        <is>
          <t>最高等级</t>
        </is>
      </c>
      <c r="F4" s="5" t="inlineStr">
        <is>
          <t>基础时间(s)</t>
        </is>
      </c>
      <c r="G4" s="5" t="inlineStr">
        <is>
          <t>时长曲线</t>
        </is>
      </c>
      <c r="H4" s="5" t="inlineStr">
        <is>
          <t>基础银两</t>
        </is>
      </c>
      <c r="I4" s="5" t="inlineStr">
        <is>
          <t>成本曲线</t>
        </is>
      </c>
      <c r="J4" s="5" t="inlineStr">
        <is>
          <t>首级基准实耗时(s)</t>
        </is>
      </c>
      <c r="K4" s="5" t="inlineStr">
        <is>
          <t>末级基准实耗时(s)</t>
        </is>
      </c>
      <c r="L4" s="5" t="inlineStr">
        <is>
          <t>全程基准小时</t>
        </is>
      </c>
      <c r="M4" s="5" t="inlineStr">
        <is>
          <t>全程银两</t>
        </is>
      </c>
      <c r="N4" s="5" t="inlineStr">
        <is>
          <t>数据来源</t>
        </is>
      </c>
      <c r="O4" s="5" t="inlineStr">
        <is>
          <t>全程时长预算(s)</t>
        </is>
      </c>
      <c r="P4" s="5" t="inlineStr">
        <is>
          <t>时长曲线</t>
        </is>
      </c>
      <c r="Q4" s="5" t="inlineStr">
        <is>
          <t>全程银两预算</t>
        </is>
      </c>
      <c r="R4" s="5" t="inlineStr">
        <is>
          <t>成本曲线</t>
        </is>
      </c>
    </row>
    <row r="5">
      <c r="A5" s="17" t="inlineStr">
        <is>
          <t>scout_art</t>
        </is>
      </c>
      <c r="B5" s="18" t="inlineStr">
        <is>
          <t>侦查术</t>
        </is>
      </c>
      <c r="C5" s="18" t="inlineStr">
        <is>
          <t>基本技术</t>
        </is>
      </c>
      <c r="D5" s="18" t="inlineStr">
        <is>
          <t>—</t>
        </is>
      </c>
      <c r="E5" s="17" t="n">
        <v>200</v>
      </c>
      <c r="F5" s="59" t="n">
        <v>60</v>
      </c>
      <c r="G5" s="60" t="n">
        <v>1.01</v>
      </c>
      <c r="H5" s="59" t="n">
        <v>8000</v>
      </c>
      <c r="I5" s="60" t="n">
        <v>1.01</v>
      </c>
      <c r="J5" s="61">
        <f>SUMIFS('个人技术逐级'!$M$5:$M$589,'个人技术逐级'!$A$5:$A$589,$A5,'个人技术逐级'!$E$5:$E$589,'参数与公式'!$B$10)</f>
        <v/>
      </c>
      <c r="K5" s="61">
        <f>SUMIFS('个人技术逐级'!$M$5:$M$589,'个人技术逐级'!$A$5:$A$589,$A5,'个人技术逐级'!$E$5:$E$589,$E5-1)</f>
        <v/>
      </c>
      <c r="L5" s="62">
        <f>SUMIF('个人技术逐级'!$A$5:$A$589,$A5,'个人技术逐级'!$M$5:$M$589)/3600</f>
        <v/>
      </c>
      <c r="M5" s="61">
        <f>SUMIF('个人技术逐级'!$A$5:$A$589,$A5,'个人技术逐级'!$N$5:$N$589)</f>
        <v/>
      </c>
      <c r="N5" s="18" t="inlineStr">
        <is>
          <t>data/technology_templates.yaml; technologies[].upgrade_*_budget / *_curve</t>
        </is>
      </c>
      <c r="O5" s="63" t="n">
        <v>15552000</v>
      </c>
      <c r="P5" s="64" t="n">
        <v>1.01</v>
      </c>
      <c r="Q5" s="63" t="n">
        <v>200000000</v>
      </c>
      <c r="R5" s="64" t="n">
        <v>1.01</v>
      </c>
    </row>
    <row r="6">
      <c r="A6" s="17" t="inlineStr">
        <is>
          <t>march_art</t>
        </is>
      </c>
      <c r="B6" s="18" t="inlineStr">
        <is>
          <t>行军术</t>
        </is>
      </c>
      <c r="C6" s="18" t="inlineStr">
        <is>
          <t>基本技术</t>
        </is>
      </c>
      <c r="D6" s="18" t="inlineStr">
        <is>
          <t>—</t>
        </is>
      </c>
      <c r="E6" s="17" t="n">
        <v>10</v>
      </c>
      <c r="F6" s="59" t="n">
        <v>60</v>
      </c>
      <c r="G6" s="60" t="n">
        <v>1.08</v>
      </c>
      <c r="H6" s="59" t="n">
        <v>8000</v>
      </c>
      <c r="I6" s="60" t="n">
        <v>1.2</v>
      </c>
      <c r="J6" s="61">
        <f>SUMIFS('个人技术逐级'!$M$5:$M$589,'个人技术逐级'!$A$5:$A$589,$A6,'个人技术逐级'!$E$5:$E$589,'参数与公式'!$B$10)</f>
        <v/>
      </c>
      <c r="K6" s="61">
        <f>SUMIFS('个人技术逐级'!$M$5:$M$589,'个人技术逐级'!$A$5:$A$589,$A6,'个人技术逐级'!$E$5:$E$589,$E6-1)</f>
        <v/>
      </c>
      <c r="L6" s="62">
        <f>SUMIF('个人技术逐级'!$A$5:$A$589,$A6,'个人技术逐级'!$M$5:$M$589)/3600</f>
        <v/>
      </c>
      <c r="M6" s="61">
        <f>SUMIF('个人技术逐级'!$A$5:$A$589,$A6,'个人技术逐级'!$N$5:$N$589)</f>
        <v/>
      </c>
      <c r="N6" s="18" t="inlineStr">
        <is>
          <t>data/technology_templates.yaml; technologies[].upgrade_*_budget / *_curve</t>
        </is>
      </c>
      <c r="O6" s="63" t="n">
        <v>1728000</v>
      </c>
      <c r="P6" s="64" t="n">
        <v>1.08</v>
      </c>
      <c r="Q6" s="63" t="n">
        <v>10000000</v>
      </c>
      <c r="R6" s="64" t="n">
        <v>1.2</v>
      </c>
    </row>
    <row r="7">
      <c r="A7" s="17" t="inlineStr">
        <is>
          <t>architecture</t>
        </is>
      </c>
      <c r="B7" s="18" t="inlineStr">
        <is>
          <t>建筑学</t>
        </is>
      </c>
      <c r="C7" s="18" t="inlineStr">
        <is>
          <t>基本技术</t>
        </is>
      </c>
      <c r="D7" s="18" t="inlineStr">
        <is>
          <t>—</t>
        </is>
      </c>
      <c r="E7" s="17" t="n">
        <v>10</v>
      </c>
      <c r="F7" s="59" t="n">
        <v>60</v>
      </c>
      <c r="G7" s="60" t="n">
        <v>1.08</v>
      </c>
      <c r="H7" s="59" t="n">
        <v>8000</v>
      </c>
      <c r="I7" s="60" t="n">
        <v>1.2</v>
      </c>
      <c r="J7" s="61">
        <f>SUMIFS('个人技术逐级'!$M$5:$M$589,'个人技术逐级'!$A$5:$A$589,$A7,'个人技术逐级'!$E$5:$E$589,'参数与公式'!$B$10)</f>
        <v/>
      </c>
      <c r="K7" s="61">
        <f>SUMIFS('个人技术逐级'!$M$5:$M$589,'个人技术逐级'!$A$5:$A$589,$A7,'个人技术逐级'!$E$5:$E$589,$E7-1)</f>
        <v/>
      </c>
      <c r="L7" s="62">
        <f>SUMIF('个人技术逐级'!$A$5:$A$589,$A7,'个人技术逐级'!$M$5:$M$589)/3600</f>
        <v/>
      </c>
      <c r="M7" s="61">
        <f>SUMIF('个人技术逐级'!$A$5:$A$589,$A7,'个人技术逐级'!$N$5:$N$589)</f>
        <v/>
      </c>
      <c r="N7" s="18" t="inlineStr">
        <is>
          <t>data/technology_templates.yaml; technologies[].upgrade_*_budget / *_curve</t>
        </is>
      </c>
      <c r="O7" s="63" t="n">
        <v>864000</v>
      </c>
      <c r="P7" s="64" t="n">
        <v>1.08</v>
      </c>
      <c r="Q7" s="63" t="n">
        <v>3000000</v>
      </c>
      <c r="R7" s="64" t="n">
        <v>1.2</v>
      </c>
    </row>
    <row r="8">
      <c r="A8" s="17" t="inlineStr">
        <is>
          <t>horsemanship</t>
        </is>
      </c>
      <c r="B8" s="18" t="inlineStr">
        <is>
          <t>驯马术</t>
        </is>
      </c>
      <c r="C8" s="18" t="inlineStr">
        <is>
          <t>生产技术</t>
        </is>
      </c>
      <c r="D8" s="18" t="inlineStr">
        <is>
          <t>—</t>
        </is>
      </c>
      <c r="E8" s="17" t="n">
        <v>10</v>
      </c>
      <c r="F8" s="59" t="n">
        <v>60</v>
      </c>
      <c r="G8" s="60" t="n">
        <v>1.08</v>
      </c>
      <c r="H8" s="59" t="n">
        <v>8000</v>
      </c>
      <c r="I8" s="60" t="n">
        <v>1.2</v>
      </c>
      <c r="J8" s="61">
        <f>SUMIFS('个人技术逐级'!$M$5:$M$589,'个人技术逐级'!$A$5:$A$589,$A8,'个人技术逐级'!$E$5:$E$589,'参数与公式'!$B$10)</f>
        <v/>
      </c>
      <c r="K8" s="61">
        <f>SUMIFS('个人技术逐级'!$M$5:$M$589,'个人技术逐级'!$A$5:$A$589,$A8,'个人技术逐级'!$E$5:$E$589,$E8-1)</f>
        <v/>
      </c>
      <c r="L8" s="62">
        <f>SUMIF('个人技术逐级'!$A$5:$A$589,$A8,'个人技术逐级'!$M$5:$M$589)/3600</f>
        <v/>
      </c>
      <c r="M8" s="61">
        <f>SUMIF('个人技术逐级'!$A$5:$A$589,$A8,'个人技术逐级'!$N$5:$N$589)</f>
        <v/>
      </c>
      <c r="N8" s="18" t="inlineStr">
        <is>
          <t>data/technology_templates.yaml; technologies[].upgrade_*_budget / *_curve</t>
        </is>
      </c>
      <c r="O8" s="63" t="n">
        <v>864000</v>
      </c>
      <c r="P8" s="64" t="n">
        <v>1.08</v>
      </c>
      <c r="Q8" s="63" t="n">
        <v>1000000</v>
      </c>
      <c r="R8" s="64" t="n">
        <v>1.2</v>
      </c>
    </row>
    <row r="9">
      <c r="A9" s="17" t="inlineStr">
        <is>
          <t>animal_husbandry</t>
        </is>
      </c>
      <c r="B9" s="18" t="inlineStr">
        <is>
          <t>养殖术</t>
        </is>
      </c>
      <c r="C9" s="18" t="inlineStr">
        <is>
          <t>生产技术</t>
        </is>
      </c>
      <c r="D9" s="18" t="inlineStr">
        <is>
          <t>—</t>
        </is>
      </c>
      <c r="E9" s="17" t="n">
        <v>10</v>
      </c>
      <c r="F9" s="59" t="n">
        <v>60</v>
      </c>
      <c r="G9" s="60" t="n">
        <v>1.08</v>
      </c>
      <c r="H9" s="59" t="n">
        <v>8000</v>
      </c>
      <c r="I9" s="60" t="n">
        <v>1.2</v>
      </c>
      <c r="J9" s="61">
        <f>SUMIFS('个人技术逐级'!$M$5:$M$589,'个人技术逐级'!$A$5:$A$589,$A9,'个人技术逐级'!$E$5:$E$589,'参数与公式'!$B$10)</f>
        <v/>
      </c>
      <c r="K9" s="61">
        <f>SUMIFS('个人技术逐级'!$M$5:$M$589,'个人技术逐级'!$A$5:$A$589,$A9,'个人技术逐级'!$E$5:$E$589,$E9-1)</f>
        <v/>
      </c>
      <c r="L9" s="62">
        <f>SUMIF('个人技术逐级'!$A$5:$A$589,$A9,'个人技术逐级'!$M$5:$M$589)/3600</f>
        <v/>
      </c>
      <c r="M9" s="61">
        <f>SUMIF('个人技术逐级'!$A$5:$A$589,$A9,'个人技术逐级'!$N$5:$N$589)</f>
        <v/>
      </c>
      <c r="N9" s="18" t="inlineStr">
        <is>
          <t>data/technology_templates.yaml; technologies[].upgrade_*_budget / *_curve</t>
        </is>
      </c>
      <c r="O9" s="63" t="n">
        <v>864000</v>
      </c>
      <c r="P9" s="64" t="n">
        <v>1.08</v>
      </c>
      <c r="Q9" s="63" t="n">
        <v>1000000</v>
      </c>
      <c r="R9" s="64" t="n">
        <v>1.2</v>
      </c>
    </row>
    <row r="10">
      <c r="A10" s="17" t="inlineStr">
        <is>
          <t>smelting</t>
        </is>
      </c>
      <c r="B10" s="18" t="inlineStr">
        <is>
          <t>冶炼技</t>
        </is>
      </c>
      <c r="C10" s="18" t="inlineStr">
        <is>
          <t>生产技术</t>
        </is>
      </c>
      <c r="D10" s="18" t="inlineStr">
        <is>
          <t>—</t>
        </is>
      </c>
      <c r="E10" s="17" t="n">
        <v>10</v>
      </c>
      <c r="F10" s="59" t="n">
        <v>60</v>
      </c>
      <c r="G10" s="60" t="n">
        <v>1.08</v>
      </c>
      <c r="H10" s="59" t="n">
        <v>8000</v>
      </c>
      <c r="I10" s="60" t="n">
        <v>1.2</v>
      </c>
      <c r="J10" s="61">
        <f>SUMIFS('个人技术逐级'!$M$5:$M$589,'个人技术逐级'!$A$5:$A$589,$A10,'个人技术逐级'!$E$5:$E$589,'参数与公式'!$B$10)</f>
        <v/>
      </c>
      <c r="K10" s="61">
        <f>SUMIFS('个人技术逐级'!$M$5:$M$589,'个人技术逐级'!$A$5:$A$589,$A10,'个人技术逐级'!$E$5:$E$589,$E10-1)</f>
        <v/>
      </c>
      <c r="L10" s="62">
        <f>SUMIF('个人技术逐级'!$A$5:$A$589,$A10,'个人技术逐级'!$M$5:$M$589)/3600</f>
        <v/>
      </c>
      <c r="M10" s="61">
        <f>SUMIF('个人技术逐级'!$A$5:$A$589,$A10,'个人技术逐级'!$N$5:$N$589)</f>
        <v/>
      </c>
      <c r="N10" s="18" t="inlineStr">
        <is>
          <t>data/technology_templates.yaml; technologies[].upgrade_*_budget / *_curve</t>
        </is>
      </c>
      <c r="O10" s="63" t="n">
        <v>864000</v>
      </c>
      <c r="P10" s="64" t="n">
        <v>1.08</v>
      </c>
      <c r="Q10" s="63" t="n">
        <v>1000000</v>
      </c>
      <c r="R10" s="64" t="n">
        <v>1.2</v>
      </c>
    </row>
    <row r="11">
      <c r="A11" s="17" t="inlineStr">
        <is>
          <t>forging</t>
        </is>
      </c>
      <c r="B11" s="18" t="inlineStr">
        <is>
          <t>锻造技</t>
        </is>
      </c>
      <c r="C11" s="18" t="inlineStr">
        <is>
          <t>生产技术</t>
        </is>
      </c>
      <c r="D11" s="18" t="inlineStr">
        <is>
          <t>—</t>
        </is>
      </c>
      <c r="E11" s="17" t="n">
        <v>10</v>
      </c>
      <c r="F11" s="59" t="n">
        <v>60</v>
      </c>
      <c r="G11" s="60" t="n">
        <v>1.08</v>
      </c>
      <c r="H11" s="59" t="n">
        <v>8000</v>
      </c>
      <c r="I11" s="60" t="n">
        <v>1.2</v>
      </c>
      <c r="J11" s="61">
        <f>SUMIFS('个人技术逐级'!$M$5:$M$589,'个人技术逐级'!$A$5:$A$589,$A11,'个人技术逐级'!$E$5:$E$589,'参数与公式'!$B$10)</f>
        <v/>
      </c>
      <c r="K11" s="61">
        <f>SUMIFS('个人技术逐级'!$M$5:$M$589,'个人技术逐级'!$A$5:$A$589,$A11,'个人技术逐级'!$E$5:$E$589,$E11-1)</f>
        <v/>
      </c>
      <c r="L11" s="62">
        <f>SUMIF('个人技术逐级'!$A$5:$A$589,$A11,'个人技术逐级'!$M$5:$M$589)/3600</f>
        <v/>
      </c>
      <c r="M11" s="61">
        <f>SUMIF('个人技术逐级'!$A$5:$A$589,$A11,'个人技术逐级'!$N$5:$N$589)</f>
        <v/>
      </c>
      <c r="N11" s="18" t="inlineStr">
        <is>
          <t>data/technology_templates.yaml; technologies[].upgrade_*_budget / *_curve</t>
        </is>
      </c>
      <c r="O11" s="63" t="n">
        <v>864000</v>
      </c>
      <c r="P11" s="64" t="n">
        <v>1.08</v>
      </c>
      <c r="Q11" s="63" t="n">
        <v>1000000</v>
      </c>
      <c r="R11" s="64" t="n">
        <v>1.2</v>
      </c>
    </row>
    <row r="12">
      <c r="A12" s="17" t="inlineStr">
        <is>
          <t>dao_attack</t>
        </is>
      </c>
      <c r="B12" s="18" t="inlineStr">
        <is>
          <t>力劈华山</t>
        </is>
      </c>
      <c r="C12" s="18" t="inlineStr">
        <is>
          <t>武艺技术</t>
        </is>
      </c>
      <c r="D12" s="18" t="inlineStr">
        <is>
          <t>刀类</t>
        </is>
      </c>
      <c r="E12" s="17" t="n">
        <v>10</v>
      </c>
      <c r="F12" s="59" t="n">
        <v>60</v>
      </c>
      <c r="G12" s="60" t="n">
        <v>1.08</v>
      </c>
      <c r="H12" s="59" t="n">
        <v>8000</v>
      </c>
      <c r="I12" s="60" t="n">
        <v>1.2</v>
      </c>
      <c r="J12" s="61">
        <f>SUMIFS('个人技术逐级'!$M$5:$M$589,'个人技术逐级'!$A$5:$A$589,$A12,'个人技术逐级'!$E$5:$E$589,'参数与公式'!$B$10)</f>
        <v/>
      </c>
      <c r="K12" s="61">
        <f>SUMIFS('个人技术逐级'!$M$5:$M$589,'个人技术逐级'!$A$5:$A$589,$A12,'个人技术逐级'!$E$5:$E$589,$E12-1)</f>
        <v/>
      </c>
      <c r="L12" s="62">
        <f>SUMIF('个人技术逐级'!$A$5:$A$589,$A12,'个人技术逐级'!$M$5:$M$589)/3600</f>
        <v/>
      </c>
      <c r="M12" s="61">
        <f>SUMIF('个人技术逐级'!$A$5:$A$589,$A12,'个人技术逐级'!$N$5:$N$589)</f>
        <v/>
      </c>
      <c r="N12" s="18" t="inlineStr">
        <is>
          <t>data/technology_templates.yaml; upgrade_profiles.martial</t>
        </is>
      </c>
      <c r="O12" s="63" t="n">
        <v>864000</v>
      </c>
      <c r="P12" s="64" t="n">
        <v>1.08</v>
      </c>
      <c r="Q12" s="63" t="n">
        <v>2000000</v>
      </c>
      <c r="R12" s="64" t="n">
        <v>1.2</v>
      </c>
    </row>
    <row r="13">
      <c r="A13" s="17" t="inlineStr">
        <is>
          <t>dao_defense</t>
        </is>
      </c>
      <c r="B13" s="18" t="inlineStr">
        <is>
          <t>横炼铁杉</t>
        </is>
      </c>
      <c r="C13" s="18" t="inlineStr">
        <is>
          <t>武艺技术</t>
        </is>
      </c>
      <c r="D13" s="18" t="inlineStr">
        <is>
          <t>刀类</t>
        </is>
      </c>
      <c r="E13" s="17" t="n">
        <v>10</v>
      </c>
      <c r="F13" s="59" t="n">
        <v>60</v>
      </c>
      <c r="G13" s="60" t="n">
        <v>1.08</v>
      </c>
      <c r="H13" s="59" t="n">
        <v>8000</v>
      </c>
      <c r="I13" s="60" t="n">
        <v>1.2</v>
      </c>
      <c r="J13" s="61">
        <f>SUMIFS('个人技术逐级'!$M$5:$M$589,'个人技术逐级'!$A$5:$A$589,$A13,'个人技术逐级'!$E$5:$E$589,'参数与公式'!$B$10)</f>
        <v/>
      </c>
      <c r="K13" s="61">
        <f>SUMIFS('个人技术逐级'!$M$5:$M$589,'个人技术逐级'!$A$5:$A$589,$A13,'个人技术逐级'!$E$5:$E$589,$E13-1)</f>
        <v/>
      </c>
      <c r="L13" s="62">
        <f>SUMIF('个人技术逐级'!$A$5:$A$589,$A13,'个人技术逐级'!$M$5:$M$589)/3600</f>
        <v/>
      </c>
      <c r="M13" s="61">
        <f>SUMIF('个人技术逐级'!$A$5:$A$589,$A13,'个人技术逐级'!$N$5:$N$589)</f>
        <v/>
      </c>
      <c r="N13" s="18" t="inlineStr">
        <is>
          <t>data/technology_templates.yaml; upgrade_profiles.martial</t>
        </is>
      </c>
      <c r="O13" s="63" t="n">
        <v>864000</v>
      </c>
      <c r="P13" s="64" t="n">
        <v>1.08</v>
      </c>
      <c r="Q13" s="63" t="n">
        <v>2000000</v>
      </c>
      <c r="R13" s="64" t="n">
        <v>1.2</v>
      </c>
    </row>
    <row r="14">
      <c r="A14" s="17" t="inlineStr">
        <is>
          <t>dao_agility</t>
        </is>
      </c>
      <c r="B14" s="18" t="inlineStr">
        <is>
          <t>疾风碎步</t>
        </is>
      </c>
      <c r="C14" s="18" t="inlineStr">
        <is>
          <t>武艺技术</t>
        </is>
      </c>
      <c r="D14" s="18" t="inlineStr">
        <is>
          <t>刀类</t>
        </is>
      </c>
      <c r="E14" s="17" t="n">
        <v>10</v>
      </c>
      <c r="F14" s="59" t="n">
        <v>60</v>
      </c>
      <c r="G14" s="60" t="n">
        <v>1.08</v>
      </c>
      <c r="H14" s="59" t="n">
        <v>8000</v>
      </c>
      <c r="I14" s="60" t="n">
        <v>1.2</v>
      </c>
      <c r="J14" s="61">
        <f>SUMIFS('个人技术逐级'!$M$5:$M$589,'个人技术逐级'!$A$5:$A$589,$A14,'个人技术逐级'!$E$5:$E$589,'参数与公式'!$B$10)</f>
        <v/>
      </c>
      <c r="K14" s="61">
        <f>SUMIFS('个人技术逐级'!$M$5:$M$589,'个人技术逐级'!$A$5:$A$589,$A14,'个人技术逐级'!$E$5:$E$589,$E14-1)</f>
        <v/>
      </c>
      <c r="L14" s="62">
        <f>SUMIF('个人技术逐级'!$A$5:$A$589,$A14,'个人技术逐级'!$M$5:$M$589)/3600</f>
        <v/>
      </c>
      <c r="M14" s="61">
        <f>SUMIF('个人技术逐级'!$A$5:$A$589,$A14,'个人技术逐级'!$N$5:$N$589)</f>
        <v/>
      </c>
      <c r="N14" s="18" t="inlineStr">
        <is>
          <t>data/technology_templates.yaml; upgrade_profiles.martial</t>
        </is>
      </c>
      <c r="O14" s="63" t="n">
        <v>864000</v>
      </c>
      <c r="P14" s="64" t="n">
        <v>1.08</v>
      </c>
      <c r="Q14" s="63" t="n">
        <v>2000000</v>
      </c>
      <c r="R14" s="64" t="n">
        <v>1.2</v>
      </c>
    </row>
    <row r="15">
      <c r="A15" s="17" t="inlineStr">
        <is>
          <t>dao_hp</t>
        </is>
      </c>
      <c r="B15" s="18" t="inlineStr">
        <is>
          <t>蓄日回元</t>
        </is>
      </c>
      <c r="C15" s="18" t="inlineStr">
        <is>
          <t>武艺技术</t>
        </is>
      </c>
      <c r="D15" s="18" t="inlineStr">
        <is>
          <t>刀类</t>
        </is>
      </c>
      <c r="E15" s="17" t="n">
        <v>10</v>
      </c>
      <c r="F15" s="59" t="n">
        <v>60</v>
      </c>
      <c r="G15" s="60" t="n">
        <v>1.08</v>
      </c>
      <c r="H15" s="59" t="n">
        <v>8000</v>
      </c>
      <c r="I15" s="60" t="n">
        <v>1.2</v>
      </c>
      <c r="J15" s="61">
        <f>SUMIFS('个人技术逐级'!$M$5:$M$589,'个人技术逐级'!$A$5:$A$589,$A15,'个人技术逐级'!$E$5:$E$589,'参数与公式'!$B$10)</f>
        <v/>
      </c>
      <c r="K15" s="61">
        <f>SUMIFS('个人技术逐级'!$M$5:$M$589,'个人技术逐级'!$A$5:$A$589,$A15,'个人技术逐级'!$E$5:$E$589,$E15-1)</f>
        <v/>
      </c>
      <c r="L15" s="62">
        <f>SUMIF('个人技术逐级'!$A$5:$A$589,$A15,'个人技术逐级'!$M$5:$M$589)/3600</f>
        <v/>
      </c>
      <c r="M15" s="61">
        <f>SUMIF('个人技术逐级'!$A$5:$A$589,$A15,'个人技术逐级'!$N$5:$N$589)</f>
        <v/>
      </c>
      <c r="N15" s="18" t="inlineStr">
        <is>
          <t>data/technology_templates.yaml; upgrade_profiles.martial</t>
        </is>
      </c>
      <c r="O15" s="63" t="n">
        <v>864000</v>
      </c>
      <c r="P15" s="64" t="n">
        <v>1.08</v>
      </c>
      <c r="Q15" s="63" t="n">
        <v>2000000</v>
      </c>
      <c r="R15" s="64" t="n">
        <v>1.2</v>
      </c>
    </row>
    <row r="16">
      <c r="A16" s="17" t="inlineStr">
        <is>
          <t>dao_double_strike</t>
        </is>
      </c>
      <c r="B16" s="18" t="inlineStr">
        <is>
          <t>狂狼必杀</t>
        </is>
      </c>
      <c r="C16" s="18" t="inlineStr">
        <is>
          <t>武艺技术</t>
        </is>
      </c>
      <c r="D16" s="18" t="inlineStr">
        <is>
          <t>刀类</t>
        </is>
      </c>
      <c r="E16" s="17" t="n">
        <v>5</v>
      </c>
      <c r="F16" s="59" t="n">
        <v>60</v>
      </c>
      <c r="G16" s="60" t="n">
        <v>1.08</v>
      </c>
      <c r="H16" s="59" t="n">
        <v>20000</v>
      </c>
      <c r="I16" s="60" t="n">
        <v>1.2</v>
      </c>
      <c r="J16" s="61">
        <f>SUMIFS('个人技术逐级'!$M$5:$M$589,'个人技术逐级'!$A$5:$A$589,$A16,'个人技术逐级'!$E$5:$E$589,'参数与公式'!$B$10)</f>
        <v/>
      </c>
      <c r="K16" s="61">
        <f>SUMIFS('个人技术逐级'!$M$5:$M$589,'个人技术逐级'!$A$5:$A$589,$A16,'个人技术逐级'!$E$5:$E$589,$E16-1)</f>
        <v/>
      </c>
      <c r="L16" s="62">
        <f>SUMIF('个人技术逐级'!$A$5:$A$589,$A16,'个人技术逐级'!$M$5:$M$589)/3600</f>
        <v/>
      </c>
      <c r="M16" s="61">
        <f>SUMIF('个人技术逐级'!$A$5:$A$589,$A16,'个人技术逐级'!$N$5:$N$589)</f>
        <v/>
      </c>
      <c r="N16" s="18" t="inlineStr">
        <is>
          <t>data/technology_templates.yaml; upgrade_profiles.martial</t>
        </is>
      </c>
      <c r="O16" s="63" t="n">
        <v>864000</v>
      </c>
      <c r="P16" s="64" t="n">
        <v>1.08</v>
      </c>
      <c r="Q16" s="63" t="n">
        <v>2000000</v>
      </c>
      <c r="R16" s="64" t="n">
        <v>1.2</v>
      </c>
    </row>
    <row r="17">
      <c r="A17" s="17" t="inlineStr">
        <is>
          <t>qiang_attack</t>
        </is>
      </c>
      <c r="B17" s="18" t="inlineStr">
        <is>
          <t>破日枪法</t>
        </is>
      </c>
      <c r="C17" s="18" t="inlineStr">
        <is>
          <t>武艺技术</t>
        </is>
      </c>
      <c r="D17" s="18" t="inlineStr">
        <is>
          <t>枪类</t>
        </is>
      </c>
      <c r="E17" s="17" t="n">
        <v>10</v>
      </c>
      <c r="F17" s="59" t="n">
        <v>60</v>
      </c>
      <c r="G17" s="60" t="n">
        <v>1.08</v>
      </c>
      <c r="H17" s="59" t="n">
        <v>8000</v>
      </c>
      <c r="I17" s="60" t="n">
        <v>1.2</v>
      </c>
      <c r="J17" s="61">
        <f>SUMIFS('个人技术逐级'!$M$5:$M$589,'个人技术逐级'!$A$5:$A$589,$A17,'个人技术逐级'!$E$5:$E$589,'参数与公式'!$B$10)</f>
        <v/>
      </c>
      <c r="K17" s="61">
        <f>SUMIFS('个人技术逐级'!$M$5:$M$589,'个人技术逐级'!$A$5:$A$589,$A17,'个人技术逐级'!$E$5:$E$589,$E17-1)</f>
        <v/>
      </c>
      <c r="L17" s="62">
        <f>SUMIF('个人技术逐级'!$A$5:$A$589,$A17,'个人技术逐级'!$M$5:$M$589)/3600</f>
        <v/>
      </c>
      <c r="M17" s="61">
        <f>SUMIF('个人技术逐级'!$A$5:$A$589,$A17,'个人技术逐级'!$N$5:$N$589)</f>
        <v/>
      </c>
      <c r="N17" s="18" t="inlineStr">
        <is>
          <t>data/technology_templates.yaml; upgrade_profiles.martial</t>
        </is>
      </c>
      <c r="O17" s="63" t="n">
        <v>864000</v>
      </c>
      <c r="P17" s="64" t="n">
        <v>1.08</v>
      </c>
      <c r="Q17" s="63" t="n">
        <v>2000000</v>
      </c>
      <c r="R17" s="64" t="n">
        <v>1.2</v>
      </c>
    </row>
    <row r="18">
      <c r="A18" s="17" t="inlineStr">
        <is>
          <t>qiang_defense</t>
        </is>
      </c>
      <c r="B18" s="18" t="inlineStr">
        <is>
          <t>金钟罡气</t>
        </is>
      </c>
      <c r="C18" s="18" t="inlineStr">
        <is>
          <t>武艺技术</t>
        </is>
      </c>
      <c r="D18" s="18" t="inlineStr">
        <is>
          <t>枪类</t>
        </is>
      </c>
      <c r="E18" s="17" t="n">
        <v>10</v>
      </c>
      <c r="F18" s="59" t="n">
        <v>60</v>
      </c>
      <c r="G18" s="60" t="n">
        <v>1.08</v>
      </c>
      <c r="H18" s="59" t="n">
        <v>8000</v>
      </c>
      <c r="I18" s="60" t="n">
        <v>1.2</v>
      </c>
      <c r="J18" s="61">
        <f>SUMIFS('个人技术逐级'!$M$5:$M$589,'个人技术逐级'!$A$5:$A$589,$A18,'个人技术逐级'!$E$5:$E$589,'参数与公式'!$B$10)</f>
        <v/>
      </c>
      <c r="K18" s="61">
        <f>SUMIFS('个人技术逐级'!$M$5:$M$589,'个人技术逐级'!$A$5:$A$589,$A18,'个人技术逐级'!$E$5:$E$589,$E18-1)</f>
        <v/>
      </c>
      <c r="L18" s="62">
        <f>SUMIF('个人技术逐级'!$A$5:$A$589,$A18,'个人技术逐级'!$M$5:$M$589)/3600</f>
        <v/>
      </c>
      <c r="M18" s="61">
        <f>SUMIF('个人技术逐级'!$A$5:$A$589,$A18,'个人技术逐级'!$N$5:$N$589)</f>
        <v/>
      </c>
      <c r="N18" s="18" t="inlineStr">
        <is>
          <t>data/technology_templates.yaml; upgrade_profiles.martial</t>
        </is>
      </c>
      <c r="O18" s="63" t="n">
        <v>864000</v>
      </c>
      <c r="P18" s="64" t="n">
        <v>1.08</v>
      </c>
      <c r="Q18" s="63" t="n">
        <v>2000000</v>
      </c>
      <c r="R18" s="64" t="n">
        <v>1.2</v>
      </c>
    </row>
    <row r="19">
      <c r="A19" s="17" t="inlineStr">
        <is>
          <t>qiang_agility</t>
        </is>
      </c>
      <c r="B19" s="18" t="inlineStr">
        <is>
          <t>乾坤挪移</t>
        </is>
      </c>
      <c r="C19" s="18" t="inlineStr">
        <is>
          <t>武艺技术</t>
        </is>
      </c>
      <c r="D19" s="18" t="inlineStr">
        <is>
          <t>枪类</t>
        </is>
      </c>
      <c r="E19" s="17" t="n">
        <v>10</v>
      </c>
      <c r="F19" s="59" t="n">
        <v>60</v>
      </c>
      <c r="G19" s="60" t="n">
        <v>1.08</v>
      </c>
      <c r="H19" s="59" t="n">
        <v>8000</v>
      </c>
      <c r="I19" s="60" t="n">
        <v>1.2</v>
      </c>
      <c r="J19" s="61">
        <f>SUMIFS('个人技术逐级'!$M$5:$M$589,'个人技术逐级'!$A$5:$A$589,$A19,'个人技术逐级'!$E$5:$E$589,'参数与公式'!$B$10)</f>
        <v/>
      </c>
      <c r="K19" s="61">
        <f>SUMIFS('个人技术逐级'!$M$5:$M$589,'个人技术逐级'!$A$5:$A$589,$A19,'个人技术逐级'!$E$5:$E$589,$E19-1)</f>
        <v/>
      </c>
      <c r="L19" s="62">
        <f>SUMIF('个人技术逐级'!$A$5:$A$589,$A19,'个人技术逐级'!$M$5:$M$589)/3600</f>
        <v/>
      </c>
      <c r="M19" s="61">
        <f>SUMIF('个人技术逐级'!$A$5:$A$589,$A19,'个人技术逐级'!$N$5:$N$589)</f>
        <v/>
      </c>
      <c r="N19" s="18" t="inlineStr">
        <is>
          <t>data/technology_templates.yaml; upgrade_profiles.martial</t>
        </is>
      </c>
      <c r="O19" s="63" t="n">
        <v>864000</v>
      </c>
      <c r="P19" s="64" t="n">
        <v>1.08</v>
      </c>
      <c r="Q19" s="63" t="n">
        <v>2000000</v>
      </c>
      <c r="R19" s="64" t="n">
        <v>1.2</v>
      </c>
    </row>
    <row r="20">
      <c r="A20" s="17" t="inlineStr">
        <is>
          <t>qiang_hp</t>
        </is>
      </c>
      <c r="B20" s="18" t="inlineStr">
        <is>
          <t>体血倍增</t>
        </is>
      </c>
      <c r="C20" s="18" t="inlineStr">
        <is>
          <t>武艺技术</t>
        </is>
      </c>
      <c r="D20" s="18" t="inlineStr">
        <is>
          <t>枪类</t>
        </is>
      </c>
      <c r="E20" s="17" t="n">
        <v>10</v>
      </c>
      <c r="F20" s="59" t="n">
        <v>60</v>
      </c>
      <c r="G20" s="60" t="n">
        <v>1.08</v>
      </c>
      <c r="H20" s="59" t="n">
        <v>8000</v>
      </c>
      <c r="I20" s="60" t="n">
        <v>1.2</v>
      </c>
      <c r="J20" s="61">
        <f>SUMIFS('个人技术逐级'!$M$5:$M$589,'个人技术逐级'!$A$5:$A$589,$A20,'个人技术逐级'!$E$5:$E$589,'参数与公式'!$B$10)</f>
        <v/>
      </c>
      <c r="K20" s="61">
        <f>SUMIFS('个人技术逐级'!$M$5:$M$589,'个人技术逐级'!$A$5:$A$589,$A20,'个人技术逐级'!$E$5:$E$589,$E20-1)</f>
        <v/>
      </c>
      <c r="L20" s="62">
        <f>SUMIF('个人技术逐级'!$A$5:$A$589,$A20,'个人技术逐级'!$M$5:$M$589)/3600</f>
        <v/>
      </c>
      <c r="M20" s="61">
        <f>SUMIF('个人技术逐级'!$A$5:$A$589,$A20,'个人技术逐级'!$N$5:$N$589)</f>
        <v/>
      </c>
      <c r="N20" s="18" t="inlineStr">
        <is>
          <t>data/technology_templates.yaml; upgrade_profiles.martial</t>
        </is>
      </c>
      <c r="O20" s="63" t="n">
        <v>864000</v>
      </c>
      <c r="P20" s="64" t="n">
        <v>1.08</v>
      </c>
      <c r="Q20" s="63" t="n">
        <v>2000000</v>
      </c>
      <c r="R20" s="64" t="n">
        <v>1.2</v>
      </c>
    </row>
    <row r="21">
      <c r="A21" s="17" t="inlineStr">
        <is>
          <t>qiang_siege</t>
        </is>
      </c>
      <c r="B21" s="18" t="inlineStr">
        <is>
          <t>攻坚破城</t>
        </is>
      </c>
      <c r="C21" s="18" t="inlineStr">
        <is>
          <t>武艺技术</t>
        </is>
      </c>
      <c r="D21" s="18" t="inlineStr">
        <is>
          <t>枪类</t>
        </is>
      </c>
      <c r="E21" s="17" t="n">
        <v>10</v>
      </c>
      <c r="F21" s="59" t="n">
        <v>60</v>
      </c>
      <c r="G21" s="60" t="n">
        <v>1.08</v>
      </c>
      <c r="H21" s="59" t="n">
        <v>20000</v>
      </c>
      <c r="I21" s="60" t="n">
        <v>1.2</v>
      </c>
      <c r="J21" s="61">
        <f>SUMIFS('个人技术逐级'!$M$5:$M$589,'个人技术逐级'!$A$5:$A$589,$A21,'个人技术逐级'!$E$5:$E$589,'参数与公式'!$B$10)</f>
        <v/>
      </c>
      <c r="K21" s="61">
        <f>SUMIFS('个人技术逐级'!$M$5:$M$589,'个人技术逐级'!$A$5:$A$589,$A21,'个人技术逐级'!$E$5:$E$589,$E21-1)</f>
        <v/>
      </c>
      <c r="L21" s="62">
        <f>SUMIF('个人技术逐级'!$A$5:$A$589,$A21,'个人技术逐级'!$M$5:$M$589)/3600</f>
        <v/>
      </c>
      <c r="M21" s="61">
        <f>SUMIF('个人技术逐级'!$A$5:$A$589,$A21,'个人技术逐级'!$N$5:$N$589)</f>
        <v/>
      </c>
      <c r="N21" s="18" t="inlineStr">
        <is>
          <t>data/technology_templates.yaml; upgrade_profiles.martial</t>
        </is>
      </c>
      <c r="O21" s="63" t="n">
        <v>864000</v>
      </c>
      <c r="P21" s="64" t="n">
        <v>1.08</v>
      </c>
      <c r="Q21" s="63" t="n">
        <v>2000000</v>
      </c>
      <c r="R21" s="64" t="n">
        <v>1.2</v>
      </c>
    </row>
    <row r="22">
      <c r="A22" s="17" t="inlineStr">
        <is>
          <t>qiang_counter</t>
        </is>
      </c>
      <c r="B22" s="18" t="inlineStr">
        <is>
          <t>反戈一击</t>
        </is>
      </c>
      <c r="C22" s="18" t="inlineStr">
        <is>
          <t>武艺技术</t>
        </is>
      </c>
      <c r="D22" s="18" t="inlineStr">
        <is>
          <t>枪类</t>
        </is>
      </c>
      <c r="E22" s="17" t="n">
        <v>5</v>
      </c>
      <c r="F22" s="59" t="n">
        <v>60</v>
      </c>
      <c r="G22" s="60" t="n">
        <v>1.08</v>
      </c>
      <c r="H22" s="59" t="n">
        <v>20000</v>
      </c>
      <c r="I22" s="60" t="n">
        <v>1.2</v>
      </c>
      <c r="J22" s="61">
        <f>SUMIFS('个人技术逐级'!$M$5:$M$589,'个人技术逐级'!$A$5:$A$589,$A22,'个人技术逐级'!$E$5:$E$589,'参数与公式'!$B$10)</f>
        <v/>
      </c>
      <c r="K22" s="61">
        <f>SUMIFS('个人技术逐级'!$M$5:$M$589,'个人技术逐级'!$A$5:$A$589,$A22,'个人技术逐级'!$E$5:$E$589,$E22-1)</f>
        <v/>
      </c>
      <c r="L22" s="62">
        <f>SUMIF('个人技术逐级'!$A$5:$A$589,$A22,'个人技术逐级'!$M$5:$M$589)/3600</f>
        <v/>
      </c>
      <c r="M22" s="61">
        <f>SUMIF('个人技术逐级'!$A$5:$A$589,$A22,'个人技术逐级'!$N$5:$N$589)</f>
        <v/>
      </c>
      <c r="N22" s="18" t="inlineStr">
        <is>
          <t>data/technology_templates.yaml; upgrade_profiles.martial</t>
        </is>
      </c>
      <c r="O22" s="63" t="n">
        <v>864000</v>
      </c>
      <c r="P22" s="64" t="n">
        <v>1.08</v>
      </c>
      <c r="Q22" s="63" t="n">
        <v>2000000</v>
      </c>
      <c r="R22" s="64" t="n">
        <v>1.2</v>
      </c>
    </row>
    <row r="23">
      <c r="A23" s="17" t="inlineStr">
        <is>
          <t>jian_attack</t>
        </is>
      </c>
      <c r="B23" s="18" t="inlineStr">
        <is>
          <t>长虹贯日</t>
        </is>
      </c>
      <c r="C23" s="18" t="inlineStr">
        <is>
          <t>武艺技术</t>
        </is>
      </c>
      <c r="D23" s="18" t="inlineStr">
        <is>
          <t>剑类</t>
        </is>
      </c>
      <c r="E23" s="17" t="n">
        <v>10</v>
      </c>
      <c r="F23" s="59" t="n">
        <v>60</v>
      </c>
      <c r="G23" s="60" t="n">
        <v>1.08</v>
      </c>
      <c r="H23" s="59" t="n">
        <v>8000</v>
      </c>
      <c r="I23" s="60" t="n">
        <v>1.2</v>
      </c>
      <c r="J23" s="61">
        <f>SUMIFS('个人技术逐级'!$M$5:$M$589,'个人技术逐级'!$A$5:$A$589,$A23,'个人技术逐级'!$E$5:$E$589,'参数与公式'!$B$10)</f>
        <v/>
      </c>
      <c r="K23" s="61">
        <f>SUMIFS('个人技术逐级'!$M$5:$M$589,'个人技术逐级'!$A$5:$A$589,$A23,'个人技术逐级'!$E$5:$E$589,$E23-1)</f>
        <v/>
      </c>
      <c r="L23" s="62">
        <f>SUMIF('个人技术逐级'!$A$5:$A$589,$A23,'个人技术逐级'!$M$5:$M$589)/3600</f>
        <v/>
      </c>
      <c r="M23" s="61">
        <f>SUMIF('个人技术逐级'!$A$5:$A$589,$A23,'个人技术逐级'!$N$5:$N$589)</f>
        <v/>
      </c>
      <c r="N23" s="18" t="inlineStr">
        <is>
          <t>data/technology_templates.yaml; upgrade_profiles.martial</t>
        </is>
      </c>
      <c r="O23" s="63" t="n">
        <v>864000</v>
      </c>
      <c r="P23" s="64" t="n">
        <v>1.08</v>
      </c>
      <c r="Q23" s="63" t="n">
        <v>2000000</v>
      </c>
      <c r="R23" s="64" t="n">
        <v>1.2</v>
      </c>
    </row>
    <row r="24">
      <c r="A24" s="17" t="inlineStr">
        <is>
          <t>jian_defense</t>
        </is>
      </c>
      <c r="B24" s="18" t="inlineStr">
        <is>
          <t>纯阳护体</t>
        </is>
      </c>
      <c r="C24" s="18" t="inlineStr">
        <is>
          <t>武艺技术</t>
        </is>
      </c>
      <c r="D24" s="18" t="inlineStr">
        <is>
          <t>剑类</t>
        </is>
      </c>
      <c r="E24" s="17" t="n">
        <v>10</v>
      </c>
      <c r="F24" s="59" t="n">
        <v>60</v>
      </c>
      <c r="G24" s="60" t="n">
        <v>1.08</v>
      </c>
      <c r="H24" s="59" t="n">
        <v>8000</v>
      </c>
      <c r="I24" s="60" t="n">
        <v>1.2</v>
      </c>
      <c r="J24" s="61">
        <f>SUMIFS('个人技术逐级'!$M$5:$M$589,'个人技术逐级'!$A$5:$A$589,$A24,'个人技术逐级'!$E$5:$E$589,'参数与公式'!$B$10)</f>
        <v/>
      </c>
      <c r="K24" s="61">
        <f>SUMIFS('个人技术逐级'!$M$5:$M$589,'个人技术逐级'!$A$5:$A$589,$A24,'个人技术逐级'!$E$5:$E$589,$E24-1)</f>
        <v/>
      </c>
      <c r="L24" s="62">
        <f>SUMIF('个人技术逐级'!$A$5:$A$589,$A24,'个人技术逐级'!$M$5:$M$589)/3600</f>
        <v/>
      </c>
      <c r="M24" s="61">
        <f>SUMIF('个人技术逐级'!$A$5:$A$589,$A24,'个人技术逐级'!$N$5:$N$589)</f>
        <v/>
      </c>
      <c r="N24" s="18" t="inlineStr">
        <is>
          <t>data/technology_templates.yaml; upgrade_profiles.martial</t>
        </is>
      </c>
      <c r="O24" s="63" t="n">
        <v>864000</v>
      </c>
      <c r="P24" s="64" t="n">
        <v>1.08</v>
      </c>
      <c r="Q24" s="63" t="n">
        <v>2000000</v>
      </c>
      <c r="R24" s="64" t="n">
        <v>1.2</v>
      </c>
    </row>
    <row r="25">
      <c r="A25" s="17" t="inlineStr">
        <is>
          <t>jian_agility</t>
        </is>
      </c>
      <c r="B25" s="18" t="inlineStr">
        <is>
          <t>飘絮身法</t>
        </is>
      </c>
      <c r="C25" s="18" t="inlineStr">
        <is>
          <t>武艺技术</t>
        </is>
      </c>
      <c r="D25" s="18" t="inlineStr">
        <is>
          <t>剑类</t>
        </is>
      </c>
      <c r="E25" s="17" t="n">
        <v>10</v>
      </c>
      <c r="F25" s="59" t="n">
        <v>60</v>
      </c>
      <c r="G25" s="60" t="n">
        <v>1.08</v>
      </c>
      <c r="H25" s="59" t="n">
        <v>8000</v>
      </c>
      <c r="I25" s="60" t="n">
        <v>1.2</v>
      </c>
      <c r="J25" s="61">
        <f>SUMIFS('个人技术逐级'!$M$5:$M$589,'个人技术逐级'!$A$5:$A$589,$A25,'个人技术逐级'!$E$5:$E$589,'参数与公式'!$B$10)</f>
        <v/>
      </c>
      <c r="K25" s="61">
        <f>SUMIFS('个人技术逐级'!$M$5:$M$589,'个人技术逐级'!$A$5:$A$589,$A25,'个人技术逐级'!$E$5:$E$589,$E25-1)</f>
        <v/>
      </c>
      <c r="L25" s="62">
        <f>SUMIF('个人技术逐级'!$A$5:$A$589,$A25,'个人技术逐级'!$M$5:$M$589)/3600</f>
        <v/>
      </c>
      <c r="M25" s="61">
        <f>SUMIF('个人技术逐级'!$A$5:$A$589,$A25,'个人技术逐级'!$N$5:$N$589)</f>
        <v/>
      </c>
      <c r="N25" s="18" t="inlineStr">
        <is>
          <t>data/technology_templates.yaml; upgrade_profiles.martial</t>
        </is>
      </c>
      <c r="O25" s="63" t="n">
        <v>864000</v>
      </c>
      <c r="P25" s="64" t="n">
        <v>1.08</v>
      </c>
      <c r="Q25" s="63" t="n">
        <v>2000000</v>
      </c>
      <c r="R25" s="64" t="n">
        <v>1.2</v>
      </c>
    </row>
    <row r="26">
      <c r="A26" s="17" t="inlineStr">
        <is>
          <t>jian_hp</t>
        </is>
      </c>
      <c r="B26" s="18" t="inlineStr">
        <is>
          <t>回春转气</t>
        </is>
      </c>
      <c r="C26" s="18" t="inlineStr">
        <is>
          <t>武艺技术</t>
        </is>
      </c>
      <c r="D26" s="18" t="inlineStr">
        <is>
          <t>剑类</t>
        </is>
      </c>
      <c r="E26" s="17" t="n">
        <v>10</v>
      </c>
      <c r="F26" s="59" t="n">
        <v>60</v>
      </c>
      <c r="G26" s="60" t="n">
        <v>1.08</v>
      </c>
      <c r="H26" s="59" t="n">
        <v>8000</v>
      </c>
      <c r="I26" s="60" t="n">
        <v>1.2</v>
      </c>
      <c r="J26" s="61">
        <f>SUMIFS('个人技术逐级'!$M$5:$M$589,'个人技术逐级'!$A$5:$A$589,$A26,'个人技术逐级'!$E$5:$E$589,'参数与公式'!$B$10)</f>
        <v/>
      </c>
      <c r="K26" s="61">
        <f>SUMIFS('个人技术逐级'!$M$5:$M$589,'个人技术逐级'!$A$5:$A$589,$A26,'个人技术逐级'!$E$5:$E$589,$E26-1)</f>
        <v/>
      </c>
      <c r="L26" s="62">
        <f>SUMIF('个人技术逐级'!$A$5:$A$589,$A26,'个人技术逐级'!$M$5:$M$589)/3600</f>
        <v/>
      </c>
      <c r="M26" s="61">
        <f>SUMIF('个人技术逐级'!$A$5:$A$589,$A26,'个人技术逐级'!$N$5:$N$589)</f>
        <v/>
      </c>
      <c r="N26" s="18" t="inlineStr">
        <is>
          <t>data/technology_templates.yaml; upgrade_profiles.martial</t>
        </is>
      </c>
      <c r="O26" s="63" t="n">
        <v>864000</v>
      </c>
      <c r="P26" s="64" t="n">
        <v>1.08</v>
      </c>
      <c r="Q26" s="63" t="n">
        <v>2000000</v>
      </c>
      <c r="R26" s="64" t="n">
        <v>1.2</v>
      </c>
    </row>
    <row r="27">
      <c r="A27" s="17" t="inlineStr">
        <is>
          <t>jian_reflect</t>
        </is>
      </c>
      <c r="B27" s="18" t="inlineStr">
        <is>
          <t>护身剑罡</t>
        </is>
      </c>
      <c r="C27" s="18" t="inlineStr">
        <is>
          <t>武艺技术</t>
        </is>
      </c>
      <c r="D27" s="18" t="inlineStr">
        <is>
          <t>剑类</t>
        </is>
      </c>
      <c r="E27" s="17" t="n">
        <v>5</v>
      </c>
      <c r="F27" s="59" t="n">
        <v>60</v>
      </c>
      <c r="G27" s="60" t="n">
        <v>1.08</v>
      </c>
      <c r="H27" s="59" t="n">
        <v>20000</v>
      </c>
      <c r="I27" s="60" t="n">
        <v>1.2</v>
      </c>
      <c r="J27" s="61">
        <f>SUMIFS('个人技术逐级'!$M$5:$M$589,'个人技术逐级'!$A$5:$A$589,$A27,'个人技术逐级'!$E$5:$E$589,'参数与公式'!$B$10)</f>
        <v/>
      </c>
      <c r="K27" s="61">
        <f>SUMIFS('个人技术逐级'!$M$5:$M$589,'个人技术逐级'!$A$5:$A$589,$A27,'个人技术逐级'!$E$5:$E$589,$E27-1)</f>
        <v/>
      </c>
      <c r="L27" s="62">
        <f>SUMIF('个人技术逐级'!$A$5:$A$589,$A27,'个人技术逐级'!$M$5:$M$589)/3600</f>
        <v/>
      </c>
      <c r="M27" s="61">
        <f>SUMIF('个人技术逐级'!$A$5:$A$589,$A27,'个人技术逐级'!$N$5:$N$589)</f>
        <v/>
      </c>
      <c r="N27" s="18" t="inlineStr">
        <is>
          <t>data/technology_templates.yaml; upgrade_profiles.martial</t>
        </is>
      </c>
      <c r="O27" s="63" t="n">
        <v>864000</v>
      </c>
      <c r="P27" s="64" t="n">
        <v>1.08</v>
      </c>
      <c r="Q27" s="63" t="n">
        <v>2000000</v>
      </c>
      <c r="R27" s="64" t="n">
        <v>1.2</v>
      </c>
    </row>
    <row r="28">
      <c r="A28" s="17" t="inlineStr">
        <is>
          <t>jian_preempt</t>
        </is>
      </c>
      <c r="B28" s="18" t="inlineStr">
        <is>
          <t>驭剑之术</t>
        </is>
      </c>
      <c r="C28" s="18" t="inlineStr">
        <is>
          <t>武艺技术</t>
        </is>
      </c>
      <c r="D28" s="18" t="inlineStr">
        <is>
          <t>剑类</t>
        </is>
      </c>
      <c r="E28" s="17" t="n">
        <v>5</v>
      </c>
      <c r="F28" s="59" t="n">
        <v>60</v>
      </c>
      <c r="G28" s="60" t="n">
        <v>1.08</v>
      </c>
      <c r="H28" s="59" t="n">
        <v>20000</v>
      </c>
      <c r="I28" s="60" t="n">
        <v>1.2</v>
      </c>
      <c r="J28" s="61">
        <f>SUMIFS('个人技术逐级'!$M$5:$M$589,'个人技术逐级'!$A$5:$A$589,$A28,'个人技术逐级'!$E$5:$E$589,'参数与公式'!$B$10)</f>
        <v/>
      </c>
      <c r="K28" s="61">
        <f>SUMIFS('个人技术逐级'!$M$5:$M$589,'个人技术逐级'!$A$5:$A$589,$A28,'个人技术逐级'!$E$5:$E$589,$E28-1)</f>
        <v/>
      </c>
      <c r="L28" s="62">
        <f>SUMIF('个人技术逐级'!$A$5:$A$589,$A28,'个人技术逐级'!$M$5:$M$589)/3600</f>
        <v/>
      </c>
      <c r="M28" s="61">
        <f>SUMIF('个人技术逐级'!$A$5:$A$589,$A28,'个人技术逐级'!$N$5:$N$589)</f>
        <v/>
      </c>
      <c r="N28" s="18" t="inlineStr">
        <is>
          <t>data/technology_templates.yaml; upgrade_profiles.martial</t>
        </is>
      </c>
      <c r="O28" s="63" t="n">
        <v>864000</v>
      </c>
      <c r="P28" s="64" t="n">
        <v>1.08</v>
      </c>
      <c r="Q28" s="63" t="n">
        <v>2000000</v>
      </c>
      <c r="R28" s="64" t="n">
        <v>1.2</v>
      </c>
    </row>
    <row r="29">
      <c r="A29" s="17" t="inlineStr">
        <is>
          <t>quan_attack</t>
        </is>
      </c>
      <c r="B29" s="18" t="inlineStr">
        <is>
          <t>通背神拳</t>
        </is>
      </c>
      <c r="C29" s="18" t="inlineStr">
        <is>
          <t>武艺技术</t>
        </is>
      </c>
      <c r="D29" s="18" t="inlineStr">
        <is>
          <t>拳类</t>
        </is>
      </c>
      <c r="E29" s="17" t="n">
        <v>10</v>
      </c>
      <c r="F29" s="59" t="n">
        <v>60</v>
      </c>
      <c r="G29" s="60" t="n">
        <v>1.08</v>
      </c>
      <c r="H29" s="59" t="n">
        <v>8000</v>
      </c>
      <c r="I29" s="60" t="n">
        <v>1.2</v>
      </c>
      <c r="J29" s="61">
        <f>SUMIFS('个人技术逐级'!$M$5:$M$589,'个人技术逐级'!$A$5:$A$589,$A29,'个人技术逐级'!$E$5:$E$589,'参数与公式'!$B$10)</f>
        <v/>
      </c>
      <c r="K29" s="61">
        <f>SUMIFS('个人技术逐级'!$M$5:$M$589,'个人技术逐级'!$A$5:$A$589,$A29,'个人技术逐级'!$E$5:$E$589,$E29-1)</f>
        <v/>
      </c>
      <c r="L29" s="62">
        <f>SUMIF('个人技术逐级'!$A$5:$A$589,$A29,'个人技术逐级'!$M$5:$M$589)/3600</f>
        <v/>
      </c>
      <c r="M29" s="61">
        <f>SUMIF('个人技术逐级'!$A$5:$A$589,$A29,'个人技术逐级'!$N$5:$N$589)</f>
        <v/>
      </c>
      <c r="N29" s="18" t="inlineStr">
        <is>
          <t>data/technology_templates.yaml; upgrade_profiles.martial</t>
        </is>
      </c>
      <c r="O29" s="63" t="n">
        <v>864000</v>
      </c>
      <c r="P29" s="64" t="n">
        <v>1.08</v>
      </c>
      <c r="Q29" s="63" t="n">
        <v>2000000</v>
      </c>
      <c r="R29" s="64" t="n">
        <v>1.2</v>
      </c>
    </row>
    <row r="30">
      <c r="A30" s="17" t="inlineStr">
        <is>
          <t>quan_defense</t>
        </is>
      </c>
      <c r="B30" s="18" t="inlineStr">
        <is>
          <t>金钟罩体</t>
        </is>
      </c>
      <c r="C30" s="18" t="inlineStr">
        <is>
          <t>武艺技术</t>
        </is>
      </c>
      <c r="D30" s="18" t="inlineStr">
        <is>
          <t>拳类</t>
        </is>
      </c>
      <c r="E30" s="17" t="n">
        <v>10</v>
      </c>
      <c r="F30" s="59" t="n">
        <v>60</v>
      </c>
      <c r="G30" s="60" t="n">
        <v>1.08</v>
      </c>
      <c r="H30" s="59" t="n">
        <v>8000</v>
      </c>
      <c r="I30" s="60" t="n">
        <v>1.2</v>
      </c>
      <c r="J30" s="61">
        <f>SUMIFS('个人技术逐级'!$M$5:$M$589,'个人技术逐级'!$A$5:$A$589,$A30,'个人技术逐级'!$E$5:$E$589,'参数与公式'!$B$10)</f>
        <v/>
      </c>
      <c r="K30" s="61">
        <f>SUMIFS('个人技术逐级'!$M$5:$M$589,'个人技术逐级'!$A$5:$A$589,$A30,'个人技术逐级'!$E$5:$E$589,$E30-1)</f>
        <v/>
      </c>
      <c r="L30" s="62">
        <f>SUMIF('个人技术逐级'!$A$5:$A$589,$A30,'个人技术逐级'!$M$5:$M$589)/3600</f>
        <v/>
      </c>
      <c r="M30" s="61">
        <f>SUMIF('个人技术逐级'!$A$5:$A$589,$A30,'个人技术逐级'!$N$5:$N$589)</f>
        <v/>
      </c>
      <c r="N30" s="18" t="inlineStr">
        <is>
          <t>data/technology_templates.yaml; upgrade_profiles.martial</t>
        </is>
      </c>
      <c r="O30" s="63" t="n">
        <v>864000</v>
      </c>
      <c r="P30" s="64" t="n">
        <v>1.08</v>
      </c>
      <c r="Q30" s="63" t="n">
        <v>2000000</v>
      </c>
      <c r="R30" s="64" t="n">
        <v>1.2</v>
      </c>
    </row>
    <row r="31">
      <c r="A31" s="17" t="inlineStr">
        <is>
          <t>quan_agility</t>
        </is>
      </c>
      <c r="B31" s="18" t="inlineStr">
        <is>
          <t>凌波渡虚</t>
        </is>
      </c>
      <c r="C31" s="18" t="inlineStr">
        <is>
          <t>武艺技术</t>
        </is>
      </c>
      <c r="D31" s="18" t="inlineStr">
        <is>
          <t>拳类</t>
        </is>
      </c>
      <c r="E31" s="17" t="n">
        <v>10</v>
      </c>
      <c r="F31" s="59" t="n">
        <v>60</v>
      </c>
      <c r="G31" s="60" t="n">
        <v>1.08</v>
      </c>
      <c r="H31" s="59" t="n">
        <v>8000</v>
      </c>
      <c r="I31" s="60" t="n">
        <v>1.2</v>
      </c>
      <c r="J31" s="61">
        <f>SUMIFS('个人技术逐级'!$M$5:$M$589,'个人技术逐级'!$A$5:$A$589,$A31,'个人技术逐级'!$E$5:$E$589,'参数与公式'!$B$10)</f>
        <v/>
      </c>
      <c r="K31" s="61">
        <f>SUMIFS('个人技术逐级'!$M$5:$M$589,'个人技术逐级'!$A$5:$A$589,$A31,'个人技术逐级'!$E$5:$E$589,$E31-1)</f>
        <v/>
      </c>
      <c r="L31" s="62">
        <f>SUMIF('个人技术逐级'!$A$5:$A$589,$A31,'个人技术逐级'!$M$5:$M$589)/3600</f>
        <v/>
      </c>
      <c r="M31" s="61">
        <f>SUMIF('个人技术逐级'!$A$5:$A$589,$A31,'个人技术逐级'!$N$5:$N$589)</f>
        <v/>
      </c>
      <c r="N31" s="18" t="inlineStr">
        <is>
          <t>data/technology_templates.yaml; upgrade_profiles.martial</t>
        </is>
      </c>
      <c r="O31" s="63" t="n">
        <v>864000</v>
      </c>
      <c r="P31" s="64" t="n">
        <v>1.08</v>
      </c>
      <c r="Q31" s="63" t="n">
        <v>2000000</v>
      </c>
      <c r="R31" s="64" t="n">
        <v>1.2</v>
      </c>
    </row>
    <row r="32">
      <c r="A32" s="17" t="inlineStr">
        <is>
          <t>quan_hp</t>
        </is>
      </c>
      <c r="B32" s="18" t="inlineStr">
        <is>
          <t>炼气回元</t>
        </is>
      </c>
      <c r="C32" s="18" t="inlineStr">
        <is>
          <t>武艺技术</t>
        </is>
      </c>
      <c r="D32" s="18" t="inlineStr">
        <is>
          <t>拳类</t>
        </is>
      </c>
      <c r="E32" s="17" t="n">
        <v>10</v>
      </c>
      <c r="F32" s="59" t="n">
        <v>60</v>
      </c>
      <c r="G32" s="60" t="n">
        <v>1.08</v>
      </c>
      <c r="H32" s="59" t="n">
        <v>8000</v>
      </c>
      <c r="I32" s="60" t="n">
        <v>1.2</v>
      </c>
      <c r="J32" s="61">
        <f>SUMIFS('个人技术逐级'!$M$5:$M$589,'个人技术逐级'!$A$5:$A$589,$A32,'个人技术逐级'!$E$5:$E$589,'参数与公式'!$B$10)</f>
        <v/>
      </c>
      <c r="K32" s="61">
        <f>SUMIFS('个人技术逐级'!$M$5:$M$589,'个人技术逐级'!$A$5:$A$589,$A32,'个人技术逐级'!$E$5:$E$589,$E32-1)</f>
        <v/>
      </c>
      <c r="L32" s="62">
        <f>SUMIF('个人技术逐级'!$A$5:$A$589,$A32,'个人技术逐级'!$M$5:$M$589)/3600</f>
        <v/>
      </c>
      <c r="M32" s="61">
        <f>SUMIF('个人技术逐级'!$A$5:$A$589,$A32,'个人技术逐级'!$N$5:$N$589)</f>
        <v/>
      </c>
      <c r="N32" s="18" t="inlineStr">
        <is>
          <t>data/technology_templates.yaml; upgrade_profiles.martial</t>
        </is>
      </c>
      <c r="O32" s="63" t="n">
        <v>864000</v>
      </c>
      <c r="P32" s="64" t="n">
        <v>1.08</v>
      </c>
      <c r="Q32" s="63" t="n">
        <v>2000000</v>
      </c>
      <c r="R32" s="64" t="n">
        <v>1.2</v>
      </c>
    </row>
    <row r="33">
      <c r="A33" s="17" t="inlineStr">
        <is>
          <t>quan_vs_ranged</t>
        </is>
      </c>
      <c r="B33" s="18" t="inlineStr">
        <is>
          <t>万宗归流</t>
        </is>
      </c>
      <c r="C33" s="18" t="inlineStr">
        <is>
          <t>武艺技术</t>
        </is>
      </c>
      <c r="D33" s="18" t="inlineStr">
        <is>
          <t>拳类</t>
        </is>
      </c>
      <c r="E33" s="17" t="n">
        <v>10</v>
      </c>
      <c r="F33" s="59" t="n">
        <v>60</v>
      </c>
      <c r="G33" s="60" t="n">
        <v>1.08</v>
      </c>
      <c r="H33" s="59" t="n">
        <v>20000</v>
      </c>
      <c r="I33" s="60" t="n">
        <v>1.2</v>
      </c>
      <c r="J33" s="61">
        <f>SUMIFS('个人技术逐级'!$M$5:$M$589,'个人技术逐级'!$A$5:$A$589,$A33,'个人技术逐级'!$E$5:$E$589,'参数与公式'!$B$10)</f>
        <v/>
      </c>
      <c r="K33" s="61">
        <f>SUMIFS('个人技术逐级'!$M$5:$M$589,'个人技术逐级'!$A$5:$A$589,$A33,'个人技术逐级'!$E$5:$E$589,$E33-1)</f>
        <v/>
      </c>
      <c r="L33" s="62">
        <f>SUMIF('个人技术逐级'!$A$5:$A$589,$A33,'个人技术逐级'!$M$5:$M$589)/3600</f>
        <v/>
      </c>
      <c r="M33" s="61">
        <f>SUMIF('个人技术逐级'!$A$5:$A$589,$A33,'个人技术逐级'!$N$5:$N$589)</f>
        <v/>
      </c>
      <c r="N33" s="18" t="inlineStr">
        <is>
          <t>data/technology_templates.yaml; upgrade_profiles.martial</t>
        </is>
      </c>
      <c r="O33" s="63" t="n">
        <v>864000</v>
      </c>
      <c r="P33" s="64" t="n">
        <v>1.08</v>
      </c>
      <c r="Q33" s="63" t="n">
        <v>2000000</v>
      </c>
      <c r="R33" s="64" t="n">
        <v>1.2</v>
      </c>
    </row>
    <row r="34">
      <c r="A34" s="17" t="inlineStr">
        <is>
          <t>quan_heal</t>
        </is>
      </c>
      <c r="B34" s="18" t="inlineStr">
        <is>
          <t>五气朝元</t>
        </is>
      </c>
      <c r="C34" s="18" t="inlineStr">
        <is>
          <t>武艺技术</t>
        </is>
      </c>
      <c r="D34" s="18" t="inlineStr">
        <is>
          <t>拳类</t>
        </is>
      </c>
      <c r="E34" s="17" t="n">
        <v>5</v>
      </c>
      <c r="F34" s="59" t="n">
        <v>60</v>
      </c>
      <c r="G34" s="60" t="n">
        <v>1.08</v>
      </c>
      <c r="H34" s="59" t="n">
        <v>20000</v>
      </c>
      <c r="I34" s="60" t="n">
        <v>1.2</v>
      </c>
      <c r="J34" s="61">
        <f>SUMIFS('个人技术逐级'!$M$5:$M$589,'个人技术逐级'!$A$5:$A$589,$A34,'个人技术逐级'!$E$5:$E$589,'参数与公式'!$B$10)</f>
        <v/>
      </c>
      <c r="K34" s="61">
        <f>SUMIFS('个人技术逐级'!$M$5:$M$589,'个人技术逐级'!$A$5:$A$589,$A34,'个人技术逐级'!$E$5:$E$589,$E34-1)</f>
        <v/>
      </c>
      <c r="L34" s="62">
        <f>SUMIF('个人技术逐级'!$A$5:$A$589,$A34,'个人技术逐级'!$M$5:$M$589)/3600</f>
        <v/>
      </c>
      <c r="M34" s="61">
        <f>SUMIF('个人技术逐级'!$A$5:$A$589,$A34,'个人技术逐级'!$N$5:$N$589)</f>
        <v/>
      </c>
      <c r="N34" s="18" t="inlineStr">
        <is>
          <t>data/technology_templates.yaml; upgrade_profiles.martial</t>
        </is>
      </c>
      <c r="O34" s="63" t="n">
        <v>864000</v>
      </c>
      <c r="P34" s="64" t="n">
        <v>1.08</v>
      </c>
      <c r="Q34" s="63" t="n">
        <v>2000000</v>
      </c>
      <c r="R34" s="64" t="n">
        <v>1.2</v>
      </c>
    </row>
    <row r="35">
      <c r="A35" s="17" t="inlineStr">
        <is>
          <t>gong_attack</t>
        </is>
      </c>
      <c r="B35" s="18" t="inlineStr">
        <is>
          <t>百步穿杨</t>
        </is>
      </c>
      <c r="C35" s="18" t="inlineStr">
        <is>
          <t>武艺技术</t>
        </is>
      </c>
      <c r="D35" s="18" t="inlineStr">
        <is>
          <t>弓箭类</t>
        </is>
      </c>
      <c r="E35" s="17" t="n">
        <v>10</v>
      </c>
      <c r="F35" s="59" t="n">
        <v>60</v>
      </c>
      <c r="G35" s="60" t="n">
        <v>1.08</v>
      </c>
      <c r="H35" s="59" t="n">
        <v>8000</v>
      </c>
      <c r="I35" s="60" t="n">
        <v>1.2</v>
      </c>
      <c r="J35" s="61">
        <f>SUMIFS('个人技术逐级'!$M$5:$M$589,'个人技术逐级'!$A$5:$A$589,$A35,'个人技术逐级'!$E$5:$E$589,'参数与公式'!$B$10)</f>
        <v/>
      </c>
      <c r="K35" s="61">
        <f>SUMIFS('个人技术逐级'!$M$5:$M$589,'个人技术逐级'!$A$5:$A$589,$A35,'个人技术逐级'!$E$5:$E$589,$E35-1)</f>
        <v/>
      </c>
      <c r="L35" s="62">
        <f>SUMIF('个人技术逐级'!$A$5:$A$589,$A35,'个人技术逐级'!$M$5:$M$589)/3600</f>
        <v/>
      </c>
      <c r="M35" s="61">
        <f>SUMIF('个人技术逐级'!$A$5:$A$589,$A35,'个人技术逐级'!$N$5:$N$589)</f>
        <v/>
      </c>
      <c r="N35" s="18" t="inlineStr">
        <is>
          <t>data/technology_templates.yaml; upgrade_profiles.martial</t>
        </is>
      </c>
      <c r="O35" s="63" t="n">
        <v>864000</v>
      </c>
      <c r="P35" s="64" t="n">
        <v>1.08</v>
      </c>
      <c r="Q35" s="63" t="n">
        <v>2000000</v>
      </c>
      <c r="R35" s="64" t="n">
        <v>1.2</v>
      </c>
    </row>
    <row r="36">
      <c r="A36" s="17" t="inlineStr">
        <is>
          <t>gong_defense</t>
        </is>
      </c>
      <c r="B36" s="18" t="inlineStr">
        <is>
          <t>天地反转</t>
        </is>
      </c>
      <c r="C36" s="18" t="inlineStr">
        <is>
          <t>武艺技术</t>
        </is>
      </c>
      <c r="D36" s="18" t="inlineStr">
        <is>
          <t>弓箭类</t>
        </is>
      </c>
      <c r="E36" s="17" t="n">
        <v>10</v>
      </c>
      <c r="F36" s="59" t="n">
        <v>60</v>
      </c>
      <c r="G36" s="60" t="n">
        <v>1.08</v>
      </c>
      <c r="H36" s="59" t="n">
        <v>8000</v>
      </c>
      <c r="I36" s="60" t="n">
        <v>1.2</v>
      </c>
      <c r="J36" s="61">
        <f>SUMIFS('个人技术逐级'!$M$5:$M$589,'个人技术逐级'!$A$5:$A$589,$A36,'个人技术逐级'!$E$5:$E$589,'参数与公式'!$B$10)</f>
        <v/>
      </c>
      <c r="K36" s="61">
        <f>SUMIFS('个人技术逐级'!$M$5:$M$589,'个人技术逐级'!$A$5:$A$589,$A36,'个人技术逐级'!$E$5:$E$589,$E36-1)</f>
        <v/>
      </c>
      <c r="L36" s="62">
        <f>SUMIF('个人技术逐级'!$A$5:$A$589,$A36,'个人技术逐级'!$M$5:$M$589)/3600</f>
        <v/>
      </c>
      <c r="M36" s="61">
        <f>SUMIF('个人技术逐级'!$A$5:$A$589,$A36,'个人技术逐级'!$N$5:$N$589)</f>
        <v/>
      </c>
      <c r="N36" s="18" t="inlineStr">
        <is>
          <t>data/technology_templates.yaml; upgrade_profiles.martial</t>
        </is>
      </c>
      <c r="O36" s="63" t="n">
        <v>864000</v>
      </c>
      <c r="P36" s="64" t="n">
        <v>1.08</v>
      </c>
      <c r="Q36" s="63" t="n">
        <v>2000000</v>
      </c>
      <c r="R36" s="64" t="n">
        <v>1.2</v>
      </c>
    </row>
    <row r="37">
      <c r="A37" s="17" t="inlineStr">
        <is>
          <t>gong_agility</t>
        </is>
      </c>
      <c r="B37" s="18" t="inlineStr">
        <is>
          <t>御风追月</t>
        </is>
      </c>
      <c r="C37" s="18" t="inlineStr">
        <is>
          <t>武艺技术</t>
        </is>
      </c>
      <c r="D37" s="18" t="inlineStr">
        <is>
          <t>弓箭类</t>
        </is>
      </c>
      <c r="E37" s="17" t="n">
        <v>10</v>
      </c>
      <c r="F37" s="59" t="n">
        <v>60</v>
      </c>
      <c r="G37" s="60" t="n">
        <v>1.08</v>
      </c>
      <c r="H37" s="59" t="n">
        <v>8000</v>
      </c>
      <c r="I37" s="60" t="n">
        <v>1.2</v>
      </c>
      <c r="J37" s="61">
        <f>SUMIFS('个人技术逐级'!$M$5:$M$589,'个人技术逐级'!$A$5:$A$589,$A37,'个人技术逐级'!$E$5:$E$589,'参数与公式'!$B$10)</f>
        <v/>
      </c>
      <c r="K37" s="61">
        <f>SUMIFS('个人技术逐级'!$M$5:$M$589,'个人技术逐级'!$A$5:$A$589,$A37,'个人技术逐级'!$E$5:$E$589,$E37-1)</f>
        <v/>
      </c>
      <c r="L37" s="62">
        <f>SUMIF('个人技术逐级'!$A$5:$A$589,$A37,'个人技术逐级'!$M$5:$M$589)/3600</f>
        <v/>
      </c>
      <c r="M37" s="61">
        <f>SUMIF('个人技术逐级'!$A$5:$A$589,$A37,'个人技术逐级'!$N$5:$N$589)</f>
        <v/>
      </c>
      <c r="N37" s="18" t="inlineStr">
        <is>
          <t>data/technology_templates.yaml; upgrade_profiles.martial</t>
        </is>
      </c>
      <c r="O37" s="63" t="n">
        <v>864000</v>
      </c>
      <c r="P37" s="64" t="n">
        <v>1.08</v>
      </c>
      <c r="Q37" s="63" t="n">
        <v>2000000</v>
      </c>
      <c r="R37" s="64" t="n">
        <v>1.2</v>
      </c>
    </row>
    <row r="38">
      <c r="A38" s="17" t="inlineStr">
        <is>
          <t>gong_hp</t>
        </is>
      </c>
      <c r="B38" s="18" t="inlineStr">
        <is>
          <t>云流转气</t>
        </is>
      </c>
      <c r="C38" s="18" t="inlineStr">
        <is>
          <t>武艺技术</t>
        </is>
      </c>
      <c r="D38" s="18" t="inlineStr">
        <is>
          <t>弓箭类</t>
        </is>
      </c>
      <c r="E38" s="17" t="n">
        <v>10</v>
      </c>
      <c r="F38" s="59" t="n">
        <v>60</v>
      </c>
      <c r="G38" s="60" t="n">
        <v>1.08</v>
      </c>
      <c r="H38" s="59" t="n">
        <v>8000</v>
      </c>
      <c r="I38" s="60" t="n">
        <v>1.2</v>
      </c>
      <c r="J38" s="61">
        <f>SUMIFS('个人技术逐级'!$M$5:$M$589,'个人技术逐级'!$A$5:$A$589,$A38,'个人技术逐级'!$E$5:$E$589,'参数与公式'!$B$10)</f>
        <v/>
      </c>
      <c r="K38" s="61">
        <f>SUMIFS('个人技术逐级'!$M$5:$M$589,'个人技术逐级'!$A$5:$A$589,$A38,'个人技术逐级'!$E$5:$E$589,$E38-1)</f>
        <v/>
      </c>
      <c r="L38" s="62">
        <f>SUMIF('个人技术逐级'!$A$5:$A$589,$A38,'个人技术逐级'!$M$5:$M$589)/3600</f>
        <v/>
      </c>
      <c r="M38" s="61">
        <f>SUMIF('个人技术逐级'!$A$5:$A$589,$A38,'个人技术逐级'!$N$5:$N$589)</f>
        <v/>
      </c>
      <c r="N38" s="18" t="inlineStr">
        <is>
          <t>data/technology_templates.yaml; upgrade_profiles.martial</t>
        </is>
      </c>
      <c r="O38" s="63" t="n">
        <v>864000</v>
      </c>
      <c r="P38" s="64" t="n">
        <v>1.08</v>
      </c>
      <c r="Q38" s="63" t="n">
        <v>2000000</v>
      </c>
      <c r="R38" s="64" t="n">
        <v>1.2</v>
      </c>
    </row>
    <row r="39">
      <c r="A39" s="17" t="inlineStr">
        <is>
          <t>gong_range</t>
        </is>
      </c>
      <c r="B39" s="18" t="inlineStr">
        <is>
          <t>凤舞九天</t>
        </is>
      </c>
      <c r="C39" s="18" t="inlineStr">
        <is>
          <t>武艺技术</t>
        </is>
      </c>
      <c r="D39" s="18" t="inlineStr">
        <is>
          <t>弓箭类</t>
        </is>
      </c>
      <c r="E39" s="17" t="n">
        <v>5</v>
      </c>
      <c r="F39" s="59" t="n">
        <v>60</v>
      </c>
      <c r="G39" s="60" t="n">
        <v>1.08</v>
      </c>
      <c r="H39" s="59" t="n">
        <v>20000</v>
      </c>
      <c r="I39" s="60" t="n">
        <v>1.2</v>
      </c>
      <c r="J39" s="61">
        <f>SUMIFS('个人技术逐级'!$M$5:$M$589,'个人技术逐级'!$A$5:$A$589,$A39,'个人技术逐级'!$E$5:$E$589,'参数与公式'!$B$10)</f>
        <v/>
      </c>
      <c r="K39" s="61">
        <f>SUMIFS('个人技术逐级'!$M$5:$M$589,'个人技术逐级'!$A$5:$A$589,$A39,'个人技术逐级'!$E$5:$E$589,$E39-1)</f>
        <v/>
      </c>
      <c r="L39" s="62">
        <f>SUMIF('个人技术逐级'!$A$5:$A$589,$A39,'个人技术逐级'!$M$5:$M$589)/3600</f>
        <v/>
      </c>
      <c r="M39" s="61">
        <f>SUMIF('个人技术逐级'!$A$5:$A$589,$A39,'个人技术逐级'!$N$5:$N$589)</f>
        <v/>
      </c>
      <c r="N39" s="18" t="inlineStr">
        <is>
          <t>data/technology_templates.yaml; upgrade_profiles.martial</t>
        </is>
      </c>
      <c r="O39" s="63" t="n">
        <v>864000</v>
      </c>
      <c r="P39" s="64" t="n">
        <v>1.08</v>
      </c>
      <c r="Q39" s="63" t="n">
        <v>2000000</v>
      </c>
      <c r="R39" s="64" t="n">
        <v>1.2</v>
      </c>
    </row>
    <row r="40">
      <c r="A40" s="17" t="inlineStr">
        <is>
          <t>gong_melee</t>
        </is>
      </c>
      <c r="B40" s="18" t="inlineStr">
        <is>
          <t>短刃杀法</t>
        </is>
      </c>
      <c r="C40" s="18" t="inlineStr">
        <is>
          <t>武艺技术</t>
        </is>
      </c>
      <c r="D40" s="18" t="inlineStr">
        <is>
          <t>弓箭类</t>
        </is>
      </c>
      <c r="E40" s="17" t="n">
        <v>10</v>
      </c>
      <c r="F40" s="59" t="n">
        <v>60</v>
      </c>
      <c r="G40" s="60" t="n">
        <v>1.08</v>
      </c>
      <c r="H40" s="59" t="n">
        <v>20000</v>
      </c>
      <c r="I40" s="60" t="n">
        <v>1.2</v>
      </c>
      <c r="J40" s="61">
        <f>SUMIFS('个人技术逐级'!$M$5:$M$589,'个人技术逐级'!$A$5:$A$589,$A40,'个人技术逐级'!$E$5:$E$589,'参数与公式'!$B$10)</f>
        <v/>
      </c>
      <c r="K40" s="61">
        <f>SUMIFS('个人技术逐级'!$M$5:$M$589,'个人技术逐级'!$A$5:$A$589,$A40,'个人技术逐级'!$E$5:$E$589,$E40-1)</f>
        <v/>
      </c>
      <c r="L40" s="62">
        <f>SUMIF('个人技术逐级'!$A$5:$A$589,$A40,'个人技术逐级'!$M$5:$M$589)/3600</f>
        <v/>
      </c>
      <c r="M40" s="61">
        <f>SUMIF('个人技术逐级'!$A$5:$A$589,$A40,'个人技术逐级'!$N$5:$N$589)</f>
        <v/>
      </c>
      <c r="N40" s="18" t="inlineStr">
        <is>
          <t>data/technology_templates.yaml; upgrade_profiles.martial</t>
        </is>
      </c>
      <c r="O40" s="63" t="n">
        <v>864000</v>
      </c>
      <c r="P40" s="64" t="n">
        <v>1.08</v>
      </c>
      <c r="Q40" s="63" t="n">
        <v>2000000</v>
      </c>
      <c r="R40" s="64" t="n">
        <v>1.2</v>
      </c>
    </row>
    <row r="41">
      <c r="A41" s="17" t="inlineStr">
        <is>
          <t>farming</t>
        </is>
      </c>
      <c r="B41" s="18" t="inlineStr">
        <is>
          <t>农耕术</t>
        </is>
      </c>
      <c r="C41" s="18" t="inlineStr">
        <is>
          <t>生产技术</t>
        </is>
      </c>
      <c r="D41" s="18" t="inlineStr">
        <is>
          <t>—</t>
        </is>
      </c>
      <c r="E41" s="17" t="n">
        <v>30</v>
      </c>
      <c r="F41" s="59" t="n">
        <v>60</v>
      </c>
      <c r="G41" s="60" t="n">
        <v>1.02</v>
      </c>
      <c r="H41" s="59" t="n">
        <v>6400</v>
      </c>
      <c r="I41" s="60" t="n">
        <v>1.02</v>
      </c>
      <c r="J41" s="61">
        <f>SUMIFS('个人技术逐级'!$M$5:$M$589,'个人技术逐级'!$A$5:$A$589,$A41,'个人技术逐级'!$E$5:$E$589,'参数与公式'!$B$10)</f>
        <v/>
      </c>
      <c r="K41" s="61">
        <f>SUMIFS('个人技术逐级'!$M$5:$M$589,'个人技术逐级'!$A$5:$A$589,$A41,'个人技术逐级'!$E$5:$E$589,$E41-1)</f>
        <v/>
      </c>
      <c r="L41" s="62">
        <f>SUMIF('个人技术逐级'!$A$5:$A$589,$A41,'个人技术逐级'!$M$5:$M$589)/3600</f>
        <v/>
      </c>
      <c r="M41" s="61">
        <f>SUMIF('个人技术逐级'!$A$5:$A$589,$A41,'个人技术逐级'!$N$5:$N$589)</f>
        <v/>
      </c>
      <c r="N41" s="18" t="inlineStr">
        <is>
          <t>data/technology_templates.yaml; technologies[].upgrade_*_budget / *_curve</t>
        </is>
      </c>
      <c r="O41" s="63" t="n">
        <v>1728000</v>
      </c>
      <c r="P41" s="64" t="n">
        <v>1.02</v>
      </c>
      <c r="Q41" s="63" t="n">
        <v>8000000</v>
      </c>
      <c r="R41" s="64" t="n">
        <v>1.02</v>
      </c>
    </row>
    <row r="42">
      <c r="A42" s="17" t="inlineStr">
        <is>
          <t>dao_recruit</t>
        </is>
      </c>
      <c r="B42" s="18" t="inlineStr">
        <is>
          <t>造兵术-刀</t>
        </is>
      </c>
      <c r="C42" s="18" t="inlineStr">
        <is>
          <t>武艺技术</t>
        </is>
      </c>
      <c r="D42" s="18" t="inlineStr">
        <is>
          <t>刀类</t>
        </is>
      </c>
      <c r="E42" s="17" t="n">
        <v>7</v>
      </c>
      <c r="F42" s="59" t="n">
        <v>60</v>
      </c>
      <c r="G42" s="60" t="n">
        <v>1.08</v>
      </c>
      <c r="H42" s="59" t="n">
        <v>8000</v>
      </c>
      <c r="I42" s="60" t="n">
        <v>1.2</v>
      </c>
      <c r="J42" s="61">
        <f>SUMIFS('个人技术逐级'!$M$5:$M$589,'个人技术逐级'!$A$5:$A$589,$A42,'个人技术逐级'!$E$5:$E$589,'参数与公式'!$B$10)</f>
        <v/>
      </c>
      <c r="K42" s="61">
        <f>SUMIFS('个人技术逐级'!$M$5:$M$589,'个人技术逐级'!$A$5:$A$589,$A42,'个人技术逐级'!$E$5:$E$589,$E42-1)</f>
        <v/>
      </c>
      <c r="L42" s="62">
        <f>SUMIF('个人技术逐级'!$A$5:$A$589,$A42,'个人技术逐级'!$M$5:$M$589)/3600</f>
        <v/>
      </c>
      <c r="M42" s="61">
        <f>SUMIF('个人技术逐级'!$A$5:$A$589,$A42,'个人技术逐级'!$N$5:$N$589)</f>
        <v/>
      </c>
      <c r="N42" s="18" t="inlineStr">
        <is>
          <t>data/technology_templates.yaml; upgrade_profiles.martial</t>
        </is>
      </c>
      <c r="O42" s="63" t="n">
        <v>864000</v>
      </c>
      <c r="P42" s="64" t="n">
        <v>1.08</v>
      </c>
      <c r="Q42" s="63" t="n">
        <v>2000000</v>
      </c>
      <c r="R42" s="64" t="n">
        <v>1.2</v>
      </c>
    </row>
    <row r="43">
      <c r="A43" s="17" t="inlineStr">
        <is>
          <t>qiang_recruit</t>
        </is>
      </c>
      <c r="B43" s="18" t="inlineStr">
        <is>
          <t>造兵术-枪</t>
        </is>
      </c>
      <c r="C43" s="18" t="inlineStr">
        <is>
          <t>武艺技术</t>
        </is>
      </c>
      <c r="D43" s="18" t="inlineStr">
        <is>
          <t>枪类</t>
        </is>
      </c>
      <c r="E43" s="17" t="n">
        <v>7</v>
      </c>
      <c r="F43" s="59" t="n">
        <v>60</v>
      </c>
      <c r="G43" s="60" t="n">
        <v>1.08</v>
      </c>
      <c r="H43" s="59" t="n">
        <v>8000</v>
      </c>
      <c r="I43" s="60" t="n">
        <v>1.2</v>
      </c>
      <c r="J43" s="61">
        <f>SUMIFS('个人技术逐级'!$M$5:$M$589,'个人技术逐级'!$A$5:$A$589,$A43,'个人技术逐级'!$E$5:$E$589,'参数与公式'!$B$10)</f>
        <v/>
      </c>
      <c r="K43" s="61">
        <f>SUMIFS('个人技术逐级'!$M$5:$M$589,'个人技术逐级'!$A$5:$A$589,$A43,'个人技术逐级'!$E$5:$E$589,$E43-1)</f>
        <v/>
      </c>
      <c r="L43" s="62">
        <f>SUMIF('个人技术逐级'!$A$5:$A$589,$A43,'个人技术逐级'!$M$5:$M$589)/3600</f>
        <v/>
      </c>
      <c r="M43" s="61">
        <f>SUMIF('个人技术逐级'!$A$5:$A$589,$A43,'个人技术逐级'!$N$5:$N$589)</f>
        <v/>
      </c>
      <c r="N43" s="18" t="inlineStr">
        <is>
          <t>data/technology_templates.yaml; upgrade_profiles.martial</t>
        </is>
      </c>
      <c r="O43" s="63" t="n">
        <v>864000</v>
      </c>
      <c r="P43" s="64" t="n">
        <v>1.08</v>
      </c>
      <c r="Q43" s="63" t="n">
        <v>2000000</v>
      </c>
      <c r="R43" s="64" t="n">
        <v>1.2</v>
      </c>
    </row>
    <row r="44">
      <c r="A44" s="17" t="inlineStr">
        <is>
          <t>jian_recruit</t>
        </is>
      </c>
      <c r="B44" s="18" t="inlineStr">
        <is>
          <t>造兵术-剑</t>
        </is>
      </c>
      <c r="C44" s="18" t="inlineStr">
        <is>
          <t>武艺技术</t>
        </is>
      </c>
      <c r="D44" s="18" t="inlineStr">
        <is>
          <t>剑类</t>
        </is>
      </c>
      <c r="E44" s="17" t="n">
        <v>7</v>
      </c>
      <c r="F44" s="59" t="n">
        <v>60</v>
      </c>
      <c r="G44" s="60" t="n">
        <v>1.08</v>
      </c>
      <c r="H44" s="59" t="n">
        <v>8000</v>
      </c>
      <c r="I44" s="60" t="n">
        <v>1.2</v>
      </c>
      <c r="J44" s="61">
        <f>SUMIFS('个人技术逐级'!$M$5:$M$589,'个人技术逐级'!$A$5:$A$589,$A44,'个人技术逐级'!$E$5:$E$589,'参数与公式'!$B$10)</f>
        <v/>
      </c>
      <c r="K44" s="61">
        <f>SUMIFS('个人技术逐级'!$M$5:$M$589,'个人技术逐级'!$A$5:$A$589,$A44,'个人技术逐级'!$E$5:$E$589,$E44-1)</f>
        <v/>
      </c>
      <c r="L44" s="62">
        <f>SUMIF('个人技术逐级'!$A$5:$A$589,$A44,'个人技术逐级'!$M$5:$M$589)/3600</f>
        <v/>
      </c>
      <c r="M44" s="61">
        <f>SUMIF('个人技术逐级'!$A$5:$A$589,$A44,'个人技术逐级'!$N$5:$N$589)</f>
        <v/>
      </c>
      <c r="N44" s="18" t="inlineStr">
        <is>
          <t>data/technology_templates.yaml; upgrade_profiles.martial</t>
        </is>
      </c>
      <c r="O44" s="63" t="n">
        <v>864000</v>
      </c>
      <c r="P44" s="64" t="n">
        <v>1.08</v>
      </c>
      <c r="Q44" s="63" t="n">
        <v>2000000</v>
      </c>
      <c r="R44" s="64" t="n">
        <v>1.2</v>
      </c>
    </row>
    <row r="45">
      <c r="A45" s="17" t="inlineStr">
        <is>
          <t>quan_recruit</t>
        </is>
      </c>
      <c r="B45" s="18" t="inlineStr">
        <is>
          <t>造兵术-拳</t>
        </is>
      </c>
      <c r="C45" s="18" t="inlineStr">
        <is>
          <t>武艺技术</t>
        </is>
      </c>
      <c r="D45" s="18" t="inlineStr">
        <is>
          <t>拳类</t>
        </is>
      </c>
      <c r="E45" s="17" t="n">
        <v>7</v>
      </c>
      <c r="F45" s="59" t="n">
        <v>60</v>
      </c>
      <c r="G45" s="60" t="n">
        <v>1.08</v>
      </c>
      <c r="H45" s="59" t="n">
        <v>8000</v>
      </c>
      <c r="I45" s="60" t="n">
        <v>1.2</v>
      </c>
      <c r="J45" s="61">
        <f>SUMIFS('个人技术逐级'!$M$5:$M$589,'个人技术逐级'!$A$5:$A$589,$A45,'个人技术逐级'!$E$5:$E$589,'参数与公式'!$B$10)</f>
        <v/>
      </c>
      <c r="K45" s="61">
        <f>SUMIFS('个人技术逐级'!$M$5:$M$589,'个人技术逐级'!$A$5:$A$589,$A45,'个人技术逐级'!$E$5:$E$589,$E45-1)</f>
        <v/>
      </c>
      <c r="L45" s="62">
        <f>SUMIF('个人技术逐级'!$A$5:$A$589,$A45,'个人技术逐级'!$M$5:$M$589)/3600</f>
        <v/>
      </c>
      <c r="M45" s="61">
        <f>SUMIF('个人技术逐级'!$A$5:$A$589,$A45,'个人技术逐级'!$N$5:$N$589)</f>
        <v/>
      </c>
      <c r="N45" s="18" t="inlineStr">
        <is>
          <t>data/technology_templates.yaml; upgrade_profiles.martial</t>
        </is>
      </c>
      <c r="O45" s="63" t="n">
        <v>864000</v>
      </c>
      <c r="P45" s="64" t="n">
        <v>1.08</v>
      </c>
      <c r="Q45" s="63" t="n">
        <v>2000000</v>
      </c>
      <c r="R45" s="64" t="n">
        <v>1.2</v>
      </c>
    </row>
    <row r="46">
      <c r="A46" s="17" t="inlineStr">
        <is>
          <t>gong_recruit</t>
        </is>
      </c>
      <c r="B46" s="18" t="inlineStr">
        <is>
          <t>造兵术-弓</t>
        </is>
      </c>
      <c r="C46" s="18" t="inlineStr">
        <is>
          <t>武艺技术</t>
        </is>
      </c>
      <c r="D46" s="18" t="inlineStr">
        <is>
          <t>弓箭类</t>
        </is>
      </c>
      <c r="E46" s="17" t="n">
        <v>7</v>
      </c>
      <c r="F46" s="59" t="n">
        <v>60</v>
      </c>
      <c r="G46" s="60" t="n">
        <v>1.08</v>
      </c>
      <c r="H46" s="59" t="n">
        <v>8000</v>
      </c>
      <c r="I46" s="60" t="n">
        <v>1.2</v>
      </c>
      <c r="J46" s="61">
        <f>SUMIFS('个人技术逐级'!$M$5:$M$589,'个人技术逐级'!$A$5:$A$589,$A46,'个人技术逐级'!$E$5:$E$589,'参数与公式'!$B$10)</f>
        <v/>
      </c>
      <c r="K46" s="61">
        <f>SUMIFS('个人技术逐级'!$M$5:$M$589,'个人技术逐级'!$A$5:$A$589,$A46,'个人技术逐级'!$E$5:$E$589,$E46-1)</f>
        <v/>
      </c>
      <c r="L46" s="62">
        <f>SUMIF('个人技术逐级'!$A$5:$A$589,$A46,'个人技术逐级'!$M$5:$M$589)/3600</f>
        <v/>
      </c>
      <c r="M46" s="61">
        <f>SUMIF('个人技术逐级'!$A$5:$A$589,$A46,'个人技术逐级'!$N$5:$N$589)</f>
        <v/>
      </c>
      <c r="N46" s="18" t="inlineStr">
        <is>
          <t>data/technology_templates.yaml; upgrade_profiles.martial</t>
        </is>
      </c>
      <c r="O46" s="63" t="n">
        <v>864000</v>
      </c>
      <c r="P46" s="64" t="n">
        <v>1.08</v>
      </c>
      <c r="Q46" s="63" t="n">
        <v>2000000</v>
      </c>
      <c r="R46" s="64" t="n">
        <v>1.2</v>
      </c>
    </row>
  </sheetData>
  <autoFilter ref="A4:R46"/>
  <mergeCells count="2">
    <mergeCell ref="A2:R2"/>
    <mergeCell ref="A1:R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58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56" customWidth="1" min="15" max="15"/>
    <col width="17" customWidth="1" min="16" max="16"/>
    <col width="12" customWidth="1" min="17" max="17"/>
    <col width="17" customWidth="1" min="18" max="18"/>
    <col width="12" customWidth="1" min="19" max="19"/>
    <col width="14" customWidth="1" min="20" max="20"/>
    <col width="17" customWidth="1" min="21" max="21"/>
    <col width="17" customWidth="1" min="22" max="22"/>
    <col width="14" customWidth="1" min="23" max="23"/>
    <col width="17" customWidth="1" min="24" max="24"/>
    <col width="17" customWidth="1" min="25" max="25"/>
  </cols>
  <sheetData>
    <row r="1" ht="28" customHeight="1">
      <c r="A1" s="1" t="inlineStr">
        <is>
          <t>个人技术逐级升级明细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30" t="n"/>
    </row>
    <row r="2" ht="42" customHeight="1">
      <c r="A2" s="2" t="inlineStr">
        <is>
          <t>个人技术从0级开始，全部技术统一使用全等级预算曲线：每级=基础底线+剩余总预算×POWER(曲线,当前等级)/全部权重总和，最后一级补齐整数舍入差额。T:Y 为可审计的预算分配辅助列。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30" t="n"/>
    </row>
    <row r="4" ht="42" customHeight="1">
      <c r="A4" s="5" t="inlineStr">
        <is>
          <t>技术Key</t>
        </is>
      </c>
      <c r="B4" s="5" t="inlineStr">
        <is>
          <t>技术</t>
        </is>
      </c>
      <c r="C4" s="5" t="inlineStr">
        <is>
          <t>分类</t>
        </is>
      </c>
      <c r="D4" s="5" t="inlineStr">
        <is>
          <t>兵种</t>
        </is>
      </c>
      <c r="E4" s="5" t="inlineStr">
        <is>
          <t>当前等级</t>
        </is>
      </c>
      <c r="F4" s="5" t="inlineStr">
        <is>
          <t>目标等级</t>
        </is>
      </c>
      <c r="G4" s="5" t="inlineStr">
        <is>
          <t>最高等级</t>
        </is>
      </c>
      <c r="H4" s="5" t="inlineStr">
        <is>
          <t>基础时间(s)</t>
        </is>
      </c>
      <c r="I4" s="5" t="inlineStr">
        <is>
          <t>时长曲线</t>
        </is>
      </c>
      <c r="J4" s="5" t="inlineStr">
        <is>
          <t>基础银两</t>
        </is>
      </c>
      <c r="K4" s="5" t="inlineStr">
        <is>
          <t>成本曲线</t>
        </is>
      </c>
      <c r="L4" s="5" t="inlineStr">
        <is>
          <t>配置时长(s)</t>
        </is>
      </c>
      <c r="M4" s="5" t="inlineStr">
        <is>
          <t>基准实耗时(s)</t>
        </is>
      </c>
      <c r="N4" s="5" t="inlineStr">
        <is>
          <t>配置银两</t>
        </is>
      </c>
      <c r="O4" s="5" t="inlineStr">
        <is>
          <t>数据来源</t>
        </is>
      </c>
      <c r="P4" s="5" t="inlineStr">
        <is>
          <t>时长总预算(s)</t>
        </is>
      </c>
      <c r="Q4" s="5" t="inlineStr">
        <is>
          <t>时长曲线</t>
        </is>
      </c>
      <c r="R4" s="5" t="inlineStr">
        <is>
          <t>银两总预算</t>
        </is>
      </c>
      <c r="S4" s="5" t="inlineStr">
        <is>
          <t>成本曲线</t>
        </is>
      </c>
      <c r="T4" s="5" t="inlineStr">
        <is>
          <t>时长权重</t>
        </is>
      </c>
      <c r="U4" s="5" t="inlineStr">
        <is>
          <t>时长权重总和</t>
        </is>
      </c>
      <c r="V4" s="5" t="inlineStr">
        <is>
          <t>时长额外分配</t>
        </is>
      </c>
      <c r="W4" s="5" t="inlineStr">
        <is>
          <t>成本权重</t>
        </is>
      </c>
      <c r="X4" s="5" t="inlineStr">
        <is>
          <t>成本权重总和</t>
        </is>
      </c>
      <c r="Y4" s="5" t="inlineStr">
        <is>
          <t>成本额外分配</t>
        </is>
      </c>
    </row>
    <row r="5">
      <c r="A5" s="17" t="inlineStr">
        <is>
          <t>scout_art</t>
        </is>
      </c>
      <c r="B5" s="18" t="inlineStr">
        <is>
          <t>侦查术</t>
        </is>
      </c>
      <c r="C5" s="18" t="inlineStr">
        <is>
          <t>基本技术</t>
        </is>
      </c>
      <c r="D5" s="18" t="inlineStr">
        <is>
          <t>—</t>
        </is>
      </c>
      <c r="E5" s="65" t="n">
        <v>0</v>
      </c>
      <c r="F5" s="66">
        <f>E5+1</f>
        <v/>
      </c>
      <c r="G5" s="65">
        <f>INDEX('个人技术总览'!$E$5:$E$46,MATCH($A5,'个人技术总览'!$A$5:$A$46,0))</f>
        <v/>
      </c>
      <c r="H5" s="59">
        <f>INDEX('个人技术总览'!$F$5:$F$46,MATCH($A5,'个人技术总览'!$A$5:$A$46,0))</f>
        <v/>
      </c>
      <c r="I5" s="60">
        <f>INDEX('个人技术总览'!$G$5:$G$46,MATCH($A5,'个人技术总览'!$A$5:$A$46,0))</f>
        <v/>
      </c>
      <c r="J5" s="59">
        <f>INDEX('个人技术总览'!$H$5:$H$46,MATCH($A5,'个人技术总览'!$A$5:$A$46,0))</f>
        <v/>
      </c>
      <c r="K5" s="60">
        <f>INDEX('个人技术总览'!$I$5:$I$46,MATCH($A5,'个人技术总览'!$A$5:$A$46,0))</f>
        <v/>
      </c>
      <c r="L5" s="67">
        <f>H5+V5+IF(E5=G5-1,MAX(0,P5-H5*G5-SUMIFS($V$5:$V$589,$A$5:$A$589,$A5)),0)</f>
        <v/>
      </c>
      <c r="M5" s="61">
        <f>MAX(1,ROUNDDOWN($L5/'参数与公式'!$B$5,0))</f>
        <v/>
      </c>
      <c r="N5" s="67">
        <f>J5+Y5+IF(E5=G5-1,MAX(0,R5-J5*G5-SUMIFS($Y$5:$Y$589,$A$5:$A$589,$A5)),0)</f>
        <v/>
      </c>
      <c r="O5" s="18" t="inlineStr">
        <is>
          <t>data/technology_templates.yaml; upgrade_*_budget / *_curve; code: technology_rules.allocate_upgrade_budget</t>
        </is>
      </c>
      <c r="P5" s="67">
        <f>INDEX('个人技术总览'!$O$5:$O$46,MATCH($A5,'个人技术总览'!$A$5:$A$46,0))</f>
        <v/>
      </c>
      <c r="Q5" s="64">
        <f>INDEX('个人技术总览'!$P$5:$P$46,MATCH($A5,'个人技术总览'!$A$5:$A$46,0))</f>
        <v/>
      </c>
      <c r="R5" s="67">
        <f>INDEX('个人技术总览'!$Q$5:$Q$46,MATCH($A5,'个人技术总览'!$A$5:$A$46,0))</f>
        <v/>
      </c>
      <c r="S5" s="64">
        <f>INDEX('个人技术总览'!$R$5:$R$46,MATCH($A5,'个人技术总览'!$A$5:$A$46,0))</f>
        <v/>
      </c>
      <c r="T5" s="68">
        <f>POWER($Q5,$E5)</f>
        <v/>
      </c>
      <c r="U5" s="68">
        <f>SUMIFS($T$5:$T$589,$A$5:$A$589,$A5)</f>
        <v/>
      </c>
      <c r="V5" s="67">
        <f>ROUNDDOWN(MAX(0,$P5-$H5*$G5)*$T5/MAX(1,$U5),0)</f>
        <v/>
      </c>
      <c r="W5" s="68">
        <f>POWER($S5,$E5)</f>
        <v/>
      </c>
      <c r="X5" s="68">
        <f>SUMIFS($W$5:$W$589,$A$5:$A$589,$A5)</f>
        <v/>
      </c>
      <c r="Y5" s="67">
        <f>ROUNDDOWN(MAX(0,$R5-$J5*$G5)*$W5/MAX(1,$X5),0)</f>
        <v/>
      </c>
    </row>
    <row r="6">
      <c r="A6" s="17" t="inlineStr">
        <is>
          <t>scout_art</t>
        </is>
      </c>
      <c r="B6" s="18" t="inlineStr">
        <is>
          <t>侦查术</t>
        </is>
      </c>
      <c r="C6" s="18" t="inlineStr">
        <is>
          <t>基本技术</t>
        </is>
      </c>
      <c r="D6" s="18" t="inlineStr">
        <is>
          <t>—</t>
        </is>
      </c>
      <c r="E6" s="65" t="n">
        <v>1</v>
      </c>
      <c r="F6" s="66">
        <f>E6+1</f>
        <v/>
      </c>
      <c r="G6" s="65">
        <f>INDEX('个人技术总览'!$E$5:$E$46,MATCH($A6,'个人技术总览'!$A$5:$A$46,0))</f>
        <v/>
      </c>
      <c r="H6" s="59">
        <f>INDEX('个人技术总览'!$F$5:$F$46,MATCH($A6,'个人技术总览'!$A$5:$A$46,0))</f>
        <v/>
      </c>
      <c r="I6" s="60">
        <f>INDEX('个人技术总览'!$G$5:$G$46,MATCH($A6,'个人技术总览'!$A$5:$A$46,0))</f>
        <v/>
      </c>
      <c r="J6" s="59">
        <f>INDEX('个人技术总览'!$H$5:$H$46,MATCH($A6,'个人技术总览'!$A$5:$A$46,0))</f>
        <v/>
      </c>
      <c r="K6" s="60">
        <f>INDEX('个人技术总览'!$I$5:$I$46,MATCH($A6,'个人技术总览'!$A$5:$A$46,0))</f>
        <v/>
      </c>
      <c r="L6" s="67">
        <f>H6+V6+IF(E6=G6-1,MAX(0,P6-H6*G6-SUMIFS($V$5:$V$589,$A$5:$A$589,$A6)),0)</f>
        <v/>
      </c>
      <c r="M6" s="61">
        <f>MAX(1,ROUNDDOWN($L6/'参数与公式'!$B$5,0))</f>
        <v/>
      </c>
      <c r="N6" s="67">
        <f>J6+Y6+IF(E6=G6-1,MAX(0,R6-J6*G6-SUMIFS($Y$5:$Y$589,$A$5:$A$589,$A6)),0)</f>
        <v/>
      </c>
      <c r="O6" s="18" t="inlineStr">
        <is>
          <t>data/technology_templates.yaml; upgrade_*_budget / *_curve; code: technology_rules.allocate_upgrade_budget</t>
        </is>
      </c>
      <c r="P6" s="67">
        <f>INDEX('个人技术总览'!$O$5:$O$46,MATCH($A6,'个人技术总览'!$A$5:$A$46,0))</f>
        <v/>
      </c>
      <c r="Q6" s="64">
        <f>INDEX('个人技术总览'!$P$5:$P$46,MATCH($A6,'个人技术总览'!$A$5:$A$46,0))</f>
        <v/>
      </c>
      <c r="R6" s="67">
        <f>INDEX('个人技术总览'!$Q$5:$Q$46,MATCH($A6,'个人技术总览'!$A$5:$A$46,0))</f>
        <v/>
      </c>
      <c r="S6" s="64">
        <f>INDEX('个人技术总览'!$R$5:$R$46,MATCH($A6,'个人技术总览'!$A$5:$A$46,0))</f>
        <v/>
      </c>
      <c r="T6" s="68">
        <f>POWER($Q6,$E6)</f>
        <v/>
      </c>
      <c r="U6" s="68">
        <f>SUMIFS($T$5:$T$589,$A$5:$A$589,$A6)</f>
        <v/>
      </c>
      <c r="V6" s="67">
        <f>ROUNDDOWN(MAX(0,$P6-$H6*$G6)*$T6/MAX(1,$U6),0)</f>
        <v/>
      </c>
      <c r="W6" s="68">
        <f>POWER($S6,$E6)</f>
        <v/>
      </c>
      <c r="X6" s="68">
        <f>SUMIFS($W$5:$W$589,$A$5:$A$589,$A6)</f>
        <v/>
      </c>
      <c r="Y6" s="67">
        <f>ROUNDDOWN(MAX(0,$R6-$J6*$G6)*$W6/MAX(1,$X6),0)</f>
        <v/>
      </c>
    </row>
    <row r="7">
      <c r="A7" s="17" t="inlineStr">
        <is>
          <t>scout_art</t>
        </is>
      </c>
      <c r="B7" s="18" t="inlineStr">
        <is>
          <t>侦查术</t>
        </is>
      </c>
      <c r="C7" s="18" t="inlineStr">
        <is>
          <t>基本技术</t>
        </is>
      </c>
      <c r="D7" s="18" t="inlineStr">
        <is>
          <t>—</t>
        </is>
      </c>
      <c r="E7" s="65" t="n">
        <v>2</v>
      </c>
      <c r="F7" s="66">
        <f>E7+1</f>
        <v/>
      </c>
      <c r="G7" s="65">
        <f>INDEX('个人技术总览'!$E$5:$E$46,MATCH($A7,'个人技术总览'!$A$5:$A$46,0))</f>
        <v/>
      </c>
      <c r="H7" s="59">
        <f>INDEX('个人技术总览'!$F$5:$F$46,MATCH($A7,'个人技术总览'!$A$5:$A$46,0))</f>
        <v/>
      </c>
      <c r="I7" s="60">
        <f>INDEX('个人技术总览'!$G$5:$G$46,MATCH($A7,'个人技术总览'!$A$5:$A$46,0))</f>
        <v/>
      </c>
      <c r="J7" s="59">
        <f>INDEX('个人技术总览'!$H$5:$H$46,MATCH($A7,'个人技术总览'!$A$5:$A$46,0))</f>
        <v/>
      </c>
      <c r="K7" s="60">
        <f>INDEX('个人技术总览'!$I$5:$I$46,MATCH($A7,'个人技术总览'!$A$5:$A$46,0))</f>
        <v/>
      </c>
      <c r="L7" s="67">
        <f>H7+V7+IF(E7=G7-1,MAX(0,P7-H7*G7-SUMIFS($V$5:$V$589,$A$5:$A$589,$A7)),0)</f>
        <v/>
      </c>
      <c r="M7" s="61">
        <f>MAX(1,ROUNDDOWN($L7/'参数与公式'!$B$5,0))</f>
        <v/>
      </c>
      <c r="N7" s="67">
        <f>J7+Y7+IF(E7=G7-1,MAX(0,R7-J7*G7-SUMIFS($Y$5:$Y$589,$A$5:$A$589,$A7)),0)</f>
        <v/>
      </c>
      <c r="O7" s="18" t="inlineStr">
        <is>
          <t>data/technology_templates.yaml; upgrade_*_budget / *_curve; code: technology_rules.allocate_upgrade_budget</t>
        </is>
      </c>
      <c r="P7" s="67">
        <f>INDEX('个人技术总览'!$O$5:$O$46,MATCH($A7,'个人技术总览'!$A$5:$A$46,0))</f>
        <v/>
      </c>
      <c r="Q7" s="64">
        <f>INDEX('个人技术总览'!$P$5:$P$46,MATCH($A7,'个人技术总览'!$A$5:$A$46,0))</f>
        <v/>
      </c>
      <c r="R7" s="67">
        <f>INDEX('个人技术总览'!$Q$5:$Q$46,MATCH($A7,'个人技术总览'!$A$5:$A$46,0))</f>
        <v/>
      </c>
      <c r="S7" s="64">
        <f>INDEX('个人技术总览'!$R$5:$R$46,MATCH($A7,'个人技术总览'!$A$5:$A$46,0))</f>
        <v/>
      </c>
      <c r="T7" s="68">
        <f>POWER($Q7,$E7)</f>
        <v/>
      </c>
      <c r="U7" s="68">
        <f>SUMIFS($T$5:$T$589,$A$5:$A$589,$A7)</f>
        <v/>
      </c>
      <c r="V7" s="67">
        <f>ROUNDDOWN(MAX(0,$P7-$H7*$G7)*$T7/MAX(1,$U7),0)</f>
        <v/>
      </c>
      <c r="W7" s="68">
        <f>POWER($S7,$E7)</f>
        <v/>
      </c>
      <c r="X7" s="68">
        <f>SUMIFS($W$5:$W$589,$A$5:$A$589,$A7)</f>
        <v/>
      </c>
      <c r="Y7" s="67">
        <f>ROUNDDOWN(MAX(0,$R7-$J7*$G7)*$W7/MAX(1,$X7),0)</f>
        <v/>
      </c>
    </row>
    <row r="8">
      <c r="A8" s="17" t="inlineStr">
        <is>
          <t>scout_art</t>
        </is>
      </c>
      <c r="B8" s="18" t="inlineStr">
        <is>
          <t>侦查术</t>
        </is>
      </c>
      <c r="C8" s="18" t="inlineStr">
        <is>
          <t>基本技术</t>
        </is>
      </c>
      <c r="D8" s="18" t="inlineStr">
        <is>
          <t>—</t>
        </is>
      </c>
      <c r="E8" s="65" t="n">
        <v>3</v>
      </c>
      <c r="F8" s="66">
        <f>E8+1</f>
        <v/>
      </c>
      <c r="G8" s="65">
        <f>INDEX('个人技术总览'!$E$5:$E$46,MATCH($A8,'个人技术总览'!$A$5:$A$46,0))</f>
        <v/>
      </c>
      <c r="H8" s="59">
        <f>INDEX('个人技术总览'!$F$5:$F$46,MATCH($A8,'个人技术总览'!$A$5:$A$46,0))</f>
        <v/>
      </c>
      <c r="I8" s="60">
        <f>INDEX('个人技术总览'!$G$5:$G$46,MATCH($A8,'个人技术总览'!$A$5:$A$46,0))</f>
        <v/>
      </c>
      <c r="J8" s="59">
        <f>INDEX('个人技术总览'!$H$5:$H$46,MATCH($A8,'个人技术总览'!$A$5:$A$46,0))</f>
        <v/>
      </c>
      <c r="K8" s="60">
        <f>INDEX('个人技术总览'!$I$5:$I$46,MATCH($A8,'个人技术总览'!$A$5:$A$46,0))</f>
        <v/>
      </c>
      <c r="L8" s="67">
        <f>H8+V8+IF(E8=G8-1,MAX(0,P8-H8*G8-SUMIFS($V$5:$V$589,$A$5:$A$589,$A8)),0)</f>
        <v/>
      </c>
      <c r="M8" s="61">
        <f>MAX(1,ROUNDDOWN($L8/'参数与公式'!$B$5,0))</f>
        <v/>
      </c>
      <c r="N8" s="67">
        <f>J8+Y8+IF(E8=G8-1,MAX(0,R8-J8*G8-SUMIFS($Y$5:$Y$589,$A$5:$A$589,$A8)),0)</f>
        <v/>
      </c>
      <c r="O8" s="18" t="inlineStr">
        <is>
          <t>data/technology_templates.yaml; upgrade_*_budget / *_curve; code: technology_rules.allocate_upgrade_budget</t>
        </is>
      </c>
      <c r="P8" s="67">
        <f>INDEX('个人技术总览'!$O$5:$O$46,MATCH($A8,'个人技术总览'!$A$5:$A$46,0))</f>
        <v/>
      </c>
      <c r="Q8" s="64">
        <f>INDEX('个人技术总览'!$P$5:$P$46,MATCH($A8,'个人技术总览'!$A$5:$A$46,0))</f>
        <v/>
      </c>
      <c r="R8" s="67">
        <f>INDEX('个人技术总览'!$Q$5:$Q$46,MATCH($A8,'个人技术总览'!$A$5:$A$46,0))</f>
        <v/>
      </c>
      <c r="S8" s="64">
        <f>INDEX('个人技术总览'!$R$5:$R$46,MATCH($A8,'个人技术总览'!$A$5:$A$46,0))</f>
        <v/>
      </c>
      <c r="T8" s="68">
        <f>POWER($Q8,$E8)</f>
        <v/>
      </c>
      <c r="U8" s="68">
        <f>SUMIFS($T$5:$T$589,$A$5:$A$589,$A8)</f>
        <v/>
      </c>
      <c r="V8" s="67">
        <f>ROUNDDOWN(MAX(0,$P8-$H8*$G8)*$T8/MAX(1,$U8),0)</f>
        <v/>
      </c>
      <c r="W8" s="68">
        <f>POWER($S8,$E8)</f>
        <v/>
      </c>
      <c r="X8" s="68">
        <f>SUMIFS($W$5:$W$589,$A$5:$A$589,$A8)</f>
        <v/>
      </c>
      <c r="Y8" s="67">
        <f>ROUNDDOWN(MAX(0,$R8-$J8*$G8)*$W8/MAX(1,$X8),0)</f>
        <v/>
      </c>
    </row>
    <row r="9">
      <c r="A9" s="17" t="inlineStr">
        <is>
          <t>scout_art</t>
        </is>
      </c>
      <c r="B9" s="18" t="inlineStr">
        <is>
          <t>侦查术</t>
        </is>
      </c>
      <c r="C9" s="18" t="inlineStr">
        <is>
          <t>基本技术</t>
        </is>
      </c>
      <c r="D9" s="18" t="inlineStr">
        <is>
          <t>—</t>
        </is>
      </c>
      <c r="E9" s="65" t="n">
        <v>4</v>
      </c>
      <c r="F9" s="66">
        <f>E9+1</f>
        <v/>
      </c>
      <c r="G9" s="65">
        <f>INDEX('个人技术总览'!$E$5:$E$46,MATCH($A9,'个人技术总览'!$A$5:$A$46,0))</f>
        <v/>
      </c>
      <c r="H9" s="59">
        <f>INDEX('个人技术总览'!$F$5:$F$46,MATCH($A9,'个人技术总览'!$A$5:$A$46,0))</f>
        <v/>
      </c>
      <c r="I9" s="60">
        <f>INDEX('个人技术总览'!$G$5:$G$46,MATCH($A9,'个人技术总览'!$A$5:$A$46,0))</f>
        <v/>
      </c>
      <c r="J9" s="59">
        <f>INDEX('个人技术总览'!$H$5:$H$46,MATCH($A9,'个人技术总览'!$A$5:$A$46,0))</f>
        <v/>
      </c>
      <c r="K9" s="60">
        <f>INDEX('个人技术总览'!$I$5:$I$46,MATCH($A9,'个人技术总览'!$A$5:$A$46,0))</f>
        <v/>
      </c>
      <c r="L9" s="67">
        <f>H9+V9+IF(E9=G9-1,MAX(0,P9-H9*G9-SUMIFS($V$5:$V$589,$A$5:$A$589,$A9)),0)</f>
        <v/>
      </c>
      <c r="M9" s="61">
        <f>MAX(1,ROUNDDOWN($L9/'参数与公式'!$B$5,0))</f>
        <v/>
      </c>
      <c r="N9" s="67">
        <f>J9+Y9+IF(E9=G9-1,MAX(0,R9-J9*G9-SUMIFS($Y$5:$Y$589,$A$5:$A$589,$A9)),0)</f>
        <v/>
      </c>
      <c r="O9" s="18" t="inlineStr">
        <is>
          <t>data/technology_templates.yaml; upgrade_*_budget / *_curve; code: technology_rules.allocate_upgrade_budget</t>
        </is>
      </c>
      <c r="P9" s="67">
        <f>INDEX('个人技术总览'!$O$5:$O$46,MATCH($A9,'个人技术总览'!$A$5:$A$46,0))</f>
        <v/>
      </c>
      <c r="Q9" s="64">
        <f>INDEX('个人技术总览'!$P$5:$P$46,MATCH($A9,'个人技术总览'!$A$5:$A$46,0))</f>
        <v/>
      </c>
      <c r="R9" s="67">
        <f>INDEX('个人技术总览'!$Q$5:$Q$46,MATCH($A9,'个人技术总览'!$A$5:$A$46,0))</f>
        <v/>
      </c>
      <c r="S9" s="64">
        <f>INDEX('个人技术总览'!$R$5:$R$46,MATCH($A9,'个人技术总览'!$A$5:$A$46,0))</f>
        <v/>
      </c>
      <c r="T9" s="68">
        <f>POWER($Q9,$E9)</f>
        <v/>
      </c>
      <c r="U9" s="68">
        <f>SUMIFS($T$5:$T$589,$A$5:$A$589,$A9)</f>
        <v/>
      </c>
      <c r="V9" s="67">
        <f>ROUNDDOWN(MAX(0,$P9-$H9*$G9)*$T9/MAX(1,$U9),0)</f>
        <v/>
      </c>
      <c r="W9" s="68">
        <f>POWER($S9,$E9)</f>
        <v/>
      </c>
      <c r="X9" s="68">
        <f>SUMIFS($W$5:$W$589,$A$5:$A$589,$A9)</f>
        <v/>
      </c>
      <c r="Y9" s="67">
        <f>ROUNDDOWN(MAX(0,$R9-$J9*$G9)*$W9/MAX(1,$X9),0)</f>
        <v/>
      </c>
    </row>
    <row r="10">
      <c r="A10" s="17" t="inlineStr">
        <is>
          <t>scout_art</t>
        </is>
      </c>
      <c r="B10" s="18" t="inlineStr">
        <is>
          <t>侦查术</t>
        </is>
      </c>
      <c r="C10" s="18" t="inlineStr">
        <is>
          <t>基本技术</t>
        </is>
      </c>
      <c r="D10" s="18" t="inlineStr">
        <is>
          <t>—</t>
        </is>
      </c>
      <c r="E10" s="65" t="n">
        <v>5</v>
      </c>
      <c r="F10" s="66">
        <f>E10+1</f>
        <v/>
      </c>
      <c r="G10" s="65">
        <f>INDEX('个人技术总览'!$E$5:$E$46,MATCH($A10,'个人技术总览'!$A$5:$A$46,0))</f>
        <v/>
      </c>
      <c r="H10" s="59">
        <f>INDEX('个人技术总览'!$F$5:$F$46,MATCH($A10,'个人技术总览'!$A$5:$A$46,0))</f>
        <v/>
      </c>
      <c r="I10" s="60">
        <f>INDEX('个人技术总览'!$G$5:$G$46,MATCH($A10,'个人技术总览'!$A$5:$A$46,0))</f>
        <v/>
      </c>
      <c r="J10" s="59">
        <f>INDEX('个人技术总览'!$H$5:$H$46,MATCH($A10,'个人技术总览'!$A$5:$A$46,0))</f>
        <v/>
      </c>
      <c r="K10" s="60">
        <f>INDEX('个人技术总览'!$I$5:$I$46,MATCH($A10,'个人技术总览'!$A$5:$A$46,0))</f>
        <v/>
      </c>
      <c r="L10" s="67">
        <f>H10+V10+IF(E10=G10-1,MAX(0,P10-H10*G10-SUMIFS($V$5:$V$589,$A$5:$A$589,$A10)),0)</f>
        <v/>
      </c>
      <c r="M10" s="61">
        <f>MAX(1,ROUNDDOWN($L10/'参数与公式'!$B$5,0))</f>
        <v/>
      </c>
      <c r="N10" s="67">
        <f>J10+Y10+IF(E10=G10-1,MAX(0,R10-J10*G10-SUMIFS($Y$5:$Y$589,$A$5:$A$589,$A10)),0)</f>
        <v/>
      </c>
      <c r="O10" s="18" t="inlineStr">
        <is>
          <t>data/technology_templates.yaml; upgrade_*_budget / *_curve; code: technology_rules.allocate_upgrade_budget</t>
        </is>
      </c>
      <c r="P10" s="67">
        <f>INDEX('个人技术总览'!$O$5:$O$46,MATCH($A10,'个人技术总览'!$A$5:$A$46,0))</f>
        <v/>
      </c>
      <c r="Q10" s="64">
        <f>INDEX('个人技术总览'!$P$5:$P$46,MATCH($A10,'个人技术总览'!$A$5:$A$46,0))</f>
        <v/>
      </c>
      <c r="R10" s="67">
        <f>INDEX('个人技术总览'!$Q$5:$Q$46,MATCH($A10,'个人技术总览'!$A$5:$A$46,0))</f>
        <v/>
      </c>
      <c r="S10" s="64">
        <f>INDEX('个人技术总览'!$R$5:$R$46,MATCH($A10,'个人技术总览'!$A$5:$A$46,0))</f>
        <v/>
      </c>
      <c r="T10" s="68">
        <f>POWER($Q10,$E10)</f>
        <v/>
      </c>
      <c r="U10" s="68">
        <f>SUMIFS($T$5:$T$589,$A$5:$A$589,$A10)</f>
        <v/>
      </c>
      <c r="V10" s="67">
        <f>ROUNDDOWN(MAX(0,$P10-$H10*$G10)*$T10/MAX(1,$U10),0)</f>
        <v/>
      </c>
      <c r="W10" s="68">
        <f>POWER($S10,$E10)</f>
        <v/>
      </c>
      <c r="X10" s="68">
        <f>SUMIFS($W$5:$W$589,$A$5:$A$589,$A10)</f>
        <v/>
      </c>
      <c r="Y10" s="67">
        <f>ROUNDDOWN(MAX(0,$R10-$J10*$G10)*$W10/MAX(1,$X10),0)</f>
        <v/>
      </c>
    </row>
    <row r="11">
      <c r="A11" s="17" t="inlineStr">
        <is>
          <t>scout_art</t>
        </is>
      </c>
      <c r="B11" s="18" t="inlineStr">
        <is>
          <t>侦查术</t>
        </is>
      </c>
      <c r="C11" s="18" t="inlineStr">
        <is>
          <t>基本技术</t>
        </is>
      </c>
      <c r="D11" s="18" t="inlineStr">
        <is>
          <t>—</t>
        </is>
      </c>
      <c r="E11" s="65" t="n">
        <v>6</v>
      </c>
      <c r="F11" s="66">
        <f>E11+1</f>
        <v/>
      </c>
      <c r="G11" s="65">
        <f>INDEX('个人技术总览'!$E$5:$E$46,MATCH($A11,'个人技术总览'!$A$5:$A$46,0))</f>
        <v/>
      </c>
      <c r="H11" s="59">
        <f>INDEX('个人技术总览'!$F$5:$F$46,MATCH($A11,'个人技术总览'!$A$5:$A$46,0))</f>
        <v/>
      </c>
      <c r="I11" s="60">
        <f>INDEX('个人技术总览'!$G$5:$G$46,MATCH($A11,'个人技术总览'!$A$5:$A$46,0))</f>
        <v/>
      </c>
      <c r="J11" s="59">
        <f>INDEX('个人技术总览'!$H$5:$H$46,MATCH($A11,'个人技术总览'!$A$5:$A$46,0))</f>
        <v/>
      </c>
      <c r="K11" s="60">
        <f>INDEX('个人技术总览'!$I$5:$I$46,MATCH($A11,'个人技术总览'!$A$5:$A$46,0))</f>
        <v/>
      </c>
      <c r="L11" s="67">
        <f>H11+V11+IF(E11=G11-1,MAX(0,P11-H11*G11-SUMIFS($V$5:$V$589,$A$5:$A$589,$A11)),0)</f>
        <v/>
      </c>
      <c r="M11" s="61">
        <f>MAX(1,ROUNDDOWN($L11/'参数与公式'!$B$5,0))</f>
        <v/>
      </c>
      <c r="N11" s="67">
        <f>J11+Y11+IF(E11=G11-1,MAX(0,R11-J11*G11-SUMIFS($Y$5:$Y$589,$A$5:$A$589,$A11)),0)</f>
        <v/>
      </c>
      <c r="O11" s="18" t="inlineStr">
        <is>
          <t>data/technology_templates.yaml; upgrade_*_budget / *_curve; code: technology_rules.allocate_upgrade_budget</t>
        </is>
      </c>
      <c r="P11" s="67">
        <f>INDEX('个人技术总览'!$O$5:$O$46,MATCH($A11,'个人技术总览'!$A$5:$A$46,0))</f>
        <v/>
      </c>
      <c r="Q11" s="64">
        <f>INDEX('个人技术总览'!$P$5:$P$46,MATCH($A11,'个人技术总览'!$A$5:$A$46,0))</f>
        <v/>
      </c>
      <c r="R11" s="67">
        <f>INDEX('个人技术总览'!$Q$5:$Q$46,MATCH($A11,'个人技术总览'!$A$5:$A$46,0))</f>
        <v/>
      </c>
      <c r="S11" s="64">
        <f>INDEX('个人技术总览'!$R$5:$R$46,MATCH($A11,'个人技术总览'!$A$5:$A$46,0))</f>
        <v/>
      </c>
      <c r="T11" s="68">
        <f>POWER($Q11,$E11)</f>
        <v/>
      </c>
      <c r="U11" s="68">
        <f>SUMIFS($T$5:$T$589,$A$5:$A$589,$A11)</f>
        <v/>
      </c>
      <c r="V11" s="67">
        <f>ROUNDDOWN(MAX(0,$P11-$H11*$G11)*$T11/MAX(1,$U11),0)</f>
        <v/>
      </c>
      <c r="W11" s="68">
        <f>POWER($S11,$E11)</f>
        <v/>
      </c>
      <c r="X11" s="68">
        <f>SUMIFS($W$5:$W$589,$A$5:$A$589,$A11)</f>
        <v/>
      </c>
      <c r="Y11" s="67">
        <f>ROUNDDOWN(MAX(0,$R11-$J11*$G11)*$W11/MAX(1,$X11),0)</f>
        <v/>
      </c>
    </row>
    <row r="12">
      <c r="A12" s="17" t="inlineStr">
        <is>
          <t>scout_art</t>
        </is>
      </c>
      <c r="B12" s="18" t="inlineStr">
        <is>
          <t>侦查术</t>
        </is>
      </c>
      <c r="C12" s="18" t="inlineStr">
        <is>
          <t>基本技术</t>
        </is>
      </c>
      <c r="D12" s="18" t="inlineStr">
        <is>
          <t>—</t>
        </is>
      </c>
      <c r="E12" s="65" t="n">
        <v>7</v>
      </c>
      <c r="F12" s="66">
        <f>E12+1</f>
        <v/>
      </c>
      <c r="G12" s="65">
        <f>INDEX('个人技术总览'!$E$5:$E$46,MATCH($A12,'个人技术总览'!$A$5:$A$46,0))</f>
        <v/>
      </c>
      <c r="H12" s="59">
        <f>INDEX('个人技术总览'!$F$5:$F$46,MATCH($A12,'个人技术总览'!$A$5:$A$46,0))</f>
        <v/>
      </c>
      <c r="I12" s="60">
        <f>INDEX('个人技术总览'!$G$5:$G$46,MATCH($A12,'个人技术总览'!$A$5:$A$46,0))</f>
        <v/>
      </c>
      <c r="J12" s="59">
        <f>INDEX('个人技术总览'!$H$5:$H$46,MATCH($A12,'个人技术总览'!$A$5:$A$46,0))</f>
        <v/>
      </c>
      <c r="K12" s="60">
        <f>INDEX('个人技术总览'!$I$5:$I$46,MATCH($A12,'个人技术总览'!$A$5:$A$46,0))</f>
        <v/>
      </c>
      <c r="L12" s="67">
        <f>H12+V12+IF(E12=G12-1,MAX(0,P12-H12*G12-SUMIFS($V$5:$V$589,$A$5:$A$589,$A12)),0)</f>
        <v/>
      </c>
      <c r="M12" s="61">
        <f>MAX(1,ROUNDDOWN($L12/'参数与公式'!$B$5,0))</f>
        <v/>
      </c>
      <c r="N12" s="67">
        <f>J12+Y12+IF(E12=G12-1,MAX(0,R12-J12*G12-SUMIFS($Y$5:$Y$589,$A$5:$A$589,$A12)),0)</f>
        <v/>
      </c>
      <c r="O12" s="18" t="inlineStr">
        <is>
          <t>data/technology_templates.yaml; upgrade_*_budget / *_curve; code: technology_rules.allocate_upgrade_budget</t>
        </is>
      </c>
      <c r="P12" s="67">
        <f>INDEX('个人技术总览'!$O$5:$O$46,MATCH($A12,'个人技术总览'!$A$5:$A$46,0))</f>
        <v/>
      </c>
      <c r="Q12" s="64">
        <f>INDEX('个人技术总览'!$P$5:$P$46,MATCH($A12,'个人技术总览'!$A$5:$A$46,0))</f>
        <v/>
      </c>
      <c r="R12" s="67">
        <f>INDEX('个人技术总览'!$Q$5:$Q$46,MATCH($A12,'个人技术总览'!$A$5:$A$46,0))</f>
        <v/>
      </c>
      <c r="S12" s="64">
        <f>INDEX('个人技术总览'!$R$5:$R$46,MATCH($A12,'个人技术总览'!$A$5:$A$46,0))</f>
        <v/>
      </c>
      <c r="T12" s="68">
        <f>POWER($Q12,$E12)</f>
        <v/>
      </c>
      <c r="U12" s="68">
        <f>SUMIFS($T$5:$T$589,$A$5:$A$589,$A12)</f>
        <v/>
      </c>
      <c r="V12" s="67">
        <f>ROUNDDOWN(MAX(0,$P12-$H12*$G12)*$T12/MAX(1,$U12),0)</f>
        <v/>
      </c>
      <c r="W12" s="68">
        <f>POWER($S12,$E12)</f>
        <v/>
      </c>
      <c r="X12" s="68">
        <f>SUMIFS($W$5:$W$589,$A$5:$A$589,$A12)</f>
        <v/>
      </c>
      <c r="Y12" s="67">
        <f>ROUNDDOWN(MAX(0,$R12-$J12*$G12)*$W12/MAX(1,$X12),0)</f>
        <v/>
      </c>
    </row>
    <row r="13">
      <c r="A13" s="17" t="inlineStr">
        <is>
          <t>scout_art</t>
        </is>
      </c>
      <c r="B13" s="18" t="inlineStr">
        <is>
          <t>侦查术</t>
        </is>
      </c>
      <c r="C13" s="18" t="inlineStr">
        <is>
          <t>基本技术</t>
        </is>
      </c>
      <c r="D13" s="18" t="inlineStr">
        <is>
          <t>—</t>
        </is>
      </c>
      <c r="E13" s="65" t="n">
        <v>8</v>
      </c>
      <c r="F13" s="66">
        <f>E13+1</f>
        <v/>
      </c>
      <c r="G13" s="65">
        <f>INDEX('个人技术总览'!$E$5:$E$46,MATCH($A13,'个人技术总览'!$A$5:$A$46,0))</f>
        <v/>
      </c>
      <c r="H13" s="59">
        <f>INDEX('个人技术总览'!$F$5:$F$46,MATCH($A13,'个人技术总览'!$A$5:$A$46,0))</f>
        <v/>
      </c>
      <c r="I13" s="60">
        <f>INDEX('个人技术总览'!$G$5:$G$46,MATCH($A13,'个人技术总览'!$A$5:$A$46,0))</f>
        <v/>
      </c>
      <c r="J13" s="59">
        <f>INDEX('个人技术总览'!$H$5:$H$46,MATCH($A13,'个人技术总览'!$A$5:$A$46,0))</f>
        <v/>
      </c>
      <c r="K13" s="60">
        <f>INDEX('个人技术总览'!$I$5:$I$46,MATCH($A13,'个人技术总览'!$A$5:$A$46,0))</f>
        <v/>
      </c>
      <c r="L13" s="67">
        <f>H13+V13+IF(E13=G13-1,MAX(0,P13-H13*G13-SUMIFS($V$5:$V$589,$A$5:$A$589,$A13)),0)</f>
        <v/>
      </c>
      <c r="M13" s="61">
        <f>MAX(1,ROUNDDOWN($L13/'参数与公式'!$B$5,0))</f>
        <v/>
      </c>
      <c r="N13" s="67">
        <f>J13+Y13+IF(E13=G13-1,MAX(0,R13-J13*G13-SUMIFS($Y$5:$Y$589,$A$5:$A$589,$A13)),0)</f>
        <v/>
      </c>
      <c r="O13" s="18" t="inlineStr">
        <is>
          <t>data/technology_templates.yaml; upgrade_*_budget / *_curve; code: technology_rules.allocate_upgrade_budget</t>
        </is>
      </c>
      <c r="P13" s="67">
        <f>INDEX('个人技术总览'!$O$5:$O$46,MATCH($A13,'个人技术总览'!$A$5:$A$46,0))</f>
        <v/>
      </c>
      <c r="Q13" s="64">
        <f>INDEX('个人技术总览'!$P$5:$P$46,MATCH($A13,'个人技术总览'!$A$5:$A$46,0))</f>
        <v/>
      </c>
      <c r="R13" s="67">
        <f>INDEX('个人技术总览'!$Q$5:$Q$46,MATCH($A13,'个人技术总览'!$A$5:$A$46,0))</f>
        <v/>
      </c>
      <c r="S13" s="64">
        <f>INDEX('个人技术总览'!$R$5:$R$46,MATCH($A13,'个人技术总览'!$A$5:$A$46,0))</f>
        <v/>
      </c>
      <c r="T13" s="68">
        <f>POWER($Q13,$E13)</f>
        <v/>
      </c>
      <c r="U13" s="68">
        <f>SUMIFS($T$5:$T$589,$A$5:$A$589,$A13)</f>
        <v/>
      </c>
      <c r="V13" s="67">
        <f>ROUNDDOWN(MAX(0,$P13-$H13*$G13)*$T13/MAX(1,$U13),0)</f>
        <v/>
      </c>
      <c r="W13" s="68">
        <f>POWER($S13,$E13)</f>
        <v/>
      </c>
      <c r="X13" s="68">
        <f>SUMIFS($W$5:$W$589,$A$5:$A$589,$A13)</f>
        <v/>
      </c>
      <c r="Y13" s="67">
        <f>ROUNDDOWN(MAX(0,$R13-$J13*$G13)*$W13/MAX(1,$X13),0)</f>
        <v/>
      </c>
    </row>
    <row r="14">
      <c r="A14" s="17" t="inlineStr">
        <is>
          <t>scout_art</t>
        </is>
      </c>
      <c r="B14" s="18" t="inlineStr">
        <is>
          <t>侦查术</t>
        </is>
      </c>
      <c r="C14" s="18" t="inlineStr">
        <is>
          <t>基本技术</t>
        </is>
      </c>
      <c r="D14" s="18" t="inlineStr">
        <is>
          <t>—</t>
        </is>
      </c>
      <c r="E14" s="65" t="n">
        <v>9</v>
      </c>
      <c r="F14" s="66">
        <f>E14+1</f>
        <v/>
      </c>
      <c r="G14" s="65">
        <f>INDEX('个人技术总览'!$E$5:$E$46,MATCH($A14,'个人技术总览'!$A$5:$A$46,0))</f>
        <v/>
      </c>
      <c r="H14" s="59">
        <f>INDEX('个人技术总览'!$F$5:$F$46,MATCH($A14,'个人技术总览'!$A$5:$A$46,0))</f>
        <v/>
      </c>
      <c r="I14" s="60">
        <f>INDEX('个人技术总览'!$G$5:$G$46,MATCH($A14,'个人技术总览'!$A$5:$A$46,0))</f>
        <v/>
      </c>
      <c r="J14" s="59">
        <f>INDEX('个人技术总览'!$H$5:$H$46,MATCH($A14,'个人技术总览'!$A$5:$A$46,0))</f>
        <v/>
      </c>
      <c r="K14" s="60">
        <f>INDEX('个人技术总览'!$I$5:$I$46,MATCH($A14,'个人技术总览'!$A$5:$A$46,0))</f>
        <v/>
      </c>
      <c r="L14" s="67">
        <f>H14+V14+IF(E14=G14-1,MAX(0,P14-H14*G14-SUMIFS($V$5:$V$589,$A$5:$A$589,$A14)),0)</f>
        <v/>
      </c>
      <c r="M14" s="61">
        <f>MAX(1,ROUNDDOWN($L14/'参数与公式'!$B$5,0))</f>
        <v/>
      </c>
      <c r="N14" s="67">
        <f>J14+Y14+IF(E14=G14-1,MAX(0,R14-J14*G14-SUMIFS($Y$5:$Y$589,$A$5:$A$589,$A14)),0)</f>
        <v/>
      </c>
      <c r="O14" s="18" t="inlineStr">
        <is>
          <t>data/technology_templates.yaml; upgrade_*_budget / *_curve; code: technology_rules.allocate_upgrade_budget</t>
        </is>
      </c>
      <c r="P14" s="67">
        <f>INDEX('个人技术总览'!$O$5:$O$46,MATCH($A14,'个人技术总览'!$A$5:$A$46,0))</f>
        <v/>
      </c>
      <c r="Q14" s="64">
        <f>INDEX('个人技术总览'!$P$5:$P$46,MATCH($A14,'个人技术总览'!$A$5:$A$46,0))</f>
        <v/>
      </c>
      <c r="R14" s="67">
        <f>INDEX('个人技术总览'!$Q$5:$Q$46,MATCH($A14,'个人技术总览'!$A$5:$A$46,0))</f>
        <v/>
      </c>
      <c r="S14" s="64">
        <f>INDEX('个人技术总览'!$R$5:$R$46,MATCH($A14,'个人技术总览'!$A$5:$A$46,0))</f>
        <v/>
      </c>
      <c r="T14" s="68">
        <f>POWER($Q14,$E14)</f>
        <v/>
      </c>
      <c r="U14" s="68">
        <f>SUMIFS($T$5:$T$589,$A$5:$A$589,$A14)</f>
        <v/>
      </c>
      <c r="V14" s="67">
        <f>ROUNDDOWN(MAX(0,$P14-$H14*$G14)*$T14/MAX(1,$U14),0)</f>
        <v/>
      </c>
      <c r="W14" s="68">
        <f>POWER($S14,$E14)</f>
        <v/>
      </c>
      <c r="X14" s="68">
        <f>SUMIFS($W$5:$W$589,$A$5:$A$589,$A14)</f>
        <v/>
      </c>
      <c r="Y14" s="67">
        <f>ROUNDDOWN(MAX(0,$R14-$J14*$G14)*$W14/MAX(1,$X14),0)</f>
        <v/>
      </c>
    </row>
    <row r="15">
      <c r="A15" s="17" t="inlineStr">
        <is>
          <t>scout_art</t>
        </is>
      </c>
      <c r="B15" s="18" t="inlineStr">
        <is>
          <t>侦查术</t>
        </is>
      </c>
      <c r="C15" s="18" t="inlineStr">
        <is>
          <t>基本技术</t>
        </is>
      </c>
      <c r="D15" s="18" t="inlineStr">
        <is>
          <t>—</t>
        </is>
      </c>
      <c r="E15" s="65" t="n">
        <v>10</v>
      </c>
      <c r="F15" s="66">
        <f>E15+1</f>
        <v/>
      </c>
      <c r="G15" s="65">
        <f>INDEX('个人技术总览'!$E$5:$E$46,MATCH($A15,'个人技术总览'!$A$5:$A$46,0))</f>
        <v/>
      </c>
      <c r="H15" s="59">
        <f>INDEX('个人技术总览'!$F$5:$F$46,MATCH($A15,'个人技术总览'!$A$5:$A$46,0))</f>
        <v/>
      </c>
      <c r="I15" s="60">
        <f>INDEX('个人技术总览'!$G$5:$G$46,MATCH($A15,'个人技术总览'!$A$5:$A$46,0))</f>
        <v/>
      </c>
      <c r="J15" s="59">
        <f>INDEX('个人技术总览'!$H$5:$H$46,MATCH($A15,'个人技术总览'!$A$5:$A$46,0))</f>
        <v/>
      </c>
      <c r="K15" s="60">
        <f>INDEX('个人技术总览'!$I$5:$I$46,MATCH($A15,'个人技术总览'!$A$5:$A$46,0))</f>
        <v/>
      </c>
      <c r="L15" s="67">
        <f>H15+V15+IF(E15=G15-1,MAX(0,P15-H15*G15-SUMIFS($V$5:$V$589,$A$5:$A$589,$A15)),0)</f>
        <v/>
      </c>
      <c r="M15" s="61">
        <f>MAX(1,ROUNDDOWN($L15/'参数与公式'!$B$5,0))</f>
        <v/>
      </c>
      <c r="N15" s="67">
        <f>J15+Y15+IF(E15=G15-1,MAX(0,R15-J15*G15-SUMIFS($Y$5:$Y$589,$A$5:$A$589,$A15)),0)</f>
        <v/>
      </c>
      <c r="O15" s="18" t="inlineStr">
        <is>
          <t>data/technology_templates.yaml; upgrade_*_budget / *_curve; code: technology_rules.allocate_upgrade_budget</t>
        </is>
      </c>
      <c r="P15" s="67">
        <f>INDEX('个人技术总览'!$O$5:$O$46,MATCH($A15,'个人技术总览'!$A$5:$A$46,0))</f>
        <v/>
      </c>
      <c r="Q15" s="64">
        <f>INDEX('个人技术总览'!$P$5:$P$46,MATCH($A15,'个人技术总览'!$A$5:$A$46,0))</f>
        <v/>
      </c>
      <c r="R15" s="67">
        <f>INDEX('个人技术总览'!$Q$5:$Q$46,MATCH($A15,'个人技术总览'!$A$5:$A$46,0))</f>
        <v/>
      </c>
      <c r="S15" s="64">
        <f>INDEX('个人技术总览'!$R$5:$R$46,MATCH($A15,'个人技术总览'!$A$5:$A$46,0))</f>
        <v/>
      </c>
      <c r="T15" s="68">
        <f>POWER($Q15,$E15)</f>
        <v/>
      </c>
      <c r="U15" s="68">
        <f>SUMIFS($T$5:$T$589,$A$5:$A$589,$A15)</f>
        <v/>
      </c>
      <c r="V15" s="67">
        <f>ROUNDDOWN(MAX(0,$P15-$H15*$G15)*$T15/MAX(1,$U15),0)</f>
        <v/>
      </c>
      <c r="W15" s="68">
        <f>POWER($S15,$E15)</f>
        <v/>
      </c>
      <c r="X15" s="68">
        <f>SUMIFS($W$5:$W$589,$A$5:$A$589,$A15)</f>
        <v/>
      </c>
      <c r="Y15" s="67">
        <f>ROUNDDOWN(MAX(0,$R15-$J15*$G15)*$W15/MAX(1,$X15),0)</f>
        <v/>
      </c>
    </row>
    <row r="16">
      <c r="A16" s="17" t="inlineStr">
        <is>
          <t>scout_art</t>
        </is>
      </c>
      <c r="B16" s="18" t="inlineStr">
        <is>
          <t>侦查术</t>
        </is>
      </c>
      <c r="C16" s="18" t="inlineStr">
        <is>
          <t>基本技术</t>
        </is>
      </c>
      <c r="D16" s="18" t="inlineStr">
        <is>
          <t>—</t>
        </is>
      </c>
      <c r="E16" s="65" t="n">
        <v>11</v>
      </c>
      <c r="F16" s="66">
        <f>E16+1</f>
        <v/>
      </c>
      <c r="G16" s="65">
        <f>INDEX('个人技术总览'!$E$5:$E$46,MATCH($A16,'个人技术总览'!$A$5:$A$46,0))</f>
        <v/>
      </c>
      <c r="H16" s="59">
        <f>INDEX('个人技术总览'!$F$5:$F$46,MATCH($A16,'个人技术总览'!$A$5:$A$46,0))</f>
        <v/>
      </c>
      <c r="I16" s="60">
        <f>INDEX('个人技术总览'!$G$5:$G$46,MATCH($A16,'个人技术总览'!$A$5:$A$46,0))</f>
        <v/>
      </c>
      <c r="J16" s="59">
        <f>INDEX('个人技术总览'!$H$5:$H$46,MATCH($A16,'个人技术总览'!$A$5:$A$46,0))</f>
        <v/>
      </c>
      <c r="K16" s="60">
        <f>INDEX('个人技术总览'!$I$5:$I$46,MATCH($A16,'个人技术总览'!$A$5:$A$46,0))</f>
        <v/>
      </c>
      <c r="L16" s="67">
        <f>H16+V16+IF(E16=G16-1,MAX(0,P16-H16*G16-SUMIFS($V$5:$V$589,$A$5:$A$589,$A16)),0)</f>
        <v/>
      </c>
      <c r="M16" s="61">
        <f>MAX(1,ROUNDDOWN($L16/'参数与公式'!$B$5,0))</f>
        <v/>
      </c>
      <c r="N16" s="67">
        <f>J16+Y16+IF(E16=G16-1,MAX(0,R16-J16*G16-SUMIFS($Y$5:$Y$589,$A$5:$A$589,$A16)),0)</f>
        <v/>
      </c>
      <c r="O16" s="18" t="inlineStr">
        <is>
          <t>data/technology_templates.yaml; upgrade_*_budget / *_curve; code: technology_rules.allocate_upgrade_budget</t>
        </is>
      </c>
      <c r="P16" s="67">
        <f>INDEX('个人技术总览'!$O$5:$O$46,MATCH($A16,'个人技术总览'!$A$5:$A$46,0))</f>
        <v/>
      </c>
      <c r="Q16" s="64">
        <f>INDEX('个人技术总览'!$P$5:$P$46,MATCH($A16,'个人技术总览'!$A$5:$A$46,0))</f>
        <v/>
      </c>
      <c r="R16" s="67">
        <f>INDEX('个人技术总览'!$Q$5:$Q$46,MATCH($A16,'个人技术总览'!$A$5:$A$46,0))</f>
        <v/>
      </c>
      <c r="S16" s="64">
        <f>INDEX('个人技术总览'!$R$5:$R$46,MATCH($A16,'个人技术总览'!$A$5:$A$46,0))</f>
        <v/>
      </c>
      <c r="T16" s="68">
        <f>POWER($Q16,$E16)</f>
        <v/>
      </c>
      <c r="U16" s="68">
        <f>SUMIFS($T$5:$T$589,$A$5:$A$589,$A16)</f>
        <v/>
      </c>
      <c r="V16" s="67">
        <f>ROUNDDOWN(MAX(0,$P16-$H16*$G16)*$T16/MAX(1,$U16),0)</f>
        <v/>
      </c>
      <c r="W16" s="68">
        <f>POWER($S16,$E16)</f>
        <v/>
      </c>
      <c r="X16" s="68">
        <f>SUMIFS($W$5:$W$589,$A$5:$A$589,$A16)</f>
        <v/>
      </c>
      <c r="Y16" s="67">
        <f>ROUNDDOWN(MAX(0,$R16-$J16*$G16)*$W16/MAX(1,$X16),0)</f>
        <v/>
      </c>
    </row>
    <row r="17">
      <c r="A17" s="17" t="inlineStr">
        <is>
          <t>scout_art</t>
        </is>
      </c>
      <c r="B17" s="18" t="inlineStr">
        <is>
          <t>侦查术</t>
        </is>
      </c>
      <c r="C17" s="18" t="inlineStr">
        <is>
          <t>基本技术</t>
        </is>
      </c>
      <c r="D17" s="18" t="inlineStr">
        <is>
          <t>—</t>
        </is>
      </c>
      <c r="E17" s="65" t="n">
        <v>12</v>
      </c>
      <c r="F17" s="66">
        <f>E17+1</f>
        <v/>
      </c>
      <c r="G17" s="65">
        <f>INDEX('个人技术总览'!$E$5:$E$46,MATCH($A17,'个人技术总览'!$A$5:$A$46,0))</f>
        <v/>
      </c>
      <c r="H17" s="59">
        <f>INDEX('个人技术总览'!$F$5:$F$46,MATCH($A17,'个人技术总览'!$A$5:$A$46,0))</f>
        <v/>
      </c>
      <c r="I17" s="60">
        <f>INDEX('个人技术总览'!$G$5:$G$46,MATCH($A17,'个人技术总览'!$A$5:$A$46,0))</f>
        <v/>
      </c>
      <c r="J17" s="59">
        <f>INDEX('个人技术总览'!$H$5:$H$46,MATCH($A17,'个人技术总览'!$A$5:$A$46,0))</f>
        <v/>
      </c>
      <c r="K17" s="60">
        <f>INDEX('个人技术总览'!$I$5:$I$46,MATCH($A17,'个人技术总览'!$A$5:$A$46,0))</f>
        <v/>
      </c>
      <c r="L17" s="67">
        <f>H17+V17+IF(E17=G17-1,MAX(0,P17-H17*G17-SUMIFS($V$5:$V$589,$A$5:$A$589,$A17)),0)</f>
        <v/>
      </c>
      <c r="M17" s="61">
        <f>MAX(1,ROUNDDOWN($L17/'参数与公式'!$B$5,0))</f>
        <v/>
      </c>
      <c r="N17" s="67">
        <f>J17+Y17+IF(E17=G17-1,MAX(0,R17-J17*G17-SUMIFS($Y$5:$Y$589,$A$5:$A$589,$A17)),0)</f>
        <v/>
      </c>
      <c r="O17" s="18" t="inlineStr">
        <is>
          <t>data/technology_templates.yaml; upgrade_*_budget / *_curve; code: technology_rules.allocate_upgrade_budget</t>
        </is>
      </c>
      <c r="P17" s="67">
        <f>INDEX('个人技术总览'!$O$5:$O$46,MATCH($A17,'个人技术总览'!$A$5:$A$46,0))</f>
        <v/>
      </c>
      <c r="Q17" s="64">
        <f>INDEX('个人技术总览'!$P$5:$P$46,MATCH($A17,'个人技术总览'!$A$5:$A$46,0))</f>
        <v/>
      </c>
      <c r="R17" s="67">
        <f>INDEX('个人技术总览'!$Q$5:$Q$46,MATCH($A17,'个人技术总览'!$A$5:$A$46,0))</f>
        <v/>
      </c>
      <c r="S17" s="64">
        <f>INDEX('个人技术总览'!$R$5:$R$46,MATCH($A17,'个人技术总览'!$A$5:$A$46,0))</f>
        <v/>
      </c>
      <c r="T17" s="68">
        <f>POWER($Q17,$E17)</f>
        <v/>
      </c>
      <c r="U17" s="68">
        <f>SUMIFS($T$5:$T$589,$A$5:$A$589,$A17)</f>
        <v/>
      </c>
      <c r="V17" s="67">
        <f>ROUNDDOWN(MAX(0,$P17-$H17*$G17)*$T17/MAX(1,$U17),0)</f>
        <v/>
      </c>
      <c r="W17" s="68">
        <f>POWER($S17,$E17)</f>
        <v/>
      </c>
      <c r="X17" s="68">
        <f>SUMIFS($W$5:$W$589,$A$5:$A$589,$A17)</f>
        <v/>
      </c>
      <c r="Y17" s="67">
        <f>ROUNDDOWN(MAX(0,$R17-$J17*$G17)*$W17/MAX(1,$X17),0)</f>
        <v/>
      </c>
    </row>
    <row r="18">
      <c r="A18" s="17" t="inlineStr">
        <is>
          <t>scout_art</t>
        </is>
      </c>
      <c r="B18" s="18" t="inlineStr">
        <is>
          <t>侦查术</t>
        </is>
      </c>
      <c r="C18" s="18" t="inlineStr">
        <is>
          <t>基本技术</t>
        </is>
      </c>
      <c r="D18" s="18" t="inlineStr">
        <is>
          <t>—</t>
        </is>
      </c>
      <c r="E18" s="65" t="n">
        <v>13</v>
      </c>
      <c r="F18" s="66">
        <f>E18+1</f>
        <v/>
      </c>
      <c r="G18" s="65">
        <f>INDEX('个人技术总览'!$E$5:$E$46,MATCH($A18,'个人技术总览'!$A$5:$A$46,0))</f>
        <v/>
      </c>
      <c r="H18" s="59">
        <f>INDEX('个人技术总览'!$F$5:$F$46,MATCH($A18,'个人技术总览'!$A$5:$A$46,0))</f>
        <v/>
      </c>
      <c r="I18" s="60">
        <f>INDEX('个人技术总览'!$G$5:$G$46,MATCH($A18,'个人技术总览'!$A$5:$A$46,0))</f>
        <v/>
      </c>
      <c r="J18" s="59">
        <f>INDEX('个人技术总览'!$H$5:$H$46,MATCH($A18,'个人技术总览'!$A$5:$A$46,0))</f>
        <v/>
      </c>
      <c r="K18" s="60">
        <f>INDEX('个人技术总览'!$I$5:$I$46,MATCH($A18,'个人技术总览'!$A$5:$A$46,0))</f>
        <v/>
      </c>
      <c r="L18" s="67">
        <f>H18+V18+IF(E18=G18-1,MAX(0,P18-H18*G18-SUMIFS($V$5:$V$589,$A$5:$A$589,$A18)),0)</f>
        <v/>
      </c>
      <c r="M18" s="61">
        <f>MAX(1,ROUNDDOWN($L18/'参数与公式'!$B$5,0))</f>
        <v/>
      </c>
      <c r="N18" s="67">
        <f>J18+Y18+IF(E18=G18-1,MAX(0,R18-J18*G18-SUMIFS($Y$5:$Y$589,$A$5:$A$589,$A18)),0)</f>
        <v/>
      </c>
      <c r="O18" s="18" t="inlineStr">
        <is>
          <t>data/technology_templates.yaml; upgrade_*_budget / *_curve; code: technology_rules.allocate_upgrade_budget</t>
        </is>
      </c>
      <c r="P18" s="67">
        <f>INDEX('个人技术总览'!$O$5:$O$46,MATCH($A18,'个人技术总览'!$A$5:$A$46,0))</f>
        <v/>
      </c>
      <c r="Q18" s="64">
        <f>INDEX('个人技术总览'!$P$5:$P$46,MATCH($A18,'个人技术总览'!$A$5:$A$46,0))</f>
        <v/>
      </c>
      <c r="R18" s="67">
        <f>INDEX('个人技术总览'!$Q$5:$Q$46,MATCH($A18,'个人技术总览'!$A$5:$A$46,0))</f>
        <v/>
      </c>
      <c r="S18" s="64">
        <f>INDEX('个人技术总览'!$R$5:$R$46,MATCH($A18,'个人技术总览'!$A$5:$A$46,0))</f>
        <v/>
      </c>
      <c r="T18" s="68">
        <f>POWER($Q18,$E18)</f>
        <v/>
      </c>
      <c r="U18" s="68">
        <f>SUMIFS($T$5:$T$589,$A$5:$A$589,$A18)</f>
        <v/>
      </c>
      <c r="V18" s="67">
        <f>ROUNDDOWN(MAX(0,$P18-$H18*$G18)*$T18/MAX(1,$U18),0)</f>
        <v/>
      </c>
      <c r="W18" s="68">
        <f>POWER($S18,$E18)</f>
        <v/>
      </c>
      <c r="X18" s="68">
        <f>SUMIFS($W$5:$W$589,$A$5:$A$589,$A18)</f>
        <v/>
      </c>
      <c r="Y18" s="67">
        <f>ROUNDDOWN(MAX(0,$R18-$J18*$G18)*$W18/MAX(1,$X18),0)</f>
        <v/>
      </c>
    </row>
    <row r="19">
      <c r="A19" s="17" t="inlineStr">
        <is>
          <t>scout_art</t>
        </is>
      </c>
      <c r="B19" s="18" t="inlineStr">
        <is>
          <t>侦查术</t>
        </is>
      </c>
      <c r="C19" s="18" t="inlineStr">
        <is>
          <t>基本技术</t>
        </is>
      </c>
      <c r="D19" s="18" t="inlineStr">
        <is>
          <t>—</t>
        </is>
      </c>
      <c r="E19" s="65" t="n">
        <v>14</v>
      </c>
      <c r="F19" s="66">
        <f>E19+1</f>
        <v/>
      </c>
      <c r="G19" s="65">
        <f>INDEX('个人技术总览'!$E$5:$E$46,MATCH($A19,'个人技术总览'!$A$5:$A$46,0))</f>
        <v/>
      </c>
      <c r="H19" s="59">
        <f>INDEX('个人技术总览'!$F$5:$F$46,MATCH($A19,'个人技术总览'!$A$5:$A$46,0))</f>
        <v/>
      </c>
      <c r="I19" s="60">
        <f>INDEX('个人技术总览'!$G$5:$G$46,MATCH($A19,'个人技术总览'!$A$5:$A$46,0))</f>
        <v/>
      </c>
      <c r="J19" s="59">
        <f>INDEX('个人技术总览'!$H$5:$H$46,MATCH($A19,'个人技术总览'!$A$5:$A$46,0))</f>
        <v/>
      </c>
      <c r="K19" s="60">
        <f>INDEX('个人技术总览'!$I$5:$I$46,MATCH($A19,'个人技术总览'!$A$5:$A$46,0))</f>
        <v/>
      </c>
      <c r="L19" s="67">
        <f>H19+V19+IF(E19=G19-1,MAX(0,P19-H19*G19-SUMIFS($V$5:$V$589,$A$5:$A$589,$A19)),0)</f>
        <v/>
      </c>
      <c r="M19" s="61">
        <f>MAX(1,ROUNDDOWN($L19/'参数与公式'!$B$5,0))</f>
        <v/>
      </c>
      <c r="N19" s="67">
        <f>J19+Y19+IF(E19=G19-1,MAX(0,R19-J19*G19-SUMIFS($Y$5:$Y$589,$A$5:$A$589,$A19)),0)</f>
        <v/>
      </c>
      <c r="O19" s="18" t="inlineStr">
        <is>
          <t>data/technology_templates.yaml; upgrade_*_budget / *_curve; code: technology_rules.allocate_upgrade_budget</t>
        </is>
      </c>
      <c r="P19" s="67">
        <f>INDEX('个人技术总览'!$O$5:$O$46,MATCH($A19,'个人技术总览'!$A$5:$A$46,0))</f>
        <v/>
      </c>
      <c r="Q19" s="64">
        <f>INDEX('个人技术总览'!$P$5:$P$46,MATCH($A19,'个人技术总览'!$A$5:$A$46,0))</f>
        <v/>
      </c>
      <c r="R19" s="67">
        <f>INDEX('个人技术总览'!$Q$5:$Q$46,MATCH($A19,'个人技术总览'!$A$5:$A$46,0))</f>
        <v/>
      </c>
      <c r="S19" s="64">
        <f>INDEX('个人技术总览'!$R$5:$R$46,MATCH($A19,'个人技术总览'!$A$5:$A$46,0))</f>
        <v/>
      </c>
      <c r="T19" s="68">
        <f>POWER($Q19,$E19)</f>
        <v/>
      </c>
      <c r="U19" s="68">
        <f>SUMIFS($T$5:$T$589,$A$5:$A$589,$A19)</f>
        <v/>
      </c>
      <c r="V19" s="67">
        <f>ROUNDDOWN(MAX(0,$P19-$H19*$G19)*$T19/MAX(1,$U19),0)</f>
        <v/>
      </c>
      <c r="W19" s="68">
        <f>POWER($S19,$E19)</f>
        <v/>
      </c>
      <c r="X19" s="68">
        <f>SUMIFS($W$5:$W$589,$A$5:$A$589,$A19)</f>
        <v/>
      </c>
      <c r="Y19" s="67">
        <f>ROUNDDOWN(MAX(0,$R19-$J19*$G19)*$W19/MAX(1,$X19),0)</f>
        <v/>
      </c>
    </row>
    <row r="20">
      <c r="A20" s="17" t="inlineStr">
        <is>
          <t>scout_art</t>
        </is>
      </c>
      <c r="B20" s="18" t="inlineStr">
        <is>
          <t>侦查术</t>
        </is>
      </c>
      <c r="C20" s="18" t="inlineStr">
        <is>
          <t>基本技术</t>
        </is>
      </c>
      <c r="D20" s="18" t="inlineStr">
        <is>
          <t>—</t>
        </is>
      </c>
      <c r="E20" s="65" t="n">
        <v>15</v>
      </c>
      <c r="F20" s="66">
        <f>E20+1</f>
        <v/>
      </c>
      <c r="G20" s="65">
        <f>INDEX('个人技术总览'!$E$5:$E$46,MATCH($A20,'个人技术总览'!$A$5:$A$46,0))</f>
        <v/>
      </c>
      <c r="H20" s="59">
        <f>INDEX('个人技术总览'!$F$5:$F$46,MATCH($A20,'个人技术总览'!$A$5:$A$46,0))</f>
        <v/>
      </c>
      <c r="I20" s="60">
        <f>INDEX('个人技术总览'!$G$5:$G$46,MATCH($A20,'个人技术总览'!$A$5:$A$46,0))</f>
        <v/>
      </c>
      <c r="J20" s="59">
        <f>INDEX('个人技术总览'!$H$5:$H$46,MATCH($A20,'个人技术总览'!$A$5:$A$46,0))</f>
        <v/>
      </c>
      <c r="K20" s="60">
        <f>INDEX('个人技术总览'!$I$5:$I$46,MATCH($A20,'个人技术总览'!$A$5:$A$46,0))</f>
        <v/>
      </c>
      <c r="L20" s="67">
        <f>H20+V20+IF(E20=G20-1,MAX(0,P20-H20*G20-SUMIFS($V$5:$V$589,$A$5:$A$589,$A20)),0)</f>
        <v/>
      </c>
      <c r="M20" s="61">
        <f>MAX(1,ROUNDDOWN($L20/'参数与公式'!$B$5,0))</f>
        <v/>
      </c>
      <c r="N20" s="67">
        <f>J20+Y20+IF(E20=G20-1,MAX(0,R20-J20*G20-SUMIFS($Y$5:$Y$589,$A$5:$A$589,$A20)),0)</f>
        <v/>
      </c>
      <c r="O20" s="18" t="inlineStr">
        <is>
          <t>data/technology_templates.yaml; upgrade_*_budget / *_curve; code: technology_rules.allocate_upgrade_budget</t>
        </is>
      </c>
      <c r="P20" s="67">
        <f>INDEX('个人技术总览'!$O$5:$O$46,MATCH($A20,'个人技术总览'!$A$5:$A$46,0))</f>
        <v/>
      </c>
      <c r="Q20" s="64">
        <f>INDEX('个人技术总览'!$P$5:$P$46,MATCH($A20,'个人技术总览'!$A$5:$A$46,0))</f>
        <v/>
      </c>
      <c r="R20" s="67">
        <f>INDEX('个人技术总览'!$Q$5:$Q$46,MATCH($A20,'个人技术总览'!$A$5:$A$46,0))</f>
        <v/>
      </c>
      <c r="S20" s="64">
        <f>INDEX('个人技术总览'!$R$5:$R$46,MATCH($A20,'个人技术总览'!$A$5:$A$46,0))</f>
        <v/>
      </c>
      <c r="T20" s="68">
        <f>POWER($Q20,$E20)</f>
        <v/>
      </c>
      <c r="U20" s="68">
        <f>SUMIFS($T$5:$T$589,$A$5:$A$589,$A20)</f>
        <v/>
      </c>
      <c r="V20" s="67">
        <f>ROUNDDOWN(MAX(0,$P20-$H20*$G20)*$T20/MAX(1,$U20),0)</f>
        <v/>
      </c>
      <c r="W20" s="68">
        <f>POWER($S20,$E20)</f>
        <v/>
      </c>
      <c r="X20" s="68">
        <f>SUMIFS($W$5:$W$589,$A$5:$A$589,$A20)</f>
        <v/>
      </c>
      <c r="Y20" s="67">
        <f>ROUNDDOWN(MAX(0,$R20-$J20*$G20)*$W20/MAX(1,$X20),0)</f>
        <v/>
      </c>
    </row>
    <row r="21">
      <c r="A21" s="17" t="inlineStr">
        <is>
          <t>scout_art</t>
        </is>
      </c>
      <c r="B21" s="18" t="inlineStr">
        <is>
          <t>侦查术</t>
        </is>
      </c>
      <c r="C21" s="18" t="inlineStr">
        <is>
          <t>基本技术</t>
        </is>
      </c>
      <c r="D21" s="18" t="inlineStr">
        <is>
          <t>—</t>
        </is>
      </c>
      <c r="E21" s="65" t="n">
        <v>16</v>
      </c>
      <c r="F21" s="66">
        <f>E21+1</f>
        <v/>
      </c>
      <c r="G21" s="65">
        <f>INDEX('个人技术总览'!$E$5:$E$46,MATCH($A21,'个人技术总览'!$A$5:$A$46,0))</f>
        <v/>
      </c>
      <c r="H21" s="59">
        <f>INDEX('个人技术总览'!$F$5:$F$46,MATCH($A21,'个人技术总览'!$A$5:$A$46,0))</f>
        <v/>
      </c>
      <c r="I21" s="60">
        <f>INDEX('个人技术总览'!$G$5:$G$46,MATCH($A21,'个人技术总览'!$A$5:$A$46,0))</f>
        <v/>
      </c>
      <c r="J21" s="59">
        <f>INDEX('个人技术总览'!$H$5:$H$46,MATCH($A21,'个人技术总览'!$A$5:$A$46,0))</f>
        <v/>
      </c>
      <c r="K21" s="60">
        <f>INDEX('个人技术总览'!$I$5:$I$46,MATCH($A21,'个人技术总览'!$A$5:$A$46,0))</f>
        <v/>
      </c>
      <c r="L21" s="67">
        <f>H21+V21+IF(E21=G21-1,MAX(0,P21-H21*G21-SUMIFS($V$5:$V$589,$A$5:$A$589,$A21)),0)</f>
        <v/>
      </c>
      <c r="M21" s="61">
        <f>MAX(1,ROUNDDOWN($L21/'参数与公式'!$B$5,0))</f>
        <v/>
      </c>
      <c r="N21" s="67">
        <f>J21+Y21+IF(E21=G21-1,MAX(0,R21-J21*G21-SUMIFS($Y$5:$Y$589,$A$5:$A$589,$A21)),0)</f>
        <v/>
      </c>
      <c r="O21" s="18" t="inlineStr">
        <is>
          <t>data/technology_templates.yaml; upgrade_*_budget / *_curve; code: technology_rules.allocate_upgrade_budget</t>
        </is>
      </c>
      <c r="P21" s="67">
        <f>INDEX('个人技术总览'!$O$5:$O$46,MATCH($A21,'个人技术总览'!$A$5:$A$46,0))</f>
        <v/>
      </c>
      <c r="Q21" s="64">
        <f>INDEX('个人技术总览'!$P$5:$P$46,MATCH($A21,'个人技术总览'!$A$5:$A$46,0))</f>
        <v/>
      </c>
      <c r="R21" s="67">
        <f>INDEX('个人技术总览'!$Q$5:$Q$46,MATCH($A21,'个人技术总览'!$A$5:$A$46,0))</f>
        <v/>
      </c>
      <c r="S21" s="64">
        <f>INDEX('个人技术总览'!$R$5:$R$46,MATCH($A21,'个人技术总览'!$A$5:$A$46,0))</f>
        <v/>
      </c>
      <c r="T21" s="68">
        <f>POWER($Q21,$E21)</f>
        <v/>
      </c>
      <c r="U21" s="68">
        <f>SUMIFS($T$5:$T$589,$A$5:$A$589,$A21)</f>
        <v/>
      </c>
      <c r="V21" s="67">
        <f>ROUNDDOWN(MAX(0,$P21-$H21*$G21)*$T21/MAX(1,$U21),0)</f>
        <v/>
      </c>
      <c r="W21" s="68">
        <f>POWER($S21,$E21)</f>
        <v/>
      </c>
      <c r="X21" s="68">
        <f>SUMIFS($W$5:$W$589,$A$5:$A$589,$A21)</f>
        <v/>
      </c>
      <c r="Y21" s="67">
        <f>ROUNDDOWN(MAX(0,$R21-$J21*$G21)*$W21/MAX(1,$X21),0)</f>
        <v/>
      </c>
    </row>
    <row r="22">
      <c r="A22" s="17" t="inlineStr">
        <is>
          <t>scout_art</t>
        </is>
      </c>
      <c r="B22" s="18" t="inlineStr">
        <is>
          <t>侦查术</t>
        </is>
      </c>
      <c r="C22" s="18" t="inlineStr">
        <is>
          <t>基本技术</t>
        </is>
      </c>
      <c r="D22" s="18" t="inlineStr">
        <is>
          <t>—</t>
        </is>
      </c>
      <c r="E22" s="65" t="n">
        <v>17</v>
      </c>
      <c r="F22" s="66">
        <f>E22+1</f>
        <v/>
      </c>
      <c r="G22" s="65">
        <f>INDEX('个人技术总览'!$E$5:$E$46,MATCH($A22,'个人技术总览'!$A$5:$A$46,0))</f>
        <v/>
      </c>
      <c r="H22" s="59">
        <f>INDEX('个人技术总览'!$F$5:$F$46,MATCH($A22,'个人技术总览'!$A$5:$A$46,0))</f>
        <v/>
      </c>
      <c r="I22" s="60">
        <f>INDEX('个人技术总览'!$G$5:$G$46,MATCH($A22,'个人技术总览'!$A$5:$A$46,0))</f>
        <v/>
      </c>
      <c r="J22" s="59">
        <f>INDEX('个人技术总览'!$H$5:$H$46,MATCH($A22,'个人技术总览'!$A$5:$A$46,0))</f>
        <v/>
      </c>
      <c r="K22" s="60">
        <f>INDEX('个人技术总览'!$I$5:$I$46,MATCH($A22,'个人技术总览'!$A$5:$A$46,0))</f>
        <v/>
      </c>
      <c r="L22" s="67">
        <f>H22+V22+IF(E22=G22-1,MAX(0,P22-H22*G22-SUMIFS($V$5:$V$589,$A$5:$A$589,$A22)),0)</f>
        <v/>
      </c>
      <c r="M22" s="61">
        <f>MAX(1,ROUNDDOWN($L22/'参数与公式'!$B$5,0))</f>
        <v/>
      </c>
      <c r="N22" s="67">
        <f>J22+Y22+IF(E22=G22-1,MAX(0,R22-J22*G22-SUMIFS($Y$5:$Y$589,$A$5:$A$589,$A22)),0)</f>
        <v/>
      </c>
      <c r="O22" s="18" t="inlineStr">
        <is>
          <t>data/technology_templates.yaml; upgrade_*_budget / *_curve; code: technology_rules.allocate_upgrade_budget</t>
        </is>
      </c>
      <c r="P22" s="67">
        <f>INDEX('个人技术总览'!$O$5:$O$46,MATCH($A22,'个人技术总览'!$A$5:$A$46,0))</f>
        <v/>
      </c>
      <c r="Q22" s="64">
        <f>INDEX('个人技术总览'!$P$5:$P$46,MATCH($A22,'个人技术总览'!$A$5:$A$46,0))</f>
        <v/>
      </c>
      <c r="R22" s="67">
        <f>INDEX('个人技术总览'!$Q$5:$Q$46,MATCH($A22,'个人技术总览'!$A$5:$A$46,0))</f>
        <v/>
      </c>
      <c r="S22" s="64">
        <f>INDEX('个人技术总览'!$R$5:$R$46,MATCH($A22,'个人技术总览'!$A$5:$A$46,0))</f>
        <v/>
      </c>
      <c r="T22" s="68">
        <f>POWER($Q22,$E22)</f>
        <v/>
      </c>
      <c r="U22" s="68">
        <f>SUMIFS($T$5:$T$589,$A$5:$A$589,$A22)</f>
        <v/>
      </c>
      <c r="V22" s="67">
        <f>ROUNDDOWN(MAX(0,$P22-$H22*$G22)*$T22/MAX(1,$U22),0)</f>
        <v/>
      </c>
      <c r="W22" s="68">
        <f>POWER($S22,$E22)</f>
        <v/>
      </c>
      <c r="X22" s="68">
        <f>SUMIFS($W$5:$W$589,$A$5:$A$589,$A22)</f>
        <v/>
      </c>
      <c r="Y22" s="67">
        <f>ROUNDDOWN(MAX(0,$R22-$J22*$G22)*$W22/MAX(1,$X22),0)</f>
        <v/>
      </c>
    </row>
    <row r="23">
      <c r="A23" s="17" t="inlineStr">
        <is>
          <t>scout_art</t>
        </is>
      </c>
      <c r="B23" s="18" t="inlineStr">
        <is>
          <t>侦查术</t>
        </is>
      </c>
      <c r="C23" s="18" t="inlineStr">
        <is>
          <t>基本技术</t>
        </is>
      </c>
      <c r="D23" s="18" t="inlineStr">
        <is>
          <t>—</t>
        </is>
      </c>
      <c r="E23" s="65" t="n">
        <v>18</v>
      </c>
      <c r="F23" s="66">
        <f>E23+1</f>
        <v/>
      </c>
      <c r="G23" s="65">
        <f>INDEX('个人技术总览'!$E$5:$E$46,MATCH($A23,'个人技术总览'!$A$5:$A$46,0))</f>
        <v/>
      </c>
      <c r="H23" s="59">
        <f>INDEX('个人技术总览'!$F$5:$F$46,MATCH($A23,'个人技术总览'!$A$5:$A$46,0))</f>
        <v/>
      </c>
      <c r="I23" s="60">
        <f>INDEX('个人技术总览'!$G$5:$G$46,MATCH($A23,'个人技术总览'!$A$5:$A$46,0))</f>
        <v/>
      </c>
      <c r="J23" s="59">
        <f>INDEX('个人技术总览'!$H$5:$H$46,MATCH($A23,'个人技术总览'!$A$5:$A$46,0))</f>
        <v/>
      </c>
      <c r="K23" s="60">
        <f>INDEX('个人技术总览'!$I$5:$I$46,MATCH($A23,'个人技术总览'!$A$5:$A$46,0))</f>
        <v/>
      </c>
      <c r="L23" s="67">
        <f>H23+V23+IF(E23=G23-1,MAX(0,P23-H23*G23-SUMIFS($V$5:$V$589,$A$5:$A$589,$A23)),0)</f>
        <v/>
      </c>
      <c r="M23" s="61">
        <f>MAX(1,ROUNDDOWN($L23/'参数与公式'!$B$5,0))</f>
        <v/>
      </c>
      <c r="N23" s="67">
        <f>J23+Y23+IF(E23=G23-1,MAX(0,R23-J23*G23-SUMIFS($Y$5:$Y$589,$A$5:$A$589,$A23)),0)</f>
        <v/>
      </c>
      <c r="O23" s="18" t="inlineStr">
        <is>
          <t>data/technology_templates.yaml; upgrade_*_budget / *_curve; code: technology_rules.allocate_upgrade_budget</t>
        </is>
      </c>
      <c r="P23" s="67">
        <f>INDEX('个人技术总览'!$O$5:$O$46,MATCH($A23,'个人技术总览'!$A$5:$A$46,0))</f>
        <v/>
      </c>
      <c r="Q23" s="64">
        <f>INDEX('个人技术总览'!$P$5:$P$46,MATCH($A23,'个人技术总览'!$A$5:$A$46,0))</f>
        <v/>
      </c>
      <c r="R23" s="67">
        <f>INDEX('个人技术总览'!$Q$5:$Q$46,MATCH($A23,'个人技术总览'!$A$5:$A$46,0))</f>
        <v/>
      </c>
      <c r="S23" s="64">
        <f>INDEX('个人技术总览'!$R$5:$R$46,MATCH($A23,'个人技术总览'!$A$5:$A$46,0))</f>
        <v/>
      </c>
      <c r="T23" s="68">
        <f>POWER($Q23,$E23)</f>
        <v/>
      </c>
      <c r="U23" s="68">
        <f>SUMIFS($T$5:$T$589,$A$5:$A$589,$A23)</f>
        <v/>
      </c>
      <c r="V23" s="67">
        <f>ROUNDDOWN(MAX(0,$P23-$H23*$G23)*$T23/MAX(1,$U23),0)</f>
        <v/>
      </c>
      <c r="W23" s="68">
        <f>POWER($S23,$E23)</f>
        <v/>
      </c>
      <c r="X23" s="68">
        <f>SUMIFS($W$5:$W$589,$A$5:$A$589,$A23)</f>
        <v/>
      </c>
      <c r="Y23" s="67">
        <f>ROUNDDOWN(MAX(0,$R23-$J23*$G23)*$W23/MAX(1,$X23),0)</f>
        <v/>
      </c>
    </row>
    <row r="24">
      <c r="A24" s="17" t="inlineStr">
        <is>
          <t>scout_art</t>
        </is>
      </c>
      <c r="B24" s="18" t="inlineStr">
        <is>
          <t>侦查术</t>
        </is>
      </c>
      <c r="C24" s="18" t="inlineStr">
        <is>
          <t>基本技术</t>
        </is>
      </c>
      <c r="D24" s="18" t="inlineStr">
        <is>
          <t>—</t>
        </is>
      </c>
      <c r="E24" s="65" t="n">
        <v>19</v>
      </c>
      <c r="F24" s="66">
        <f>E24+1</f>
        <v/>
      </c>
      <c r="G24" s="65">
        <f>INDEX('个人技术总览'!$E$5:$E$46,MATCH($A24,'个人技术总览'!$A$5:$A$46,0))</f>
        <v/>
      </c>
      <c r="H24" s="59">
        <f>INDEX('个人技术总览'!$F$5:$F$46,MATCH($A24,'个人技术总览'!$A$5:$A$46,0))</f>
        <v/>
      </c>
      <c r="I24" s="60">
        <f>INDEX('个人技术总览'!$G$5:$G$46,MATCH($A24,'个人技术总览'!$A$5:$A$46,0))</f>
        <v/>
      </c>
      <c r="J24" s="59">
        <f>INDEX('个人技术总览'!$H$5:$H$46,MATCH($A24,'个人技术总览'!$A$5:$A$46,0))</f>
        <v/>
      </c>
      <c r="K24" s="60">
        <f>INDEX('个人技术总览'!$I$5:$I$46,MATCH($A24,'个人技术总览'!$A$5:$A$46,0))</f>
        <v/>
      </c>
      <c r="L24" s="67">
        <f>H24+V24+IF(E24=G24-1,MAX(0,P24-H24*G24-SUMIFS($V$5:$V$589,$A$5:$A$589,$A24)),0)</f>
        <v/>
      </c>
      <c r="M24" s="61">
        <f>MAX(1,ROUNDDOWN($L24/'参数与公式'!$B$5,0))</f>
        <v/>
      </c>
      <c r="N24" s="67">
        <f>J24+Y24+IF(E24=G24-1,MAX(0,R24-J24*G24-SUMIFS($Y$5:$Y$589,$A$5:$A$589,$A24)),0)</f>
        <v/>
      </c>
      <c r="O24" s="18" t="inlineStr">
        <is>
          <t>data/technology_templates.yaml; upgrade_*_budget / *_curve; code: technology_rules.allocate_upgrade_budget</t>
        </is>
      </c>
      <c r="P24" s="67">
        <f>INDEX('个人技术总览'!$O$5:$O$46,MATCH($A24,'个人技术总览'!$A$5:$A$46,0))</f>
        <v/>
      </c>
      <c r="Q24" s="64">
        <f>INDEX('个人技术总览'!$P$5:$P$46,MATCH($A24,'个人技术总览'!$A$5:$A$46,0))</f>
        <v/>
      </c>
      <c r="R24" s="67">
        <f>INDEX('个人技术总览'!$Q$5:$Q$46,MATCH($A24,'个人技术总览'!$A$5:$A$46,0))</f>
        <v/>
      </c>
      <c r="S24" s="64">
        <f>INDEX('个人技术总览'!$R$5:$R$46,MATCH($A24,'个人技术总览'!$A$5:$A$46,0))</f>
        <v/>
      </c>
      <c r="T24" s="68">
        <f>POWER($Q24,$E24)</f>
        <v/>
      </c>
      <c r="U24" s="68">
        <f>SUMIFS($T$5:$T$589,$A$5:$A$589,$A24)</f>
        <v/>
      </c>
      <c r="V24" s="67">
        <f>ROUNDDOWN(MAX(0,$P24-$H24*$G24)*$T24/MAX(1,$U24),0)</f>
        <v/>
      </c>
      <c r="W24" s="68">
        <f>POWER($S24,$E24)</f>
        <v/>
      </c>
      <c r="X24" s="68">
        <f>SUMIFS($W$5:$W$589,$A$5:$A$589,$A24)</f>
        <v/>
      </c>
      <c r="Y24" s="67">
        <f>ROUNDDOWN(MAX(0,$R24-$J24*$G24)*$W24/MAX(1,$X24),0)</f>
        <v/>
      </c>
    </row>
    <row r="25">
      <c r="A25" s="17" t="inlineStr">
        <is>
          <t>scout_art</t>
        </is>
      </c>
      <c r="B25" s="18" t="inlineStr">
        <is>
          <t>侦查术</t>
        </is>
      </c>
      <c r="C25" s="18" t="inlineStr">
        <is>
          <t>基本技术</t>
        </is>
      </c>
      <c r="D25" s="18" t="inlineStr">
        <is>
          <t>—</t>
        </is>
      </c>
      <c r="E25" s="65" t="n">
        <v>20</v>
      </c>
      <c r="F25" s="66">
        <f>E25+1</f>
        <v/>
      </c>
      <c r="G25" s="65">
        <f>INDEX('个人技术总览'!$E$5:$E$46,MATCH($A25,'个人技术总览'!$A$5:$A$46,0))</f>
        <v/>
      </c>
      <c r="H25" s="59">
        <f>INDEX('个人技术总览'!$F$5:$F$46,MATCH($A25,'个人技术总览'!$A$5:$A$46,0))</f>
        <v/>
      </c>
      <c r="I25" s="60">
        <f>INDEX('个人技术总览'!$G$5:$G$46,MATCH($A25,'个人技术总览'!$A$5:$A$46,0))</f>
        <v/>
      </c>
      <c r="J25" s="59">
        <f>INDEX('个人技术总览'!$H$5:$H$46,MATCH($A25,'个人技术总览'!$A$5:$A$46,0))</f>
        <v/>
      </c>
      <c r="K25" s="60">
        <f>INDEX('个人技术总览'!$I$5:$I$46,MATCH($A25,'个人技术总览'!$A$5:$A$46,0))</f>
        <v/>
      </c>
      <c r="L25" s="67">
        <f>H25+V25+IF(E25=G25-1,MAX(0,P25-H25*G25-SUMIFS($V$5:$V$589,$A$5:$A$589,$A25)),0)</f>
        <v/>
      </c>
      <c r="M25" s="61">
        <f>MAX(1,ROUNDDOWN($L25/'参数与公式'!$B$5,0))</f>
        <v/>
      </c>
      <c r="N25" s="67">
        <f>J25+Y25+IF(E25=G25-1,MAX(0,R25-J25*G25-SUMIFS($Y$5:$Y$589,$A$5:$A$589,$A25)),0)</f>
        <v/>
      </c>
      <c r="O25" s="18" t="inlineStr">
        <is>
          <t>data/technology_templates.yaml; upgrade_*_budget / *_curve; code: technology_rules.allocate_upgrade_budget</t>
        </is>
      </c>
      <c r="P25" s="67">
        <f>INDEX('个人技术总览'!$O$5:$O$46,MATCH($A25,'个人技术总览'!$A$5:$A$46,0))</f>
        <v/>
      </c>
      <c r="Q25" s="64">
        <f>INDEX('个人技术总览'!$P$5:$P$46,MATCH($A25,'个人技术总览'!$A$5:$A$46,0))</f>
        <v/>
      </c>
      <c r="R25" s="67">
        <f>INDEX('个人技术总览'!$Q$5:$Q$46,MATCH($A25,'个人技术总览'!$A$5:$A$46,0))</f>
        <v/>
      </c>
      <c r="S25" s="64">
        <f>INDEX('个人技术总览'!$R$5:$R$46,MATCH($A25,'个人技术总览'!$A$5:$A$46,0))</f>
        <v/>
      </c>
      <c r="T25" s="68">
        <f>POWER($Q25,$E25)</f>
        <v/>
      </c>
      <c r="U25" s="68">
        <f>SUMIFS($T$5:$T$589,$A$5:$A$589,$A25)</f>
        <v/>
      </c>
      <c r="V25" s="67">
        <f>ROUNDDOWN(MAX(0,$P25-$H25*$G25)*$T25/MAX(1,$U25),0)</f>
        <v/>
      </c>
      <c r="W25" s="68">
        <f>POWER($S25,$E25)</f>
        <v/>
      </c>
      <c r="X25" s="68">
        <f>SUMIFS($W$5:$W$589,$A$5:$A$589,$A25)</f>
        <v/>
      </c>
      <c r="Y25" s="67">
        <f>ROUNDDOWN(MAX(0,$R25-$J25*$G25)*$W25/MAX(1,$X25),0)</f>
        <v/>
      </c>
    </row>
    <row r="26">
      <c r="A26" s="17" t="inlineStr">
        <is>
          <t>scout_art</t>
        </is>
      </c>
      <c r="B26" s="18" t="inlineStr">
        <is>
          <t>侦查术</t>
        </is>
      </c>
      <c r="C26" s="18" t="inlineStr">
        <is>
          <t>基本技术</t>
        </is>
      </c>
      <c r="D26" s="18" t="inlineStr">
        <is>
          <t>—</t>
        </is>
      </c>
      <c r="E26" s="65" t="n">
        <v>21</v>
      </c>
      <c r="F26" s="66">
        <f>E26+1</f>
        <v/>
      </c>
      <c r="G26" s="65">
        <f>INDEX('个人技术总览'!$E$5:$E$46,MATCH($A26,'个人技术总览'!$A$5:$A$46,0))</f>
        <v/>
      </c>
      <c r="H26" s="59">
        <f>INDEX('个人技术总览'!$F$5:$F$46,MATCH($A26,'个人技术总览'!$A$5:$A$46,0))</f>
        <v/>
      </c>
      <c r="I26" s="60">
        <f>INDEX('个人技术总览'!$G$5:$G$46,MATCH($A26,'个人技术总览'!$A$5:$A$46,0))</f>
        <v/>
      </c>
      <c r="J26" s="59">
        <f>INDEX('个人技术总览'!$H$5:$H$46,MATCH($A26,'个人技术总览'!$A$5:$A$46,0))</f>
        <v/>
      </c>
      <c r="K26" s="60">
        <f>INDEX('个人技术总览'!$I$5:$I$46,MATCH($A26,'个人技术总览'!$A$5:$A$46,0))</f>
        <v/>
      </c>
      <c r="L26" s="67">
        <f>H26+V26+IF(E26=G26-1,MAX(0,P26-H26*G26-SUMIFS($V$5:$V$589,$A$5:$A$589,$A26)),0)</f>
        <v/>
      </c>
      <c r="M26" s="61">
        <f>MAX(1,ROUNDDOWN($L26/'参数与公式'!$B$5,0))</f>
        <v/>
      </c>
      <c r="N26" s="67">
        <f>J26+Y26+IF(E26=G26-1,MAX(0,R26-J26*G26-SUMIFS($Y$5:$Y$589,$A$5:$A$589,$A26)),0)</f>
        <v/>
      </c>
      <c r="O26" s="18" t="inlineStr">
        <is>
          <t>data/technology_templates.yaml; upgrade_*_budget / *_curve; code: technology_rules.allocate_upgrade_budget</t>
        </is>
      </c>
      <c r="P26" s="67">
        <f>INDEX('个人技术总览'!$O$5:$O$46,MATCH($A26,'个人技术总览'!$A$5:$A$46,0))</f>
        <v/>
      </c>
      <c r="Q26" s="64">
        <f>INDEX('个人技术总览'!$P$5:$P$46,MATCH($A26,'个人技术总览'!$A$5:$A$46,0))</f>
        <v/>
      </c>
      <c r="R26" s="67">
        <f>INDEX('个人技术总览'!$Q$5:$Q$46,MATCH($A26,'个人技术总览'!$A$5:$A$46,0))</f>
        <v/>
      </c>
      <c r="S26" s="64">
        <f>INDEX('个人技术总览'!$R$5:$R$46,MATCH($A26,'个人技术总览'!$A$5:$A$46,0))</f>
        <v/>
      </c>
      <c r="T26" s="68">
        <f>POWER($Q26,$E26)</f>
        <v/>
      </c>
      <c r="U26" s="68">
        <f>SUMIFS($T$5:$T$589,$A$5:$A$589,$A26)</f>
        <v/>
      </c>
      <c r="V26" s="67">
        <f>ROUNDDOWN(MAX(0,$P26-$H26*$G26)*$T26/MAX(1,$U26),0)</f>
        <v/>
      </c>
      <c r="W26" s="68">
        <f>POWER($S26,$E26)</f>
        <v/>
      </c>
      <c r="X26" s="68">
        <f>SUMIFS($W$5:$W$589,$A$5:$A$589,$A26)</f>
        <v/>
      </c>
      <c r="Y26" s="67">
        <f>ROUNDDOWN(MAX(0,$R26-$J26*$G26)*$W26/MAX(1,$X26),0)</f>
        <v/>
      </c>
    </row>
    <row r="27">
      <c r="A27" s="17" t="inlineStr">
        <is>
          <t>scout_art</t>
        </is>
      </c>
      <c r="B27" s="18" t="inlineStr">
        <is>
          <t>侦查术</t>
        </is>
      </c>
      <c r="C27" s="18" t="inlineStr">
        <is>
          <t>基本技术</t>
        </is>
      </c>
      <c r="D27" s="18" t="inlineStr">
        <is>
          <t>—</t>
        </is>
      </c>
      <c r="E27" s="65" t="n">
        <v>22</v>
      </c>
      <c r="F27" s="66">
        <f>E27+1</f>
        <v/>
      </c>
      <c r="G27" s="65">
        <f>INDEX('个人技术总览'!$E$5:$E$46,MATCH($A27,'个人技术总览'!$A$5:$A$46,0))</f>
        <v/>
      </c>
      <c r="H27" s="59">
        <f>INDEX('个人技术总览'!$F$5:$F$46,MATCH($A27,'个人技术总览'!$A$5:$A$46,0))</f>
        <v/>
      </c>
      <c r="I27" s="60">
        <f>INDEX('个人技术总览'!$G$5:$G$46,MATCH($A27,'个人技术总览'!$A$5:$A$46,0))</f>
        <v/>
      </c>
      <c r="J27" s="59">
        <f>INDEX('个人技术总览'!$H$5:$H$46,MATCH($A27,'个人技术总览'!$A$5:$A$46,0))</f>
        <v/>
      </c>
      <c r="K27" s="60">
        <f>INDEX('个人技术总览'!$I$5:$I$46,MATCH($A27,'个人技术总览'!$A$5:$A$46,0))</f>
        <v/>
      </c>
      <c r="L27" s="67">
        <f>H27+V27+IF(E27=G27-1,MAX(0,P27-H27*G27-SUMIFS($V$5:$V$589,$A$5:$A$589,$A27)),0)</f>
        <v/>
      </c>
      <c r="M27" s="61">
        <f>MAX(1,ROUNDDOWN($L27/'参数与公式'!$B$5,0))</f>
        <v/>
      </c>
      <c r="N27" s="67">
        <f>J27+Y27+IF(E27=G27-1,MAX(0,R27-J27*G27-SUMIFS($Y$5:$Y$589,$A$5:$A$589,$A27)),0)</f>
        <v/>
      </c>
      <c r="O27" s="18" t="inlineStr">
        <is>
          <t>data/technology_templates.yaml; upgrade_*_budget / *_curve; code: technology_rules.allocate_upgrade_budget</t>
        </is>
      </c>
      <c r="P27" s="67">
        <f>INDEX('个人技术总览'!$O$5:$O$46,MATCH($A27,'个人技术总览'!$A$5:$A$46,0))</f>
        <v/>
      </c>
      <c r="Q27" s="64">
        <f>INDEX('个人技术总览'!$P$5:$P$46,MATCH($A27,'个人技术总览'!$A$5:$A$46,0))</f>
        <v/>
      </c>
      <c r="R27" s="67">
        <f>INDEX('个人技术总览'!$Q$5:$Q$46,MATCH($A27,'个人技术总览'!$A$5:$A$46,0))</f>
        <v/>
      </c>
      <c r="S27" s="64">
        <f>INDEX('个人技术总览'!$R$5:$R$46,MATCH($A27,'个人技术总览'!$A$5:$A$46,0))</f>
        <v/>
      </c>
      <c r="T27" s="68">
        <f>POWER($Q27,$E27)</f>
        <v/>
      </c>
      <c r="U27" s="68">
        <f>SUMIFS($T$5:$T$589,$A$5:$A$589,$A27)</f>
        <v/>
      </c>
      <c r="V27" s="67">
        <f>ROUNDDOWN(MAX(0,$P27-$H27*$G27)*$T27/MAX(1,$U27),0)</f>
        <v/>
      </c>
      <c r="W27" s="68">
        <f>POWER($S27,$E27)</f>
        <v/>
      </c>
      <c r="X27" s="68">
        <f>SUMIFS($W$5:$W$589,$A$5:$A$589,$A27)</f>
        <v/>
      </c>
      <c r="Y27" s="67">
        <f>ROUNDDOWN(MAX(0,$R27-$J27*$G27)*$W27/MAX(1,$X27),0)</f>
        <v/>
      </c>
    </row>
    <row r="28">
      <c r="A28" s="17" t="inlineStr">
        <is>
          <t>scout_art</t>
        </is>
      </c>
      <c r="B28" s="18" t="inlineStr">
        <is>
          <t>侦查术</t>
        </is>
      </c>
      <c r="C28" s="18" t="inlineStr">
        <is>
          <t>基本技术</t>
        </is>
      </c>
      <c r="D28" s="18" t="inlineStr">
        <is>
          <t>—</t>
        </is>
      </c>
      <c r="E28" s="65" t="n">
        <v>23</v>
      </c>
      <c r="F28" s="66">
        <f>E28+1</f>
        <v/>
      </c>
      <c r="G28" s="65">
        <f>INDEX('个人技术总览'!$E$5:$E$46,MATCH($A28,'个人技术总览'!$A$5:$A$46,0))</f>
        <v/>
      </c>
      <c r="H28" s="59">
        <f>INDEX('个人技术总览'!$F$5:$F$46,MATCH($A28,'个人技术总览'!$A$5:$A$46,0))</f>
        <v/>
      </c>
      <c r="I28" s="60">
        <f>INDEX('个人技术总览'!$G$5:$G$46,MATCH($A28,'个人技术总览'!$A$5:$A$46,0))</f>
        <v/>
      </c>
      <c r="J28" s="59">
        <f>INDEX('个人技术总览'!$H$5:$H$46,MATCH($A28,'个人技术总览'!$A$5:$A$46,0))</f>
        <v/>
      </c>
      <c r="K28" s="60">
        <f>INDEX('个人技术总览'!$I$5:$I$46,MATCH($A28,'个人技术总览'!$A$5:$A$46,0))</f>
        <v/>
      </c>
      <c r="L28" s="67">
        <f>H28+V28+IF(E28=G28-1,MAX(0,P28-H28*G28-SUMIFS($V$5:$V$589,$A$5:$A$589,$A28)),0)</f>
        <v/>
      </c>
      <c r="M28" s="61">
        <f>MAX(1,ROUNDDOWN($L28/'参数与公式'!$B$5,0))</f>
        <v/>
      </c>
      <c r="N28" s="67">
        <f>J28+Y28+IF(E28=G28-1,MAX(0,R28-J28*G28-SUMIFS($Y$5:$Y$589,$A$5:$A$589,$A28)),0)</f>
        <v/>
      </c>
      <c r="O28" s="18" t="inlineStr">
        <is>
          <t>data/technology_templates.yaml; upgrade_*_budget / *_curve; code: technology_rules.allocate_upgrade_budget</t>
        </is>
      </c>
      <c r="P28" s="67">
        <f>INDEX('个人技术总览'!$O$5:$O$46,MATCH($A28,'个人技术总览'!$A$5:$A$46,0))</f>
        <v/>
      </c>
      <c r="Q28" s="64">
        <f>INDEX('个人技术总览'!$P$5:$P$46,MATCH($A28,'个人技术总览'!$A$5:$A$46,0))</f>
        <v/>
      </c>
      <c r="R28" s="67">
        <f>INDEX('个人技术总览'!$Q$5:$Q$46,MATCH($A28,'个人技术总览'!$A$5:$A$46,0))</f>
        <v/>
      </c>
      <c r="S28" s="64">
        <f>INDEX('个人技术总览'!$R$5:$R$46,MATCH($A28,'个人技术总览'!$A$5:$A$46,0))</f>
        <v/>
      </c>
      <c r="T28" s="68">
        <f>POWER($Q28,$E28)</f>
        <v/>
      </c>
      <c r="U28" s="68">
        <f>SUMIFS($T$5:$T$589,$A$5:$A$589,$A28)</f>
        <v/>
      </c>
      <c r="V28" s="67">
        <f>ROUNDDOWN(MAX(0,$P28-$H28*$G28)*$T28/MAX(1,$U28),0)</f>
        <v/>
      </c>
      <c r="W28" s="68">
        <f>POWER($S28,$E28)</f>
        <v/>
      </c>
      <c r="X28" s="68">
        <f>SUMIFS($W$5:$W$589,$A$5:$A$589,$A28)</f>
        <v/>
      </c>
      <c r="Y28" s="67">
        <f>ROUNDDOWN(MAX(0,$R28-$J28*$G28)*$W28/MAX(1,$X28),0)</f>
        <v/>
      </c>
    </row>
    <row r="29">
      <c r="A29" s="17" t="inlineStr">
        <is>
          <t>scout_art</t>
        </is>
      </c>
      <c r="B29" s="18" t="inlineStr">
        <is>
          <t>侦查术</t>
        </is>
      </c>
      <c r="C29" s="18" t="inlineStr">
        <is>
          <t>基本技术</t>
        </is>
      </c>
      <c r="D29" s="18" t="inlineStr">
        <is>
          <t>—</t>
        </is>
      </c>
      <c r="E29" s="65" t="n">
        <v>24</v>
      </c>
      <c r="F29" s="66">
        <f>E29+1</f>
        <v/>
      </c>
      <c r="G29" s="65">
        <f>INDEX('个人技术总览'!$E$5:$E$46,MATCH($A29,'个人技术总览'!$A$5:$A$46,0))</f>
        <v/>
      </c>
      <c r="H29" s="59">
        <f>INDEX('个人技术总览'!$F$5:$F$46,MATCH($A29,'个人技术总览'!$A$5:$A$46,0))</f>
        <v/>
      </c>
      <c r="I29" s="60">
        <f>INDEX('个人技术总览'!$G$5:$G$46,MATCH($A29,'个人技术总览'!$A$5:$A$46,0))</f>
        <v/>
      </c>
      <c r="J29" s="59">
        <f>INDEX('个人技术总览'!$H$5:$H$46,MATCH($A29,'个人技术总览'!$A$5:$A$46,0))</f>
        <v/>
      </c>
      <c r="K29" s="60">
        <f>INDEX('个人技术总览'!$I$5:$I$46,MATCH($A29,'个人技术总览'!$A$5:$A$46,0))</f>
        <v/>
      </c>
      <c r="L29" s="67">
        <f>H29+V29+IF(E29=G29-1,MAX(0,P29-H29*G29-SUMIFS($V$5:$V$589,$A$5:$A$589,$A29)),0)</f>
        <v/>
      </c>
      <c r="M29" s="61">
        <f>MAX(1,ROUNDDOWN($L29/'参数与公式'!$B$5,0))</f>
        <v/>
      </c>
      <c r="N29" s="67">
        <f>J29+Y29+IF(E29=G29-1,MAX(0,R29-J29*G29-SUMIFS($Y$5:$Y$589,$A$5:$A$589,$A29)),0)</f>
        <v/>
      </c>
      <c r="O29" s="18" t="inlineStr">
        <is>
          <t>data/technology_templates.yaml; upgrade_*_budget / *_curve; code: technology_rules.allocate_upgrade_budget</t>
        </is>
      </c>
      <c r="P29" s="67">
        <f>INDEX('个人技术总览'!$O$5:$O$46,MATCH($A29,'个人技术总览'!$A$5:$A$46,0))</f>
        <v/>
      </c>
      <c r="Q29" s="64">
        <f>INDEX('个人技术总览'!$P$5:$P$46,MATCH($A29,'个人技术总览'!$A$5:$A$46,0))</f>
        <v/>
      </c>
      <c r="R29" s="67">
        <f>INDEX('个人技术总览'!$Q$5:$Q$46,MATCH($A29,'个人技术总览'!$A$5:$A$46,0))</f>
        <v/>
      </c>
      <c r="S29" s="64">
        <f>INDEX('个人技术总览'!$R$5:$R$46,MATCH($A29,'个人技术总览'!$A$5:$A$46,0))</f>
        <v/>
      </c>
      <c r="T29" s="68">
        <f>POWER($Q29,$E29)</f>
        <v/>
      </c>
      <c r="U29" s="68">
        <f>SUMIFS($T$5:$T$589,$A$5:$A$589,$A29)</f>
        <v/>
      </c>
      <c r="V29" s="67">
        <f>ROUNDDOWN(MAX(0,$P29-$H29*$G29)*$T29/MAX(1,$U29),0)</f>
        <v/>
      </c>
      <c r="W29" s="68">
        <f>POWER($S29,$E29)</f>
        <v/>
      </c>
      <c r="X29" s="68">
        <f>SUMIFS($W$5:$W$589,$A$5:$A$589,$A29)</f>
        <v/>
      </c>
      <c r="Y29" s="67">
        <f>ROUNDDOWN(MAX(0,$R29-$J29*$G29)*$W29/MAX(1,$X29),0)</f>
        <v/>
      </c>
    </row>
    <row r="30">
      <c r="A30" s="17" t="inlineStr">
        <is>
          <t>scout_art</t>
        </is>
      </c>
      <c r="B30" s="18" t="inlineStr">
        <is>
          <t>侦查术</t>
        </is>
      </c>
      <c r="C30" s="18" t="inlineStr">
        <is>
          <t>基本技术</t>
        </is>
      </c>
      <c r="D30" s="18" t="inlineStr">
        <is>
          <t>—</t>
        </is>
      </c>
      <c r="E30" s="65" t="n">
        <v>25</v>
      </c>
      <c r="F30" s="66">
        <f>E30+1</f>
        <v/>
      </c>
      <c r="G30" s="65">
        <f>INDEX('个人技术总览'!$E$5:$E$46,MATCH($A30,'个人技术总览'!$A$5:$A$46,0))</f>
        <v/>
      </c>
      <c r="H30" s="59">
        <f>INDEX('个人技术总览'!$F$5:$F$46,MATCH($A30,'个人技术总览'!$A$5:$A$46,0))</f>
        <v/>
      </c>
      <c r="I30" s="60">
        <f>INDEX('个人技术总览'!$G$5:$G$46,MATCH($A30,'个人技术总览'!$A$5:$A$46,0))</f>
        <v/>
      </c>
      <c r="J30" s="59">
        <f>INDEX('个人技术总览'!$H$5:$H$46,MATCH($A30,'个人技术总览'!$A$5:$A$46,0))</f>
        <v/>
      </c>
      <c r="K30" s="60">
        <f>INDEX('个人技术总览'!$I$5:$I$46,MATCH($A30,'个人技术总览'!$A$5:$A$46,0))</f>
        <v/>
      </c>
      <c r="L30" s="67">
        <f>H30+V30+IF(E30=G30-1,MAX(0,P30-H30*G30-SUMIFS($V$5:$V$589,$A$5:$A$589,$A30)),0)</f>
        <v/>
      </c>
      <c r="M30" s="61">
        <f>MAX(1,ROUNDDOWN($L30/'参数与公式'!$B$5,0))</f>
        <v/>
      </c>
      <c r="N30" s="67">
        <f>J30+Y30+IF(E30=G30-1,MAX(0,R30-J30*G30-SUMIFS($Y$5:$Y$589,$A$5:$A$589,$A30)),0)</f>
        <v/>
      </c>
      <c r="O30" s="18" t="inlineStr">
        <is>
          <t>data/technology_templates.yaml; upgrade_*_budget / *_curve; code: technology_rules.allocate_upgrade_budget</t>
        </is>
      </c>
      <c r="P30" s="67">
        <f>INDEX('个人技术总览'!$O$5:$O$46,MATCH($A30,'个人技术总览'!$A$5:$A$46,0))</f>
        <v/>
      </c>
      <c r="Q30" s="64">
        <f>INDEX('个人技术总览'!$P$5:$P$46,MATCH($A30,'个人技术总览'!$A$5:$A$46,0))</f>
        <v/>
      </c>
      <c r="R30" s="67">
        <f>INDEX('个人技术总览'!$Q$5:$Q$46,MATCH($A30,'个人技术总览'!$A$5:$A$46,0))</f>
        <v/>
      </c>
      <c r="S30" s="64">
        <f>INDEX('个人技术总览'!$R$5:$R$46,MATCH($A30,'个人技术总览'!$A$5:$A$46,0))</f>
        <v/>
      </c>
      <c r="T30" s="68">
        <f>POWER($Q30,$E30)</f>
        <v/>
      </c>
      <c r="U30" s="68">
        <f>SUMIFS($T$5:$T$589,$A$5:$A$589,$A30)</f>
        <v/>
      </c>
      <c r="V30" s="67">
        <f>ROUNDDOWN(MAX(0,$P30-$H30*$G30)*$T30/MAX(1,$U30),0)</f>
        <v/>
      </c>
      <c r="W30" s="68">
        <f>POWER($S30,$E30)</f>
        <v/>
      </c>
      <c r="X30" s="68">
        <f>SUMIFS($W$5:$W$589,$A$5:$A$589,$A30)</f>
        <v/>
      </c>
      <c r="Y30" s="67">
        <f>ROUNDDOWN(MAX(0,$R30-$J30*$G30)*$W30/MAX(1,$X30),0)</f>
        <v/>
      </c>
    </row>
    <row r="31">
      <c r="A31" s="17" t="inlineStr">
        <is>
          <t>scout_art</t>
        </is>
      </c>
      <c r="B31" s="18" t="inlineStr">
        <is>
          <t>侦查术</t>
        </is>
      </c>
      <c r="C31" s="18" t="inlineStr">
        <is>
          <t>基本技术</t>
        </is>
      </c>
      <c r="D31" s="18" t="inlineStr">
        <is>
          <t>—</t>
        </is>
      </c>
      <c r="E31" s="65" t="n">
        <v>26</v>
      </c>
      <c r="F31" s="66">
        <f>E31+1</f>
        <v/>
      </c>
      <c r="G31" s="65">
        <f>INDEX('个人技术总览'!$E$5:$E$46,MATCH($A31,'个人技术总览'!$A$5:$A$46,0))</f>
        <v/>
      </c>
      <c r="H31" s="59">
        <f>INDEX('个人技术总览'!$F$5:$F$46,MATCH($A31,'个人技术总览'!$A$5:$A$46,0))</f>
        <v/>
      </c>
      <c r="I31" s="60">
        <f>INDEX('个人技术总览'!$G$5:$G$46,MATCH($A31,'个人技术总览'!$A$5:$A$46,0))</f>
        <v/>
      </c>
      <c r="J31" s="59">
        <f>INDEX('个人技术总览'!$H$5:$H$46,MATCH($A31,'个人技术总览'!$A$5:$A$46,0))</f>
        <v/>
      </c>
      <c r="K31" s="60">
        <f>INDEX('个人技术总览'!$I$5:$I$46,MATCH($A31,'个人技术总览'!$A$5:$A$46,0))</f>
        <v/>
      </c>
      <c r="L31" s="67">
        <f>H31+V31+IF(E31=G31-1,MAX(0,P31-H31*G31-SUMIFS($V$5:$V$589,$A$5:$A$589,$A31)),0)</f>
        <v/>
      </c>
      <c r="M31" s="61">
        <f>MAX(1,ROUNDDOWN($L31/'参数与公式'!$B$5,0))</f>
        <v/>
      </c>
      <c r="N31" s="67">
        <f>J31+Y31+IF(E31=G31-1,MAX(0,R31-J31*G31-SUMIFS($Y$5:$Y$589,$A$5:$A$589,$A31)),0)</f>
        <v/>
      </c>
      <c r="O31" s="18" t="inlineStr">
        <is>
          <t>data/technology_templates.yaml; upgrade_*_budget / *_curve; code: technology_rules.allocate_upgrade_budget</t>
        </is>
      </c>
      <c r="P31" s="67">
        <f>INDEX('个人技术总览'!$O$5:$O$46,MATCH($A31,'个人技术总览'!$A$5:$A$46,0))</f>
        <v/>
      </c>
      <c r="Q31" s="64">
        <f>INDEX('个人技术总览'!$P$5:$P$46,MATCH($A31,'个人技术总览'!$A$5:$A$46,0))</f>
        <v/>
      </c>
      <c r="R31" s="67">
        <f>INDEX('个人技术总览'!$Q$5:$Q$46,MATCH($A31,'个人技术总览'!$A$5:$A$46,0))</f>
        <v/>
      </c>
      <c r="S31" s="64">
        <f>INDEX('个人技术总览'!$R$5:$R$46,MATCH($A31,'个人技术总览'!$A$5:$A$46,0))</f>
        <v/>
      </c>
      <c r="T31" s="68">
        <f>POWER($Q31,$E31)</f>
        <v/>
      </c>
      <c r="U31" s="68">
        <f>SUMIFS($T$5:$T$589,$A$5:$A$589,$A31)</f>
        <v/>
      </c>
      <c r="V31" s="67">
        <f>ROUNDDOWN(MAX(0,$P31-$H31*$G31)*$T31/MAX(1,$U31),0)</f>
        <v/>
      </c>
      <c r="W31" s="68">
        <f>POWER($S31,$E31)</f>
        <v/>
      </c>
      <c r="X31" s="68">
        <f>SUMIFS($W$5:$W$589,$A$5:$A$589,$A31)</f>
        <v/>
      </c>
      <c r="Y31" s="67">
        <f>ROUNDDOWN(MAX(0,$R31-$J31*$G31)*$W31/MAX(1,$X31),0)</f>
        <v/>
      </c>
    </row>
    <row r="32">
      <c r="A32" s="17" t="inlineStr">
        <is>
          <t>scout_art</t>
        </is>
      </c>
      <c r="B32" s="18" t="inlineStr">
        <is>
          <t>侦查术</t>
        </is>
      </c>
      <c r="C32" s="18" t="inlineStr">
        <is>
          <t>基本技术</t>
        </is>
      </c>
      <c r="D32" s="18" t="inlineStr">
        <is>
          <t>—</t>
        </is>
      </c>
      <c r="E32" s="65" t="n">
        <v>27</v>
      </c>
      <c r="F32" s="66">
        <f>E32+1</f>
        <v/>
      </c>
      <c r="G32" s="65">
        <f>INDEX('个人技术总览'!$E$5:$E$46,MATCH($A32,'个人技术总览'!$A$5:$A$46,0))</f>
        <v/>
      </c>
      <c r="H32" s="59">
        <f>INDEX('个人技术总览'!$F$5:$F$46,MATCH($A32,'个人技术总览'!$A$5:$A$46,0))</f>
        <v/>
      </c>
      <c r="I32" s="60">
        <f>INDEX('个人技术总览'!$G$5:$G$46,MATCH($A32,'个人技术总览'!$A$5:$A$46,0))</f>
        <v/>
      </c>
      <c r="J32" s="59">
        <f>INDEX('个人技术总览'!$H$5:$H$46,MATCH($A32,'个人技术总览'!$A$5:$A$46,0))</f>
        <v/>
      </c>
      <c r="K32" s="60">
        <f>INDEX('个人技术总览'!$I$5:$I$46,MATCH($A32,'个人技术总览'!$A$5:$A$46,0))</f>
        <v/>
      </c>
      <c r="L32" s="67">
        <f>H32+V32+IF(E32=G32-1,MAX(0,P32-H32*G32-SUMIFS($V$5:$V$589,$A$5:$A$589,$A32)),0)</f>
        <v/>
      </c>
      <c r="M32" s="61">
        <f>MAX(1,ROUNDDOWN($L32/'参数与公式'!$B$5,0))</f>
        <v/>
      </c>
      <c r="N32" s="67">
        <f>J32+Y32+IF(E32=G32-1,MAX(0,R32-J32*G32-SUMIFS($Y$5:$Y$589,$A$5:$A$589,$A32)),0)</f>
        <v/>
      </c>
      <c r="O32" s="18" t="inlineStr">
        <is>
          <t>data/technology_templates.yaml; upgrade_*_budget / *_curve; code: technology_rules.allocate_upgrade_budget</t>
        </is>
      </c>
      <c r="P32" s="67">
        <f>INDEX('个人技术总览'!$O$5:$O$46,MATCH($A32,'个人技术总览'!$A$5:$A$46,0))</f>
        <v/>
      </c>
      <c r="Q32" s="64">
        <f>INDEX('个人技术总览'!$P$5:$P$46,MATCH($A32,'个人技术总览'!$A$5:$A$46,0))</f>
        <v/>
      </c>
      <c r="R32" s="67">
        <f>INDEX('个人技术总览'!$Q$5:$Q$46,MATCH($A32,'个人技术总览'!$A$5:$A$46,0))</f>
        <v/>
      </c>
      <c r="S32" s="64">
        <f>INDEX('个人技术总览'!$R$5:$R$46,MATCH($A32,'个人技术总览'!$A$5:$A$46,0))</f>
        <v/>
      </c>
      <c r="T32" s="68">
        <f>POWER($Q32,$E32)</f>
        <v/>
      </c>
      <c r="U32" s="68">
        <f>SUMIFS($T$5:$T$589,$A$5:$A$589,$A32)</f>
        <v/>
      </c>
      <c r="V32" s="67">
        <f>ROUNDDOWN(MAX(0,$P32-$H32*$G32)*$T32/MAX(1,$U32),0)</f>
        <v/>
      </c>
      <c r="W32" s="68">
        <f>POWER($S32,$E32)</f>
        <v/>
      </c>
      <c r="X32" s="68">
        <f>SUMIFS($W$5:$W$589,$A$5:$A$589,$A32)</f>
        <v/>
      </c>
      <c r="Y32" s="67">
        <f>ROUNDDOWN(MAX(0,$R32-$J32*$G32)*$W32/MAX(1,$X32),0)</f>
        <v/>
      </c>
    </row>
    <row r="33">
      <c r="A33" s="17" t="inlineStr">
        <is>
          <t>scout_art</t>
        </is>
      </c>
      <c r="B33" s="18" t="inlineStr">
        <is>
          <t>侦查术</t>
        </is>
      </c>
      <c r="C33" s="18" t="inlineStr">
        <is>
          <t>基本技术</t>
        </is>
      </c>
      <c r="D33" s="18" t="inlineStr">
        <is>
          <t>—</t>
        </is>
      </c>
      <c r="E33" s="65" t="n">
        <v>28</v>
      </c>
      <c r="F33" s="66">
        <f>E33+1</f>
        <v/>
      </c>
      <c r="G33" s="65">
        <f>INDEX('个人技术总览'!$E$5:$E$46,MATCH($A33,'个人技术总览'!$A$5:$A$46,0))</f>
        <v/>
      </c>
      <c r="H33" s="59">
        <f>INDEX('个人技术总览'!$F$5:$F$46,MATCH($A33,'个人技术总览'!$A$5:$A$46,0))</f>
        <v/>
      </c>
      <c r="I33" s="60">
        <f>INDEX('个人技术总览'!$G$5:$G$46,MATCH($A33,'个人技术总览'!$A$5:$A$46,0))</f>
        <v/>
      </c>
      <c r="J33" s="59">
        <f>INDEX('个人技术总览'!$H$5:$H$46,MATCH($A33,'个人技术总览'!$A$5:$A$46,0))</f>
        <v/>
      </c>
      <c r="K33" s="60">
        <f>INDEX('个人技术总览'!$I$5:$I$46,MATCH($A33,'个人技术总览'!$A$5:$A$46,0))</f>
        <v/>
      </c>
      <c r="L33" s="67">
        <f>H33+V33+IF(E33=G33-1,MAX(0,P33-H33*G33-SUMIFS($V$5:$V$589,$A$5:$A$589,$A33)),0)</f>
        <v/>
      </c>
      <c r="M33" s="61">
        <f>MAX(1,ROUNDDOWN($L33/'参数与公式'!$B$5,0))</f>
        <v/>
      </c>
      <c r="N33" s="67">
        <f>J33+Y33+IF(E33=G33-1,MAX(0,R33-J33*G33-SUMIFS($Y$5:$Y$589,$A$5:$A$589,$A33)),0)</f>
        <v/>
      </c>
      <c r="O33" s="18" t="inlineStr">
        <is>
          <t>data/technology_templates.yaml; upgrade_*_budget / *_curve; code: technology_rules.allocate_upgrade_budget</t>
        </is>
      </c>
      <c r="P33" s="67">
        <f>INDEX('个人技术总览'!$O$5:$O$46,MATCH($A33,'个人技术总览'!$A$5:$A$46,0))</f>
        <v/>
      </c>
      <c r="Q33" s="64">
        <f>INDEX('个人技术总览'!$P$5:$P$46,MATCH($A33,'个人技术总览'!$A$5:$A$46,0))</f>
        <v/>
      </c>
      <c r="R33" s="67">
        <f>INDEX('个人技术总览'!$Q$5:$Q$46,MATCH($A33,'个人技术总览'!$A$5:$A$46,0))</f>
        <v/>
      </c>
      <c r="S33" s="64">
        <f>INDEX('个人技术总览'!$R$5:$R$46,MATCH($A33,'个人技术总览'!$A$5:$A$46,0))</f>
        <v/>
      </c>
      <c r="T33" s="68">
        <f>POWER($Q33,$E33)</f>
        <v/>
      </c>
      <c r="U33" s="68">
        <f>SUMIFS($T$5:$T$589,$A$5:$A$589,$A33)</f>
        <v/>
      </c>
      <c r="V33" s="67">
        <f>ROUNDDOWN(MAX(0,$P33-$H33*$G33)*$T33/MAX(1,$U33),0)</f>
        <v/>
      </c>
      <c r="W33" s="68">
        <f>POWER($S33,$E33)</f>
        <v/>
      </c>
      <c r="X33" s="68">
        <f>SUMIFS($W$5:$W$589,$A$5:$A$589,$A33)</f>
        <v/>
      </c>
      <c r="Y33" s="67">
        <f>ROUNDDOWN(MAX(0,$R33-$J33*$G33)*$W33/MAX(1,$X33),0)</f>
        <v/>
      </c>
    </row>
    <row r="34">
      <c r="A34" s="17" t="inlineStr">
        <is>
          <t>scout_art</t>
        </is>
      </c>
      <c r="B34" s="18" t="inlineStr">
        <is>
          <t>侦查术</t>
        </is>
      </c>
      <c r="C34" s="18" t="inlineStr">
        <is>
          <t>基本技术</t>
        </is>
      </c>
      <c r="D34" s="18" t="inlineStr">
        <is>
          <t>—</t>
        </is>
      </c>
      <c r="E34" s="65" t="n">
        <v>29</v>
      </c>
      <c r="F34" s="66">
        <f>E34+1</f>
        <v/>
      </c>
      <c r="G34" s="65">
        <f>INDEX('个人技术总览'!$E$5:$E$46,MATCH($A34,'个人技术总览'!$A$5:$A$46,0))</f>
        <v/>
      </c>
      <c r="H34" s="59">
        <f>INDEX('个人技术总览'!$F$5:$F$46,MATCH($A34,'个人技术总览'!$A$5:$A$46,0))</f>
        <v/>
      </c>
      <c r="I34" s="60">
        <f>INDEX('个人技术总览'!$G$5:$G$46,MATCH($A34,'个人技术总览'!$A$5:$A$46,0))</f>
        <v/>
      </c>
      <c r="J34" s="59">
        <f>INDEX('个人技术总览'!$H$5:$H$46,MATCH($A34,'个人技术总览'!$A$5:$A$46,0))</f>
        <v/>
      </c>
      <c r="K34" s="60">
        <f>INDEX('个人技术总览'!$I$5:$I$46,MATCH($A34,'个人技术总览'!$A$5:$A$46,0))</f>
        <v/>
      </c>
      <c r="L34" s="67">
        <f>H34+V34+IF(E34=G34-1,MAX(0,P34-H34*G34-SUMIFS($V$5:$V$589,$A$5:$A$589,$A34)),0)</f>
        <v/>
      </c>
      <c r="M34" s="61">
        <f>MAX(1,ROUNDDOWN($L34/'参数与公式'!$B$5,0))</f>
        <v/>
      </c>
      <c r="N34" s="67">
        <f>J34+Y34+IF(E34=G34-1,MAX(0,R34-J34*G34-SUMIFS($Y$5:$Y$589,$A$5:$A$589,$A34)),0)</f>
        <v/>
      </c>
      <c r="O34" s="18" t="inlineStr">
        <is>
          <t>data/technology_templates.yaml; upgrade_*_budget / *_curve; code: technology_rules.allocate_upgrade_budget</t>
        </is>
      </c>
      <c r="P34" s="67">
        <f>INDEX('个人技术总览'!$O$5:$O$46,MATCH($A34,'个人技术总览'!$A$5:$A$46,0))</f>
        <v/>
      </c>
      <c r="Q34" s="64">
        <f>INDEX('个人技术总览'!$P$5:$P$46,MATCH($A34,'个人技术总览'!$A$5:$A$46,0))</f>
        <v/>
      </c>
      <c r="R34" s="67">
        <f>INDEX('个人技术总览'!$Q$5:$Q$46,MATCH($A34,'个人技术总览'!$A$5:$A$46,0))</f>
        <v/>
      </c>
      <c r="S34" s="64">
        <f>INDEX('个人技术总览'!$R$5:$R$46,MATCH($A34,'个人技术总览'!$A$5:$A$46,0))</f>
        <v/>
      </c>
      <c r="T34" s="68">
        <f>POWER($Q34,$E34)</f>
        <v/>
      </c>
      <c r="U34" s="68">
        <f>SUMIFS($T$5:$T$589,$A$5:$A$589,$A34)</f>
        <v/>
      </c>
      <c r="V34" s="67">
        <f>ROUNDDOWN(MAX(0,$P34-$H34*$G34)*$T34/MAX(1,$U34),0)</f>
        <v/>
      </c>
      <c r="W34" s="68">
        <f>POWER($S34,$E34)</f>
        <v/>
      </c>
      <c r="X34" s="68">
        <f>SUMIFS($W$5:$W$589,$A$5:$A$589,$A34)</f>
        <v/>
      </c>
      <c r="Y34" s="67">
        <f>ROUNDDOWN(MAX(0,$R34-$J34*$G34)*$W34/MAX(1,$X34),0)</f>
        <v/>
      </c>
    </row>
    <row r="35">
      <c r="A35" s="17" t="inlineStr">
        <is>
          <t>scout_art</t>
        </is>
      </c>
      <c r="B35" s="18" t="inlineStr">
        <is>
          <t>侦查术</t>
        </is>
      </c>
      <c r="C35" s="18" t="inlineStr">
        <is>
          <t>基本技术</t>
        </is>
      </c>
      <c r="D35" s="18" t="inlineStr">
        <is>
          <t>—</t>
        </is>
      </c>
      <c r="E35" s="65" t="n">
        <v>30</v>
      </c>
      <c r="F35" s="66">
        <f>E35+1</f>
        <v/>
      </c>
      <c r="G35" s="65">
        <f>INDEX('个人技术总览'!$E$5:$E$46,MATCH($A35,'个人技术总览'!$A$5:$A$46,0))</f>
        <v/>
      </c>
      <c r="H35" s="59">
        <f>INDEX('个人技术总览'!$F$5:$F$46,MATCH($A35,'个人技术总览'!$A$5:$A$46,0))</f>
        <v/>
      </c>
      <c r="I35" s="60">
        <f>INDEX('个人技术总览'!$G$5:$G$46,MATCH($A35,'个人技术总览'!$A$5:$A$46,0))</f>
        <v/>
      </c>
      <c r="J35" s="59">
        <f>INDEX('个人技术总览'!$H$5:$H$46,MATCH($A35,'个人技术总览'!$A$5:$A$46,0))</f>
        <v/>
      </c>
      <c r="K35" s="60">
        <f>INDEX('个人技术总览'!$I$5:$I$46,MATCH($A35,'个人技术总览'!$A$5:$A$46,0))</f>
        <v/>
      </c>
      <c r="L35" s="67">
        <f>H35+V35+IF(E35=G35-1,MAX(0,P35-H35*G35-SUMIFS($V$5:$V$589,$A$5:$A$589,$A35)),0)</f>
        <v/>
      </c>
      <c r="M35" s="61">
        <f>MAX(1,ROUNDDOWN($L35/'参数与公式'!$B$5,0))</f>
        <v/>
      </c>
      <c r="N35" s="67">
        <f>J35+Y35+IF(E35=G35-1,MAX(0,R35-J35*G35-SUMIFS($Y$5:$Y$589,$A$5:$A$589,$A35)),0)</f>
        <v/>
      </c>
      <c r="O35" s="18" t="inlineStr">
        <is>
          <t>data/technology_templates.yaml; upgrade_*_budget / *_curve; code: technology_rules.allocate_upgrade_budget</t>
        </is>
      </c>
      <c r="P35" s="67">
        <f>INDEX('个人技术总览'!$O$5:$O$46,MATCH($A35,'个人技术总览'!$A$5:$A$46,0))</f>
        <v/>
      </c>
      <c r="Q35" s="64">
        <f>INDEX('个人技术总览'!$P$5:$P$46,MATCH($A35,'个人技术总览'!$A$5:$A$46,0))</f>
        <v/>
      </c>
      <c r="R35" s="67">
        <f>INDEX('个人技术总览'!$Q$5:$Q$46,MATCH($A35,'个人技术总览'!$A$5:$A$46,0))</f>
        <v/>
      </c>
      <c r="S35" s="64">
        <f>INDEX('个人技术总览'!$R$5:$R$46,MATCH($A35,'个人技术总览'!$A$5:$A$46,0))</f>
        <v/>
      </c>
      <c r="T35" s="68">
        <f>POWER($Q35,$E35)</f>
        <v/>
      </c>
      <c r="U35" s="68">
        <f>SUMIFS($T$5:$T$589,$A$5:$A$589,$A35)</f>
        <v/>
      </c>
      <c r="V35" s="67">
        <f>ROUNDDOWN(MAX(0,$P35-$H35*$G35)*$T35/MAX(1,$U35),0)</f>
        <v/>
      </c>
      <c r="W35" s="68">
        <f>POWER($S35,$E35)</f>
        <v/>
      </c>
      <c r="X35" s="68">
        <f>SUMIFS($W$5:$W$589,$A$5:$A$589,$A35)</f>
        <v/>
      </c>
      <c r="Y35" s="67">
        <f>ROUNDDOWN(MAX(0,$R35-$J35*$G35)*$W35/MAX(1,$X35),0)</f>
        <v/>
      </c>
    </row>
    <row r="36">
      <c r="A36" s="17" t="inlineStr">
        <is>
          <t>scout_art</t>
        </is>
      </c>
      <c r="B36" s="18" t="inlineStr">
        <is>
          <t>侦查术</t>
        </is>
      </c>
      <c r="C36" s="18" t="inlineStr">
        <is>
          <t>基本技术</t>
        </is>
      </c>
      <c r="D36" s="18" t="inlineStr">
        <is>
          <t>—</t>
        </is>
      </c>
      <c r="E36" s="65" t="n">
        <v>31</v>
      </c>
      <c r="F36" s="66">
        <f>E36+1</f>
        <v/>
      </c>
      <c r="G36" s="65">
        <f>INDEX('个人技术总览'!$E$5:$E$46,MATCH($A36,'个人技术总览'!$A$5:$A$46,0))</f>
        <v/>
      </c>
      <c r="H36" s="59">
        <f>INDEX('个人技术总览'!$F$5:$F$46,MATCH($A36,'个人技术总览'!$A$5:$A$46,0))</f>
        <v/>
      </c>
      <c r="I36" s="60">
        <f>INDEX('个人技术总览'!$G$5:$G$46,MATCH($A36,'个人技术总览'!$A$5:$A$46,0))</f>
        <v/>
      </c>
      <c r="J36" s="59">
        <f>INDEX('个人技术总览'!$H$5:$H$46,MATCH($A36,'个人技术总览'!$A$5:$A$46,0))</f>
        <v/>
      </c>
      <c r="K36" s="60">
        <f>INDEX('个人技术总览'!$I$5:$I$46,MATCH($A36,'个人技术总览'!$A$5:$A$46,0))</f>
        <v/>
      </c>
      <c r="L36" s="67">
        <f>H36+V36+IF(E36=G36-1,MAX(0,P36-H36*G36-SUMIFS($V$5:$V$589,$A$5:$A$589,$A36)),0)</f>
        <v/>
      </c>
      <c r="M36" s="61">
        <f>MAX(1,ROUNDDOWN($L36/'参数与公式'!$B$5,0))</f>
        <v/>
      </c>
      <c r="N36" s="67">
        <f>J36+Y36+IF(E36=G36-1,MAX(0,R36-J36*G36-SUMIFS($Y$5:$Y$589,$A$5:$A$589,$A36)),0)</f>
        <v/>
      </c>
      <c r="O36" s="18" t="inlineStr">
        <is>
          <t>data/technology_templates.yaml; upgrade_*_budget / *_curve; code: technology_rules.allocate_upgrade_budget</t>
        </is>
      </c>
      <c r="P36" s="67">
        <f>INDEX('个人技术总览'!$O$5:$O$46,MATCH($A36,'个人技术总览'!$A$5:$A$46,0))</f>
        <v/>
      </c>
      <c r="Q36" s="64">
        <f>INDEX('个人技术总览'!$P$5:$P$46,MATCH($A36,'个人技术总览'!$A$5:$A$46,0))</f>
        <v/>
      </c>
      <c r="R36" s="67">
        <f>INDEX('个人技术总览'!$Q$5:$Q$46,MATCH($A36,'个人技术总览'!$A$5:$A$46,0))</f>
        <v/>
      </c>
      <c r="S36" s="64">
        <f>INDEX('个人技术总览'!$R$5:$R$46,MATCH($A36,'个人技术总览'!$A$5:$A$46,0))</f>
        <v/>
      </c>
      <c r="T36" s="68">
        <f>POWER($Q36,$E36)</f>
        <v/>
      </c>
      <c r="U36" s="68">
        <f>SUMIFS($T$5:$T$589,$A$5:$A$589,$A36)</f>
        <v/>
      </c>
      <c r="V36" s="67">
        <f>ROUNDDOWN(MAX(0,$P36-$H36*$G36)*$T36/MAX(1,$U36),0)</f>
        <v/>
      </c>
      <c r="W36" s="68">
        <f>POWER($S36,$E36)</f>
        <v/>
      </c>
      <c r="X36" s="68">
        <f>SUMIFS($W$5:$W$589,$A$5:$A$589,$A36)</f>
        <v/>
      </c>
      <c r="Y36" s="67">
        <f>ROUNDDOWN(MAX(0,$R36-$J36*$G36)*$W36/MAX(1,$X36),0)</f>
        <v/>
      </c>
    </row>
    <row r="37">
      <c r="A37" s="17" t="inlineStr">
        <is>
          <t>scout_art</t>
        </is>
      </c>
      <c r="B37" s="18" t="inlineStr">
        <is>
          <t>侦查术</t>
        </is>
      </c>
      <c r="C37" s="18" t="inlineStr">
        <is>
          <t>基本技术</t>
        </is>
      </c>
      <c r="D37" s="18" t="inlineStr">
        <is>
          <t>—</t>
        </is>
      </c>
      <c r="E37" s="65" t="n">
        <v>32</v>
      </c>
      <c r="F37" s="66">
        <f>E37+1</f>
        <v/>
      </c>
      <c r="G37" s="65">
        <f>INDEX('个人技术总览'!$E$5:$E$46,MATCH($A37,'个人技术总览'!$A$5:$A$46,0))</f>
        <v/>
      </c>
      <c r="H37" s="59">
        <f>INDEX('个人技术总览'!$F$5:$F$46,MATCH($A37,'个人技术总览'!$A$5:$A$46,0))</f>
        <v/>
      </c>
      <c r="I37" s="60">
        <f>INDEX('个人技术总览'!$G$5:$G$46,MATCH($A37,'个人技术总览'!$A$5:$A$46,0))</f>
        <v/>
      </c>
      <c r="J37" s="59">
        <f>INDEX('个人技术总览'!$H$5:$H$46,MATCH($A37,'个人技术总览'!$A$5:$A$46,0))</f>
        <v/>
      </c>
      <c r="K37" s="60">
        <f>INDEX('个人技术总览'!$I$5:$I$46,MATCH($A37,'个人技术总览'!$A$5:$A$46,0))</f>
        <v/>
      </c>
      <c r="L37" s="67">
        <f>H37+V37+IF(E37=G37-1,MAX(0,P37-H37*G37-SUMIFS($V$5:$V$589,$A$5:$A$589,$A37)),0)</f>
        <v/>
      </c>
      <c r="M37" s="61">
        <f>MAX(1,ROUNDDOWN($L37/'参数与公式'!$B$5,0))</f>
        <v/>
      </c>
      <c r="N37" s="67">
        <f>J37+Y37+IF(E37=G37-1,MAX(0,R37-J37*G37-SUMIFS($Y$5:$Y$589,$A$5:$A$589,$A37)),0)</f>
        <v/>
      </c>
      <c r="O37" s="18" t="inlineStr">
        <is>
          <t>data/technology_templates.yaml; upgrade_*_budget / *_curve; code: technology_rules.allocate_upgrade_budget</t>
        </is>
      </c>
      <c r="P37" s="67">
        <f>INDEX('个人技术总览'!$O$5:$O$46,MATCH($A37,'个人技术总览'!$A$5:$A$46,0))</f>
        <v/>
      </c>
      <c r="Q37" s="64">
        <f>INDEX('个人技术总览'!$P$5:$P$46,MATCH($A37,'个人技术总览'!$A$5:$A$46,0))</f>
        <v/>
      </c>
      <c r="R37" s="67">
        <f>INDEX('个人技术总览'!$Q$5:$Q$46,MATCH($A37,'个人技术总览'!$A$5:$A$46,0))</f>
        <v/>
      </c>
      <c r="S37" s="64">
        <f>INDEX('个人技术总览'!$R$5:$R$46,MATCH($A37,'个人技术总览'!$A$5:$A$46,0))</f>
        <v/>
      </c>
      <c r="T37" s="68">
        <f>POWER($Q37,$E37)</f>
        <v/>
      </c>
      <c r="U37" s="68">
        <f>SUMIFS($T$5:$T$589,$A$5:$A$589,$A37)</f>
        <v/>
      </c>
      <c r="V37" s="67">
        <f>ROUNDDOWN(MAX(0,$P37-$H37*$G37)*$T37/MAX(1,$U37),0)</f>
        <v/>
      </c>
      <c r="W37" s="68">
        <f>POWER($S37,$E37)</f>
        <v/>
      </c>
      <c r="X37" s="68">
        <f>SUMIFS($W$5:$W$589,$A$5:$A$589,$A37)</f>
        <v/>
      </c>
      <c r="Y37" s="67">
        <f>ROUNDDOWN(MAX(0,$R37-$J37*$G37)*$W37/MAX(1,$X37),0)</f>
        <v/>
      </c>
    </row>
    <row r="38">
      <c r="A38" s="17" t="inlineStr">
        <is>
          <t>scout_art</t>
        </is>
      </c>
      <c r="B38" s="18" t="inlineStr">
        <is>
          <t>侦查术</t>
        </is>
      </c>
      <c r="C38" s="18" t="inlineStr">
        <is>
          <t>基本技术</t>
        </is>
      </c>
      <c r="D38" s="18" t="inlineStr">
        <is>
          <t>—</t>
        </is>
      </c>
      <c r="E38" s="65" t="n">
        <v>33</v>
      </c>
      <c r="F38" s="66">
        <f>E38+1</f>
        <v/>
      </c>
      <c r="G38" s="65">
        <f>INDEX('个人技术总览'!$E$5:$E$46,MATCH($A38,'个人技术总览'!$A$5:$A$46,0))</f>
        <v/>
      </c>
      <c r="H38" s="59">
        <f>INDEX('个人技术总览'!$F$5:$F$46,MATCH($A38,'个人技术总览'!$A$5:$A$46,0))</f>
        <v/>
      </c>
      <c r="I38" s="60">
        <f>INDEX('个人技术总览'!$G$5:$G$46,MATCH($A38,'个人技术总览'!$A$5:$A$46,0))</f>
        <v/>
      </c>
      <c r="J38" s="59">
        <f>INDEX('个人技术总览'!$H$5:$H$46,MATCH($A38,'个人技术总览'!$A$5:$A$46,0))</f>
        <v/>
      </c>
      <c r="K38" s="60">
        <f>INDEX('个人技术总览'!$I$5:$I$46,MATCH($A38,'个人技术总览'!$A$5:$A$46,0))</f>
        <v/>
      </c>
      <c r="L38" s="67">
        <f>H38+V38+IF(E38=G38-1,MAX(0,P38-H38*G38-SUMIFS($V$5:$V$589,$A$5:$A$589,$A38)),0)</f>
        <v/>
      </c>
      <c r="M38" s="61">
        <f>MAX(1,ROUNDDOWN($L38/'参数与公式'!$B$5,0))</f>
        <v/>
      </c>
      <c r="N38" s="67">
        <f>J38+Y38+IF(E38=G38-1,MAX(0,R38-J38*G38-SUMIFS($Y$5:$Y$589,$A$5:$A$589,$A38)),0)</f>
        <v/>
      </c>
      <c r="O38" s="18" t="inlineStr">
        <is>
          <t>data/technology_templates.yaml; upgrade_*_budget / *_curve; code: technology_rules.allocate_upgrade_budget</t>
        </is>
      </c>
      <c r="P38" s="67">
        <f>INDEX('个人技术总览'!$O$5:$O$46,MATCH($A38,'个人技术总览'!$A$5:$A$46,0))</f>
        <v/>
      </c>
      <c r="Q38" s="64">
        <f>INDEX('个人技术总览'!$P$5:$P$46,MATCH($A38,'个人技术总览'!$A$5:$A$46,0))</f>
        <v/>
      </c>
      <c r="R38" s="67">
        <f>INDEX('个人技术总览'!$Q$5:$Q$46,MATCH($A38,'个人技术总览'!$A$5:$A$46,0))</f>
        <v/>
      </c>
      <c r="S38" s="64">
        <f>INDEX('个人技术总览'!$R$5:$R$46,MATCH($A38,'个人技术总览'!$A$5:$A$46,0))</f>
        <v/>
      </c>
      <c r="T38" s="68">
        <f>POWER($Q38,$E38)</f>
        <v/>
      </c>
      <c r="U38" s="68">
        <f>SUMIFS($T$5:$T$589,$A$5:$A$589,$A38)</f>
        <v/>
      </c>
      <c r="V38" s="67">
        <f>ROUNDDOWN(MAX(0,$P38-$H38*$G38)*$T38/MAX(1,$U38),0)</f>
        <v/>
      </c>
      <c r="W38" s="68">
        <f>POWER($S38,$E38)</f>
        <v/>
      </c>
      <c r="X38" s="68">
        <f>SUMIFS($W$5:$W$589,$A$5:$A$589,$A38)</f>
        <v/>
      </c>
      <c r="Y38" s="67">
        <f>ROUNDDOWN(MAX(0,$R38-$J38*$G38)*$W38/MAX(1,$X38),0)</f>
        <v/>
      </c>
    </row>
    <row r="39">
      <c r="A39" s="17" t="inlineStr">
        <is>
          <t>scout_art</t>
        </is>
      </c>
      <c r="B39" s="18" t="inlineStr">
        <is>
          <t>侦查术</t>
        </is>
      </c>
      <c r="C39" s="18" t="inlineStr">
        <is>
          <t>基本技术</t>
        </is>
      </c>
      <c r="D39" s="18" t="inlineStr">
        <is>
          <t>—</t>
        </is>
      </c>
      <c r="E39" s="65" t="n">
        <v>34</v>
      </c>
      <c r="F39" s="66">
        <f>E39+1</f>
        <v/>
      </c>
      <c r="G39" s="65">
        <f>INDEX('个人技术总览'!$E$5:$E$46,MATCH($A39,'个人技术总览'!$A$5:$A$46,0))</f>
        <v/>
      </c>
      <c r="H39" s="59">
        <f>INDEX('个人技术总览'!$F$5:$F$46,MATCH($A39,'个人技术总览'!$A$5:$A$46,0))</f>
        <v/>
      </c>
      <c r="I39" s="60">
        <f>INDEX('个人技术总览'!$G$5:$G$46,MATCH($A39,'个人技术总览'!$A$5:$A$46,0))</f>
        <v/>
      </c>
      <c r="J39" s="59">
        <f>INDEX('个人技术总览'!$H$5:$H$46,MATCH($A39,'个人技术总览'!$A$5:$A$46,0))</f>
        <v/>
      </c>
      <c r="K39" s="60">
        <f>INDEX('个人技术总览'!$I$5:$I$46,MATCH($A39,'个人技术总览'!$A$5:$A$46,0))</f>
        <v/>
      </c>
      <c r="L39" s="67">
        <f>H39+V39+IF(E39=G39-1,MAX(0,P39-H39*G39-SUMIFS($V$5:$V$589,$A$5:$A$589,$A39)),0)</f>
        <v/>
      </c>
      <c r="M39" s="61">
        <f>MAX(1,ROUNDDOWN($L39/'参数与公式'!$B$5,0))</f>
        <v/>
      </c>
      <c r="N39" s="67">
        <f>J39+Y39+IF(E39=G39-1,MAX(0,R39-J39*G39-SUMIFS($Y$5:$Y$589,$A$5:$A$589,$A39)),0)</f>
        <v/>
      </c>
      <c r="O39" s="18" t="inlineStr">
        <is>
          <t>data/technology_templates.yaml; upgrade_*_budget / *_curve; code: technology_rules.allocate_upgrade_budget</t>
        </is>
      </c>
      <c r="P39" s="67">
        <f>INDEX('个人技术总览'!$O$5:$O$46,MATCH($A39,'个人技术总览'!$A$5:$A$46,0))</f>
        <v/>
      </c>
      <c r="Q39" s="64">
        <f>INDEX('个人技术总览'!$P$5:$P$46,MATCH($A39,'个人技术总览'!$A$5:$A$46,0))</f>
        <v/>
      </c>
      <c r="R39" s="67">
        <f>INDEX('个人技术总览'!$Q$5:$Q$46,MATCH($A39,'个人技术总览'!$A$5:$A$46,0))</f>
        <v/>
      </c>
      <c r="S39" s="64">
        <f>INDEX('个人技术总览'!$R$5:$R$46,MATCH($A39,'个人技术总览'!$A$5:$A$46,0))</f>
        <v/>
      </c>
      <c r="T39" s="68">
        <f>POWER($Q39,$E39)</f>
        <v/>
      </c>
      <c r="U39" s="68">
        <f>SUMIFS($T$5:$T$589,$A$5:$A$589,$A39)</f>
        <v/>
      </c>
      <c r="V39" s="67">
        <f>ROUNDDOWN(MAX(0,$P39-$H39*$G39)*$T39/MAX(1,$U39),0)</f>
        <v/>
      </c>
      <c r="W39" s="68">
        <f>POWER($S39,$E39)</f>
        <v/>
      </c>
      <c r="X39" s="68">
        <f>SUMIFS($W$5:$W$589,$A$5:$A$589,$A39)</f>
        <v/>
      </c>
      <c r="Y39" s="67">
        <f>ROUNDDOWN(MAX(0,$R39-$J39*$G39)*$W39/MAX(1,$X39),0)</f>
        <v/>
      </c>
    </row>
    <row r="40">
      <c r="A40" s="17" t="inlineStr">
        <is>
          <t>scout_art</t>
        </is>
      </c>
      <c r="B40" s="18" t="inlineStr">
        <is>
          <t>侦查术</t>
        </is>
      </c>
      <c r="C40" s="18" t="inlineStr">
        <is>
          <t>基本技术</t>
        </is>
      </c>
      <c r="D40" s="18" t="inlineStr">
        <is>
          <t>—</t>
        </is>
      </c>
      <c r="E40" s="65" t="n">
        <v>35</v>
      </c>
      <c r="F40" s="66">
        <f>E40+1</f>
        <v/>
      </c>
      <c r="G40" s="65">
        <f>INDEX('个人技术总览'!$E$5:$E$46,MATCH($A40,'个人技术总览'!$A$5:$A$46,0))</f>
        <v/>
      </c>
      <c r="H40" s="59">
        <f>INDEX('个人技术总览'!$F$5:$F$46,MATCH($A40,'个人技术总览'!$A$5:$A$46,0))</f>
        <v/>
      </c>
      <c r="I40" s="60">
        <f>INDEX('个人技术总览'!$G$5:$G$46,MATCH($A40,'个人技术总览'!$A$5:$A$46,0))</f>
        <v/>
      </c>
      <c r="J40" s="59">
        <f>INDEX('个人技术总览'!$H$5:$H$46,MATCH($A40,'个人技术总览'!$A$5:$A$46,0))</f>
        <v/>
      </c>
      <c r="K40" s="60">
        <f>INDEX('个人技术总览'!$I$5:$I$46,MATCH($A40,'个人技术总览'!$A$5:$A$46,0))</f>
        <v/>
      </c>
      <c r="L40" s="67">
        <f>H40+V40+IF(E40=G40-1,MAX(0,P40-H40*G40-SUMIFS($V$5:$V$589,$A$5:$A$589,$A40)),0)</f>
        <v/>
      </c>
      <c r="M40" s="61">
        <f>MAX(1,ROUNDDOWN($L40/'参数与公式'!$B$5,0))</f>
        <v/>
      </c>
      <c r="N40" s="67">
        <f>J40+Y40+IF(E40=G40-1,MAX(0,R40-J40*G40-SUMIFS($Y$5:$Y$589,$A$5:$A$589,$A40)),0)</f>
        <v/>
      </c>
      <c r="O40" s="18" t="inlineStr">
        <is>
          <t>data/technology_templates.yaml; upgrade_*_budget / *_curve; code: technology_rules.allocate_upgrade_budget</t>
        </is>
      </c>
      <c r="P40" s="67">
        <f>INDEX('个人技术总览'!$O$5:$O$46,MATCH($A40,'个人技术总览'!$A$5:$A$46,0))</f>
        <v/>
      </c>
      <c r="Q40" s="64">
        <f>INDEX('个人技术总览'!$P$5:$P$46,MATCH($A40,'个人技术总览'!$A$5:$A$46,0))</f>
        <v/>
      </c>
      <c r="R40" s="67">
        <f>INDEX('个人技术总览'!$Q$5:$Q$46,MATCH($A40,'个人技术总览'!$A$5:$A$46,0))</f>
        <v/>
      </c>
      <c r="S40" s="64">
        <f>INDEX('个人技术总览'!$R$5:$R$46,MATCH($A40,'个人技术总览'!$A$5:$A$46,0))</f>
        <v/>
      </c>
      <c r="T40" s="68">
        <f>POWER($Q40,$E40)</f>
        <v/>
      </c>
      <c r="U40" s="68">
        <f>SUMIFS($T$5:$T$589,$A$5:$A$589,$A40)</f>
        <v/>
      </c>
      <c r="V40" s="67">
        <f>ROUNDDOWN(MAX(0,$P40-$H40*$G40)*$T40/MAX(1,$U40),0)</f>
        <v/>
      </c>
      <c r="W40" s="68">
        <f>POWER($S40,$E40)</f>
        <v/>
      </c>
      <c r="X40" s="68">
        <f>SUMIFS($W$5:$W$589,$A$5:$A$589,$A40)</f>
        <v/>
      </c>
      <c r="Y40" s="67">
        <f>ROUNDDOWN(MAX(0,$R40-$J40*$G40)*$W40/MAX(1,$X40),0)</f>
        <v/>
      </c>
    </row>
    <row r="41">
      <c r="A41" s="17" t="inlineStr">
        <is>
          <t>scout_art</t>
        </is>
      </c>
      <c r="B41" s="18" t="inlineStr">
        <is>
          <t>侦查术</t>
        </is>
      </c>
      <c r="C41" s="18" t="inlineStr">
        <is>
          <t>基本技术</t>
        </is>
      </c>
      <c r="D41" s="18" t="inlineStr">
        <is>
          <t>—</t>
        </is>
      </c>
      <c r="E41" s="65" t="n">
        <v>36</v>
      </c>
      <c r="F41" s="66">
        <f>E41+1</f>
        <v/>
      </c>
      <c r="G41" s="65">
        <f>INDEX('个人技术总览'!$E$5:$E$46,MATCH($A41,'个人技术总览'!$A$5:$A$46,0))</f>
        <v/>
      </c>
      <c r="H41" s="59">
        <f>INDEX('个人技术总览'!$F$5:$F$46,MATCH($A41,'个人技术总览'!$A$5:$A$46,0))</f>
        <v/>
      </c>
      <c r="I41" s="60">
        <f>INDEX('个人技术总览'!$G$5:$G$46,MATCH($A41,'个人技术总览'!$A$5:$A$46,0))</f>
        <v/>
      </c>
      <c r="J41" s="59">
        <f>INDEX('个人技术总览'!$H$5:$H$46,MATCH($A41,'个人技术总览'!$A$5:$A$46,0))</f>
        <v/>
      </c>
      <c r="K41" s="60">
        <f>INDEX('个人技术总览'!$I$5:$I$46,MATCH($A41,'个人技术总览'!$A$5:$A$46,0))</f>
        <v/>
      </c>
      <c r="L41" s="67">
        <f>H41+V41+IF(E41=G41-1,MAX(0,P41-H41*G41-SUMIFS($V$5:$V$589,$A$5:$A$589,$A41)),0)</f>
        <v/>
      </c>
      <c r="M41" s="61">
        <f>MAX(1,ROUNDDOWN($L41/'参数与公式'!$B$5,0))</f>
        <v/>
      </c>
      <c r="N41" s="67">
        <f>J41+Y41+IF(E41=G41-1,MAX(0,R41-J41*G41-SUMIFS($Y$5:$Y$589,$A$5:$A$589,$A41)),0)</f>
        <v/>
      </c>
      <c r="O41" s="18" t="inlineStr">
        <is>
          <t>data/technology_templates.yaml; upgrade_*_budget / *_curve; code: technology_rules.allocate_upgrade_budget</t>
        </is>
      </c>
      <c r="P41" s="67">
        <f>INDEX('个人技术总览'!$O$5:$O$46,MATCH($A41,'个人技术总览'!$A$5:$A$46,0))</f>
        <v/>
      </c>
      <c r="Q41" s="64">
        <f>INDEX('个人技术总览'!$P$5:$P$46,MATCH($A41,'个人技术总览'!$A$5:$A$46,0))</f>
        <v/>
      </c>
      <c r="R41" s="67">
        <f>INDEX('个人技术总览'!$Q$5:$Q$46,MATCH($A41,'个人技术总览'!$A$5:$A$46,0))</f>
        <v/>
      </c>
      <c r="S41" s="64">
        <f>INDEX('个人技术总览'!$R$5:$R$46,MATCH($A41,'个人技术总览'!$A$5:$A$46,0))</f>
        <v/>
      </c>
      <c r="T41" s="68">
        <f>POWER($Q41,$E41)</f>
        <v/>
      </c>
      <c r="U41" s="68">
        <f>SUMIFS($T$5:$T$589,$A$5:$A$589,$A41)</f>
        <v/>
      </c>
      <c r="V41" s="67">
        <f>ROUNDDOWN(MAX(0,$P41-$H41*$G41)*$T41/MAX(1,$U41),0)</f>
        <v/>
      </c>
      <c r="W41" s="68">
        <f>POWER($S41,$E41)</f>
        <v/>
      </c>
      <c r="X41" s="68">
        <f>SUMIFS($W$5:$W$589,$A$5:$A$589,$A41)</f>
        <v/>
      </c>
      <c r="Y41" s="67">
        <f>ROUNDDOWN(MAX(0,$R41-$J41*$G41)*$W41/MAX(1,$X41),0)</f>
        <v/>
      </c>
    </row>
    <row r="42">
      <c r="A42" s="17" t="inlineStr">
        <is>
          <t>scout_art</t>
        </is>
      </c>
      <c r="B42" s="18" t="inlineStr">
        <is>
          <t>侦查术</t>
        </is>
      </c>
      <c r="C42" s="18" t="inlineStr">
        <is>
          <t>基本技术</t>
        </is>
      </c>
      <c r="D42" s="18" t="inlineStr">
        <is>
          <t>—</t>
        </is>
      </c>
      <c r="E42" s="65" t="n">
        <v>37</v>
      </c>
      <c r="F42" s="66">
        <f>E42+1</f>
        <v/>
      </c>
      <c r="G42" s="65">
        <f>INDEX('个人技术总览'!$E$5:$E$46,MATCH($A42,'个人技术总览'!$A$5:$A$46,0))</f>
        <v/>
      </c>
      <c r="H42" s="59">
        <f>INDEX('个人技术总览'!$F$5:$F$46,MATCH($A42,'个人技术总览'!$A$5:$A$46,0))</f>
        <v/>
      </c>
      <c r="I42" s="60">
        <f>INDEX('个人技术总览'!$G$5:$G$46,MATCH($A42,'个人技术总览'!$A$5:$A$46,0))</f>
        <v/>
      </c>
      <c r="J42" s="59">
        <f>INDEX('个人技术总览'!$H$5:$H$46,MATCH($A42,'个人技术总览'!$A$5:$A$46,0))</f>
        <v/>
      </c>
      <c r="K42" s="60">
        <f>INDEX('个人技术总览'!$I$5:$I$46,MATCH($A42,'个人技术总览'!$A$5:$A$46,0))</f>
        <v/>
      </c>
      <c r="L42" s="67">
        <f>H42+V42+IF(E42=G42-1,MAX(0,P42-H42*G42-SUMIFS($V$5:$V$589,$A$5:$A$589,$A42)),0)</f>
        <v/>
      </c>
      <c r="M42" s="61">
        <f>MAX(1,ROUNDDOWN($L42/'参数与公式'!$B$5,0))</f>
        <v/>
      </c>
      <c r="N42" s="67">
        <f>J42+Y42+IF(E42=G42-1,MAX(0,R42-J42*G42-SUMIFS($Y$5:$Y$589,$A$5:$A$589,$A42)),0)</f>
        <v/>
      </c>
      <c r="O42" s="18" t="inlineStr">
        <is>
          <t>data/technology_templates.yaml; upgrade_*_budget / *_curve; code: technology_rules.allocate_upgrade_budget</t>
        </is>
      </c>
      <c r="P42" s="67">
        <f>INDEX('个人技术总览'!$O$5:$O$46,MATCH($A42,'个人技术总览'!$A$5:$A$46,0))</f>
        <v/>
      </c>
      <c r="Q42" s="64">
        <f>INDEX('个人技术总览'!$P$5:$P$46,MATCH($A42,'个人技术总览'!$A$5:$A$46,0))</f>
        <v/>
      </c>
      <c r="R42" s="67">
        <f>INDEX('个人技术总览'!$Q$5:$Q$46,MATCH($A42,'个人技术总览'!$A$5:$A$46,0))</f>
        <v/>
      </c>
      <c r="S42" s="64">
        <f>INDEX('个人技术总览'!$R$5:$R$46,MATCH($A42,'个人技术总览'!$A$5:$A$46,0))</f>
        <v/>
      </c>
      <c r="T42" s="68">
        <f>POWER($Q42,$E42)</f>
        <v/>
      </c>
      <c r="U42" s="68">
        <f>SUMIFS($T$5:$T$589,$A$5:$A$589,$A42)</f>
        <v/>
      </c>
      <c r="V42" s="67">
        <f>ROUNDDOWN(MAX(0,$P42-$H42*$G42)*$T42/MAX(1,$U42),0)</f>
        <v/>
      </c>
      <c r="W42" s="68">
        <f>POWER($S42,$E42)</f>
        <v/>
      </c>
      <c r="X42" s="68">
        <f>SUMIFS($W$5:$W$589,$A$5:$A$589,$A42)</f>
        <v/>
      </c>
      <c r="Y42" s="67">
        <f>ROUNDDOWN(MAX(0,$R42-$J42*$G42)*$W42/MAX(1,$X42),0)</f>
        <v/>
      </c>
    </row>
    <row r="43">
      <c r="A43" s="17" t="inlineStr">
        <is>
          <t>scout_art</t>
        </is>
      </c>
      <c r="B43" s="18" t="inlineStr">
        <is>
          <t>侦查术</t>
        </is>
      </c>
      <c r="C43" s="18" t="inlineStr">
        <is>
          <t>基本技术</t>
        </is>
      </c>
      <c r="D43" s="18" t="inlineStr">
        <is>
          <t>—</t>
        </is>
      </c>
      <c r="E43" s="65" t="n">
        <v>38</v>
      </c>
      <c r="F43" s="66">
        <f>E43+1</f>
        <v/>
      </c>
      <c r="G43" s="65">
        <f>INDEX('个人技术总览'!$E$5:$E$46,MATCH($A43,'个人技术总览'!$A$5:$A$46,0))</f>
        <v/>
      </c>
      <c r="H43" s="59">
        <f>INDEX('个人技术总览'!$F$5:$F$46,MATCH($A43,'个人技术总览'!$A$5:$A$46,0))</f>
        <v/>
      </c>
      <c r="I43" s="60">
        <f>INDEX('个人技术总览'!$G$5:$G$46,MATCH($A43,'个人技术总览'!$A$5:$A$46,0))</f>
        <v/>
      </c>
      <c r="J43" s="59">
        <f>INDEX('个人技术总览'!$H$5:$H$46,MATCH($A43,'个人技术总览'!$A$5:$A$46,0))</f>
        <v/>
      </c>
      <c r="K43" s="60">
        <f>INDEX('个人技术总览'!$I$5:$I$46,MATCH($A43,'个人技术总览'!$A$5:$A$46,0))</f>
        <v/>
      </c>
      <c r="L43" s="67">
        <f>H43+V43+IF(E43=G43-1,MAX(0,P43-H43*G43-SUMIFS($V$5:$V$589,$A$5:$A$589,$A43)),0)</f>
        <v/>
      </c>
      <c r="M43" s="61">
        <f>MAX(1,ROUNDDOWN($L43/'参数与公式'!$B$5,0))</f>
        <v/>
      </c>
      <c r="N43" s="67">
        <f>J43+Y43+IF(E43=G43-1,MAX(0,R43-J43*G43-SUMIFS($Y$5:$Y$589,$A$5:$A$589,$A43)),0)</f>
        <v/>
      </c>
      <c r="O43" s="18" t="inlineStr">
        <is>
          <t>data/technology_templates.yaml; upgrade_*_budget / *_curve; code: technology_rules.allocate_upgrade_budget</t>
        </is>
      </c>
      <c r="P43" s="67">
        <f>INDEX('个人技术总览'!$O$5:$O$46,MATCH($A43,'个人技术总览'!$A$5:$A$46,0))</f>
        <v/>
      </c>
      <c r="Q43" s="64">
        <f>INDEX('个人技术总览'!$P$5:$P$46,MATCH($A43,'个人技术总览'!$A$5:$A$46,0))</f>
        <v/>
      </c>
      <c r="R43" s="67">
        <f>INDEX('个人技术总览'!$Q$5:$Q$46,MATCH($A43,'个人技术总览'!$A$5:$A$46,0))</f>
        <v/>
      </c>
      <c r="S43" s="64">
        <f>INDEX('个人技术总览'!$R$5:$R$46,MATCH($A43,'个人技术总览'!$A$5:$A$46,0))</f>
        <v/>
      </c>
      <c r="T43" s="68">
        <f>POWER($Q43,$E43)</f>
        <v/>
      </c>
      <c r="U43" s="68">
        <f>SUMIFS($T$5:$T$589,$A$5:$A$589,$A43)</f>
        <v/>
      </c>
      <c r="V43" s="67">
        <f>ROUNDDOWN(MAX(0,$P43-$H43*$G43)*$T43/MAX(1,$U43),0)</f>
        <v/>
      </c>
      <c r="W43" s="68">
        <f>POWER($S43,$E43)</f>
        <v/>
      </c>
      <c r="X43" s="68">
        <f>SUMIFS($W$5:$W$589,$A$5:$A$589,$A43)</f>
        <v/>
      </c>
      <c r="Y43" s="67">
        <f>ROUNDDOWN(MAX(0,$R43-$J43*$G43)*$W43/MAX(1,$X43),0)</f>
        <v/>
      </c>
    </row>
    <row r="44">
      <c r="A44" s="17" t="inlineStr">
        <is>
          <t>scout_art</t>
        </is>
      </c>
      <c r="B44" s="18" t="inlineStr">
        <is>
          <t>侦查术</t>
        </is>
      </c>
      <c r="C44" s="18" t="inlineStr">
        <is>
          <t>基本技术</t>
        </is>
      </c>
      <c r="D44" s="18" t="inlineStr">
        <is>
          <t>—</t>
        </is>
      </c>
      <c r="E44" s="65" t="n">
        <v>39</v>
      </c>
      <c r="F44" s="66">
        <f>E44+1</f>
        <v/>
      </c>
      <c r="G44" s="65">
        <f>INDEX('个人技术总览'!$E$5:$E$46,MATCH($A44,'个人技术总览'!$A$5:$A$46,0))</f>
        <v/>
      </c>
      <c r="H44" s="59">
        <f>INDEX('个人技术总览'!$F$5:$F$46,MATCH($A44,'个人技术总览'!$A$5:$A$46,0))</f>
        <v/>
      </c>
      <c r="I44" s="60">
        <f>INDEX('个人技术总览'!$G$5:$G$46,MATCH($A44,'个人技术总览'!$A$5:$A$46,0))</f>
        <v/>
      </c>
      <c r="J44" s="59">
        <f>INDEX('个人技术总览'!$H$5:$H$46,MATCH($A44,'个人技术总览'!$A$5:$A$46,0))</f>
        <v/>
      </c>
      <c r="K44" s="60">
        <f>INDEX('个人技术总览'!$I$5:$I$46,MATCH($A44,'个人技术总览'!$A$5:$A$46,0))</f>
        <v/>
      </c>
      <c r="L44" s="67">
        <f>H44+V44+IF(E44=G44-1,MAX(0,P44-H44*G44-SUMIFS($V$5:$V$589,$A$5:$A$589,$A44)),0)</f>
        <v/>
      </c>
      <c r="M44" s="61">
        <f>MAX(1,ROUNDDOWN($L44/'参数与公式'!$B$5,0))</f>
        <v/>
      </c>
      <c r="N44" s="67">
        <f>J44+Y44+IF(E44=G44-1,MAX(0,R44-J44*G44-SUMIFS($Y$5:$Y$589,$A$5:$A$589,$A44)),0)</f>
        <v/>
      </c>
      <c r="O44" s="18" t="inlineStr">
        <is>
          <t>data/technology_templates.yaml; upgrade_*_budget / *_curve; code: technology_rules.allocate_upgrade_budget</t>
        </is>
      </c>
      <c r="P44" s="67">
        <f>INDEX('个人技术总览'!$O$5:$O$46,MATCH($A44,'个人技术总览'!$A$5:$A$46,0))</f>
        <v/>
      </c>
      <c r="Q44" s="64">
        <f>INDEX('个人技术总览'!$P$5:$P$46,MATCH($A44,'个人技术总览'!$A$5:$A$46,0))</f>
        <v/>
      </c>
      <c r="R44" s="67">
        <f>INDEX('个人技术总览'!$Q$5:$Q$46,MATCH($A44,'个人技术总览'!$A$5:$A$46,0))</f>
        <v/>
      </c>
      <c r="S44" s="64">
        <f>INDEX('个人技术总览'!$R$5:$R$46,MATCH($A44,'个人技术总览'!$A$5:$A$46,0))</f>
        <v/>
      </c>
      <c r="T44" s="68">
        <f>POWER($Q44,$E44)</f>
        <v/>
      </c>
      <c r="U44" s="68">
        <f>SUMIFS($T$5:$T$589,$A$5:$A$589,$A44)</f>
        <v/>
      </c>
      <c r="V44" s="67">
        <f>ROUNDDOWN(MAX(0,$P44-$H44*$G44)*$T44/MAX(1,$U44),0)</f>
        <v/>
      </c>
      <c r="W44" s="68">
        <f>POWER($S44,$E44)</f>
        <v/>
      </c>
      <c r="X44" s="68">
        <f>SUMIFS($W$5:$W$589,$A$5:$A$589,$A44)</f>
        <v/>
      </c>
      <c r="Y44" s="67">
        <f>ROUNDDOWN(MAX(0,$R44-$J44*$G44)*$W44/MAX(1,$X44),0)</f>
        <v/>
      </c>
    </row>
    <row r="45">
      <c r="A45" s="17" t="inlineStr">
        <is>
          <t>scout_art</t>
        </is>
      </c>
      <c r="B45" s="18" t="inlineStr">
        <is>
          <t>侦查术</t>
        </is>
      </c>
      <c r="C45" s="18" t="inlineStr">
        <is>
          <t>基本技术</t>
        </is>
      </c>
      <c r="D45" s="18" t="inlineStr">
        <is>
          <t>—</t>
        </is>
      </c>
      <c r="E45" s="65" t="n">
        <v>40</v>
      </c>
      <c r="F45" s="66">
        <f>E45+1</f>
        <v/>
      </c>
      <c r="G45" s="65">
        <f>INDEX('个人技术总览'!$E$5:$E$46,MATCH($A45,'个人技术总览'!$A$5:$A$46,0))</f>
        <v/>
      </c>
      <c r="H45" s="59">
        <f>INDEX('个人技术总览'!$F$5:$F$46,MATCH($A45,'个人技术总览'!$A$5:$A$46,0))</f>
        <v/>
      </c>
      <c r="I45" s="60">
        <f>INDEX('个人技术总览'!$G$5:$G$46,MATCH($A45,'个人技术总览'!$A$5:$A$46,0))</f>
        <v/>
      </c>
      <c r="J45" s="59">
        <f>INDEX('个人技术总览'!$H$5:$H$46,MATCH($A45,'个人技术总览'!$A$5:$A$46,0))</f>
        <v/>
      </c>
      <c r="K45" s="60">
        <f>INDEX('个人技术总览'!$I$5:$I$46,MATCH($A45,'个人技术总览'!$A$5:$A$46,0))</f>
        <v/>
      </c>
      <c r="L45" s="67">
        <f>H45+V45+IF(E45=G45-1,MAX(0,P45-H45*G45-SUMIFS($V$5:$V$589,$A$5:$A$589,$A45)),0)</f>
        <v/>
      </c>
      <c r="M45" s="61">
        <f>MAX(1,ROUNDDOWN($L45/'参数与公式'!$B$5,0))</f>
        <v/>
      </c>
      <c r="N45" s="67">
        <f>J45+Y45+IF(E45=G45-1,MAX(0,R45-J45*G45-SUMIFS($Y$5:$Y$589,$A$5:$A$589,$A45)),0)</f>
        <v/>
      </c>
      <c r="O45" s="18" t="inlineStr">
        <is>
          <t>data/technology_templates.yaml; upgrade_*_budget / *_curve; code: technology_rules.allocate_upgrade_budget</t>
        </is>
      </c>
      <c r="P45" s="67">
        <f>INDEX('个人技术总览'!$O$5:$O$46,MATCH($A45,'个人技术总览'!$A$5:$A$46,0))</f>
        <v/>
      </c>
      <c r="Q45" s="64">
        <f>INDEX('个人技术总览'!$P$5:$P$46,MATCH($A45,'个人技术总览'!$A$5:$A$46,0))</f>
        <v/>
      </c>
      <c r="R45" s="67">
        <f>INDEX('个人技术总览'!$Q$5:$Q$46,MATCH($A45,'个人技术总览'!$A$5:$A$46,0))</f>
        <v/>
      </c>
      <c r="S45" s="64">
        <f>INDEX('个人技术总览'!$R$5:$R$46,MATCH($A45,'个人技术总览'!$A$5:$A$46,0))</f>
        <v/>
      </c>
      <c r="T45" s="68">
        <f>POWER($Q45,$E45)</f>
        <v/>
      </c>
      <c r="U45" s="68">
        <f>SUMIFS($T$5:$T$589,$A$5:$A$589,$A45)</f>
        <v/>
      </c>
      <c r="V45" s="67">
        <f>ROUNDDOWN(MAX(0,$P45-$H45*$G45)*$T45/MAX(1,$U45),0)</f>
        <v/>
      </c>
      <c r="W45" s="68">
        <f>POWER($S45,$E45)</f>
        <v/>
      </c>
      <c r="X45" s="68">
        <f>SUMIFS($W$5:$W$589,$A$5:$A$589,$A45)</f>
        <v/>
      </c>
      <c r="Y45" s="67">
        <f>ROUNDDOWN(MAX(0,$R45-$J45*$G45)*$W45/MAX(1,$X45),0)</f>
        <v/>
      </c>
    </row>
    <row r="46">
      <c r="A46" s="17" t="inlineStr">
        <is>
          <t>scout_art</t>
        </is>
      </c>
      <c r="B46" s="18" t="inlineStr">
        <is>
          <t>侦查术</t>
        </is>
      </c>
      <c r="C46" s="18" t="inlineStr">
        <is>
          <t>基本技术</t>
        </is>
      </c>
      <c r="D46" s="18" t="inlineStr">
        <is>
          <t>—</t>
        </is>
      </c>
      <c r="E46" s="65" t="n">
        <v>41</v>
      </c>
      <c r="F46" s="66">
        <f>E46+1</f>
        <v/>
      </c>
      <c r="G46" s="65">
        <f>INDEX('个人技术总览'!$E$5:$E$46,MATCH($A46,'个人技术总览'!$A$5:$A$46,0))</f>
        <v/>
      </c>
      <c r="H46" s="59">
        <f>INDEX('个人技术总览'!$F$5:$F$46,MATCH($A46,'个人技术总览'!$A$5:$A$46,0))</f>
        <v/>
      </c>
      <c r="I46" s="60">
        <f>INDEX('个人技术总览'!$G$5:$G$46,MATCH($A46,'个人技术总览'!$A$5:$A$46,0))</f>
        <v/>
      </c>
      <c r="J46" s="59">
        <f>INDEX('个人技术总览'!$H$5:$H$46,MATCH($A46,'个人技术总览'!$A$5:$A$46,0))</f>
        <v/>
      </c>
      <c r="K46" s="60">
        <f>INDEX('个人技术总览'!$I$5:$I$46,MATCH($A46,'个人技术总览'!$A$5:$A$46,0))</f>
        <v/>
      </c>
      <c r="L46" s="67">
        <f>H46+V46+IF(E46=G46-1,MAX(0,P46-H46*G46-SUMIFS($V$5:$V$589,$A$5:$A$589,$A46)),0)</f>
        <v/>
      </c>
      <c r="M46" s="61">
        <f>MAX(1,ROUNDDOWN($L46/'参数与公式'!$B$5,0))</f>
        <v/>
      </c>
      <c r="N46" s="67">
        <f>J46+Y46+IF(E46=G46-1,MAX(0,R46-J46*G46-SUMIFS($Y$5:$Y$589,$A$5:$A$589,$A46)),0)</f>
        <v/>
      </c>
      <c r="O46" s="18" t="inlineStr">
        <is>
          <t>data/technology_templates.yaml; upgrade_*_budget / *_curve; code: technology_rules.allocate_upgrade_budget</t>
        </is>
      </c>
      <c r="P46" s="67">
        <f>INDEX('个人技术总览'!$O$5:$O$46,MATCH($A46,'个人技术总览'!$A$5:$A$46,0))</f>
        <v/>
      </c>
      <c r="Q46" s="64">
        <f>INDEX('个人技术总览'!$P$5:$P$46,MATCH($A46,'个人技术总览'!$A$5:$A$46,0))</f>
        <v/>
      </c>
      <c r="R46" s="67">
        <f>INDEX('个人技术总览'!$Q$5:$Q$46,MATCH($A46,'个人技术总览'!$A$5:$A$46,0))</f>
        <v/>
      </c>
      <c r="S46" s="64">
        <f>INDEX('个人技术总览'!$R$5:$R$46,MATCH($A46,'个人技术总览'!$A$5:$A$46,0))</f>
        <v/>
      </c>
      <c r="T46" s="68">
        <f>POWER($Q46,$E46)</f>
        <v/>
      </c>
      <c r="U46" s="68">
        <f>SUMIFS($T$5:$T$589,$A$5:$A$589,$A46)</f>
        <v/>
      </c>
      <c r="V46" s="67">
        <f>ROUNDDOWN(MAX(0,$P46-$H46*$G46)*$T46/MAX(1,$U46),0)</f>
        <v/>
      </c>
      <c r="W46" s="68">
        <f>POWER($S46,$E46)</f>
        <v/>
      </c>
      <c r="X46" s="68">
        <f>SUMIFS($W$5:$W$589,$A$5:$A$589,$A46)</f>
        <v/>
      </c>
      <c r="Y46" s="67">
        <f>ROUNDDOWN(MAX(0,$R46-$J46*$G46)*$W46/MAX(1,$X46),0)</f>
        <v/>
      </c>
    </row>
    <row r="47">
      <c r="A47" s="17" t="inlineStr">
        <is>
          <t>scout_art</t>
        </is>
      </c>
      <c r="B47" s="18" t="inlineStr">
        <is>
          <t>侦查术</t>
        </is>
      </c>
      <c r="C47" s="18" t="inlineStr">
        <is>
          <t>基本技术</t>
        </is>
      </c>
      <c r="D47" s="18" t="inlineStr">
        <is>
          <t>—</t>
        </is>
      </c>
      <c r="E47" s="65" t="n">
        <v>42</v>
      </c>
      <c r="F47" s="66">
        <f>E47+1</f>
        <v/>
      </c>
      <c r="G47" s="65">
        <f>INDEX('个人技术总览'!$E$5:$E$46,MATCH($A47,'个人技术总览'!$A$5:$A$46,0))</f>
        <v/>
      </c>
      <c r="H47" s="59">
        <f>INDEX('个人技术总览'!$F$5:$F$46,MATCH($A47,'个人技术总览'!$A$5:$A$46,0))</f>
        <v/>
      </c>
      <c r="I47" s="60">
        <f>INDEX('个人技术总览'!$G$5:$G$46,MATCH($A47,'个人技术总览'!$A$5:$A$46,0))</f>
        <v/>
      </c>
      <c r="J47" s="59">
        <f>INDEX('个人技术总览'!$H$5:$H$46,MATCH($A47,'个人技术总览'!$A$5:$A$46,0))</f>
        <v/>
      </c>
      <c r="K47" s="60">
        <f>INDEX('个人技术总览'!$I$5:$I$46,MATCH($A47,'个人技术总览'!$A$5:$A$46,0))</f>
        <v/>
      </c>
      <c r="L47" s="67">
        <f>H47+V47+IF(E47=G47-1,MAX(0,P47-H47*G47-SUMIFS($V$5:$V$589,$A$5:$A$589,$A47)),0)</f>
        <v/>
      </c>
      <c r="M47" s="61">
        <f>MAX(1,ROUNDDOWN($L47/'参数与公式'!$B$5,0))</f>
        <v/>
      </c>
      <c r="N47" s="67">
        <f>J47+Y47+IF(E47=G47-1,MAX(0,R47-J47*G47-SUMIFS($Y$5:$Y$589,$A$5:$A$589,$A47)),0)</f>
        <v/>
      </c>
      <c r="O47" s="18" t="inlineStr">
        <is>
          <t>data/technology_templates.yaml; upgrade_*_budget / *_curve; code: technology_rules.allocate_upgrade_budget</t>
        </is>
      </c>
      <c r="P47" s="67">
        <f>INDEX('个人技术总览'!$O$5:$O$46,MATCH($A47,'个人技术总览'!$A$5:$A$46,0))</f>
        <v/>
      </c>
      <c r="Q47" s="64">
        <f>INDEX('个人技术总览'!$P$5:$P$46,MATCH($A47,'个人技术总览'!$A$5:$A$46,0))</f>
        <v/>
      </c>
      <c r="R47" s="67">
        <f>INDEX('个人技术总览'!$Q$5:$Q$46,MATCH($A47,'个人技术总览'!$A$5:$A$46,0))</f>
        <v/>
      </c>
      <c r="S47" s="64">
        <f>INDEX('个人技术总览'!$R$5:$R$46,MATCH($A47,'个人技术总览'!$A$5:$A$46,0))</f>
        <v/>
      </c>
      <c r="T47" s="68">
        <f>POWER($Q47,$E47)</f>
        <v/>
      </c>
      <c r="U47" s="68">
        <f>SUMIFS($T$5:$T$589,$A$5:$A$589,$A47)</f>
        <v/>
      </c>
      <c r="V47" s="67">
        <f>ROUNDDOWN(MAX(0,$P47-$H47*$G47)*$T47/MAX(1,$U47),0)</f>
        <v/>
      </c>
      <c r="W47" s="68">
        <f>POWER($S47,$E47)</f>
        <v/>
      </c>
      <c r="X47" s="68">
        <f>SUMIFS($W$5:$W$589,$A$5:$A$589,$A47)</f>
        <v/>
      </c>
      <c r="Y47" s="67">
        <f>ROUNDDOWN(MAX(0,$R47-$J47*$G47)*$W47/MAX(1,$X47),0)</f>
        <v/>
      </c>
    </row>
    <row r="48">
      <c r="A48" s="17" t="inlineStr">
        <is>
          <t>scout_art</t>
        </is>
      </c>
      <c r="B48" s="18" t="inlineStr">
        <is>
          <t>侦查术</t>
        </is>
      </c>
      <c r="C48" s="18" t="inlineStr">
        <is>
          <t>基本技术</t>
        </is>
      </c>
      <c r="D48" s="18" t="inlineStr">
        <is>
          <t>—</t>
        </is>
      </c>
      <c r="E48" s="65" t="n">
        <v>43</v>
      </c>
      <c r="F48" s="66">
        <f>E48+1</f>
        <v/>
      </c>
      <c r="G48" s="65">
        <f>INDEX('个人技术总览'!$E$5:$E$46,MATCH($A48,'个人技术总览'!$A$5:$A$46,0))</f>
        <v/>
      </c>
      <c r="H48" s="59">
        <f>INDEX('个人技术总览'!$F$5:$F$46,MATCH($A48,'个人技术总览'!$A$5:$A$46,0))</f>
        <v/>
      </c>
      <c r="I48" s="60">
        <f>INDEX('个人技术总览'!$G$5:$G$46,MATCH($A48,'个人技术总览'!$A$5:$A$46,0))</f>
        <v/>
      </c>
      <c r="J48" s="59">
        <f>INDEX('个人技术总览'!$H$5:$H$46,MATCH($A48,'个人技术总览'!$A$5:$A$46,0))</f>
        <v/>
      </c>
      <c r="K48" s="60">
        <f>INDEX('个人技术总览'!$I$5:$I$46,MATCH($A48,'个人技术总览'!$A$5:$A$46,0))</f>
        <v/>
      </c>
      <c r="L48" s="67">
        <f>H48+V48+IF(E48=G48-1,MAX(0,P48-H48*G48-SUMIFS($V$5:$V$589,$A$5:$A$589,$A48)),0)</f>
        <v/>
      </c>
      <c r="M48" s="61">
        <f>MAX(1,ROUNDDOWN($L48/'参数与公式'!$B$5,0))</f>
        <v/>
      </c>
      <c r="N48" s="67">
        <f>J48+Y48+IF(E48=G48-1,MAX(0,R48-J48*G48-SUMIFS($Y$5:$Y$589,$A$5:$A$589,$A48)),0)</f>
        <v/>
      </c>
      <c r="O48" s="18" t="inlineStr">
        <is>
          <t>data/technology_templates.yaml; upgrade_*_budget / *_curve; code: technology_rules.allocate_upgrade_budget</t>
        </is>
      </c>
      <c r="P48" s="67">
        <f>INDEX('个人技术总览'!$O$5:$O$46,MATCH($A48,'个人技术总览'!$A$5:$A$46,0))</f>
        <v/>
      </c>
      <c r="Q48" s="64">
        <f>INDEX('个人技术总览'!$P$5:$P$46,MATCH($A48,'个人技术总览'!$A$5:$A$46,0))</f>
        <v/>
      </c>
      <c r="R48" s="67">
        <f>INDEX('个人技术总览'!$Q$5:$Q$46,MATCH($A48,'个人技术总览'!$A$5:$A$46,0))</f>
        <v/>
      </c>
      <c r="S48" s="64">
        <f>INDEX('个人技术总览'!$R$5:$R$46,MATCH($A48,'个人技术总览'!$A$5:$A$46,0))</f>
        <v/>
      </c>
      <c r="T48" s="68">
        <f>POWER($Q48,$E48)</f>
        <v/>
      </c>
      <c r="U48" s="68">
        <f>SUMIFS($T$5:$T$589,$A$5:$A$589,$A48)</f>
        <v/>
      </c>
      <c r="V48" s="67">
        <f>ROUNDDOWN(MAX(0,$P48-$H48*$G48)*$T48/MAX(1,$U48),0)</f>
        <v/>
      </c>
      <c r="W48" s="68">
        <f>POWER($S48,$E48)</f>
        <v/>
      </c>
      <c r="X48" s="68">
        <f>SUMIFS($W$5:$W$589,$A$5:$A$589,$A48)</f>
        <v/>
      </c>
      <c r="Y48" s="67">
        <f>ROUNDDOWN(MAX(0,$R48-$J48*$G48)*$W48/MAX(1,$X48),0)</f>
        <v/>
      </c>
    </row>
    <row r="49">
      <c r="A49" s="17" t="inlineStr">
        <is>
          <t>scout_art</t>
        </is>
      </c>
      <c r="B49" s="18" t="inlineStr">
        <is>
          <t>侦查术</t>
        </is>
      </c>
      <c r="C49" s="18" t="inlineStr">
        <is>
          <t>基本技术</t>
        </is>
      </c>
      <c r="D49" s="18" t="inlineStr">
        <is>
          <t>—</t>
        </is>
      </c>
      <c r="E49" s="65" t="n">
        <v>44</v>
      </c>
      <c r="F49" s="66">
        <f>E49+1</f>
        <v/>
      </c>
      <c r="G49" s="65">
        <f>INDEX('个人技术总览'!$E$5:$E$46,MATCH($A49,'个人技术总览'!$A$5:$A$46,0))</f>
        <v/>
      </c>
      <c r="H49" s="59">
        <f>INDEX('个人技术总览'!$F$5:$F$46,MATCH($A49,'个人技术总览'!$A$5:$A$46,0))</f>
        <v/>
      </c>
      <c r="I49" s="60">
        <f>INDEX('个人技术总览'!$G$5:$G$46,MATCH($A49,'个人技术总览'!$A$5:$A$46,0))</f>
        <v/>
      </c>
      <c r="J49" s="59">
        <f>INDEX('个人技术总览'!$H$5:$H$46,MATCH($A49,'个人技术总览'!$A$5:$A$46,0))</f>
        <v/>
      </c>
      <c r="K49" s="60">
        <f>INDEX('个人技术总览'!$I$5:$I$46,MATCH($A49,'个人技术总览'!$A$5:$A$46,0))</f>
        <v/>
      </c>
      <c r="L49" s="67">
        <f>H49+V49+IF(E49=G49-1,MAX(0,P49-H49*G49-SUMIFS($V$5:$V$589,$A$5:$A$589,$A49)),0)</f>
        <v/>
      </c>
      <c r="M49" s="61">
        <f>MAX(1,ROUNDDOWN($L49/'参数与公式'!$B$5,0))</f>
        <v/>
      </c>
      <c r="N49" s="67">
        <f>J49+Y49+IF(E49=G49-1,MAX(0,R49-J49*G49-SUMIFS($Y$5:$Y$589,$A$5:$A$589,$A49)),0)</f>
        <v/>
      </c>
      <c r="O49" s="18" t="inlineStr">
        <is>
          <t>data/technology_templates.yaml; upgrade_*_budget / *_curve; code: technology_rules.allocate_upgrade_budget</t>
        </is>
      </c>
      <c r="P49" s="67">
        <f>INDEX('个人技术总览'!$O$5:$O$46,MATCH($A49,'个人技术总览'!$A$5:$A$46,0))</f>
        <v/>
      </c>
      <c r="Q49" s="64">
        <f>INDEX('个人技术总览'!$P$5:$P$46,MATCH($A49,'个人技术总览'!$A$5:$A$46,0))</f>
        <v/>
      </c>
      <c r="R49" s="67">
        <f>INDEX('个人技术总览'!$Q$5:$Q$46,MATCH($A49,'个人技术总览'!$A$5:$A$46,0))</f>
        <v/>
      </c>
      <c r="S49" s="64">
        <f>INDEX('个人技术总览'!$R$5:$R$46,MATCH($A49,'个人技术总览'!$A$5:$A$46,0))</f>
        <v/>
      </c>
      <c r="T49" s="68">
        <f>POWER($Q49,$E49)</f>
        <v/>
      </c>
      <c r="U49" s="68">
        <f>SUMIFS($T$5:$T$589,$A$5:$A$589,$A49)</f>
        <v/>
      </c>
      <c r="V49" s="67">
        <f>ROUNDDOWN(MAX(0,$P49-$H49*$G49)*$T49/MAX(1,$U49),0)</f>
        <v/>
      </c>
      <c r="W49" s="68">
        <f>POWER($S49,$E49)</f>
        <v/>
      </c>
      <c r="X49" s="68">
        <f>SUMIFS($W$5:$W$589,$A$5:$A$589,$A49)</f>
        <v/>
      </c>
      <c r="Y49" s="67">
        <f>ROUNDDOWN(MAX(0,$R49-$J49*$G49)*$W49/MAX(1,$X49),0)</f>
        <v/>
      </c>
    </row>
    <row r="50">
      <c r="A50" s="17" t="inlineStr">
        <is>
          <t>scout_art</t>
        </is>
      </c>
      <c r="B50" s="18" t="inlineStr">
        <is>
          <t>侦查术</t>
        </is>
      </c>
      <c r="C50" s="18" t="inlineStr">
        <is>
          <t>基本技术</t>
        </is>
      </c>
      <c r="D50" s="18" t="inlineStr">
        <is>
          <t>—</t>
        </is>
      </c>
      <c r="E50" s="65" t="n">
        <v>45</v>
      </c>
      <c r="F50" s="66">
        <f>E50+1</f>
        <v/>
      </c>
      <c r="G50" s="65">
        <f>INDEX('个人技术总览'!$E$5:$E$46,MATCH($A50,'个人技术总览'!$A$5:$A$46,0))</f>
        <v/>
      </c>
      <c r="H50" s="59">
        <f>INDEX('个人技术总览'!$F$5:$F$46,MATCH($A50,'个人技术总览'!$A$5:$A$46,0))</f>
        <v/>
      </c>
      <c r="I50" s="60">
        <f>INDEX('个人技术总览'!$G$5:$G$46,MATCH($A50,'个人技术总览'!$A$5:$A$46,0))</f>
        <v/>
      </c>
      <c r="J50" s="59">
        <f>INDEX('个人技术总览'!$H$5:$H$46,MATCH($A50,'个人技术总览'!$A$5:$A$46,0))</f>
        <v/>
      </c>
      <c r="K50" s="60">
        <f>INDEX('个人技术总览'!$I$5:$I$46,MATCH($A50,'个人技术总览'!$A$5:$A$46,0))</f>
        <v/>
      </c>
      <c r="L50" s="67">
        <f>H50+V50+IF(E50=G50-1,MAX(0,P50-H50*G50-SUMIFS($V$5:$V$589,$A$5:$A$589,$A50)),0)</f>
        <v/>
      </c>
      <c r="M50" s="61">
        <f>MAX(1,ROUNDDOWN($L50/'参数与公式'!$B$5,0))</f>
        <v/>
      </c>
      <c r="N50" s="67">
        <f>J50+Y50+IF(E50=G50-1,MAX(0,R50-J50*G50-SUMIFS($Y$5:$Y$589,$A$5:$A$589,$A50)),0)</f>
        <v/>
      </c>
      <c r="O50" s="18" t="inlineStr">
        <is>
          <t>data/technology_templates.yaml; upgrade_*_budget / *_curve; code: technology_rules.allocate_upgrade_budget</t>
        </is>
      </c>
      <c r="P50" s="67">
        <f>INDEX('个人技术总览'!$O$5:$O$46,MATCH($A50,'个人技术总览'!$A$5:$A$46,0))</f>
        <v/>
      </c>
      <c r="Q50" s="64">
        <f>INDEX('个人技术总览'!$P$5:$P$46,MATCH($A50,'个人技术总览'!$A$5:$A$46,0))</f>
        <v/>
      </c>
      <c r="R50" s="67">
        <f>INDEX('个人技术总览'!$Q$5:$Q$46,MATCH($A50,'个人技术总览'!$A$5:$A$46,0))</f>
        <v/>
      </c>
      <c r="S50" s="64">
        <f>INDEX('个人技术总览'!$R$5:$R$46,MATCH($A50,'个人技术总览'!$A$5:$A$46,0))</f>
        <v/>
      </c>
      <c r="T50" s="68">
        <f>POWER($Q50,$E50)</f>
        <v/>
      </c>
      <c r="U50" s="68">
        <f>SUMIFS($T$5:$T$589,$A$5:$A$589,$A50)</f>
        <v/>
      </c>
      <c r="V50" s="67">
        <f>ROUNDDOWN(MAX(0,$P50-$H50*$G50)*$T50/MAX(1,$U50),0)</f>
        <v/>
      </c>
      <c r="W50" s="68">
        <f>POWER($S50,$E50)</f>
        <v/>
      </c>
      <c r="X50" s="68">
        <f>SUMIFS($W$5:$W$589,$A$5:$A$589,$A50)</f>
        <v/>
      </c>
      <c r="Y50" s="67">
        <f>ROUNDDOWN(MAX(0,$R50-$J50*$G50)*$W50/MAX(1,$X50),0)</f>
        <v/>
      </c>
    </row>
    <row r="51">
      <c r="A51" s="17" t="inlineStr">
        <is>
          <t>scout_art</t>
        </is>
      </c>
      <c r="B51" s="18" t="inlineStr">
        <is>
          <t>侦查术</t>
        </is>
      </c>
      <c r="C51" s="18" t="inlineStr">
        <is>
          <t>基本技术</t>
        </is>
      </c>
      <c r="D51" s="18" t="inlineStr">
        <is>
          <t>—</t>
        </is>
      </c>
      <c r="E51" s="65" t="n">
        <v>46</v>
      </c>
      <c r="F51" s="66">
        <f>E51+1</f>
        <v/>
      </c>
      <c r="G51" s="65">
        <f>INDEX('个人技术总览'!$E$5:$E$46,MATCH($A51,'个人技术总览'!$A$5:$A$46,0))</f>
        <v/>
      </c>
      <c r="H51" s="59">
        <f>INDEX('个人技术总览'!$F$5:$F$46,MATCH($A51,'个人技术总览'!$A$5:$A$46,0))</f>
        <v/>
      </c>
      <c r="I51" s="60">
        <f>INDEX('个人技术总览'!$G$5:$G$46,MATCH($A51,'个人技术总览'!$A$5:$A$46,0))</f>
        <v/>
      </c>
      <c r="J51" s="59">
        <f>INDEX('个人技术总览'!$H$5:$H$46,MATCH($A51,'个人技术总览'!$A$5:$A$46,0))</f>
        <v/>
      </c>
      <c r="K51" s="60">
        <f>INDEX('个人技术总览'!$I$5:$I$46,MATCH($A51,'个人技术总览'!$A$5:$A$46,0))</f>
        <v/>
      </c>
      <c r="L51" s="67">
        <f>H51+V51+IF(E51=G51-1,MAX(0,P51-H51*G51-SUMIFS($V$5:$V$589,$A$5:$A$589,$A51)),0)</f>
        <v/>
      </c>
      <c r="M51" s="61">
        <f>MAX(1,ROUNDDOWN($L51/'参数与公式'!$B$5,0))</f>
        <v/>
      </c>
      <c r="N51" s="67">
        <f>J51+Y51+IF(E51=G51-1,MAX(0,R51-J51*G51-SUMIFS($Y$5:$Y$589,$A$5:$A$589,$A51)),0)</f>
        <v/>
      </c>
      <c r="O51" s="18" t="inlineStr">
        <is>
          <t>data/technology_templates.yaml; upgrade_*_budget / *_curve; code: technology_rules.allocate_upgrade_budget</t>
        </is>
      </c>
      <c r="P51" s="67">
        <f>INDEX('个人技术总览'!$O$5:$O$46,MATCH($A51,'个人技术总览'!$A$5:$A$46,0))</f>
        <v/>
      </c>
      <c r="Q51" s="64">
        <f>INDEX('个人技术总览'!$P$5:$P$46,MATCH($A51,'个人技术总览'!$A$5:$A$46,0))</f>
        <v/>
      </c>
      <c r="R51" s="67">
        <f>INDEX('个人技术总览'!$Q$5:$Q$46,MATCH($A51,'个人技术总览'!$A$5:$A$46,0))</f>
        <v/>
      </c>
      <c r="S51" s="64">
        <f>INDEX('个人技术总览'!$R$5:$R$46,MATCH($A51,'个人技术总览'!$A$5:$A$46,0))</f>
        <v/>
      </c>
      <c r="T51" s="68">
        <f>POWER($Q51,$E51)</f>
        <v/>
      </c>
      <c r="U51" s="68">
        <f>SUMIFS($T$5:$T$589,$A$5:$A$589,$A51)</f>
        <v/>
      </c>
      <c r="V51" s="67">
        <f>ROUNDDOWN(MAX(0,$P51-$H51*$G51)*$T51/MAX(1,$U51),0)</f>
        <v/>
      </c>
      <c r="W51" s="68">
        <f>POWER($S51,$E51)</f>
        <v/>
      </c>
      <c r="X51" s="68">
        <f>SUMIFS($W$5:$W$589,$A$5:$A$589,$A51)</f>
        <v/>
      </c>
      <c r="Y51" s="67">
        <f>ROUNDDOWN(MAX(0,$R51-$J51*$G51)*$W51/MAX(1,$X51),0)</f>
        <v/>
      </c>
    </row>
    <row r="52">
      <c r="A52" s="17" t="inlineStr">
        <is>
          <t>scout_art</t>
        </is>
      </c>
      <c r="B52" s="18" t="inlineStr">
        <is>
          <t>侦查术</t>
        </is>
      </c>
      <c r="C52" s="18" t="inlineStr">
        <is>
          <t>基本技术</t>
        </is>
      </c>
      <c r="D52" s="18" t="inlineStr">
        <is>
          <t>—</t>
        </is>
      </c>
      <c r="E52" s="65" t="n">
        <v>47</v>
      </c>
      <c r="F52" s="66">
        <f>E52+1</f>
        <v/>
      </c>
      <c r="G52" s="65">
        <f>INDEX('个人技术总览'!$E$5:$E$46,MATCH($A52,'个人技术总览'!$A$5:$A$46,0))</f>
        <v/>
      </c>
      <c r="H52" s="59">
        <f>INDEX('个人技术总览'!$F$5:$F$46,MATCH($A52,'个人技术总览'!$A$5:$A$46,0))</f>
        <v/>
      </c>
      <c r="I52" s="60">
        <f>INDEX('个人技术总览'!$G$5:$G$46,MATCH($A52,'个人技术总览'!$A$5:$A$46,0))</f>
        <v/>
      </c>
      <c r="J52" s="59">
        <f>INDEX('个人技术总览'!$H$5:$H$46,MATCH($A52,'个人技术总览'!$A$5:$A$46,0))</f>
        <v/>
      </c>
      <c r="K52" s="60">
        <f>INDEX('个人技术总览'!$I$5:$I$46,MATCH($A52,'个人技术总览'!$A$5:$A$46,0))</f>
        <v/>
      </c>
      <c r="L52" s="67">
        <f>H52+V52+IF(E52=G52-1,MAX(0,P52-H52*G52-SUMIFS($V$5:$V$589,$A$5:$A$589,$A52)),0)</f>
        <v/>
      </c>
      <c r="M52" s="61">
        <f>MAX(1,ROUNDDOWN($L52/'参数与公式'!$B$5,0))</f>
        <v/>
      </c>
      <c r="N52" s="67">
        <f>J52+Y52+IF(E52=G52-1,MAX(0,R52-J52*G52-SUMIFS($Y$5:$Y$589,$A$5:$A$589,$A52)),0)</f>
        <v/>
      </c>
      <c r="O52" s="18" t="inlineStr">
        <is>
          <t>data/technology_templates.yaml; upgrade_*_budget / *_curve; code: technology_rules.allocate_upgrade_budget</t>
        </is>
      </c>
      <c r="P52" s="67">
        <f>INDEX('个人技术总览'!$O$5:$O$46,MATCH($A52,'个人技术总览'!$A$5:$A$46,0))</f>
        <v/>
      </c>
      <c r="Q52" s="64">
        <f>INDEX('个人技术总览'!$P$5:$P$46,MATCH($A52,'个人技术总览'!$A$5:$A$46,0))</f>
        <v/>
      </c>
      <c r="R52" s="67">
        <f>INDEX('个人技术总览'!$Q$5:$Q$46,MATCH($A52,'个人技术总览'!$A$5:$A$46,0))</f>
        <v/>
      </c>
      <c r="S52" s="64">
        <f>INDEX('个人技术总览'!$R$5:$R$46,MATCH($A52,'个人技术总览'!$A$5:$A$46,0))</f>
        <v/>
      </c>
      <c r="T52" s="68">
        <f>POWER($Q52,$E52)</f>
        <v/>
      </c>
      <c r="U52" s="68">
        <f>SUMIFS($T$5:$T$589,$A$5:$A$589,$A52)</f>
        <v/>
      </c>
      <c r="V52" s="67">
        <f>ROUNDDOWN(MAX(0,$P52-$H52*$G52)*$T52/MAX(1,$U52),0)</f>
        <v/>
      </c>
      <c r="W52" s="68">
        <f>POWER($S52,$E52)</f>
        <v/>
      </c>
      <c r="X52" s="68">
        <f>SUMIFS($W$5:$W$589,$A$5:$A$589,$A52)</f>
        <v/>
      </c>
      <c r="Y52" s="67">
        <f>ROUNDDOWN(MAX(0,$R52-$J52*$G52)*$W52/MAX(1,$X52),0)</f>
        <v/>
      </c>
    </row>
    <row r="53">
      <c r="A53" s="17" t="inlineStr">
        <is>
          <t>scout_art</t>
        </is>
      </c>
      <c r="B53" s="18" t="inlineStr">
        <is>
          <t>侦查术</t>
        </is>
      </c>
      <c r="C53" s="18" t="inlineStr">
        <is>
          <t>基本技术</t>
        </is>
      </c>
      <c r="D53" s="18" t="inlineStr">
        <is>
          <t>—</t>
        </is>
      </c>
      <c r="E53" s="65" t="n">
        <v>48</v>
      </c>
      <c r="F53" s="66">
        <f>E53+1</f>
        <v/>
      </c>
      <c r="G53" s="65">
        <f>INDEX('个人技术总览'!$E$5:$E$46,MATCH($A53,'个人技术总览'!$A$5:$A$46,0))</f>
        <v/>
      </c>
      <c r="H53" s="59">
        <f>INDEX('个人技术总览'!$F$5:$F$46,MATCH($A53,'个人技术总览'!$A$5:$A$46,0))</f>
        <v/>
      </c>
      <c r="I53" s="60">
        <f>INDEX('个人技术总览'!$G$5:$G$46,MATCH($A53,'个人技术总览'!$A$5:$A$46,0))</f>
        <v/>
      </c>
      <c r="J53" s="59">
        <f>INDEX('个人技术总览'!$H$5:$H$46,MATCH($A53,'个人技术总览'!$A$5:$A$46,0))</f>
        <v/>
      </c>
      <c r="K53" s="60">
        <f>INDEX('个人技术总览'!$I$5:$I$46,MATCH($A53,'个人技术总览'!$A$5:$A$46,0))</f>
        <v/>
      </c>
      <c r="L53" s="67">
        <f>H53+V53+IF(E53=G53-1,MAX(0,P53-H53*G53-SUMIFS($V$5:$V$589,$A$5:$A$589,$A53)),0)</f>
        <v/>
      </c>
      <c r="M53" s="61">
        <f>MAX(1,ROUNDDOWN($L53/'参数与公式'!$B$5,0))</f>
        <v/>
      </c>
      <c r="N53" s="67">
        <f>J53+Y53+IF(E53=G53-1,MAX(0,R53-J53*G53-SUMIFS($Y$5:$Y$589,$A$5:$A$589,$A53)),0)</f>
        <v/>
      </c>
      <c r="O53" s="18" t="inlineStr">
        <is>
          <t>data/technology_templates.yaml; upgrade_*_budget / *_curve; code: technology_rules.allocate_upgrade_budget</t>
        </is>
      </c>
      <c r="P53" s="67">
        <f>INDEX('个人技术总览'!$O$5:$O$46,MATCH($A53,'个人技术总览'!$A$5:$A$46,0))</f>
        <v/>
      </c>
      <c r="Q53" s="64">
        <f>INDEX('个人技术总览'!$P$5:$P$46,MATCH($A53,'个人技术总览'!$A$5:$A$46,0))</f>
        <v/>
      </c>
      <c r="R53" s="67">
        <f>INDEX('个人技术总览'!$Q$5:$Q$46,MATCH($A53,'个人技术总览'!$A$5:$A$46,0))</f>
        <v/>
      </c>
      <c r="S53" s="64">
        <f>INDEX('个人技术总览'!$R$5:$R$46,MATCH($A53,'个人技术总览'!$A$5:$A$46,0))</f>
        <v/>
      </c>
      <c r="T53" s="68">
        <f>POWER($Q53,$E53)</f>
        <v/>
      </c>
      <c r="U53" s="68">
        <f>SUMIFS($T$5:$T$589,$A$5:$A$589,$A53)</f>
        <v/>
      </c>
      <c r="V53" s="67">
        <f>ROUNDDOWN(MAX(0,$P53-$H53*$G53)*$T53/MAX(1,$U53),0)</f>
        <v/>
      </c>
      <c r="W53" s="68">
        <f>POWER($S53,$E53)</f>
        <v/>
      </c>
      <c r="X53" s="68">
        <f>SUMIFS($W$5:$W$589,$A$5:$A$589,$A53)</f>
        <v/>
      </c>
      <c r="Y53" s="67">
        <f>ROUNDDOWN(MAX(0,$R53-$J53*$G53)*$W53/MAX(1,$X53),0)</f>
        <v/>
      </c>
    </row>
    <row r="54">
      <c r="A54" s="17" t="inlineStr">
        <is>
          <t>scout_art</t>
        </is>
      </c>
      <c r="B54" s="18" t="inlineStr">
        <is>
          <t>侦查术</t>
        </is>
      </c>
      <c r="C54" s="18" t="inlineStr">
        <is>
          <t>基本技术</t>
        </is>
      </c>
      <c r="D54" s="18" t="inlineStr">
        <is>
          <t>—</t>
        </is>
      </c>
      <c r="E54" s="65" t="n">
        <v>49</v>
      </c>
      <c r="F54" s="66">
        <f>E54+1</f>
        <v/>
      </c>
      <c r="G54" s="65">
        <f>INDEX('个人技术总览'!$E$5:$E$46,MATCH($A54,'个人技术总览'!$A$5:$A$46,0))</f>
        <v/>
      </c>
      <c r="H54" s="59">
        <f>INDEX('个人技术总览'!$F$5:$F$46,MATCH($A54,'个人技术总览'!$A$5:$A$46,0))</f>
        <v/>
      </c>
      <c r="I54" s="60">
        <f>INDEX('个人技术总览'!$G$5:$G$46,MATCH($A54,'个人技术总览'!$A$5:$A$46,0))</f>
        <v/>
      </c>
      <c r="J54" s="59">
        <f>INDEX('个人技术总览'!$H$5:$H$46,MATCH($A54,'个人技术总览'!$A$5:$A$46,0))</f>
        <v/>
      </c>
      <c r="K54" s="60">
        <f>INDEX('个人技术总览'!$I$5:$I$46,MATCH($A54,'个人技术总览'!$A$5:$A$46,0))</f>
        <v/>
      </c>
      <c r="L54" s="67">
        <f>H54+V54+IF(E54=G54-1,MAX(0,P54-H54*G54-SUMIFS($V$5:$V$589,$A$5:$A$589,$A54)),0)</f>
        <v/>
      </c>
      <c r="M54" s="61">
        <f>MAX(1,ROUNDDOWN($L54/'参数与公式'!$B$5,0))</f>
        <v/>
      </c>
      <c r="N54" s="67">
        <f>J54+Y54+IF(E54=G54-1,MAX(0,R54-J54*G54-SUMIFS($Y$5:$Y$589,$A$5:$A$589,$A54)),0)</f>
        <v/>
      </c>
      <c r="O54" s="18" t="inlineStr">
        <is>
          <t>data/technology_templates.yaml; upgrade_*_budget / *_curve; code: technology_rules.allocate_upgrade_budget</t>
        </is>
      </c>
      <c r="P54" s="67">
        <f>INDEX('个人技术总览'!$O$5:$O$46,MATCH($A54,'个人技术总览'!$A$5:$A$46,0))</f>
        <v/>
      </c>
      <c r="Q54" s="64">
        <f>INDEX('个人技术总览'!$P$5:$P$46,MATCH($A54,'个人技术总览'!$A$5:$A$46,0))</f>
        <v/>
      </c>
      <c r="R54" s="67">
        <f>INDEX('个人技术总览'!$Q$5:$Q$46,MATCH($A54,'个人技术总览'!$A$5:$A$46,0))</f>
        <v/>
      </c>
      <c r="S54" s="64">
        <f>INDEX('个人技术总览'!$R$5:$R$46,MATCH($A54,'个人技术总览'!$A$5:$A$46,0))</f>
        <v/>
      </c>
      <c r="T54" s="68">
        <f>POWER($Q54,$E54)</f>
        <v/>
      </c>
      <c r="U54" s="68">
        <f>SUMIFS($T$5:$T$589,$A$5:$A$589,$A54)</f>
        <v/>
      </c>
      <c r="V54" s="67">
        <f>ROUNDDOWN(MAX(0,$P54-$H54*$G54)*$T54/MAX(1,$U54),0)</f>
        <v/>
      </c>
      <c r="W54" s="68">
        <f>POWER($S54,$E54)</f>
        <v/>
      </c>
      <c r="X54" s="68">
        <f>SUMIFS($W$5:$W$589,$A$5:$A$589,$A54)</f>
        <v/>
      </c>
      <c r="Y54" s="67">
        <f>ROUNDDOWN(MAX(0,$R54-$J54*$G54)*$W54/MAX(1,$X54),0)</f>
        <v/>
      </c>
    </row>
    <row r="55">
      <c r="A55" s="17" t="inlineStr">
        <is>
          <t>scout_art</t>
        </is>
      </c>
      <c r="B55" s="18" t="inlineStr">
        <is>
          <t>侦查术</t>
        </is>
      </c>
      <c r="C55" s="18" t="inlineStr">
        <is>
          <t>基本技术</t>
        </is>
      </c>
      <c r="D55" s="18" t="inlineStr">
        <is>
          <t>—</t>
        </is>
      </c>
      <c r="E55" s="65" t="n">
        <v>50</v>
      </c>
      <c r="F55" s="66">
        <f>E55+1</f>
        <v/>
      </c>
      <c r="G55" s="65">
        <f>INDEX('个人技术总览'!$E$5:$E$46,MATCH($A55,'个人技术总览'!$A$5:$A$46,0))</f>
        <v/>
      </c>
      <c r="H55" s="59">
        <f>INDEX('个人技术总览'!$F$5:$F$46,MATCH($A55,'个人技术总览'!$A$5:$A$46,0))</f>
        <v/>
      </c>
      <c r="I55" s="60">
        <f>INDEX('个人技术总览'!$G$5:$G$46,MATCH($A55,'个人技术总览'!$A$5:$A$46,0))</f>
        <v/>
      </c>
      <c r="J55" s="59">
        <f>INDEX('个人技术总览'!$H$5:$H$46,MATCH($A55,'个人技术总览'!$A$5:$A$46,0))</f>
        <v/>
      </c>
      <c r="K55" s="60">
        <f>INDEX('个人技术总览'!$I$5:$I$46,MATCH($A55,'个人技术总览'!$A$5:$A$46,0))</f>
        <v/>
      </c>
      <c r="L55" s="67">
        <f>H55+V55+IF(E55=G55-1,MAX(0,P55-H55*G55-SUMIFS($V$5:$V$589,$A$5:$A$589,$A55)),0)</f>
        <v/>
      </c>
      <c r="M55" s="61">
        <f>MAX(1,ROUNDDOWN($L55/'参数与公式'!$B$5,0))</f>
        <v/>
      </c>
      <c r="N55" s="67">
        <f>J55+Y55+IF(E55=G55-1,MAX(0,R55-J55*G55-SUMIFS($Y$5:$Y$589,$A$5:$A$589,$A55)),0)</f>
        <v/>
      </c>
      <c r="O55" s="18" t="inlineStr">
        <is>
          <t>data/technology_templates.yaml; upgrade_*_budget / *_curve; code: technology_rules.allocate_upgrade_budget</t>
        </is>
      </c>
      <c r="P55" s="67">
        <f>INDEX('个人技术总览'!$O$5:$O$46,MATCH($A55,'个人技术总览'!$A$5:$A$46,0))</f>
        <v/>
      </c>
      <c r="Q55" s="64">
        <f>INDEX('个人技术总览'!$P$5:$P$46,MATCH($A55,'个人技术总览'!$A$5:$A$46,0))</f>
        <v/>
      </c>
      <c r="R55" s="67">
        <f>INDEX('个人技术总览'!$Q$5:$Q$46,MATCH($A55,'个人技术总览'!$A$5:$A$46,0))</f>
        <v/>
      </c>
      <c r="S55" s="64">
        <f>INDEX('个人技术总览'!$R$5:$R$46,MATCH($A55,'个人技术总览'!$A$5:$A$46,0))</f>
        <v/>
      </c>
      <c r="T55" s="68">
        <f>POWER($Q55,$E55)</f>
        <v/>
      </c>
      <c r="U55" s="68">
        <f>SUMIFS($T$5:$T$589,$A$5:$A$589,$A55)</f>
        <v/>
      </c>
      <c r="V55" s="67">
        <f>ROUNDDOWN(MAX(0,$P55-$H55*$G55)*$T55/MAX(1,$U55),0)</f>
        <v/>
      </c>
      <c r="W55" s="68">
        <f>POWER($S55,$E55)</f>
        <v/>
      </c>
      <c r="X55" s="68">
        <f>SUMIFS($W$5:$W$589,$A$5:$A$589,$A55)</f>
        <v/>
      </c>
      <c r="Y55" s="67">
        <f>ROUNDDOWN(MAX(0,$R55-$J55*$G55)*$W55/MAX(1,$X55),0)</f>
        <v/>
      </c>
    </row>
    <row r="56">
      <c r="A56" s="17" t="inlineStr">
        <is>
          <t>scout_art</t>
        </is>
      </c>
      <c r="B56" s="18" t="inlineStr">
        <is>
          <t>侦查术</t>
        </is>
      </c>
      <c r="C56" s="18" t="inlineStr">
        <is>
          <t>基本技术</t>
        </is>
      </c>
      <c r="D56" s="18" t="inlineStr">
        <is>
          <t>—</t>
        </is>
      </c>
      <c r="E56" s="65" t="n">
        <v>51</v>
      </c>
      <c r="F56" s="66">
        <f>E56+1</f>
        <v/>
      </c>
      <c r="G56" s="65">
        <f>INDEX('个人技术总览'!$E$5:$E$46,MATCH($A56,'个人技术总览'!$A$5:$A$46,0))</f>
        <v/>
      </c>
      <c r="H56" s="59">
        <f>INDEX('个人技术总览'!$F$5:$F$46,MATCH($A56,'个人技术总览'!$A$5:$A$46,0))</f>
        <v/>
      </c>
      <c r="I56" s="60">
        <f>INDEX('个人技术总览'!$G$5:$G$46,MATCH($A56,'个人技术总览'!$A$5:$A$46,0))</f>
        <v/>
      </c>
      <c r="J56" s="59">
        <f>INDEX('个人技术总览'!$H$5:$H$46,MATCH($A56,'个人技术总览'!$A$5:$A$46,0))</f>
        <v/>
      </c>
      <c r="K56" s="60">
        <f>INDEX('个人技术总览'!$I$5:$I$46,MATCH($A56,'个人技术总览'!$A$5:$A$46,0))</f>
        <v/>
      </c>
      <c r="L56" s="67">
        <f>H56+V56+IF(E56=G56-1,MAX(0,P56-H56*G56-SUMIFS($V$5:$V$589,$A$5:$A$589,$A56)),0)</f>
        <v/>
      </c>
      <c r="M56" s="61">
        <f>MAX(1,ROUNDDOWN($L56/'参数与公式'!$B$5,0))</f>
        <v/>
      </c>
      <c r="N56" s="67">
        <f>J56+Y56+IF(E56=G56-1,MAX(0,R56-J56*G56-SUMIFS($Y$5:$Y$589,$A$5:$A$589,$A56)),0)</f>
        <v/>
      </c>
      <c r="O56" s="18" t="inlineStr">
        <is>
          <t>data/technology_templates.yaml; upgrade_*_budget / *_curve; code: technology_rules.allocate_upgrade_budget</t>
        </is>
      </c>
      <c r="P56" s="67">
        <f>INDEX('个人技术总览'!$O$5:$O$46,MATCH($A56,'个人技术总览'!$A$5:$A$46,0))</f>
        <v/>
      </c>
      <c r="Q56" s="64">
        <f>INDEX('个人技术总览'!$P$5:$P$46,MATCH($A56,'个人技术总览'!$A$5:$A$46,0))</f>
        <v/>
      </c>
      <c r="R56" s="67">
        <f>INDEX('个人技术总览'!$Q$5:$Q$46,MATCH($A56,'个人技术总览'!$A$5:$A$46,0))</f>
        <v/>
      </c>
      <c r="S56" s="64">
        <f>INDEX('个人技术总览'!$R$5:$R$46,MATCH($A56,'个人技术总览'!$A$5:$A$46,0))</f>
        <v/>
      </c>
      <c r="T56" s="68">
        <f>POWER($Q56,$E56)</f>
        <v/>
      </c>
      <c r="U56" s="68">
        <f>SUMIFS($T$5:$T$589,$A$5:$A$589,$A56)</f>
        <v/>
      </c>
      <c r="V56" s="67">
        <f>ROUNDDOWN(MAX(0,$P56-$H56*$G56)*$T56/MAX(1,$U56),0)</f>
        <v/>
      </c>
      <c r="W56" s="68">
        <f>POWER($S56,$E56)</f>
        <v/>
      </c>
      <c r="X56" s="68">
        <f>SUMIFS($W$5:$W$589,$A$5:$A$589,$A56)</f>
        <v/>
      </c>
      <c r="Y56" s="67">
        <f>ROUNDDOWN(MAX(0,$R56-$J56*$G56)*$W56/MAX(1,$X56),0)</f>
        <v/>
      </c>
    </row>
    <row r="57">
      <c r="A57" s="17" t="inlineStr">
        <is>
          <t>scout_art</t>
        </is>
      </c>
      <c r="B57" s="18" t="inlineStr">
        <is>
          <t>侦查术</t>
        </is>
      </c>
      <c r="C57" s="18" t="inlineStr">
        <is>
          <t>基本技术</t>
        </is>
      </c>
      <c r="D57" s="18" t="inlineStr">
        <is>
          <t>—</t>
        </is>
      </c>
      <c r="E57" s="65" t="n">
        <v>52</v>
      </c>
      <c r="F57" s="66">
        <f>E57+1</f>
        <v/>
      </c>
      <c r="G57" s="65">
        <f>INDEX('个人技术总览'!$E$5:$E$46,MATCH($A57,'个人技术总览'!$A$5:$A$46,0))</f>
        <v/>
      </c>
      <c r="H57" s="59">
        <f>INDEX('个人技术总览'!$F$5:$F$46,MATCH($A57,'个人技术总览'!$A$5:$A$46,0))</f>
        <v/>
      </c>
      <c r="I57" s="60">
        <f>INDEX('个人技术总览'!$G$5:$G$46,MATCH($A57,'个人技术总览'!$A$5:$A$46,0))</f>
        <v/>
      </c>
      <c r="J57" s="59">
        <f>INDEX('个人技术总览'!$H$5:$H$46,MATCH($A57,'个人技术总览'!$A$5:$A$46,0))</f>
        <v/>
      </c>
      <c r="K57" s="60">
        <f>INDEX('个人技术总览'!$I$5:$I$46,MATCH($A57,'个人技术总览'!$A$5:$A$46,0))</f>
        <v/>
      </c>
      <c r="L57" s="67">
        <f>H57+V57+IF(E57=G57-1,MAX(0,P57-H57*G57-SUMIFS($V$5:$V$589,$A$5:$A$589,$A57)),0)</f>
        <v/>
      </c>
      <c r="M57" s="61">
        <f>MAX(1,ROUNDDOWN($L57/'参数与公式'!$B$5,0))</f>
        <v/>
      </c>
      <c r="N57" s="67">
        <f>J57+Y57+IF(E57=G57-1,MAX(0,R57-J57*G57-SUMIFS($Y$5:$Y$589,$A$5:$A$589,$A57)),0)</f>
        <v/>
      </c>
      <c r="O57" s="18" t="inlineStr">
        <is>
          <t>data/technology_templates.yaml; upgrade_*_budget / *_curve; code: technology_rules.allocate_upgrade_budget</t>
        </is>
      </c>
      <c r="P57" s="67">
        <f>INDEX('个人技术总览'!$O$5:$O$46,MATCH($A57,'个人技术总览'!$A$5:$A$46,0))</f>
        <v/>
      </c>
      <c r="Q57" s="64">
        <f>INDEX('个人技术总览'!$P$5:$P$46,MATCH($A57,'个人技术总览'!$A$5:$A$46,0))</f>
        <v/>
      </c>
      <c r="R57" s="67">
        <f>INDEX('个人技术总览'!$Q$5:$Q$46,MATCH($A57,'个人技术总览'!$A$5:$A$46,0))</f>
        <v/>
      </c>
      <c r="S57" s="64">
        <f>INDEX('个人技术总览'!$R$5:$R$46,MATCH($A57,'个人技术总览'!$A$5:$A$46,0))</f>
        <v/>
      </c>
      <c r="T57" s="68">
        <f>POWER($Q57,$E57)</f>
        <v/>
      </c>
      <c r="U57" s="68">
        <f>SUMIFS($T$5:$T$589,$A$5:$A$589,$A57)</f>
        <v/>
      </c>
      <c r="V57" s="67">
        <f>ROUNDDOWN(MAX(0,$P57-$H57*$G57)*$T57/MAX(1,$U57),0)</f>
        <v/>
      </c>
      <c r="W57" s="68">
        <f>POWER($S57,$E57)</f>
        <v/>
      </c>
      <c r="X57" s="68">
        <f>SUMIFS($W$5:$W$589,$A$5:$A$589,$A57)</f>
        <v/>
      </c>
      <c r="Y57" s="67">
        <f>ROUNDDOWN(MAX(0,$R57-$J57*$G57)*$W57/MAX(1,$X57),0)</f>
        <v/>
      </c>
    </row>
    <row r="58">
      <c r="A58" s="17" t="inlineStr">
        <is>
          <t>scout_art</t>
        </is>
      </c>
      <c r="B58" s="18" t="inlineStr">
        <is>
          <t>侦查术</t>
        </is>
      </c>
      <c r="C58" s="18" t="inlineStr">
        <is>
          <t>基本技术</t>
        </is>
      </c>
      <c r="D58" s="18" t="inlineStr">
        <is>
          <t>—</t>
        </is>
      </c>
      <c r="E58" s="65" t="n">
        <v>53</v>
      </c>
      <c r="F58" s="66">
        <f>E58+1</f>
        <v/>
      </c>
      <c r="G58" s="65">
        <f>INDEX('个人技术总览'!$E$5:$E$46,MATCH($A58,'个人技术总览'!$A$5:$A$46,0))</f>
        <v/>
      </c>
      <c r="H58" s="59">
        <f>INDEX('个人技术总览'!$F$5:$F$46,MATCH($A58,'个人技术总览'!$A$5:$A$46,0))</f>
        <v/>
      </c>
      <c r="I58" s="60">
        <f>INDEX('个人技术总览'!$G$5:$G$46,MATCH($A58,'个人技术总览'!$A$5:$A$46,0))</f>
        <v/>
      </c>
      <c r="J58" s="59">
        <f>INDEX('个人技术总览'!$H$5:$H$46,MATCH($A58,'个人技术总览'!$A$5:$A$46,0))</f>
        <v/>
      </c>
      <c r="K58" s="60">
        <f>INDEX('个人技术总览'!$I$5:$I$46,MATCH($A58,'个人技术总览'!$A$5:$A$46,0))</f>
        <v/>
      </c>
      <c r="L58" s="67">
        <f>H58+V58+IF(E58=G58-1,MAX(0,P58-H58*G58-SUMIFS($V$5:$V$589,$A$5:$A$589,$A58)),0)</f>
        <v/>
      </c>
      <c r="M58" s="61">
        <f>MAX(1,ROUNDDOWN($L58/'参数与公式'!$B$5,0))</f>
        <v/>
      </c>
      <c r="N58" s="67">
        <f>J58+Y58+IF(E58=G58-1,MAX(0,R58-J58*G58-SUMIFS($Y$5:$Y$589,$A$5:$A$589,$A58)),0)</f>
        <v/>
      </c>
      <c r="O58" s="18" t="inlineStr">
        <is>
          <t>data/technology_templates.yaml; upgrade_*_budget / *_curve; code: technology_rules.allocate_upgrade_budget</t>
        </is>
      </c>
      <c r="P58" s="67">
        <f>INDEX('个人技术总览'!$O$5:$O$46,MATCH($A58,'个人技术总览'!$A$5:$A$46,0))</f>
        <v/>
      </c>
      <c r="Q58" s="64">
        <f>INDEX('个人技术总览'!$P$5:$P$46,MATCH($A58,'个人技术总览'!$A$5:$A$46,0))</f>
        <v/>
      </c>
      <c r="R58" s="67">
        <f>INDEX('个人技术总览'!$Q$5:$Q$46,MATCH($A58,'个人技术总览'!$A$5:$A$46,0))</f>
        <v/>
      </c>
      <c r="S58" s="64">
        <f>INDEX('个人技术总览'!$R$5:$R$46,MATCH($A58,'个人技术总览'!$A$5:$A$46,0))</f>
        <v/>
      </c>
      <c r="T58" s="68">
        <f>POWER($Q58,$E58)</f>
        <v/>
      </c>
      <c r="U58" s="68">
        <f>SUMIFS($T$5:$T$589,$A$5:$A$589,$A58)</f>
        <v/>
      </c>
      <c r="V58" s="67">
        <f>ROUNDDOWN(MAX(0,$P58-$H58*$G58)*$T58/MAX(1,$U58),0)</f>
        <v/>
      </c>
      <c r="W58" s="68">
        <f>POWER($S58,$E58)</f>
        <v/>
      </c>
      <c r="X58" s="68">
        <f>SUMIFS($W$5:$W$589,$A$5:$A$589,$A58)</f>
        <v/>
      </c>
      <c r="Y58" s="67">
        <f>ROUNDDOWN(MAX(0,$R58-$J58*$G58)*$W58/MAX(1,$X58),0)</f>
        <v/>
      </c>
    </row>
    <row r="59">
      <c r="A59" s="17" t="inlineStr">
        <is>
          <t>scout_art</t>
        </is>
      </c>
      <c r="B59" s="18" t="inlineStr">
        <is>
          <t>侦查术</t>
        </is>
      </c>
      <c r="C59" s="18" t="inlineStr">
        <is>
          <t>基本技术</t>
        </is>
      </c>
      <c r="D59" s="18" t="inlineStr">
        <is>
          <t>—</t>
        </is>
      </c>
      <c r="E59" s="65" t="n">
        <v>54</v>
      </c>
      <c r="F59" s="66">
        <f>E59+1</f>
        <v/>
      </c>
      <c r="G59" s="65">
        <f>INDEX('个人技术总览'!$E$5:$E$46,MATCH($A59,'个人技术总览'!$A$5:$A$46,0))</f>
        <v/>
      </c>
      <c r="H59" s="59">
        <f>INDEX('个人技术总览'!$F$5:$F$46,MATCH($A59,'个人技术总览'!$A$5:$A$46,0))</f>
        <v/>
      </c>
      <c r="I59" s="60">
        <f>INDEX('个人技术总览'!$G$5:$G$46,MATCH($A59,'个人技术总览'!$A$5:$A$46,0))</f>
        <v/>
      </c>
      <c r="J59" s="59">
        <f>INDEX('个人技术总览'!$H$5:$H$46,MATCH($A59,'个人技术总览'!$A$5:$A$46,0))</f>
        <v/>
      </c>
      <c r="K59" s="60">
        <f>INDEX('个人技术总览'!$I$5:$I$46,MATCH($A59,'个人技术总览'!$A$5:$A$46,0))</f>
        <v/>
      </c>
      <c r="L59" s="67">
        <f>H59+V59+IF(E59=G59-1,MAX(0,P59-H59*G59-SUMIFS($V$5:$V$589,$A$5:$A$589,$A59)),0)</f>
        <v/>
      </c>
      <c r="M59" s="61">
        <f>MAX(1,ROUNDDOWN($L59/'参数与公式'!$B$5,0))</f>
        <v/>
      </c>
      <c r="N59" s="67">
        <f>J59+Y59+IF(E59=G59-1,MAX(0,R59-J59*G59-SUMIFS($Y$5:$Y$589,$A$5:$A$589,$A59)),0)</f>
        <v/>
      </c>
      <c r="O59" s="18" t="inlineStr">
        <is>
          <t>data/technology_templates.yaml; upgrade_*_budget / *_curve; code: technology_rules.allocate_upgrade_budget</t>
        </is>
      </c>
      <c r="P59" s="67">
        <f>INDEX('个人技术总览'!$O$5:$O$46,MATCH($A59,'个人技术总览'!$A$5:$A$46,0))</f>
        <v/>
      </c>
      <c r="Q59" s="64">
        <f>INDEX('个人技术总览'!$P$5:$P$46,MATCH($A59,'个人技术总览'!$A$5:$A$46,0))</f>
        <v/>
      </c>
      <c r="R59" s="67">
        <f>INDEX('个人技术总览'!$Q$5:$Q$46,MATCH($A59,'个人技术总览'!$A$5:$A$46,0))</f>
        <v/>
      </c>
      <c r="S59" s="64">
        <f>INDEX('个人技术总览'!$R$5:$R$46,MATCH($A59,'个人技术总览'!$A$5:$A$46,0))</f>
        <v/>
      </c>
      <c r="T59" s="68">
        <f>POWER($Q59,$E59)</f>
        <v/>
      </c>
      <c r="U59" s="68">
        <f>SUMIFS($T$5:$T$589,$A$5:$A$589,$A59)</f>
        <v/>
      </c>
      <c r="V59" s="67">
        <f>ROUNDDOWN(MAX(0,$P59-$H59*$G59)*$T59/MAX(1,$U59),0)</f>
        <v/>
      </c>
      <c r="W59" s="68">
        <f>POWER($S59,$E59)</f>
        <v/>
      </c>
      <c r="X59" s="68">
        <f>SUMIFS($W$5:$W$589,$A$5:$A$589,$A59)</f>
        <v/>
      </c>
      <c r="Y59" s="67">
        <f>ROUNDDOWN(MAX(0,$R59-$J59*$G59)*$W59/MAX(1,$X59),0)</f>
        <v/>
      </c>
    </row>
    <row r="60">
      <c r="A60" s="17" t="inlineStr">
        <is>
          <t>scout_art</t>
        </is>
      </c>
      <c r="B60" s="18" t="inlineStr">
        <is>
          <t>侦查术</t>
        </is>
      </c>
      <c r="C60" s="18" t="inlineStr">
        <is>
          <t>基本技术</t>
        </is>
      </c>
      <c r="D60" s="18" t="inlineStr">
        <is>
          <t>—</t>
        </is>
      </c>
      <c r="E60" s="65" t="n">
        <v>55</v>
      </c>
      <c r="F60" s="66">
        <f>E60+1</f>
        <v/>
      </c>
      <c r="G60" s="65">
        <f>INDEX('个人技术总览'!$E$5:$E$46,MATCH($A60,'个人技术总览'!$A$5:$A$46,0))</f>
        <v/>
      </c>
      <c r="H60" s="59">
        <f>INDEX('个人技术总览'!$F$5:$F$46,MATCH($A60,'个人技术总览'!$A$5:$A$46,0))</f>
        <v/>
      </c>
      <c r="I60" s="60">
        <f>INDEX('个人技术总览'!$G$5:$G$46,MATCH($A60,'个人技术总览'!$A$5:$A$46,0))</f>
        <v/>
      </c>
      <c r="J60" s="59">
        <f>INDEX('个人技术总览'!$H$5:$H$46,MATCH($A60,'个人技术总览'!$A$5:$A$46,0))</f>
        <v/>
      </c>
      <c r="K60" s="60">
        <f>INDEX('个人技术总览'!$I$5:$I$46,MATCH($A60,'个人技术总览'!$A$5:$A$46,0))</f>
        <v/>
      </c>
      <c r="L60" s="67">
        <f>H60+V60+IF(E60=G60-1,MAX(0,P60-H60*G60-SUMIFS($V$5:$V$589,$A$5:$A$589,$A60)),0)</f>
        <v/>
      </c>
      <c r="M60" s="61">
        <f>MAX(1,ROUNDDOWN($L60/'参数与公式'!$B$5,0))</f>
        <v/>
      </c>
      <c r="N60" s="67">
        <f>J60+Y60+IF(E60=G60-1,MAX(0,R60-J60*G60-SUMIFS($Y$5:$Y$589,$A$5:$A$589,$A60)),0)</f>
        <v/>
      </c>
      <c r="O60" s="18" t="inlineStr">
        <is>
          <t>data/technology_templates.yaml; upgrade_*_budget / *_curve; code: technology_rules.allocate_upgrade_budget</t>
        </is>
      </c>
      <c r="P60" s="67">
        <f>INDEX('个人技术总览'!$O$5:$O$46,MATCH($A60,'个人技术总览'!$A$5:$A$46,0))</f>
        <v/>
      </c>
      <c r="Q60" s="64">
        <f>INDEX('个人技术总览'!$P$5:$P$46,MATCH($A60,'个人技术总览'!$A$5:$A$46,0))</f>
        <v/>
      </c>
      <c r="R60" s="67">
        <f>INDEX('个人技术总览'!$Q$5:$Q$46,MATCH($A60,'个人技术总览'!$A$5:$A$46,0))</f>
        <v/>
      </c>
      <c r="S60" s="64">
        <f>INDEX('个人技术总览'!$R$5:$R$46,MATCH($A60,'个人技术总览'!$A$5:$A$46,0))</f>
        <v/>
      </c>
      <c r="T60" s="68">
        <f>POWER($Q60,$E60)</f>
        <v/>
      </c>
      <c r="U60" s="68">
        <f>SUMIFS($T$5:$T$589,$A$5:$A$589,$A60)</f>
        <v/>
      </c>
      <c r="V60" s="67">
        <f>ROUNDDOWN(MAX(0,$P60-$H60*$G60)*$T60/MAX(1,$U60),0)</f>
        <v/>
      </c>
      <c r="W60" s="68">
        <f>POWER($S60,$E60)</f>
        <v/>
      </c>
      <c r="X60" s="68">
        <f>SUMIFS($W$5:$W$589,$A$5:$A$589,$A60)</f>
        <v/>
      </c>
      <c r="Y60" s="67">
        <f>ROUNDDOWN(MAX(0,$R60-$J60*$G60)*$W60/MAX(1,$X60),0)</f>
        <v/>
      </c>
    </row>
    <row r="61">
      <c r="A61" s="17" t="inlineStr">
        <is>
          <t>scout_art</t>
        </is>
      </c>
      <c r="B61" s="18" t="inlineStr">
        <is>
          <t>侦查术</t>
        </is>
      </c>
      <c r="C61" s="18" t="inlineStr">
        <is>
          <t>基本技术</t>
        </is>
      </c>
      <c r="D61" s="18" t="inlineStr">
        <is>
          <t>—</t>
        </is>
      </c>
      <c r="E61" s="65" t="n">
        <v>56</v>
      </c>
      <c r="F61" s="66">
        <f>E61+1</f>
        <v/>
      </c>
      <c r="G61" s="65">
        <f>INDEX('个人技术总览'!$E$5:$E$46,MATCH($A61,'个人技术总览'!$A$5:$A$46,0))</f>
        <v/>
      </c>
      <c r="H61" s="59">
        <f>INDEX('个人技术总览'!$F$5:$F$46,MATCH($A61,'个人技术总览'!$A$5:$A$46,0))</f>
        <v/>
      </c>
      <c r="I61" s="60">
        <f>INDEX('个人技术总览'!$G$5:$G$46,MATCH($A61,'个人技术总览'!$A$5:$A$46,0))</f>
        <v/>
      </c>
      <c r="J61" s="59">
        <f>INDEX('个人技术总览'!$H$5:$H$46,MATCH($A61,'个人技术总览'!$A$5:$A$46,0))</f>
        <v/>
      </c>
      <c r="K61" s="60">
        <f>INDEX('个人技术总览'!$I$5:$I$46,MATCH($A61,'个人技术总览'!$A$5:$A$46,0))</f>
        <v/>
      </c>
      <c r="L61" s="67">
        <f>H61+V61+IF(E61=G61-1,MAX(0,P61-H61*G61-SUMIFS($V$5:$V$589,$A$5:$A$589,$A61)),0)</f>
        <v/>
      </c>
      <c r="M61" s="61">
        <f>MAX(1,ROUNDDOWN($L61/'参数与公式'!$B$5,0))</f>
        <v/>
      </c>
      <c r="N61" s="67">
        <f>J61+Y61+IF(E61=G61-1,MAX(0,R61-J61*G61-SUMIFS($Y$5:$Y$589,$A$5:$A$589,$A61)),0)</f>
        <v/>
      </c>
      <c r="O61" s="18" t="inlineStr">
        <is>
          <t>data/technology_templates.yaml; upgrade_*_budget / *_curve; code: technology_rules.allocate_upgrade_budget</t>
        </is>
      </c>
      <c r="P61" s="67">
        <f>INDEX('个人技术总览'!$O$5:$O$46,MATCH($A61,'个人技术总览'!$A$5:$A$46,0))</f>
        <v/>
      </c>
      <c r="Q61" s="64">
        <f>INDEX('个人技术总览'!$P$5:$P$46,MATCH($A61,'个人技术总览'!$A$5:$A$46,0))</f>
        <v/>
      </c>
      <c r="R61" s="67">
        <f>INDEX('个人技术总览'!$Q$5:$Q$46,MATCH($A61,'个人技术总览'!$A$5:$A$46,0))</f>
        <v/>
      </c>
      <c r="S61" s="64">
        <f>INDEX('个人技术总览'!$R$5:$R$46,MATCH($A61,'个人技术总览'!$A$5:$A$46,0))</f>
        <v/>
      </c>
      <c r="T61" s="68">
        <f>POWER($Q61,$E61)</f>
        <v/>
      </c>
      <c r="U61" s="68">
        <f>SUMIFS($T$5:$T$589,$A$5:$A$589,$A61)</f>
        <v/>
      </c>
      <c r="V61" s="67">
        <f>ROUNDDOWN(MAX(0,$P61-$H61*$G61)*$T61/MAX(1,$U61),0)</f>
        <v/>
      </c>
      <c r="W61" s="68">
        <f>POWER($S61,$E61)</f>
        <v/>
      </c>
      <c r="X61" s="68">
        <f>SUMIFS($W$5:$W$589,$A$5:$A$589,$A61)</f>
        <v/>
      </c>
      <c r="Y61" s="67">
        <f>ROUNDDOWN(MAX(0,$R61-$J61*$G61)*$W61/MAX(1,$X61),0)</f>
        <v/>
      </c>
    </row>
    <row r="62">
      <c r="A62" s="17" t="inlineStr">
        <is>
          <t>scout_art</t>
        </is>
      </c>
      <c r="B62" s="18" t="inlineStr">
        <is>
          <t>侦查术</t>
        </is>
      </c>
      <c r="C62" s="18" t="inlineStr">
        <is>
          <t>基本技术</t>
        </is>
      </c>
      <c r="D62" s="18" t="inlineStr">
        <is>
          <t>—</t>
        </is>
      </c>
      <c r="E62" s="65" t="n">
        <v>57</v>
      </c>
      <c r="F62" s="66">
        <f>E62+1</f>
        <v/>
      </c>
      <c r="G62" s="65">
        <f>INDEX('个人技术总览'!$E$5:$E$46,MATCH($A62,'个人技术总览'!$A$5:$A$46,0))</f>
        <v/>
      </c>
      <c r="H62" s="59">
        <f>INDEX('个人技术总览'!$F$5:$F$46,MATCH($A62,'个人技术总览'!$A$5:$A$46,0))</f>
        <v/>
      </c>
      <c r="I62" s="60">
        <f>INDEX('个人技术总览'!$G$5:$G$46,MATCH($A62,'个人技术总览'!$A$5:$A$46,0))</f>
        <v/>
      </c>
      <c r="J62" s="59">
        <f>INDEX('个人技术总览'!$H$5:$H$46,MATCH($A62,'个人技术总览'!$A$5:$A$46,0))</f>
        <v/>
      </c>
      <c r="K62" s="60">
        <f>INDEX('个人技术总览'!$I$5:$I$46,MATCH($A62,'个人技术总览'!$A$5:$A$46,0))</f>
        <v/>
      </c>
      <c r="L62" s="67">
        <f>H62+V62+IF(E62=G62-1,MAX(0,P62-H62*G62-SUMIFS($V$5:$V$589,$A$5:$A$589,$A62)),0)</f>
        <v/>
      </c>
      <c r="M62" s="61">
        <f>MAX(1,ROUNDDOWN($L62/'参数与公式'!$B$5,0))</f>
        <v/>
      </c>
      <c r="N62" s="67">
        <f>J62+Y62+IF(E62=G62-1,MAX(0,R62-J62*G62-SUMIFS($Y$5:$Y$589,$A$5:$A$589,$A62)),0)</f>
        <v/>
      </c>
      <c r="O62" s="18" t="inlineStr">
        <is>
          <t>data/technology_templates.yaml; upgrade_*_budget / *_curve; code: technology_rules.allocate_upgrade_budget</t>
        </is>
      </c>
      <c r="P62" s="67">
        <f>INDEX('个人技术总览'!$O$5:$O$46,MATCH($A62,'个人技术总览'!$A$5:$A$46,0))</f>
        <v/>
      </c>
      <c r="Q62" s="64">
        <f>INDEX('个人技术总览'!$P$5:$P$46,MATCH($A62,'个人技术总览'!$A$5:$A$46,0))</f>
        <v/>
      </c>
      <c r="R62" s="67">
        <f>INDEX('个人技术总览'!$Q$5:$Q$46,MATCH($A62,'个人技术总览'!$A$5:$A$46,0))</f>
        <v/>
      </c>
      <c r="S62" s="64">
        <f>INDEX('个人技术总览'!$R$5:$R$46,MATCH($A62,'个人技术总览'!$A$5:$A$46,0))</f>
        <v/>
      </c>
      <c r="T62" s="68">
        <f>POWER($Q62,$E62)</f>
        <v/>
      </c>
      <c r="U62" s="68">
        <f>SUMIFS($T$5:$T$589,$A$5:$A$589,$A62)</f>
        <v/>
      </c>
      <c r="V62" s="67">
        <f>ROUNDDOWN(MAX(0,$P62-$H62*$G62)*$T62/MAX(1,$U62),0)</f>
        <v/>
      </c>
      <c r="W62" s="68">
        <f>POWER($S62,$E62)</f>
        <v/>
      </c>
      <c r="X62" s="68">
        <f>SUMIFS($W$5:$W$589,$A$5:$A$589,$A62)</f>
        <v/>
      </c>
      <c r="Y62" s="67">
        <f>ROUNDDOWN(MAX(0,$R62-$J62*$G62)*$W62/MAX(1,$X62),0)</f>
        <v/>
      </c>
    </row>
    <row r="63">
      <c r="A63" s="17" t="inlineStr">
        <is>
          <t>scout_art</t>
        </is>
      </c>
      <c r="B63" s="18" t="inlineStr">
        <is>
          <t>侦查术</t>
        </is>
      </c>
      <c r="C63" s="18" t="inlineStr">
        <is>
          <t>基本技术</t>
        </is>
      </c>
      <c r="D63" s="18" t="inlineStr">
        <is>
          <t>—</t>
        </is>
      </c>
      <c r="E63" s="65" t="n">
        <v>58</v>
      </c>
      <c r="F63" s="66">
        <f>E63+1</f>
        <v/>
      </c>
      <c r="G63" s="65">
        <f>INDEX('个人技术总览'!$E$5:$E$46,MATCH($A63,'个人技术总览'!$A$5:$A$46,0))</f>
        <v/>
      </c>
      <c r="H63" s="59">
        <f>INDEX('个人技术总览'!$F$5:$F$46,MATCH($A63,'个人技术总览'!$A$5:$A$46,0))</f>
        <v/>
      </c>
      <c r="I63" s="60">
        <f>INDEX('个人技术总览'!$G$5:$G$46,MATCH($A63,'个人技术总览'!$A$5:$A$46,0))</f>
        <v/>
      </c>
      <c r="J63" s="59">
        <f>INDEX('个人技术总览'!$H$5:$H$46,MATCH($A63,'个人技术总览'!$A$5:$A$46,0))</f>
        <v/>
      </c>
      <c r="K63" s="60">
        <f>INDEX('个人技术总览'!$I$5:$I$46,MATCH($A63,'个人技术总览'!$A$5:$A$46,0))</f>
        <v/>
      </c>
      <c r="L63" s="67">
        <f>H63+V63+IF(E63=G63-1,MAX(0,P63-H63*G63-SUMIFS($V$5:$V$589,$A$5:$A$589,$A63)),0)</f>
        <v/>
      </c>
      <c r="M63" s="61">
        <f>MAX(1,ROUNDDOWN($L63/'参数与公式'!$B$5,0))</f>
        <v/>
      </c>
      <c r="N63" s="67">
        <f>J63+Y63+IF(E63=G63-1,MAX(0,R63-J63*G63-SUMIFS($Y$5:$Y$589,$A$5:$A$589,$A63)),0)</f>
        <v/>
      </c>
      <c r="O63" s="18" t="inlineStr">
        <is>
          <t>data/technology_templates.yaml; upgrade_*_budget / *_curve; code: technology_rules.allocate_upgrade_budget</t>
        </is>
      </c>
      <c r="P63" s="67">
        <f>INDEX('个人技术总览'!$O$5:$O$46,MATCH($A63,'个人技术总览'!$A$5:$A$46,0))</f>
        <v/>
      </c>
      <c r="Q63" s="64">
        <f>INDEX('个人技术总览'!$P$5:$P$46,MATCH($A63,'个人技术总览'!$A$5:$A$46,0))</f>
        <v/>
      </c>
      <c r="R63" s="67">
        <f>INDEX('个人技术总览'!$Q$5:$Q$46,MATCH($A63,'个人技术总览'!$A$5:$A$46,0))</f>
        <v/>
      </c>
      <c r="S63" s="64">
        <f>INDEX('个人技术总览'!$R$5:$R$46,MATCH($A63,'个人技术总览'!$A$5:$A$46,0))</f>
        <v/>
      </c>
      <c r="T63" s="68">
        <f>POWER($Q63,$E63)</f>
        <v/>
      </c>
      <c r="U63" s="68">
        <f>SUMIFS($T$5:$T$589,$A$5:$A$589,$A63)</f>
        <v/>
      </c>
      <c r="V63" s="67">
        <f>ROUNDDOWN(MAX(0,$P63-$H63*$G63)*$T63/MAX(1,$U63),0)</f>
        <v/>
      </c>
      <c r="W63" s="68">
        <f>POWER($S63,$E63)</f>
        <v/>
      </c>
      <c r="X63" s="68">
        <f>SUMIFS($W$5:$W$589,$A$5:$A$589,$A63)</f>
        <v/>
      </c>
      <c r="Y63" s="67">
        <f>ROUNDDOWN(MAX(0,$R63-$J63*$G63)*$W63/MAX(1,$X63),0)</f>
        <v/>
      </c>
    </row>
    <row r="64">
      <c r="A64" s="17" t="inlineStr">
        <is>
          <t>scout_art</t>
        </is>
      </c>
      <c r="B64" s="18" t="inlineStr">
        <is>
          <t>侦查术</t>
        </is>
      </c>
      <c r="C64" s="18" t="inlineStr">
        <is>
          <t>基本技术</t>
        </is>
      </c>
      <c r="D64" s="18" t="inlineStr">
        <is>
          <t>—</t>
        </is>
      </c>
      <c r="E64" s="65" t="n">
        <v>59</v>
      </c>
      <c r="F64" s="66">
        <f>E64+1</f>
        <v/>
      </c>
      <c r="G64" s="65">
        <f>INDEX('个人技术总览'!$E$5:$E$46,MATCH($A64,'个人技术总览'!$A$5:$A$46,0))</f>
        <v/>
      </c>
      <c r="H64" s="59">
        <f>INDEX('个人技术总览'!$F$5:$F$46,MATCH($A64,'个人技术总览'!$A$5:$A$46,0))</f>
        <v/>
      </c>
      <c r="I64" s="60">
        <f>INDEX('个人技术总览'!$G$5:$G$46,MATCH($A64,'个人技术总览'!$A$5:$A$46,0))</f>
        <v/>
      </c>
      <c r="J64" s="59">
        <f>INDEX('个人技术总览'!$H$5:$H$46,MATCH($A64,'个人技术总览'!$A$5:$A$46,0))</f>
        <v/>
      </c>
      <c r="K64" s="60">
        <f>INDEX('个人技术总览'!$I$5:$I$46,MATCH($A64,'个人技术总览'!$A$5:$A$46,0))</f>
        <v/>
      </c>
      <c r="L64" s="67">
        <f>H64+V64+IF(E64=G64-1,MAX(0,P64-H64*G64-SUMIFS($V$5:$V$589,$A$5:$A$589,$A64)),0)</f>
        <v/>
      </c>
      <c r="M64" s="61">
        <f>MAX(1,ROUNDDOWN($L64/'参数与公式'!$B$5,0))</f>
        <v/>
      </c>
      <c r="N64" s="67">
        <f>J64+Y64+IF(E64=G64-1,MAX(0,R64-J64*G64-SUMIFS($Y$5:$Y$589,$A$5:$A$589,$A64)),0)</f>
        <v/>
      </c>
      <c r="O64" s="18" t="inlineStr">
        <is>
          <t>data/technology_templates.yaml; upgrade_*_budget / *_curve; code: technology_rules.allocate_upgrade_budget</t>
        </is>
      </c>
      <c r="P64" s="67">
        <f>INDEX('个人技术总览'!$O$5:$O$46,MATCH($A64,'个人技术总览'!$A$5:$A$46,0))</f>
        <v/>
      </c>
      <c r="Q64" s="64">
        <f>INDEX('个人技术总览'!$P$5:$P$46,MATCH($A64,'个人技术总览'!$A$5:$A$46,0))</f>
        <v/>
      </c>
      <c r="R64" s="67">
        <f>INDEX('个人技术总览'!$Q$5:$Q$46,MATCH($A64,'个人技术总览'!$A$5:$A$46,0))</f>
        <v/>
      </c>
      <c r="S64" s="64">
        <f>INDEX('个人技术总览'!$R$5:$R$46,MATCH($A64,'个人技术总览'!$A$5:$A$46,0))</f>
        <v/>
      </c>
      <c r="T64" s="68">
        <f>POWER($Q64,$E64)</f>
        <v/>
      </c>
      <c r="U64" s="68">
        <f>SUMIFS($T$5:$T$589,$A$5:$A$589,$A64)</f>
        <v/>
      </c>
      <c r="V64" s="67">
        <f>ROUNDDOWN(MAX(0,$P64-$H64*$G64)*$T64/MAX(1,$U64),0)</f>
        <v/>
      </c>
      <c r="W64" s="68">
        <f>POWER($S64,$E64)</f>
        <v/>
      </c>
      <c r="X64" s="68">
        <f>SUMIFS($W$5:$W$589,$A$5:$A$589,$A64)</f>
        <v/>
      </c>
      <c r="Y64" s="67">
        <f>ROUNDDOWN(MAX(0,$R64-$J64*$G64)*$W64/MAX(1,$X64),0)</f>
        <v/>
      </c>
    </row>
    <row r="65">
      <c r="A65" s="17" t="inlineStr">
        <is>
          <t>scout_art</t>
        </is>
      </c>
      <c r="B65" s="18" t="inlineStr">
        <is>
          <t>侦查术</t>
        </is>
      </c>
      <c r="C65" s="18" t="inlineStr">
        <is>
          <t>基本技术</t>
        </is>
      </c>
      <c r="D65" s="18" t="inlineStr">
        <is>
          <t>—</t>
        </is>
      </c>
      <c r="E65" s="65" t="n">
        <v>60</v>
      </c>
      <c r="F65" s="66">
        <f>E65+1</f>
        <v/>
      </c>
      <c r="G65" s="65">
        <f>INDEX('个人技术总览'!$E$5:$E$46,MATCH($A65,'个人技术总览'!$A$5:$A$46,0))</f>
        <v/>
      </c>
      <c r="H65" s="59">
        <f>INDEX('个人技术总览'!$F$5:$F$46,MATCH($A65,'个人技术总览'!$A$5:$A$46,0))</f>
        <v/>
      </c>
      <c r="I65" s="60">
        <f>INDEX('个人技术总览'!$G$5:$G$46,MATCH($A65,'个人技术总览'!$A$5:$A$46,0))</f>
        <v/>
      </c>
      <c r="J65" s="59">
        <f>INDEX('个人技术总览'!$H$5:$H$46,MATCH($A65,'个人技术总览'!$A$5:$A$46,0))</f>
        <v/>
      </c>
      <c r="K65" s="60">
        <f>INDEX('个人技术总览'!$I$5:$I$46,MATCH($A65,'个人技术总览'!$A$5:$A$46,0))</f>
        <v/>
      </c>
      <c r="L65" s="67">
        <f>H65+V65+IF(E65=G65-1,MAX(0,P65-H65*G65-SUMIFS($V$5:$V$589,$A$5:$A$589,$A65)),0)</f>
        <v/>
      </c>
      <c r="M65" s="61">
        <f>MAX(1,ROUNDDOWN($L65/'参数与公式'!$B$5,0))</f>
        <v/>
      </c>
      <c r="N65" s="67">
        <f>J65+Y65+IF(E65=G65-1,MAX(0,R65-J65*G65-SUMIFS($Y$5:$Y$589,$A$5:$A$589,$A65)),0)</f>
        <v/>
      </c>
      <c r="O65" s="18" t="inlineStr">
        <is>
          <t>data/technology_templates.yaml; upgrade_*_budget / *_curve; code: technology_rules.allocate_upgrade_budget</t>
        </is>
      </c>
      <c r="P65" s="67">
        <f>INDEX('个人技术总览'!$O$5:$O$46,MATCH($A65,'个人技术总览'!$A$5:$A$46,0))</f>
        <v/>
      </c>
      <c r="Q65" s="64">
        <f>INDEX('个人技术总览'!$P$5:$P$46,MATCH($A65,'个人技术总览'!$A$5:$A$46,0))</f>
        <v/>
      </c>
      <c r="R65" s="67">
        <f>INDEX('个人技术总览'!$Q$5:$Q$46,MATCH($A65,'个人技术总览'!$A$5:$A$46,0))</f>
        <v/>
      </c>
      <c r="S65" s="64">
        <f>INDEX('个人技术总览'!$R$5:$R$46,MATCH($A65,'个人技术总览'!$A$5:$A$46,0))</f>
        <v/>
      </c>
      <c r="T65" s="68">
        <f>POWER($Q65,$E65)</f>
        <v/>
      </c>
      <c r="U65" s="68">
        <f>SUMIFS($T$5:$T$589,$A$5:$A$589,$A65)</f>
        <v/>
      </c>
      <c r="V65" s="67">
        <f>ROUNDDOWN(MAX(0,$P65-$H65*$G65)*$T65/MAX(1,$U65),0)</f>
        <v/>
      </c>
      <c r="W65" s="68">
        <f>POWER($S65,$E65)</f>
        <v/>
      </c>
      <c r="X65" s="68">
        <f>SUMIFS($W$5:$W$589,$A$5:$A$589,$A65)</f>
        <v/>
      </c>
      <c r="Y65" s="67">
        <f>ROUNDDOWN(MAX(0,$R65-$J65*$G65)*$W65/MAX(1,$X65),0)</f>
        <v/>
      </c>
    </row>
    <row r="66">
      <c r="A66" s="17" t="inlineStr">
        <is>
          <t>scout_art</t>
        </is>
      </c>
      <c r="B66" s="18" t="inlineStr">
        <is>
          <t>侦查术</t>
        </is>
      </c>
      <c r="C66" s="18" t="inlineStr">
        <is>
          <t>基本技术</t>
        </is>
      </c>
      <c r="D66" s="18" t="inlineStr">
        <is>
          <t>—</t>
        </is>
      </c>
      <c r="E66" s="65" t="n">
        <v>61</v>
      </c>
      <c r="F66" s="66">
        <f>E66+1</f>
        <v/>
      </c>
      <c r="G66" s="65">
        <f>INDEX('个人技术总览'!$E$5:$E$46,MATCH($A66,'个人技术总览'!$A$5:$A$46,0))</f>
        <v/>
      </c>
      <c r="H66" s="59">
        <f>INDEX('个人技术总览'!$F$5:$F$46,MATCH($A66,'个人技术总览'!$A$5:$A$46,0))</f>
        <v/>
      </c>
      <c r="I66" s="60">
        <f>INDEX('个人技术总览'!$G$5:$G$46,MATCH($A66,'个人技术总览'!$A$5:$A$46,0))</f>
        <v/>
      </c>
      <c r="J66" s="59">
        <f>INDEX('个人技术总览'!$H$5:$H$46,MATCH($A66,'个人技术总览'!$A$5:$A$46,0))</f>
        <v/>
      </c>
      <c r="K66" s="60">
        <f>INDEX('个人技术总览'!$I$5:$I$46,MATCH($A66,'个人技术总览'!$A$5:$A$46,0))</f>
        <v/>
      </c>
      <c r="L66" s="67">
        <f>H66+V66+IF(E66=G66-1,MAX(0,P66-H66*G66-SUMIFS($V$5:$V$589,$A$5:$A$589,$A66)),0)</f>
        <v/>
      </c>
      <c r="M66" s="61">
        <f>MAX(1,ROUNDDOWN($L66/'参数与公式'!$B$5,0))</f>
        <v/>
      </c>
      <c r="N66" s="67">
        <f>J66+Y66+IF(E66=G66-1,MAX(0,R66-J66*G66-SUMIFS($Y$5:$Y$589,$A$5:$A$589,$A66)),0)</f>
        <v/>
      </c>
      <c r="O66" s="18" t="inlineStr">
        <is>
          <t>data/technology_templates.yaml; upgrade_*_budget / *_curve; code: technology_rules.allocate_upgrade_budget</t>
        </is>
      </c>
      <c r="P66" s="67">
        <f>INDEX('个人技术总览'!$O$5:$O$46,MATCH($A66,'个人技术总览'!$A$5:$A$46,0))</f>
        <v/>
      </c>
      <c r="Q66" s="64">
        <f>INDEX('个人技术总览'!$P$5:$P$46,MATCH($A66,'个人技术总览'!$A$5:$A$46,0))</f>
        <v/>
      </c>
      <c r="R66" s="67">
        <f>INDEX('个人技术总览'!$Q$5:$Q$46,MATCH($A66,'个人技术总览'!$A$5:$A$46,0))</f>
        <v/>
      </c>
      <c r="S66" s="64">
        <f>INDEX('个人技术总览'!$R$5:$R$46,MATCH($A66,'个人技术总览'!$A$5:$A$46,0))</f>
        <v/>
      </c>
      <c r="T66" s="68">
        <f>POWER($Q66,$E66)</f>
        <v/>
      </c>
      <c r="U66" s="68">
        <f>SUMIFS($T$5:$T$589,$A$5:$A$589,$A66)</f>
        <v/>
      </c>
      <c r="V66" s="67">
        <f>ROUNDDOWN(MAX(0,$P66-$H66*$G66)*$T66/MAX(1,$U66),0)</f>
        <v/>
      </c>
      <c r="W66" s="68">
        <f>POWER($S66,$E66)</f>
        <v/>
      </c>
      <c r="X66" s="68">
        <f>SUMIFS($W$5:$W$589,$A$5:$A$589,$A66)</f>
        <v/>
      </c>
      <c r="Y66" s="67">
        <f>ROUNDDOWN(MAX(0,$R66-$J66*$G66)*$W66/MAX(1,$X66),0)</f>
        <v/>
      </c>
    </row>
    <row r="67">
      <c r="A67" s="17" t="inlineStr">
        <is>
          <t>scout_art</t>
        </is>
      </c>
      <c r="B67" s="18" t="inlineStr">
        <is>
          <t>侦查术</t>
        </is>
      </c>
      <c r="C67" s="18" t="inlineStr">
        <is>
          <t>基本技术</t>
        </is>
      </c>
      <c r="D67" s="18" t="inlineStr">
        <is>
          <t>—</t>
        </is>
      </c>
      <c r="E67" s="65" t="n">
        <v>62</v>
      </c>
      <c r="F67" s="66">
        <f>E67+1</f>
        <v/>
      </c>
      <c r="G67" s="65">
        <f>INDEX('个人技术总览'!$E$5:$E$46,MATCH($A67,'个人技术总览'!$A$5:$A$46,0))</f>
        <v/>
      </c>
      <c r="H67" s="59">
        <f>INDEX('个人技术总览'!$F$5:$F$46,MATCH($A67,'个人技术总览'!$A$5:$A$46,0))</f>
        <v/>
      </c>
      <c r="I67" s="60">
        <f>INDEX('个人技术总览'!$G$5:$G$46,MATCH($A67,'个人技术总览'!$A$5:$A$46,0))</f>
        <v/>
      </c>
      <c r="J67" s="59">
        <f>INDEX('个人技术总览'!$H$5:$H$46,MATCH($A67,'个人技术总览'!$A$5:$A$46,0))</f>
        <v/>
      </c>
      <c r="K67" s="60">
        <f>INDEX('个人技术总览'!$I$5:$I$46,MATCH($A67,'个人技术总览'!$A$5:$A$46,0))</f>
        <v/>
      </c>
      <c r="L67" s="67">
        <f>H67+V67+IF(E67=G67-1,MAX(0,P67-H67*G67-SUMIFS($V$5:$V$589,$A$5:$A$589,$A67)),0)</f>
        <v/>
      </c>
      <c r="M67" s="61">
        <f>MAX(1,ROUNDDOWN($L67/'参数与公式'!$B$5,0))</f>
        <v/>
      </c>
      <c r="N67" s="67">
        <f>J67+Y67+IF(E67=G67-1,MAX(0,R67-J67*G67-SUMIFS($Y$5:$Y$589,$A$5:$A$589,$A67)),0)</f>
        <v/>
      </c>
      <c r="O67" s="18" t="inlineStr">
        <is>
          <t>data/technology_templates.yaml; upgrade_*_budget / *_curve; code: technology_rules.allocate_upgrade_budget</t>
        </is>
      </c>
      <c r="P67" s="67">
        <f>INDEX('个人技术总览'!$O$5:$O$46,MATCH($A67,'个人技术总览'!$A$5:$A$46,0))</f>
        <v/>
      </c>
      <c r="Q67" s="64">
        <f>INDEX('个人技术总览'!$P$5:$P$46,MATCH($A67,'个人技术总览'!$A$5:$A$46,0))</f>
        <v/>
      </c>
      <c r="R67" s="67">
        <f>INDEX('个人技术总览'!$Q$5:$Q$46,MATCH($A67,'个人技术总览'!$A$5:$A$46,0))</f>
        <v/>
      </c>
      <c r="S67" s="64">
        <f>INDEX('个人技术总览'!$R$5:$R$46,MATCH($A67,'个人技术总览'!$A$5:$A$46,0))</f>
        <v/>
      </c>
      <c r="T67" s="68">
        <f>POWER($Q67,$E67)</f>
        <v/>
      </c>
      <c r="U67" s="68">
        <f>SUMIFS($T$5:$T$589,$A$5:$A$589,$A67)</f>
        <v/>
      </c>
      <c r="V67" s="67">
        <f>ROUNDDOWN(MAX(0,$P67-$H67*$G67)*$T67/MAX(1,$U67),0)</f>
        <v/>
      </c>
      <c r="W67" s="68">
        <f>POWER($S67,$E67)</f>
        <v/>
      </c>
      <c r="X67" s="68">
        <f>SUMIFS($W$5:$W$589,$A$5:$A$589,$A67)</f>
        <v/>
      </c>
      <c r="Y67" s="67">
        <f>ROUNDDOWN(MAX(0,$R67-$J67*$G67)*$W67/MAX(1,$X67),0)</f>
        <v/>
      </c>
    </row>
    <row r="68">
      <c r="A68" s="17" t="inlineStr">
        <is>
          <t>scout_art</t>
        </is>
      </c>
      <c r="B68" s="18" t="inlineStr">
        <is>
          <t>侦查术</t>
        </is>
      </c>
      <c r="C68" s="18" t="inlineStr">
        <is>
          <t>基本技术</t>
        </is>
      </c>
      <c r="D68" s="18" t="inlineStr">
        <is>
          <t>—</t>
        </is>
      </c>
      <c r="E68" s="65" t="n">
        <v>63</v>
      </c>
      <c r="F68" s="66">
        <f>E68+1</f>
        <v/>
      </c>
      <c r="G68" s="65">
        <f>INDEX('个人技术总览'!$E$5:$E$46,MATCH($A68,'个人技术总览'!$A$5:$A$46,0))</f>
        <v/>
      </c>
      <c r="H68" s="59">
        <f>INDEX('个人技术总览'!$F$5:$F$46,MATCH($A68,'个人技术总览'!$A$5:$A$46,0))</f>
        <v/>
      </c>
      <c r="I68" s="60">
        <f>INDEX('个人技术总览'!$G$5:$G$46,MATCH($A68,'个人技术总览'!$A$5:$A$46,0))</f>
        <v/>
      </c>
      <c r="J68" s="59">
        <f>INDEX('个人技术总览'!$H$5:$H$46,MATCH($A68,'个人技术总览'!$A$5:$A$46,0))</f>
        <v/>
      </c>
      <c r="K68" s="60">
        <f>INDEX('个人技术总览'!$I$5:$I$46,MATCH($A68,'个人技术总览'!$A$5:$A$46,0))</f>
        <v/>
      </c>
      <c r="L68" s="67">
        <f>H68+V68+IF(E68=G68-1,MAX(0,P68-H68*G68-SUMIFS($V$5:$V$589,$A$5:$A$589,$A68)),0)</f>
        <v/>
      </c>
      <c r="M68" s="61">
        <f>MAX(1,ROUNDDOWN($L68/'参数与公式'!$B$5,0))</f>
        <v/>
      </c>
      <c r="N68" s="67">
        <f>J68+Y68+IF(E68=G68-1,MAX(0,R68-J68*G68-SUMIFS($Y$5:$Y$589,$A$5:$A$589,$A68)),0)</f>
        <v/>
      </c>
      <c r="O68" s="18" t="inlineStr">
        <is>
          <t>data/technology_templates.yaml; upgrade_*_budget / *_curve; code: technology_rules.allocate_upgrade_budget</t>
        </is>
      </c>
      <c r="P68" s="67">
        <f>INDEX('个人技术总览'!$O$5:$O$46,MATCH($A68,'个人技术总览'!$A$5:$A$46,0))</f>
        <v/>
      </c>
      <c r="Q68" s="64">
        <f>INDEX('个人技术总览'!$P$5:$P$46,MATCH($A68,'个人技术总览'!$A$5:$A$46,0))</f>
        <v/>
      </c>
      <c r="R68" s="67">
        <f>INDEX('个人技术总览'!$Q$5:$Q$46,MATCH($A68,'个人技术总览'!$A$5:$A$46,0))</f>
        <v/>
      </c>
      <c r="S68" s="64">
        <f>INDEX('个人技术总览'!$R$5:$R$46,MATCH($A68,'个人技术总览'!$A$5:$A$46,0))</f>
        <v/>
      </c>
      <c r="T68" s="68">
        <f>POWER($Q68,$E68)</f>
        <v/>
      </c>
      <c r="U68" s="68">
        <f>SUMIFS($T$5:$T$589,$A$5:$A$589,$A68)</f>
        <v/>
      </c>
      <c r="V68" s="67">
        <f>ROUNDDOWN(MAX(0,$P68-$H68*$G68)*$T68/MAX(1,$U68),0)</f>
        <v/>
      </c>
      <c r="W68" s="68">
        <f>POWER($S68,$E68)</f>
        <v/>
      </c>
      <c r="X68" s="68">
        <f>SUMIFS($W$5:$W$589,$A$5:$A$589,$A68)</f>
        <v/>
      </c>
      <c r="Y68" s="67">
        <f>ROUNDDOWN(MAX(0,$R68-$J68*$G68)*$W68/MAX(1,$X68),0)</f>
        <v/>
      </c>
    </row>
    <row r="69">
      <c r="A69" s="17" t="inlineStr">
        <is>
          <t>scout_art</t>
        </is>
      </c>
      <c r="B69" s="18" t="inlineStr">
        <is>
          <t>侦查术</t>
        </is>
      </c>
      <c r="C69" s="18" t="inlineStr">
        <is>
          <t>基本技术</t>
        </is>
      </c>
      <c r="D69" s="18" t="inlineStr">
        <is>
          <t>—</t>
        </is>
      </c>
      <c r="E69" s="65" t="n">
        <v>64</v>
      </c>
      <c r="F69" s="66">
        <f>E69+1</f>
        <v/>
      </c>
      <c r="G69" s="65">
        <f>INDEX('个人技术总览'!$E$5:$E$46,MATCH($A69,'个人技术总览'!$A$5:$A$46,0))</f>
        <v/>
      </c>
      <c r="H69" s="59">
        <f>INDEX('个人技术总览'!$F$5:$F$46,MATCH($A69,'个人技术总览'!$A$5:$A$46,0))</f>
        <v/>
      </c>
      <c r="I69" s="60">
        <f>INDEX('个人技术总览'!$G$5:$G$46,MATCH($A69,'个人技术总览'!$A$5:$A$46,0))</f>
        <v/>
      </c>
      <c r="J69" s="59">
        <f>INDEX('个人技术总览'!$H$5:$H$46,MATCH($A69,'个人技术总览'!$A$5:$A$46,0))</f>
        <v/>
      </c>
      <c r="K69" s="60">
        <f>INDEX('个人技术总览'!$I$5:$I$46,MATCH($A69,'个人技术总览'!$A$5:$A$46,0))</f>
        <v/>
      </c>
      <c r="L69" s="67">
        <f>H69+V69+IF(E69=G69-1,MAX(0,P69-H69*G69-SUMIFS($V$5:$V$589,$A$5:$A$589,$A69)),0)</f>
        <v/>
      </c>
      <c r="M69" s="61">
        <f>MAX(1,ROUNDDOWN($L69/'参数与公式'!$B$5,0))</f>
        <v/>
      </c>
      <c r="N69" s="67">
        <f>J69+Y69+IF(E69=G69-1,MAX(0,R69-J69*G69-SUMIFS($Y$5:$Y$589,$A$5:$A$589,$A69)),0)</f>
        <v/>
      </c>
      <c r="O69" s="18" t="inlineStr">
        <is>
          <t>data/technology_templates.yaml; upgrade_*_budget / *_curve; code: technology_rules.allocate_upgrade_budget</t>
        </is>
      </c>
      <c r="P69" s="67">
        <f>INDEX('个人技术总览'!$O$5:$O$46,MATCH($A69,'个人技术总览'!$A$5:$A$46,0))</f>
        <v/>
      </c>
      <c r="Q69" s="64">
        <f>INDEX('个人技术总览'!$P$5:$P$46,MATCH($A69,'个人技术总览'!$A$5:$A$46,0))</f>
        <v/>
      </c>
      <c r="R69" s="67">
        <f>INDEX('个人技术总览'!$Q$5:$Q$46,MATCH($A69,'个人技术总览'!$A$5:$A$46,0))</f>
        <v/>
      </c>
      <c r="S69" s="64">
        <f>INDEX('个人技术总览'!$R$5:$R$46,MATCH($A69,'个人技术总览'!$A$5:$A$46,0))</f>
        <v/>
      </c>
      <c r="T69" s="68">
        <f>POWER($Q69,$E69)</f>
        <v/>
      </c>
      <c r="U69" s="68">
        <f>SUMIFS($T$5:$T$589,$A$5:$A$589,$A69)</f>
        <v/>
      </c>
      <c r="V69" s="67">
        <f>ROUNDDOWN(MAX(0,$P69-$H69*$G69)*$T69/MAX(1,$U69),0)</f>
        <v/>
      </c>
      <c r="W69" s="68">
        <f>POWER($S69,$E69)</f>
        <v/>
      </c>
      <c r="X69" s="68">
        <f>SUMIFS($W$5:$W$589,$A$5:$A$589,$A69)</f>
        <v/>
      </c>
      <c r="Y69" s="67">
        <f>ROUNDDOWN(MAX(0,$R69-$J69*$G69)*$W69/MAX(1,$X69),0)</f>
        <v/>
      </c>
    </row>
    <row r="70">
      <c r="A70" s="17" t="inlineStr">
        <is>
          <t>scout_art</t>
        </is>
      </c>
      <c r="B70" s="18" t="inlineStr">
        <is>
          <t>侦查术</t>
        </is>
      </c>
      <c r="C70" s="18" t="inlineStr">
        <is>
          <t>基本技术</t>
        </is>
      </c>
      <c r="D70" s="18" t="inlineStr">
        <is>
          <t>—</t>
        </is>
      </c>
      <c r="E70" s="65" t="n">
        <v>65</v>
      </c>
      <c r="F70" s="66">
        <f>E70+1</f>
        <v/>
      </c>
      <c r="G70" s="65">
        <f>INDEX('个人技术总览'!$E$5:$E$46,MATCH($A70,'个人技术总览'!$A$5:$A$46,0))</f>
        <v/>
      </c>
      <c r="H70" s="59">
        <f>INDEX('个人技术总览'!$F$5:$F$46,MATCH($A70,'个人技术总览'!$A$5:$A$46,0))</f>
        <v/>
      </c>
      <c r="I70" s="60">
        <f>INDEX('个人技术总览'!$G$5:$G$46,MATCH($A70,'个人技术总览'!$A$5:$A$46,0))</f>
        <v/>
      </c>
      <c r="J70" s="59">
        <f>INDEX('个人技术总览'!$H$5:$H$46,MATCH($A70,'个人技术总览'!$A$5:$A$46,0))</f>
        <v/>
      </c>
      <c r="K70" s="60">
        <f>INDEX('个人技术总览'!$I$5:$I$46,MATCH($A70,'个人技术总览'!$A$5:$A$46,0))</f>
        <v/>
      </c>
      <c r="L70" s="67">
        <f>H70+V70+IF(E70=G70-1,MAX(0,P70-H70*G70-SUMIFS($V$5:$V$589,$A$5:$A$589,$A70)),0)</f>
        <v/>
      </c>
      <c r="M70" s="61">
        <f>MAX(1,ROUNDDOWN($L70/'参数与公式'!$B$5,0))</f>
        <v/>
      </c>
      <c r="N70" s="67">
        <f>J70+Y70+IF(E70=G70-1,MAX(0,R70-J70*G70-SUMIFS($Y$5:$Y$589,$A$5:$A$589,$A70)),0)</f>
        <v/>
      </c>
      <c r="O70" s="18" t="inlineStr">
        <is>
          <t>data/technology_templates.yaml; upgrade_*_budget / *_curve; code: technology_rules.allocate_upgrade_budget</t>
        </is>
      </c>
      <c r="P70" s="67">
        <f>INDEX('个人技术总览'!$O$5:$O$46,MATCH($A70,'个人技术总览'!$A$5:$A$46,0))</f>
        <v/>
      </c>
      <c r="Q70" s="64">
        <f>INDEX('个人技术总览'!$P$5:$P$46,MATCH($A70,'个人技术总览'!$A$5:$A$46,0))</f>
        <v/>
      </c>
      <c r="R70" s="67">
        <f>INDEX('个人技术总览'!$Q$5:$Q$46,MATCH($A70,'个人技术总览'!$A$5:$A$46,0))</f>
        <v/>
      </c>
      <c r="S70" s="64">
        <f>INDEX('个人技术总览'!$R$5:$R$46,MATCH($A70,'个人技术总览'!$A$5:$A$46,0))</f>
        <v/>
      </c>
      <c r="T70" s="68">
        <f>POWER($Q70,$E70)</f>
        <v/>
      </c>
      <c r="U70" s="68">
        <f>SUMIFS($T$5:$T$589,$A$5:$A$589,$A70)</f>
        <v/>
      </c>
      <c r="V70" s="67">
        <f>ROUNDDOWN(MAX(0,$P70-$H70*$G70)*$T70/MAX(1,$U70),0)</f>
        <v/>
      </c>
      <c r="W70" s="68">
        <f>POWER($S70,$E70)</f>
        <v/>
      </c>
      <c r="X70" s="68">
        <f>SUMIFS($W$5:$W$589,$A$5:$A$589,$A70)</f>
        <v/>
      </c>
      <c r="Y70" s="67">
        <f>ROUNDDOWN(MAX(0,$R70-$J70*$G70)*$W70/MAX(1,$X70),0)</f>
        <v/>
      </c>
    </row>
    <row r="71">
      <c r="A71" s="17" t="inlineStr">
        <is>
          <t>scout_art</t>
        </is>
      </c>
      <c r="B71" s="18" t="inlineStr">
        <is>
          <t>侦查术</t>
        </is>
      </c>
      <c r="C71" s="18" t="inlineStr">
        <is>
          <t>基本技术</t>
        </is>
      </c>
      <c r="D71" s="18" t="inlineStr">
        <is>
          <t>—</t>
        </is>
      </c>
      <c r="E71" s="65" t="n">
        <v>66</v>
      </c>
      <c r="F71" s="66">
        <f>E71+1</f>
        <v/>
      </c>
      <c r="G71" s="65">
        <f>INDEX('个人技术总览'!$E$5:$E$46,MATCH($A71,'个人技术总览'!$A$5:$A$46,0))</f>
        <v/>
      </c>
      <c r="H71" s="59">
        <f>INDEX('个人技术总览'!$F$5:$F$46,MATCH($A71,'个人技术总览'!$A$5:$A$46,0))</f>
        <v/>
      </c>
      <c r="I71" s="60">
        <f>INDEX('个人技术总览'!$G$5:$G$46,MATCH($A71,'个人技术总览'!$A$5:$A$46,0))</f>
        <v/>
      </c>
      <c r="J71" s="59">
        <f>INDEX('个人技术总览'!$H$5:$H$46,MATCH($A71,'个人技术总览'!$A$5:$A$46,0))</f>
        <v/>
      </c>
      <c r="K71" s="60">
        <f>INDEX('个人技术总览'!$I$5:$I$46,MATCH($A71,'个人技术总览'!$A$5:$A$46,0))</f>
        <v/>
      </c>
      <c r="L71" s="67">
        <f>H71+V71+IF(E71=G71-1,MAX(0,P71-H71*G71-SUMIFS($V$5:$V$589,$A$5:$A$589,$A71)),0)</f>
        <v/>
      </c>
      <c r="M71" s="61">
        <f>MAX(1,ROUNDDOWN($L71/'参数与公式'!$B$5,0))</f>
        <v/>
      </c>
      <c r="N71" s="67">
        <f>J71+Y71+IF(E71=G71-1,MAX(0,R71-J71*G71-SUMIFS($Y$5:$Y$589,$A$5:$A$589,$A71)),0)</f>
        <v/>
      </c>
      <c r="O71" s="18" t="inlineStr">
        <is>
          <t>data/technology_templates.yaml; upgrade_*_budget / *_curve; code: technology_rules.allocate_upgrade_budget</t>
        </is>
      </c>
      <c r="P71" s="67">
        <f>INDEX('个人技术总览'!$O$5:$O$46,MATCH($A71,'个人技术总览'!$A$5:$A$46,0))</f>
        <v/>
      </c>
      <c r="Q71" s="64">
        <f>INDEX('个人技术总览'!$P$5:$P$46,MATCH($A71,'个人技术总览'!$A$5:$A$46,0))</f>
        <v/>
      </c>
      <c r="R71" s="67">
        <f>INDEX('个人技术总览'!$Q$5:$Q$46,MATCH($A71,'个人技术总览'!$A$5:$A$46,0))</f>
        <v/>
      </c>
      <c r="S71" s="64">
        <f>INDEX('个人技术总览'!$R$5:$R$46,MATCH($A71,'个人技术总览'!$A$5:$A$46,0))</f>
        <v/>
      </c>
      <c r="T71" s="68">
        <f>POWER($Q71,$E71)</f>
        <v/>
      </c>
      <c r="U71" s="68">
        <f>SUMIFS($T$5:$T$589,$A$5:$A$589,$A71)</f>
        <v/>
      </c>
      <c r="V71" s="67">
        <f>ROUNDDOWN(MAX(0,$P71-$H71*$G71)*$T71/MAX(1,$U71),0)</f>
        <v/>
      </c>
      <c r="W71" s="68">
        <f>POWER($S71,$E71)</f>
        <v/>
      </c>
      <c r="X71" s="68">
        <f>SUMIFS($W$5:$W$589,$A$5:$A$589,$A71)</f>
        <v/>
      </c>
      <c r="Y71" s="67">
        <f>ROUNDDOWN(MAX(0,$R71-$J71*$G71)*$W71/MAX(1,$X71),0)</f>
        <v/>
      </c>
    </row>
    <row r="72">
      <c r="A72" s="17" t="inlineStr">
        <is>
          <t>scout_art</t>
        </is>
      </c>
      <c r="B72" s="18" t="inlineStr">
        <is>
          <t>侦查术</t>
        </is>
      </c>
      <c r="C72" s="18" t="inlineStr">
        <is>
          <t>基本技术</t>
        </is>
      </c>
      <c r="D72" s="18" t="inlineStr">
        <is>
          <t>—</t>
        </is>
      </c>
      <c r="E72" s="65" t="n">
        <v>67</v>
      </c>
      <c r="F72" s="66">
        <f>E72+1</f>
        <v/>
      </c>
      <c r="G72" s="65">
        <f>INDEX('个人技术总览'!$E$5:$E$46,MATCH($A72,'个人技术总览'!$A$5:$A$46,0))</f>
        <v/>
      </c>
      <c r="H72" s="59">
        <f>INDEX('个人技术总览'!$F$5:$F$46,MATCH($A72,'个人技术总览'!$A$5:$A$46,0))</f>
        <v/>
      </c>
      <c r="I72" s="60">
        <f>INDEX('个人技术总览'!$G$5:$G$46,MATCH($A72,'个人技术总览'!$A$5:$A$46,0))</f>
        <v/>
      </c>
      <c r="J72" s="59">
        <f>INDEX('个人技术总览'!$H$5:$H$46,MATCH($A72,'个人技术总览'!$A$5:$A$46,0))</f>
        <v/>
      </c>
      <c r="K72" s="60">
        <f>INDEX('个人技术总览'!$I$5:$I$46,MATCH($A72,'个人技术总览'!$A$5:$A$46,0))</f>
        <v/>
      </c>
      <c r="L72" s="67">
        <f>H72+V72+IF(E72=G72-1,MAX(0,P72-H72*G72-SUMIFS($V$5:$V$589,$A$5:$A$589,$A72)),0)</f>
        <v/>
      </c>
      <c r="M72" s="61">
        <f>MAX(1,ROUNDDOWN($L72/'参数与公式'!$B$5,0))</f>
        <v/>
      </c>
      <c r="N72" s="67">
        <f>J72+Y72+IF(E72=G72-1,MAX(0,R72-J72*G72-SUMIFS($Y$5:$Y$589,$A$5:$A$589,$A72)),0)</f>
        <v/>
      </c>
      <c r="O72" s="18" t="inlineStr">
        <is>
          <t>data/technology_templates.yaml; upgrade_*_budget / *_curve; code: technology_rules.allocate_upgrade_budget</t>
        </is>
      </c>
      <c r="P72" s="67">
        <f>INDEX('个人技术总览'!$O$5:$O$46,MATCH($A72,'个人技术总览'!$A$5:$A$46,0))</f>
        <v/>
      </c>
      <c r="Q72" s="64">
        <f>INDEX('个人技术总览'!$P$5:$P$46,MATCH($A72,'个人技术总览'!$A$5:$A$46,0))</f>
        <v/>
      </c>
      <c r="R72" s="67">
        <f>INDEX('个人技术总览'!$Q$5:$Q$46,MATCH($A72,'个人技术总览'!$A$5:$A$46,0))</f>
        <v/>
      </c>
      <c r="S72" s="64">
        <f>INDEX('个人技术总览'!$R$5:$R$46,MATCH($A72,'个人技术总览'!$A$5:$A$46,0))</f>
        <v/>
      </c>
      <c r="T72" s="68">
        <f>POWER($Q72,$E72)</f>
        <v/>
      </c>
      <c r="U72" s="68">
        <f>SUMIFS($T$5:$T$589,$A$5:$A$589,$A72)</f>
        <v/>
      </c>
      <c r="V72" s="67">
        <f>ROUNDDOWN(MAX(0,$P72-$H72*$G72)*$T72/MAX(1,$U72),0)</f>
        <v/>
      </c>
      <c r="W72" s="68">
        <f>POWER($S72,$E72)</f>
        <v/>
      </c>
      <c r="X72" s="68">
        <f>SUMIFS($W$5:$W$589,$A$5:$A$589,$A72)</f>
        <v/>
      </c>
      <c r="Y72" s="67">
        <f>ROUNDDOWN(MAX(0,$R72-$J72*$G72)*$W72/MAX(1,$X72),0)</f>
        <v/>
      </c>
    </row>
    <row r="73">
      <c r="A73" s="17" t="inlineStr">
        <is>
          <t>scout_art</t>
        </is>
      </c>
      <c r="B73" s="18" t="inlineStr">
        <is>
          <t>侦查术</t>
        </is>
      </c>
      <c r="C73" s="18" t="inlineStr">
        <is>
          <t>基本技术</t>
        </is>
      </c>
      <c r="D73" s="18" t="inlineStr">
        <is>
          <t>—</t>
        </is>
      </c>
      <c r="E73" s="65" t="n">
        <v>68</v>
      </c>
      <c r="F73" s="66">
        <f>E73+1</f>
        <v/>
      </c>
      <c r="G73" s="65">
        <f>INDEX('个人技术总览'!$E$5:$E$46,MATCH($A73,'个人技术总览'!$A$5:$A$46,0))</f>
        <v/>
      </c>
      <c r="H73" s="59">
        <f>INDEX('个人技术总览'!$F$5:$F$46,MATCH($A73,'个人技术总览'!$A$5:$A$46,0))</f>
        <v/>
      </c>
      <c r="I73" s="60">
        <f>INDEX('个人技术总览'!$G$5:$G$46,MATCH($A73,'个人技术总览'!$A$5:$A$46,0))</f>
        <v/>
      </c>
      <c r="J73" s="59">
        <f>INDEX('个人技术总览'!$H$5:$H$46,MATCH($A73,'个人技术总览'!$A$5:$A$46,0))</f>
        <v/>
      </c>
      <c r="K73" s="60">
        <f>INDEX('个人技术总览'!$I$5:$I$46,MATCH($A73,'个人技术总览'!$A$5:$A$46,0))</f>
        <v/>
      </c>
      <c r="L73" s="67">
        <f>H73+V73+IF(E73=G73-1,MAX(0,P73-H73*G73-SUMIFS($V$5:$V$589,$A$5:$A$589,$A73)),0)</f>
        <v/>
      </c>
      <c r="M73" s="61">
        <f>MAX(1,ROUNDDOWN($L73/'参数与公式'!$B$5,0))</f>
        <v/>
      </c>
      <c r="N73" s="67">
        <f>J73+Y73+IF(E73=G73-1,MAX(0,R73-J73*G73-SUMIFS($Y$5:$Y$589,$A$5:$A$589,$A73)),0)</f>
        <v/>
      </c>
      <c r="O73" s="18" t="inlineStr">
        <is>
          <t>data/technology_templates.yaml; upgrade_*_budget / *_curve; code: technology_rules.allocate_upgrade_budget</t>
        </is>
      </c>
      <c r="P73" s="67">
        <f>INDEX('个人技术总览'!$O$5:$O$46,MATCH($A73,'个人技术总览'!$A$5:$A$46,0))</f>
        <v/>
      </c>
      <c r="Q73" s="64">
        <f>INDEX('个人技术总览'!$P$5:$P$46,MATCH($A73,'个人技术总览'!$A$5:$A$46,0))</f>
        <v/>
      </c>
      <c r="R73" s="67">
        <f>INDEX('个人技术总览'!$Q$5:$Q$46,MATCH($A73,'个人技术总览'!$A$5:$A$46,0))</f>
        <v/>
      </c>
      <c r="S73" s="64">
        <f>INDEX('个人技术总览'!$R$5:$R$46,MATCH($A73,'个人技术总览'!$A$5:$A$46,0))</f>
        <v/>
      </c>
      <c r="T73" s="68">
        <f>POWER($Q73,$E73)</f>
        <v/>
      </c>
      <c r="U73" s="68">
        <f>SUMIFS($T$5:$T$589,$A$5:$A$589,$A73)</f>
        <v/>
      </c>
      <c r="V73" s="67">
        <f>ROUNDDOWN(MAX(0,$P73-$H73*$G73)*$T73/MAX(1,$U73),0)</f>
        <v/>
      </c>
      <c r="W73" s="68">
        <f>POWER($S73,$E73)</f>
        <v/>
      </c>
      <c r="X73" s="68">
        <f>SUMIFS($W$5:$W$589,$A$5:$A$589,$A73)</f>
        <v/>
      </c>
      <c r="Y73" s="67">
        <f>ROUNDDOWN(MAX(0,$R73-$J73*$G73)*$W73/MAX(1,$X73),0)</f>
        <v/>
      </c>
    </row>
    <row r="74">
      <c r="A74" s="17" t="inlineStr">
        <is>
          <t>scout_art</t>
        </is>
      </c>
      <c r="B74" s="18" t="inlineStr">
        <is>
          <t>侦查术</t>
        </is>
      </c>
      <c r="C74" s="18" t="inlineStr">
        <is>
          <t>基本技术</t>
        </is>
      </c>
      <c r="D74" s="18" t="inlineStr">
        <is>
          <t>—</t>
        </is>
      </c>
      <c r="E74" s="65" t="n">
        <v>69</v>
      </c>
      <c r="F74" s="66">
        <f>E74+1</f>
        <v/>
      </c>
      <c r="G74" s="65">
        <f>INDEX('个人技术总览'!$E$5:$E$46,MATCH($A74,'个人技术总览'!$A$5:$A$46,0))</f>
        <v/>
      </c>
      <c r="H74" s="59">
        <f>INDEX('个人技术总览'!$F$5:$F$46,MATCH($A74,'个人技术总览'!$A$5:$A$46,0))</f>
        <v/>
      </c>
      <c r="I74" s="60">
        <f>INDEX('个人技术总览'!$G$5:$G$46,MATCH($A74,'个人技术总览'!$A$5:$A$46,0))</f>
        <v/>
      </c>
      <c r="J74" s="59">
        <f>INDEX('个人技术总览'!$H$5:$H$46,MATCH($A74,'个人技术总览'!$A$5:$A$46,0))</f>
        <v/>
      </c>
      <c r="K74" s="60">
        <f>INDEX('个人技术总览'!$I$5:$I$46,MATCH($A74,'个人技术总览'!$A$5:$A$46,0))</f>
        <v/>
      </c>
      <c r="L74" s="67">
        <f>H74+V74+IF(E74=G74-1,MAX(0,P74-H74*G74-SUMIFS($V$5:$V$589,$A$5:$A$589,$A74)),0)</f>
        <v/>
      </c>
      <c r="M74" s="61">
        <f>MAX(1,ROUNDDOWN($L74/'参数与公式'!$B$5,0))</f>
        <v/>
      </c>
      <c r="N74" s="67">
        <f>J74+Y74+IF(E74=G74-1,MAX(0,R74-J74*G74-SUMIFS($Y$5:$Y$589,$A$5:$A$589,$A74)),0)</f>
        <v/>
      </c>
      <c r="O74" s="18" t="inlineStr">
        <is>
          <t>data/technology_templates.yaml; upgrade_*_budget / *_curve; code: technology_rules.allocate_upgrade_budget</t>
        </is>
      </c>
      <c r="P74" s="67">
        <f>INDEX('个人技术总览'!$O$5:$O$46,MATCH($A74,'个人技术总览'!$A$5:$A$46,0))</f>
        <v/>
      </c>
      <c r="Q74" s="64">
        <f>INDEX('个人技术总览'!$P$5:$P$46,MATCH($A74,'个人技术总览'!$A$5:$A$46,0))</f>
        <v/>
      </c>
      <c r="R74" s="67">
        <f>INDEX('个人技术总览'!$Q$5:$Q$46,MATCH($A74,'个人技术总览'!$A$5:$A$46,0))</f>
        <v/>
      </c>
      <c r="S74" s="64">
        <f>INDEX('个人技术总览'!$R$5:$R$46,MATCH($A74,'个人技术总览'!$A$5:$A$46,0))</f>
        <v/>
      </c>
      <c r="T74" s="68">
        <f>POWER($Q74,$E74)</f>
        <v/>
      </c>
      <c r="U74" s="68">
        <f>SUMIFS($T$5:$T$589,$A$5:$A$589,$A74)</f>
        <v/>
      </c>
      <c r="V74" s="67">
        <f>ROUNDDOWN(MAX(0,$P74-$H74*$G74)*$T74/MAX(1,$U74),0)</f>
        <v/>
      </c>
      <c r="W74" s="68">
        <f>POWER($S74,$E74)</f>
        <v/>
      </c>
      <c r="X74" s="68">
        <f>SUMIFS($W$5:$W$589,$A$5:$A$589,$A74)</f>
        <v/>
      </c>
      <c r="Y74" s="67">
        <f>ROUNDDOWN(MAX(0,$R74-$J74*$G74)*$W74/MAX(1,$X74),0)</f>
        <v/>
      </c>
    </row>
    <row r="75">
      <c r="A75" s="17" t="inlineStr">
        <is>
          <t>scout_art</t>
        </is>
      </c>
      <c r="B75" s="18" t="inlineStr">
        <is>
          <t>侦查术</t>
        </is>
      </c>
      <c r="C75" s="18" t="inlineStr">
        <is>
          <t>基本技术</t>
        </is>
      </c>
      <c r="D75" s="18" t="inlineStr">
        <is>
          <t>—</t>
        </is>
      </c>
      <c r="E75" s="65" t="n">
        <v>70</v>
      </c>
      <c r="F75" s="66">
        <f>E75+1</f>
        <v/>
      </c>
      <c r="G75" s="65">
        <f>INDEX('个人技术总览'!$E$5:$E$46,MATCH($A75,'个人技术总览'!$A$5:$A$46,0))</f>
        <v/>
      </c>
      <c r="H75" s="59">
        <f>INDEX('个人技术总览'!$F$5:$F$46,MATCH($A75,'个人技术总览'!$A$5:$A$46,0))</f>
        <v/>
      </c>
      <c r="I75" s="60">
        <f>INDEX('个人技术总览'!$G$5:$G$46,MATCH($A75,'个人技术总览'!$A$5:$A$46,0))</f>
        <v/>
      </c>
      <c r="J75" s="59">
        <f>INDEX('个人技术总览'!$H$5:$H$46,MATCH($A75,'个人技术总览'!$A$5:$A$46,0))</f>
        <v/>
      </c>
      <c r="K75" s="60">
        <f>INDEX('个人技术总览'!$I$5:$I$46,MATCH($A75,'个人技术总览'!$A$5:$A$46,0))</f>
        <v/>
      </c>
      <c r="L75" s="67">
        <f>H75+V75+IF(E75=G75-1,MAX(0,P75-H75*G75-SUMIFS($V$5:$V$589,$A$5:$A$589,$A75)),0)</f>
        <v/>
      </c>
      <c r="M75" s="61">
        <f>MAX(1,ROUNDDOWN($L75/'参数与公式'!$B$5,0))</f>
        <v/>
      </c>
      <c r="N75" s="67">
        <f>J75+Y75+IF(E75=G75-1,MAX(0,R75-J75*G75-SUMIFS($Y$5:$Y$589,$A$5:$A$589,$A75)),0)</f>
        <v/>
      </c>
      <c r="O75" s="18" t="inlineStr">
        <is>
          <t>data/technology_templates.yaml; upgrade_*_budget / *_curve; code: technology_rules.allocate_upgrade_budget</t>
        </is>
      </c>
      <c r="P75" s="67">
        <f>INDEX('个人技术总览'!$O$5:$O$46,MATCH($A75,'个人技术总览'!$A$5:$A$46,0))</f>
        <v/>
      </c>
      <c r="Q75" s="64">
        <f>INDEX('个人技术总览'!$P$5:$P$46,MATCH($A75,'个人技术总览'!$A$5:$A$46,0))</f>
        <v/>
      </c>
      <c r="R75" s="67">
        <f>INDEX('个人技术总览'!$Q$5:$Q$46,MATCH($A75,'个人技术总览'!$A$5:$A$46,0))</f>
        <v/>
      </c>
      <c r="S75" s="64">
        <f>INDEX('个人技术总览'!$R$5:$R$46,MATCH($A75,'个人技术总览'!$A$5:$A$46,0))</f>
        <v/>
      </c>
      <c r="T75" s="68">
        <f>POWER($Q75,$E75)</f>
        <v/>
      </c>
      <c r="U75" s="68">
        <f>SUMIFS($T$5:$T$589,$A$5:$A$589,$A75)</f>
        <v/>
      </c>
      <c r="V75" s="67">
        <f>ROUNDDOWN(MAX(0,$P75-$H75*$G75)*$T75/MAX(1,$U75),0)</f>
        <v/>
      </c>
      <c r="W75" s="68">
        <f>POWER($S75,$E75)</f>
        <v/>
      </c>
      <c r="X75" s="68">
        <f>SUMIFS($W$5:$W$589,$A$5:$A$589,$A75)</f>
        <v/>
      </c>
      <c r="Y75" s="67">
        <f>ROUNDDOWN(MAX(0,$R75-$J75*$G75)*$W75/MAX(1,$X75),0)</f>
        <v/>
      </c>
    </row>
    <row r="76">
      <c r="A76" s="17" t="inlineStr">
        <is>
          <t>scout_art</t>
        </is>
      </c>
      <c r="B76" s="18" t="inlineStr">
        <is>
          <t>侦查术</t>
        </is>
      </c>
      <c r="C76" s="18" t="inlineStr">
        <is>
          <t>基本技术</t>
        </is>
      </c>
      <c r="D76" s="18" t="inlineStr">
        <is>
          <t>—</t>
        </is>
      </c>
      <c r="E76" s="65" t="n">
        <v>71</v>
      </c>
      <c r="F76" s="66">
        <f>E76+1</f>
        <v/>
      </c>
      <c r="G76" s="65">
        <f>INDEX('个人技术总览'!$E$5:$E$46,MATCH($A76,'个人技术总览'!$A$5:$A$46,0))</f>
        <v/>
      </c>
      <c r="H76" s="59">
        <f>INDEX('个人技术总览'!$F$5:$F$46,MATCH($A76,'个人技术总览'!$A$5:$A$46,0))</f>
        <v/>
      </c>
      <c r="I76" s="60">
        <f>INDEX('个人技术总览'!$G$5:$G$46,MATCH($A76,'个人技术总览'!$A$5:$A$46,0))</f>
        <v/>
      </c>
      <c r="J76" s="59">
        <f>INDEX('个人技术总览'!$H$5:$H$46,MATCH($A76,'个人技术总览'!$A$5:$A$46,0))</f>
        <v/>
      </c>
      <c r="K76" s="60">
        <f>INDEX('个人技术总览'!$I$5:$I$46,MATCH($A76,'个人技术总览'!$A$5:$A$46,0))</f>
        <v/>
      </c>
      <c r="L76" s="67">
        <f>H76+V76+IF(E76=G76-1,MAX(0,P76-H76*G76-SUMIFS($V$5:$V$589,$A$5:$A$589,$A76)),0)</f>
        <v/>
      </c>
      <c r="M76" s="61">
        <f>MAX(1,ROUNDDOWN($L76/'参数与公式'!$B$5,0))</f>
        <v/>
      </c>
      <c r="N76" s="67">
        <f>J76+Y76+IF(E76=G76-1,MAX(0,R76-J76*G76-SUMIFS($Y$5:$Y$589,$A$5:$A$589,$A76)),0)</f>
        <v/>
      </c>
      <c r="O76" s="18" t="inlineStr">
        <is>
          <t>data/technology_templates.yaml; upgrade_*_budget / *_curve; code: technology_rules.allocate_upgrade_budget</t>
        </is>
      </c>
      <c r="P76" s="67">
        <f>INDEX('个人技术总览'!$O$5:$O$46,MATCH($A76,'个人技术总览'!$A$5:$A$46,0))</f>
        <v/>
      </c>
      <c r="Q76" s="64">
        <f>INDEX('个人技术总览'!$P$5:$P$46,MATCH($A76,'个人技术总览'!$A$5:$A$46,0))</f>
        <v/>
      </c>
      <c r="R76" s="67">
        <f>INDEX('个人技术总览'!$Q$5:$Q$46,MATCH($A76,'个人技术总览'!$A$5:$A$46,0))</f>
        <v/>
      </c>
      <c r="S76" s="64">
        <f>INDEX('个人技术总览'!$R$5:$R$46,MATCH($A76,'个人技术总览'!$A$5:$A$46,0))</f>
        <v/>
      </c>
      <c r="T76" s="68">
        <f>POWER($Q76,$E76)</f>
        <v/>
      </c>
      <c r="U76" s="68">
        <f>SUMIFS($T$5:$T$589,$A$5:$A$589,$A76)</f>
        <v/>
      </c>
      <c r="V76" s="67">
        <f>ROUNDDOWN(MAX(0,$P76-$H76*$G76)*$T76/MAX(1,$U76),0)</f>
        <v/>
      </c>
      <c r="W76" s="68">
        <f>POWER($S76,$E76)</f>
        <v/>
      </c>
      <c r="X76" s="68">
        <f>SUMIFS($W$5:$W$589,$A$5:$A$589,$A76)</f>
        <v/>
      </c>
      <c r="Y76" s="67">
        <f>ROUNDDOWN(MAX(0,$R76-$J76*$G76)*$W76/MAX(1,$X76),0)</f>
        <v/>
      </c>
    </row>
    <row r="77">
      <c r="A77" s="17" t="inlineStr">
        <is>
          <t>scout_art</t>
        </is>
      </c>
      <c r="B77" s="18" t="inlineStr">
        <is>
          <t>侦查术</t>
        </is>
      </c>
      <c r="C77" s="18" t="inlineStr">
        <is>
          <t>基本技术</t>
        </is>
      </c>
      <c r="D77" s="18" t="inlineStr">
        <is>
          <t>—</t>
        </is>
      </c>
      <c r="E77" s="65" t="n">
        <v>72</v>
      </c>
      <c r="F77" s="66">
        <f>E77+1</f>
        <v/>
      </c>
      <c r="G77" s="65">
        <f>INDEX('个人技术总览'!$E$5:$E$46,MATCH($A77,'个人技术总览'!$A$5:$A$46,0))</f>
        <v/>
      </c>
      <c r="H77" s="59">
        <f>INDEX('个人技术总览'!$F$5:$F$46,MATCH($A77,'个人技术总览'!$A$5:$A$46,0))</f>
        <v/>
      </c>
      <c r="I77" s="60">
        <f>INDEX('个人技术总览'!$G$5:$G$46,MATCH($A77,'个人技术总览'!$A$5:$A$46,0))</f>
        <v/>
      </c>
      <c r="J77" s="59">
        <f>INDEX('个人技术总览'!$H$5:$H$46,MATCH($A77,'个人技术总览'!$A$5:$A$46,0))</f>
        <v/>
      </c>
      <c r="K77" s="60">
        <f>INDEX('个人技术总览'!$I$5:$I$46,MATCH($A77,'个人技术总览'!$A$5:$A$46,0))</f>
        <v/>
      </c>
      <c r="L77" s="67">
        <f>H77+V77+IF(E77=G77-1,MAX(0,P77-H77*G77-SUMIFS($V$5:$V$589,$A$5:$A$589,$A77)),0)</f>
        <v/>
      </c>
      <c r="M77" s="61">
        <f>MAX(1,ROUNDDOWN($L77/'参数与公式'!$B$5,0))</f>
        <v/>
      </c>
      <c r="N77" s="67">
        <f>J77+Y77+IF(E77=G77-1,MAX(0,R77-J77*G77-SUMIFS($Y$5:$Y$589,$A$5:$A$589,$A77)),0)</f>
        <v/>
      </c>
      <c r="O77" s="18" t="inlineStr">
        <is>
          <t>data/technology_templates.yaml; upgrade_*_budget / *_curve; code: technology_rules.allocate_upgrade_budget</t>
        </is>
      </c>
      <c r="P77" s="67">
        <f>INDEX('个人技术总览'!$O$5:$O$46,MATCH($A77,'个人技术总览'!$A$5:$A$46,0))</f>
        <v/>
      </c>
      <c r="Q77" s="64">
        <f>INDEX('个人技术总览'!$P$5:$P$46,MATCH($A77,'个人技术总览'!$A$5:$A$46,0))</f>
        <v/>
      </c>
      <c r="R77" s="67">
        <f>INDEX('个人技术总览'!$Q$5:$Q$46,MATCH($A77,'个人技术总览'!$A$5:$A$46,0))</f>
        <v/>
      </c>
      <c r="S77" s="64">
        <f>INDEX('个人技术总览'!$R$5:$R$46,MATCH($A77,'个人技术总览'!$A$5:$A$46,0))</f>
        <v/>
      </c>
      <c r="T77" s="68">
        <f>POWER($Q77,$E77)</f>
        <v/>
      </c>
      <c r="U77" s="68">
        <f>SUMIFS($T$5:$T$589,$A$5:$A$589,$A77)</f>
        <v/>
      </c>
      <c r="V77" s="67">
        <f>ROUNDDOWN(MAX(0,$P77-$H77*$G77)*$T77/MAX(1,$U77),0)</f>
        <v/>
      </c>
      <c r="W77" s="68">
        <f>POWER($S77,$E77)</f>
        <v/>
      </c>
      <c r="X77" s="68">
        <f>SUMIFS($W$5:$W$589,$A$5:$A$589,$A77)</f>
        <v/>
      </c>
      <c r="Y77" s="67">
        <f>ROUNDDOWN(MAX(0,$R77-$J77*$G77)*$W77/MAX(1,$X77),0)</f>
        <v/>
      </c>
    </row>
    <row r="78">
      <c r="A78" s="17" t="inlineStr">
        <is>
          <t>scout_art</t>
        </is>
      </c>
      <c r="B78" s="18" t="inlineStr">
        <is>
          <t>侦查术</t>
        </is>
      </c>
      <c r="C78" s="18" t="inlineStr">
        <is>
          <t>基本技术</t>
        </is>
      </c>
      <c r="D78" s="18" t="inlineStr">
        <is>
          <t>—</t>
        </is>
      </c>
      <c r="E78" s="65" t="n">
        <v>73</v>
      </c>
      <c r="F78" s="66">
        <f>E78+1</f>
        <v/>
      </c>
      <c r="G78" s="65">
        <f>INDEX('个人技术总览'!$E$5:$E$46,MATCH($A78,'个人技术总览'!$A$5:$A$46,0))</f>
        <v/>
      </c>
      <c r="H78" s="59">
        <f>INDEX('个人技术总览'!$F$5:$F$46,MATCH($A78,'个人技术总览'!$A$5:$A$46,0))</f>
        <v/>
      </c>
      <c r="I78" s="60">
        <f>INDEX('个人技术总览'!$G$5:$G$46,MATCH($A78,'个人技术总览'!$A$5:$A$46,0))</f>
        <v/>
      </c>
      <c r="J78" s="59">
        <f>INDEX('个人技术总览'!$H$5:$H$46,MATCH($A78,'个人技术总览'!$A$5:$A$46,0))</f>
        <v/>
      </c>
      <c r="K78" s="60">
        <f>INDEX('个人技术总览'!$I$5:$I$46,MATCH($A78,'个人技术总览'!$A$5:$A$46,0))</f>
        <v/>
      </c>
      <c r="L78" s="67">
        <f>H78+V78+IF(E78=G78-1,MAX(0,P78-H78*G78-SUMIFS($V$5:$V$589,$A$5:$A$589,$A78)),0)</f>
        <v/>
      </c>
      <c r="M78" s="61">
        <f>MAX(1,ROUNDDOWN($L78/'参数与公式'!$B$5,0))</f>
        <v/>
      </c>
      <c r="N78" s="67">
        <f>J78+Y78+IF(E78=G78-1,MAX(0,R78-J78*G78-SUMIFS($Y$5:$Y$589,$A$5:$A$589,$A78)),0)</f>
        <v/>
      </c>
      <c r="O78" s="18" t="inlineStr">
        <is>
          <t>data/technology_templates.yaml; upgrade_*_budget / *_curve; code: technology_rules.allocate_upgrade_budget</t>
        </is>
      </c>
      <c r="P78" s="67">
        <f>INDEX('个人技术总览'!$O$5:$O$46,MATCH($A78,'个人技术总览'!$A$5:$A$46,0))</f>
        <v/>
      </c>
      <c r="Q78" s="64">
        <f>INDEX('个人技术总览'!$P$5:$P$46,MATCH($A78,'个人技术总览'!$A$5:$A$46,0))</f>
        <v/>
      </c>
      <c r="R78" s="67">
        <f>INDEX('个人技术总览'!$Q$5:$Q$46,MATCH($A78,'个人技术总览'!$A$5:$A$46,0))</f>
        <v/>
      </c>
      <c r="S78" s="64">
        <f>INDEX('个人技术总览'!$R$5:$R$46,MATCH($A78,'个人技术总览'!$A$5:$A$46,0))</f>
        <v/>
      </c>
      <c r="T78" s="68">
        <f>POWER($Q78,$E78)</f>
        <v/>
      </c>
      <c r="U78" s="68">
        <f>SUMIFS($T$5:$T$589,$A$5:$A$589,$A78)</f>
        <v/>
      </c>
      <c r="V78" s="67">
        <f>ROUNDDOWN(MAX(0,$P78-$H78*$G78)*$T78/MAX(1,$U78),0)</f>
        <v/>
      </c>
      <c r="W78" s="68">
        <f>POWER($S78,$E78)</f>
        <v/>
      </c>
      <c r="X78" s="68">
        <f>SUMIFS($W$5:$W$589,$A$5:$A$589,$A78)</f>
        <v/>
      </c>
      <c r="Y78" s="67">
        <f>ROUNDDOWN(MAX(0,$R78-$J78*$G78)*$W78/MAX(1,$X78),0)</f>
        <v/>
      </c>
    </row>
    <row r="79">
      <c r="A79" s="17" t="inlineStr">
        <is>
          <t>scout_art</t>
        </is>
      </c>
      <c r="B79" s="18" t="inlineStr">
        <is>
          <t>侦查术</t>
        </is>
      </c>
      <c r="C79" s="18" t="inlineStr">
        <is>
          <t>基本技术</t>
        </is>
      </c>
      <c r="D79" s="18" t="inlineStr">
        <is>
          <t>—</t>
        </is>
      </c>
      <c r="E79" s="65" t="n">
        <v>74</v>
      </c>
      <c r="F79" s="66">
        <f>E79+1</f>
        <v/>
      </c>
      <c r="G79" s="65">
        <f>INDEX('个人技术总览'!$E$5:$E$46,MATCH($A79,'个人技术总览'!$A$5:$A$46,0))</f>
        <v/>
      </c>
      <c r="H79" s="59">
        <f>INDEX('个人技术总览'!$F$5:$F$46,MATCH($A79,'个人技术总览'!$A$5:$A$46,0))</f>
        <v/>
      </c>
      <c r="I79" s="60">
        <f>INDEX('个人技术总览'!$G$5:$G$46,MATCH($A79,'个人技术总览'!$A$5:$A$46,0))</f>
        <v/>
      </c>
      <c r="J79" s="59">
        <f>INDEX('个人技术总览'!$H$5:$H$46,MATCH($A79,'个人技术总览'!$A$5:$A$46,0))</f>
        <v/>
      </c>
      <c r="K79" s="60">
        <f>INDEX('个人技术总览'!$I$5:$I$46,MATCH($A79,'个人技术总览'!$A$5:$A$46,0))</f>
        <v/>
      </c>
      <c r="L79" s="67">
        <f>H79+V79+IF(E79=G79-1,MAX(0,P79-H79*G79-SUMIFS($V$5:$V$589,$A$5:$A$589,$A79)),0)</f>
        <v/>
      </c>
      <c r="M79" s="61">
        <f>MAX(1,ROUNDDOWN($L79/'参数与公式'!$B$5,0))</f>
        <v/>
      </c>
      <c r="N79" s="67">
        <f>J79+Y79+IF(E79=G79-1,MAX(0,R79-J79*G79-SUMIFS($Y$5:$Y$589,$A$5:$A$589,$A79)),0)</f>
        <v/>
      </c>
      <c r="O79" s="18" t="inlineStr">
        <is>
          <t>data/technology_templates.yaml; upgrade_*_budget / *_curve; code: technology_rules.allocate_upgrade_budget</t>
        </is>
      </c>
      <c r="P79" s="67">
        <f>INDEX('个人技术总览'!$O$5:$O$46,MATCH($A79,'个人技术总览'!$A$5:$A$46,0))</f>
        <v/>
      </c>
      <c r="Q79" s="64">
        <f>INDEX('个人技术总览'!$P$5:$P$46,MATCH($A79,'个人技术总览'!$A$5:$A$46,0))</f>
        <v/>
      </c>
      <c r="R79" s="67">
        <f>INDEX('个人技术总览'!$Q$5:$Q$46,MATCH($A79,'个人技术总览'!$A$5:$A$46,0))</f>
        <v/>
      </c>
      <c r="S79" s="64">
        <f>INDEX('个人技术总览'!$R$5:$R$46,MATCH($A79,'个人技术总览'!$A$5:$A$46,0))</f>
        <v/>
      </c>
      <c r="T79" s="68">
        <f>POWER($Q79,$E79)</f>
        <v/>
      </c>
      <c r="U79" s="68">
        <f>SUMIFS($T$5:$T$589,$A$5:$A$589,$A79)</f>
        <v/>
      </c>
      <c r="V79" s="67">
        <f>ROUNDDOWN(MAX(0,$P79-$H79*$G79)*$T79/MAX(1,$U79),0)</f>
        <v/>
      </c>
      <c r="W79" s="68">
        <f>POWER($S79,$E79)</f>
        <v/>
      </c>
      <c r="X79" s="68">
        <f>SUMIFS($W$5:$W$589,$A$5:$A$589,$A79)</f>
        <v/>
      </c>
      <c r="Y79" s="67">
        <f>ROUNDDOWN(MAX(0,$R79-$J79*$G79)*$W79/MAX(1,$X79),0)</f>
        <v/>
      </c>
    </row>
    <row r="80">
      <c r="A80" s="17" t="inlineStr">
        <is>
          <t>scout_art</t>
        </is>
      </c>
      <c r="B80" s="18" t="inlineStr">
        <is>
          <t>侦查术</t>
        </is>
      </c>
      <c r="C80" s="18" t="inlineStr">
        <is>
          <t>基本技术</t>
        </is>
      </c>
      <c r="D80" s="18" t="inlineStr">
        <is>
          <t>—</t>
        </is>
      </c>
      <c r="E80" s="65" t="n">
        <v>75</v>
      </c>
      <c r="F80" s="66">
        <f>E80+1</f>
        <v/>
      </c>
      <c r="G80" s="65">
        <f>INDEX('个人技术总览'!$E$5:$E$46,MATCH($A80,'个人技术总览'!$A$5:$A$46,0))</f>
        <v/>
      </c>
      <c r="H80" s="59">
        <f>INDEX('个人技术总览'!$F$5:$F$46,MATCH($A80,'个人技术总览'!$A$5:$A$46,0))</f>
        <v/>
      </c>
      <c r="I80" s="60">
        <f>INDEX('个人技术总览'!$G$5:$G$46,MATCH($A80,'个人技术总览'!$A$5:$A$46,0))</f>
        <v/>
      </c>
      <c r="J80" s="59">
        <f>INDEX('个人技术总览'!$H$5:$H$46,MATCH($A80,'个人技术总览'!$A$5:$A$46,0))</f>
        <v/>
      </c>
      <c r="K80" s="60">
        <f>INDEX('个人技术总览'!$I$5:$I$46,MATCH($A80,'个人技术总览'!$A$5:$A$46,0))</f>
        <v/>
      </c>
      <c r="L80" s="67">
        <f>H80+V80+IF(E80=G80-1,MAX(0,P80-H80*G80-SUMIFS($V$5:$V$589,$A$5:$A$589,$A80)),0)</f>
        <v/>
      </c>
      <c r="M80" s="61">
        <f>MAX(1,ROUNDDOWN($L80/'参数与公式'!$B$5,0))</f>
        <v/>
      </c>
      <c r="N80" s="67">
        <f>J80+Y80+IF(E80=G80-1,MAX(0,R80-J80*G80-SUMIFS($Y$5:$Y$589,$A$5:$A$589,$A80)),0)</f>
        <v/>
      </c>
      <c r="O80" s="18" t="inlineStr">
        <is>
          <t>data/technology_templates.yaml; upgrade_*_budget / *_curve; code: technology_rules.allocate_upgrade_budget</t>
        </is>
      </c>
      <c r="P80" s="67">
        <f>INDEX('个人技术总览'!$O$5:$O$46,MATCH($A80,'个人技术总览'!$A$5:$A$46,0))</f>
        <v/>
      </c>
      <c r="Q80" s="64">
        <f>INDEX('个人技术总览'!$P$5:$P$46,MATCH($A80,'个人技术总览'!$A$5:$A$46,0))</f>
        <v/>
      </c>
      <c r="R80" s="67">
        <f>INDEX('个人技术总览'!$Q$5:$Q$46,MATCH($A80,'个人技术总览'!$A$5:$A$46,0))</f>
        <v/>
      </c>
      <c r="S80" s="64">
        <f>INDEX('个人技术总览'!$R$5:$R$46,MATCH($A80,'个人技术总览'!$A$5:$A$46,0))</f>
        <v/>
      </c>
      <c r="T80" s="68">
        <f>POWER($Q80,$E80)</f>
        <v/>
      </c>
      <c r="U80" s="68">
        <f>SUMIFS($T$5:$T$589,$A$5:$A$589,$A80)</f>
        <v/>
      </c>
      <c r="V80" s="67">
        <f>ROUNDDOWN(MAX(0,$P80-$H80*$G80)*$T80/MAX(1,$U80),0)</f>
        <v/>
      </c>
      <c r="W80" s="68">
        <f>POWER($S80,$E80)</f>
        <v/>
      </c>
      <c r="X80" s="68">
        <f>SUMIFS($W$5:$W$589,$A$5:$A$589,$A80)</f>
        <v/>
      </c>
      <c r="Y80" s="67">
        <f>ROUNDDOWN(MAX(0,$R80-$J80*$G80)*$W80/MAX(1,$X80),0)</f>
        <v/>
      </c>
    </row>
    <row r="81">
      <c r="A81" s="17" t="inlineStr">
        <is>
          <t>scout_art</t>
        </is>
      </c>
      <c r="B81" s="18" t="inlineStr">
        <is>
          <t>侦查术</t>
        </is>
      </c>
      <c r="C81" s="18" t="inlineStr">
        <is>
          <t>基本技术</t>
        </is>
      </c>
      <c r="D81" s="18" t="inlineStr">
        <is>
          <t>—</t>
        </is>
      </c>
      <c r="E81" s="65" t="n">
        <v>76</v>
      </c>
      <c r="F81" s="66">
        <f>E81+1</f>
        <v/>
      </c>
      <c r="G81" s="65">
        <f>INDEX('个人技术总览'!$E$5:$E$46,MATCH($A81,'个人技术总览'!$A$5:$A$46,0))</f>
        <v/>
      </c>
      <c r="H81" s="59">
        <f>INDEX('个人技术总览'!$F$5:$F$46,MATCH($A81,'个人技术总览'!$A$5:$A$46,0))</f>
        <v/>
      </c>
      <c r="I81" s="60">
        <f>INDEX('个人技术总览'!$G$5:$G$46,MATCH($A81,'个人技术总览'!$A$5:$A$46,0))</f>
        <v/>
      </c>
      <c r="J81" s="59">
        <f>INDEX('个人技术总览'!$H$5:$H$46,MATCH($A81,'个人技术总览'!$A$5:$A$46,0))</f>
        <v/>
      </c>
      <c r="K81" s="60">
        <f>INDEX('个人技术总览'!$I$5:$I$46,MATCH($A81,'个人技术总览'!$A$5:$A$46,0))</f>
        <v/>
      </c>
      <c r="L81" s="67">
        <f>H81+V81+IF(E81=G81-1,MAX(0,P81-H81*G81-SUMIFS($V$5:$V$589,$A$5:$A$589,$A81)),0)</f>
        <v/>
      </c>
      <c r="M81" s="61">
        <f>MAX(1,ROUNDDOWN($L81/'参数与公式'!$B$5,0))</f>
        <v/>
      </c>
      <c r="N81" s="67">
        <f>J81+Y81+IF(E81=G81-1,MAX(0,R81-J81*G81-SUMIFS($Y$5:$Y$589,$A$5:$A$589,$A81)),0)</f>
        <v/>
      </c>
      <c r="O81" s="18" t="inlineStr">
        <is>
          <t>data/technology_templates.yaml; upgrade_*_budget / *_curve; code: technology_rules.allocate_upgrade_budget</t>
        </is>
      </c>
      <c r="P81" s="67">
        <f>INDEX('个人技术总览'!$O$5:$O$46,MATCH($A81,'个人技术总览'!$A$5:$A$46,0))</f>
        <v/>
      </c>
      <c r="Q81" s="64">
        <f>INDEX('个人技术总览'!$P$5:$P$46,MATCH($A81,'个人技术总览'!$A$5:$A$46,0))</f>
        <v/>
      </c>
      <c r="R81" s="67">
        <f>INDEX('个人技术总览'!$Q$5:$Q$46,MATCH($A81,'个人技术总览'!$A$5:$A$46,0))</f>
        <v/>
      </c>
      <c r="S81" s="64">
        <f>INDEX('个人技术总览'!$R$5:$R$46,MATCH($A81,'个人技术总览'!$A$5:$A$46,0))</f>
        <v/>
      </c>
      <c r="T81" s="68">
        <f>POWER($Q81,$E81)</f>
        <v/>
      </c>
      <c r="U81" s="68">
        <f>SUMIFS($T$5:$T$589,$A$5:$A$589,$A81)</f>
        <v/>
      </c>
      <c r="V81" s="67">
        <f>ROUNDDOWN(MAX(0,$P81-$H81*$G81)*$T81/MAX(1,$U81),0)</f>
        <v/>
      </c>
      <c r="W81" s="68">
        <f>POWER($S81,$E81)</f>
        <v/>
      </c>
      <c r="X81" s="68">
        <f>SUMIFS($W$5:$W$589,$A$5:$A$589,$A81)</f>
        <v/>
      </c>
      <c r="Y81" s="67">
        <f>ROUNDDOWN(MAX(0,$R81-$J81*$G81)*$W81/MAX(1,$X81),0)</f>
        <v/>
      </c>
    </row>
    <row r="82">
      <c r="A82" s="17" t="inlineStr">
        <is>
          <t>scout_art</t>
        </is>
      </c>
      <c r="B82" s="18" t="inlineStr">
        <is>
          <t>侦查术</t>
        </is>
      </c>
      <c r="C82" s="18" t="inlineStr">
        <is>
          <t>基本技术</t>
        </is>
      </c>
      <c r="D82" s="18" t="inlineStr">
        <is>
          <t>—</t>
        </is>
      </c>
      <c r="E82" s="65" t="n">
        <v>77</v>
      </c>
      <c r="F82" s="66">
        <f>E82+1</f>
        <v/>
      </c>
      <c r="G82" s="65">
        <f>INDEX('个人技术总览'!$E$5:$E$46,MATCH($A82,'个人技术总览'!$A$5:$A$46,0))</f>
        <v/>
      </c>
      <c r="H82" s="59">
        <f>INDEX('个人技术总览'!$F$5:$F$46,MATCH($A82,'个人技术总览'!$A$5:$A$46,0))</f>
        <v/>
      </c>
      <c r="I82" s="60">
        <f>INDEX('个人技术总览'!$G$5:$G$46,MATCH($A82,'个人技术总览'!$A$5:$A$46,0))</f>
        <v/>
      </c>
      <c r="J82" s="59">
        <f>INDEX('个人技术总览'!$H$5:$H$46,MATCH($A82,'个人技术总览'!$A$5:$A$46,0))</f>
        <v/>
      </c>
      <c r="K82" s="60">
        <f>INDEX('个人技术总览'!$I$5:$I$46,MATCH($A82,'个人技术总览'!$A$5:$A$46,0))</f>
        <v/>
      </c>
      <c r="L82" s="67">
        <f>H82+V82+IF(E82=G82-1,MAX(0,P82-H82*G82-SUMIFS($V$5:$V$589,$A$5:$A$589,$A82)),0)</f>
        <v/>
      </c>
      <c r="M82" s="61">
        <f>MAX(1,ROUNDDOWN($L82/'参数与公式'!$B$5,0))</f>
        <v/>
      </c>
      <c r="N82" s="67">
        <f>J82+Y82+IF(E82=G82-1,MAX(0,R82-J82*G82-SUMIFS($Y$5:$Y$589,$A$5:$A$589,$A82)),0)</f>
        <v/>
      </c>
      <c r="O82" s="18" t="inlineStr">
        <is>
          <t>data/technology_templates.yaml; upgrade_*_budget / *_curve; code: technology_rules.allocate_upgrade_budget</t>
        </is>
      </c>
      <c r="P82" s="67">
        <f>INDEX('个人技术总览'!$O$5:$O$46,MATCH($A82,'个人技术总览'!$A$5:$A$46,0))</f>
        <v/>
      </c>
      <c r="Q82" s="64">
        <f>INDEX('个人技术总览'!$P$5:$P$46,MATCH($A82,'个人技术总览'!$A$5:$A$46,0))</f>
        <v/>
      </c>
      <c r="R82" s="67">
        <f>INDEX('个人技术总览'!$Q$5:$Q$46,MATCH($A82,'个人技术总览'!$A$5:$A$46,0))</f>
        <v/>
      </c>
      <c r="S82" s="64">
        <f>INDEX('个人技术总览'!$R$5:$R$46,MATCH($A82,'个人技术总览'!$A$5:$A$46,0))</f>
        <v/>
      </c>
      <c r="T82" s="68">
        <f>POWER($Q82,$E82)</f>
        <v/>
      </c>
      <c r="U82" s="68">
        <f>SUMIFS($T$5:$T$589,$A$5:$A$589,$A82)</f>
        <v/>
      </c>
      <c r="V82" s="67">
        <f>ROUNDDOWN(MAX(0,$P82-$H82*$G82)*$T82/MAX(1,$U82),0)</f>
        <v/>
      </c>
      <c r="W82" s="68">
        <f>POWER($S82,$E82)</f>
        <v/>
      </c>
      <c r="X82" s="68">
        <f>SUMIFS($W$5:$W$589,$A$5:$A$589,$A82)</f>
        <v/>
      </c>
      <c r="Y82" s="67">
        <f>ROUNDDOWN(MAX(0,$R82-$J82*$G82)*$W82/MAX(1,$X82),0)</f>
        <v/>
      </c>
    </row>
    <row r="83">
      <c r="A83" s="17" t="inlineStr">
        <is>
          <t>scout_art</t>
        </is>
      </c>
      <c r="B83" s="18" t="inlineStr">
        <is>
          <t>侦查术</t>
        </is>
      </c>
      <c r="C83" s="18" t="inlineStr">
        <is>
          <t>基本技术</t>
        </is>
      </c>
      <c r="D83" s="18" t="inlineStr">
        <is>
          <t>—</t>
        </is>
      </c>
      <c r="E83" s="65" t="n">
        <v>78</v>
      </c>
      <c r="F83" s="66">
        <f>E83+1</f>
        <v/>
      </c>
      <c r="G83" s="65">
        <f>INDEX('个人技术总览'!$E$5:$E$46,MATCH($A83,'个人技术总览'!$A$5:$A$46,0))</f>
        <v/>
      </c>
      <c r="H83" s="59">
        <f>INDEX('个人技术总览'!$F$5:$F$46,MATCH($A83,'个人技术总览'!$A$5:$A$46,0))</f>
        <v/>
      </c>
      <c r="I83" s="60">
        <f>INDEX('个人技术总览'!$G$5:$G$46,MATCH($A83,'个人技术总览'!$A$5:$A$46,0))</f>
        <v/>
      </c>
      <c r="J83" s="59">
        <f>INDEX('个人技术总览'!$H$5:$H$46,MATCH($A83,'个人技术总览'!$A$5:$A$46,0))</f>
        <v/>
      </c>
      <c r="K83" s="60">
        <f>INDEX('个人技术总览'!$I$5:$I$46,MATCH($A83,'个人技术总览'!$A$5:$A$46,0))</f>
        <v/>
      </c>
      <c r="L83" s="67">
        <f>H83+V83+IF(E83=G83-1,MAX(0,P83-H83*G83-SUMIFS($V$5:$V$589,$A$5:$A$589,$A83)),0)</f>
        <v/>
      </c>
      <c r="M83" s="61">
        <f>MAX(1,ROUNDDOWN($L83/'参数与公式'!$B$5,0))</f>
        <v/>
      </c>
      <c r="N83" s="67">
        <f>J83+Y83+IF(E83=G83-1,MAX(0,R83-J83*G83-SUMIFS($Y$5:$Y$589,$A$5:$A$589,$A83)),0)</f>
        <v/>
      </c>
      <c r="O83" s="18" t="inlineStr">
        <is>
          <t>data/technology_templates.yaml; upgrade_*_budget / *_curve; code: technology_rules.allocate_upgrade_budget</t>
        </is>
      </c>
      <c r="P83" s="67">
        <f>INDEX('个人技术总览'!$O$5:$O$46,MATCH($A83,'个人技术总览'!$A$5:$A$46,0))</f>
        <v/>
      </c>
      <c r="Q83" s="64">
        <f>INDEX('个人技术总览'!$P$5:$P$46,MATCH($A83,'个人技术总览'!$A$5:$A$46,0))</f>
        <v/>
      </c>
      <c r="R83" s="67">
        <f>INDEX('个人技术总览'!$Q$5:$Q$46,MATCH($A83,'个人技术总览'!$A$5:$A$46,0))</f>
        <v/>
      </c>
      <c r="S83" s="64">
        <f>INDEX('个人技术总览'!$R$5:$R$46,MATCH($A83,'个人技术总览'!$A$5:$A$46,0))</f>
        <v/>
      </c>
      <c r="T83" s="68">
        <f>POWER($Q83,$E83)</f>
        <v/>
      </c>
      <c r="U83" s="68">
        <f>SUMIFS($T$5:$T$589,$A$5:$A$589,$A83)</f>
        <v/>
      </c>
      <c r="V83" s="67">
        <f>ROUNDDOWN(MAX(0,$P83-$H83*$G83)*$T83/MAX(1,$U83),0)</f>
        <v/>
      </c>
      <c r="W83" s="68">
        <f>POWER($S83,$E83)</f>
        <v/>
      </c>
      <c r="X83" s="68">
        <f>SUMIFS($W$5:$W$589,$A$5:$A$589,$A83)</f>
        <v/>
      </c>
      <c r="Y83" s="67">
        <f>ROUNDDOWN(MAX(0,$R83-$J83*$G83)*$W83/MAX(1,$X83),0)</f>
        <v/>
      </c>
    </row>
    <row r="84">
      <c r="A84" s="17" t="inlineStr">
        <is>
          <t>scout_art</t>
        </is>
      </c>
      <c r="B84" s="18" t="inlineStr">
        <is>
          <t>侦查术</t>
        </is>
      </c>
      <c r="C84" s="18" t="inlineStr">
        <is>
          <t>基本技术</t>
        </is>
      </c>
      <c r="D84" s="18" t="inlineStr">
        <is>
          <t>—</t>
        </is>
      </c>
      <c r="E84" s="65" t="n">
        <v>79</v>
      </c>
      <c r="F84" s="66">
        <f>E84+1</f>
        <v/>
      </c>
      <c r="G84" s="65">
        <f>INDEX('个人技术总览'!$E$5:$E$46,MATCH($A84,'个人技术总览'!$A$5:$A$46,0))</f>
        <v/>
      </c>
      <c r="H84" s="59">
        <f>INDEX('个人技术总览'!$F$5:$F$46,MATCH($A84,'个人技术总览'!$A$5:$A$46,0))</f>
        <v/>
      </c>
      <c r="I84" s="60">
        <f>INDEX('个人技术总览'!$G$5:$G$46,MATCH($A84,'个人技术总览'!$A$5:$A$46,0))</f>
        <v/>
      </c>
      <c r="J84" s="59">
        <f>INDEX('个人技术总览'!$H$5:$H$46,MATCH($A84,'个人技术总览'!$A$5:$A$46,0))</f>
        <v/>
      </c>
      <c r="K84" s="60">
        <f>INDEX('个人技术总览'!$I$5:$I$46,MATCH($A84,'个人技术总览'!$A$5:$A$46,0))</f>
        <v/>
      </c>
      <c r="L84" s="67">
        <f>H84+V84+IF(E84=G84-1,MAX(0,P84-H84*G84-SUMIFS($V$5:$V$589,$A$5:$A$589,$A84)),0)</f>
        <v/>
      </c>
      <c r="M84" s="61">
        <f>MAX(1,ROUNDDOWN($L84/'参数与公式'!$B$5,0))</f>
        <v/>
      </c>
      <c r="N84" s="67">
        <f>J84+Y84+IF(E84=G84-1,MAX(0,R84-J84*G84-SUMIFS($Y$5:$Y$589,$A$5:$A$589,$A84)),0)</f>
        <v/>
      </c>
      <c r="O84" s="18" t="inlineStr">
        <is>
          <t>data/technology_templates.yaml; upgrade_*_budget / *_curve; code: technology_rules.allocate_upgrade_budget</t>
        </is>
      </c>
      <c r="P84" s="67">
        <f>INDEX('个人技术总览'!$O$5:$O$46,MATCH($A84,'个人技术总览'!$A$5:$A$46,0))</f>
        <v/>
      </c>
      <c r="Q84" s="64">
        <f>INDEX('个人技术总览'!$P$5:$P$46,MATCH($A84,'个人技术总览'!$A$5:$A$46,0))</f>
        <v/>
      </c>
      <c r="R84" s="67">
        <f>INDEX('个人技术总览'!$Q$5:$Q$46,MATCH($A84,'个人技术总览'!$A$5:$A$46,0))</f>
        <v/>
      </c>
      <c r="S84" s="64">
        <f>INDEX('个人技术总览'!$R$5:$R$46,MATCH($A84,'个人技术总览'!$A$5:$A$46,0))</f>
        <v/>
      </c>
      <c r="T84" s="68">
        <f>POWER($Q84,$E84)</f>
        <v/>
      </c>
      <c r="U84" s="68">
        <f>SUMIFS($T$5:$T$589,$A$5:$A$589,$A84)</f>
        <v/>
      </c>
      <c r="V84" s="67">
        <f>ROUNDDOWN(MAX(0,$P84-$H84*$G84)*$T84/MAX(1,$U84),0)</f>
        <v/>
      </c>
      <c r="W84" s="68">
        <f>POWER($S84,$E84)</f>
        <v/>
      </c>
      <c r="X84" s="68">
        <f>SUMIFS($W$5:$W$589,$A$5:$A$589,$A84)</f>
        <v/>
      </c>
      <c r="Y84" s="67">
        <f>ROUNDDOWN(MAX(0,$R84-$J84*$G84)*$W84/MAX(1,$X84),0)</f>
        <v/>
      </c>
    </row>
    <row r="85">
      <c r="A85" s="17" t="inlineStr">
        <is>
          <t>scout_art</t>
        </is>
      </c>
      <c r="B85" s="18" t="inlineStr">
        <is>
          <t>侦查术</t>
        </is>
      </c>
      <c r="C85" s="18" t="inlineStr">
        <is>
          <t>基本技术</t>
        </is>
      </c>
      <c r="D85" s="18" t="inlineStr">
        <is>
          <t>—</t>
        </is>
      </c>
      <c r="E85" s="65" t="n">
        <v>80</v>
      </c>
      <c r="F85" s="66">
        <f>E85+1</f>
        <v/>
      </c>
      <c r="G85" s="65">
        <f>INDEX('个人技术总览'!$E$5:$E$46,MATCH($A85,'个人技术总览'!$A$5:$A$46,0))</f>
        <v/>
      </c>
      <c r="H85" s="59">
        <f>INDEX('个人技术总览'!$F$5:$F$46,MATCH($A85,'个人技术总览'!$A$5:$A$46,0))</f>
        <v/>
      </c>
      <c r="I85" s="60">
        <f>INDEX('个人技术总览'!$G$5:$G$46,MATCH($A85,'个人技术总览'!$A$5:$A$46,0))</f>
        <v/>
      </c>
      <c r="J85" s="59">
        <f>INDEX('个人技术总览'!$H$5:$H$46,MATCH($A85,'个人技术总览'!$A$5:$A$46,0))</f>
        <v/>
      </c>
      <c r="K85" s="60">
        <f>INDEX('个人技术总览'!$I$5:$I$46,MATCH($A85,'个人技术总览'!$A$5:$A$46,0))</f>
        <v/>
      </c>
      <c r="L85" s="67">
        <f>H85+V85+IF(E85=G85-1,MAX(0,P85-H85*G85-SUMIFS($V$5:$V$589,$A$5:$A$589,$A85)),0)</f>
        <v/>
      </c>
      <c r="M85" s="61">
        <f>MAX(1,ROUNDDOWN($L85/'参数与公式'!$B$5,0))</f>
        <v/>
      </c>
      <c r="N85" s="67">
        <f>J85+Y85+IF(E85=G85-1,MAX(0,R85-J85*G85-SUMIFS($Y$5:$Y$589,$A$5:$A$589,$A85)),0)</f>
        <v/>
      </c>
      <c r="O85" s="18" t="inlineStr">
        <is>
          <t>data/technology_templates.yaml; upgrade_*_budget / *_curve; code: technology_rules.allocate_upgrade_budget</t>
        </is>
      </c>
      <c r="P85" s="67">
        <f>INDEX('个人技术总览'!$O$5:$O$46,MATCH($A85,'个人技术总览'!$A$5:$A$46,0))</f>
        <v/>
      </c>
      <c r="Q85" s="64">
        <f>INDEX('个人技术总览'!$P$5:$P$46,MATCH($A85,'个人技术总览'!$A$5:$A$46,0))</f>
        <v/>
      </c>
      <c r="R85" s="67">
        <f>INDEX('个人技术总览'!$Q$5:$Q$46,MATCH($A85,'个人技术总览'!$A$5:$A$46,0))</f>
        <v/>
      </c>
      <c r="S85" s="64">
        <f>INDEX('个人技术总览'!$R$5:$R$46,MATCH($A85,'个人技术总览'!$A$5:$A$46,0))</f>
        <v/>
      </c>
      <c r="T85" s="68">
        <f>POWER($Q85,$E85)</f>
        <v/>
      </c>
      <c r="U85" s="68">
        <f>SUMIFS($T$5:$T$589,$A$5:$A$589,$A85)</f>
        <v/>
      </c>
      <c r="V85" s="67">
        <f>ROUNDDOWN(MAX(0,$P85-$H85*$G85)*$T85/MAX(1,$U85),0)</f>
        <v/>
      </c>
      <c r="W85" s="68">
        <f>POWER($S85,$E85)</f>
        <v/>
      </c>
      <c r="X85" s="68">
        <f>SUMIFS($W$5:$W$589,$A$5:$A$589,$A85)</f>
        <v/>
      </c>
      <c r="Y85" s="67">
        <f>ROUNDDOWN(MAX(0,$R85-$J85*$G85)*$W85/MAX(1,$X85),0)</f>
        <v/>
      </c>
    </row>
    <row r="86">
      <c r="A86" s="17" t="inlineStr">
        <is>
          <t>scout_art</t>
        </is>
      </c>
      <c r="B86" s="18" t="inlineStr">
        <is>
          <t>侦查术</t>
        </is>
      </c>
      <c r="C86" s="18" t="inlineStr">
        <is>
          <t>基本技术</t>
        </is>
      </c>
      <c r="D86" s="18" t="inlineStr">
        <is>
          <t>—</t>
        </is>
      </c>
      <c r="E86" s="65" t="n">
        <v>81</v>
      </c>
      <c r="F86" s="66">
        <f>E86+1</f>
        <v/>
      </c>
      <c r="G86" s="65">
        <f>INDEX('个人技术总览'!$E$5:$E$46,MATCH($A86,'个人技术总览'!$A$5:$A$46,0))</f>
        <v/>
      </c>
      <c r="H86" s="59">
        <f>INDEX('个人技术总览'!$F$5:$F$46,MATCH($A86,'个人技术总览'!$A$5:$A$46,0))</f>
        <v/>
      </c>
      <c r="I86" s="60">
        <f>INDEX('个人技术总览'!$G$5:$G$46,MATCH($A86,'个人技术总览'!$A$5:$A$46,0))</f>
        <v/>
      </c>
      <c r="J86" s="59">
        <f>INDEX('个人技术总览'!$H$5:$H$46,MATCH($A86,'个人技术总览'!$A$5:$A$46,0))</f>
        <v/>
      </c>
      <c r="K86" s="60">
        <f>INDEX('个人技术总览'!$I$5:$I$46,MATCH($A86,'个人技术总览'!$A$5:$A$46,0))</f>
        <v/>
      </c>
      <c r="L86" s="67">
        <f>H86+V86+IF(E86=G86-1,MAX(0,P86-H86*G86-SUMIFS($V$5:$V$589,$A$5:$A$589,$A86)),0)</f>
        <v/>
      </c>
      <c r="M86" s="61">
        <f>MAX(1,ROUNDDOWN($L86/'参数与公式'!$B$5,0))</f>
        <v/>
      </c>
      <c r="N86" s="67">
        <f>J86+Y86+IF(E86=G86-1,MAX(0,R86-J86*G86-SUMIFS($Y$5:$Y$589,$A$5:$A$589,$A86)),0)</f>
        <v/>
      </c>
      <c r="O86" s="18" t="inlineStr">
        <is>
          <t>data/technology_templates.yaml; upgrade_*_budget / *_curve; code: technology_rules.allocate_upgrade_budget</t>
        </is>
      </c>
      <c r="P86" s="67">
        <f>INDEX('个人技术总览'!$O$5:$O$46,MATCH($A86,'个人技术总览'!$A$5:$A$46,0))</f>
        <v/>
      </c>
      <c r="Q86" s="64">
        <f>INDEX('个人技术总览'!$P$5:$P$46,MATCH($A86,'个人技术总览'!$A$5:$A$46,0))</f>
        <v/>
      </c>
      <c r="R86" s="67">
        <f>INDEX('个人技术总览'!$Q$5:$Q$46,MATCH($A86,'个人技术总览'!$A$5:$A$46,0))</f>
        <v/>
      </c>
      <c r="S86" s="64">
        <f>INDEX('个人技术总览'!$R$5:$R$46,MATCH($A86,'个人技术总览'!$A$5:$A$46,0))</f>
        <v/>
      </c>
      <c r="T86" s="68">
        <f>POWER($Q86,$E86)</f>
        <v/>
      </c>
      <c r="U86" s="68">
        <f>SUMIFS($T$5:$T$589,$A$5:$A$589,$A86)</f>
        <v/>
      </c>
      <c r="V86" s="67">
        <f>ROUNDDOWN(MAX(0,$P86-$H86*$G86)*$T86/MAX(1,$U86),0)</f>
        <v/>
      </c>
      <c r="W86" s="68">
        <f>POWER($S86,$E86)</f>
        <v/>
      </c>
      <c r="X86" s="68">
        <f>SUMIFS($W$5:$W$589,$A$5:$A$589,$A86)</f>
        <v/>
      </c>
      <c r="Y86" s="67">
        <f>ROUNDDOWN(MAX(0,$R86-$J86*$G86)*$W86/MAX(1,$X86),0)</f>
        <v/>
      </c>
    </row>
    <row r="87">
      <c r="A87" s="17" t="inlineStr">
        <is>
          <t>scout_art</t>
        </is>
      </c>
      <c r="B87" s="18" t="inlineStr">
        <is>
          <t>侦查术</t>
        </is>
      </c>
      <c r="C87" s="18" t="inlineStr">
        <is>
          <t>基本技术</t>
        </is>
      </c>
      <c r="D87" s="18" t="inlineStr">
        <is>
          <t>—</t>
        </is>
      </c>
      <c r="E87" s="65" t="n">
        <v>82</v>
      </c>
      <c r="F87" s="66">
        <f>E87+1</f>
        <v/>
      </c>
      <c r="G87" s="65">
        <f>INDEX('个人技术总览'!$E$5:$E$46,MATCH($A87,'个人技术总览'!$A$5:$A$46,0))</f>
        <v/>
      </c>
      <c r="H87" s="59">
        <f>INDEX('个人技术总览'!$F$5:$F$46,MATCH($A87,'个人技术总览'!$A$5:$A$46,0))</f>
        <v/>
      </c>
      <c r="I87" s="60">
        <f>INDEX('个人技术总览'!$G$5:$G$46,MATCH($A87,'个人技术总览'!$A$5:$A$46,0))</f>
        <v/>
      </c>
      <c r="J87" s="59">
        <f>INDEX('个人技术总览'!$H$5:$H$46,MATCH($A87,'个人技术总览'!$A$5:$A$46,0))</f>
        <v/>
      </c>
      <c r="K87" s="60">
        <f>INDEX('个人技术总览'!$I$5:$I$46,MATCH($A87,'个人技术总览'!$A$5:$A$46,0))</f>
        <v/>
      </c>
      <c r="L87" s="67">
        <f>H87+V87+IF(E87=G87-1,MAX(0,P87-H87*G87-SUMIFS($V$5:$V$589,$A$5:$A$589,$A87)),0)</f>
        <v/>
      </c>
      <c r="M87" s="61">
        <f>MAX(1,ROUNDDOWN($L87/'参数与公式'!$B$5,0))</f>
        <v/>
      </c>
      <c r="N87" s="67">
        <f>J87+Y87+IF(E87=G87-1,MAX(0,R87-J87*G87-SUMIFS($Y$5:$Y$589,$A$5:$A$589,$A87)),0)</f>
        <v/>
      </c>
      <c r="O87" s="18" t="inlineStr">
        <is>
          <t>data/technology_templates.yaml; upgrade_*_budget / *_curve; code: technology_rules.allocate_upgrade_budget</t>
        </is>
      </c>
      <c r="P87" s="67">
        <f>INDEX('个人技术总览'!$O$5:$O$46,MATCH($A87,'个人技术总览'!$A$5:$A$46,0))</f>
        <v/>
      </c>
      <c r="Q87" s="64">
        <f>INDEX('个人技术总览'!$P$5:$P$46,MATCH($A87,'个人技术总览'!$A$5:$A$46,0))</f>
        <v/>
      </c>
      <c r="R87" s="67">
        <f>INDEX('个人技术总览'!$Q$5:$Q$46,MATCH($A87,'个人技术总览'!$A$5:$A$46,0))</f>
        <v/>
      </c>
      <c r="S87" s="64">
        <f>INDEX('个人技术总览'!$R$5:$R$46,MATCH($A87,'个人技术总览'!$A$5:$A$46,0))</f>
        <v/>
      </c>
      <c r="T87" s="68">
        <f>POWER($Q87,$E87)</f>
        <v/>
      </c>
      <c r="U87" s="68">
        <f>SUMIFS($T$5:$T$589,$A$5:$A$589,$A87)</f>
        <v/>
      </c>
      <c r="V87" s="67">
        <f>ROUNDDOWN(MAX(0,$P87-$H87*$G87)*$T87/MAX(1,$U87),0)</f>
        <v/>
      </c>
      <c r="W87" s="68">
        <f>POWER($S87,$E87)</f>
        <v/>
      </c>
      <c r="X87" s="68">
        <f>SUMIFS($W$5:$W$589,$A$5:$A$589,$A87)</f>
        <v/>
      </c>
      <c r="Y87" s="67">
        <f>ROUNDDOWN(MAX(0,$R87-$J87*$G87)*$W87/MAX(1,$X87),0)</f>
        <v/>
      </c>
    </row>
    <row r="88">
      <c r="A88" s="17" t="inlineStr">
        <is>
          <t>scout_art</t>
        </is>
      </c>
      <c r="B88" s="18" t="inlineStr">
        <is>
          <t>侦查术</t>
        </is>
      </c>
      <c r="C88" s="18" t="inlineStr">
        <is>
          <t>基本技术</t>
        </is>
      </c>
      <c r="D88" s="18" t="inlineStr">
        <is>
          <t>—</t>
        </is>
      </c>
      <c r="E88" s="65" t="n">
        <v>83</v>
      </c>
      <c r="F88" s="66">
        <f>E88+1</f>
        <v/>
      </c>
      <c r="G88" s="65">
        <f>INDEX('个人技术总览'!$E$5:$E$46,MATCH($A88,'个人技术总览'!$A$5:$A$46,0))</f>
        <v/>
      </c>
      <c r="H88" s="59">
        <f>INDEX('个人技术总览'!$F$5:$F$46,MATCH($A88,'个人技术总览'!$A$5:$A$46,0))</f>
        <v/>
      </c>
      <c r="I88" s="60">
        <f>INDEX('个人技术总览'!$G$5:$G$46,MATCH($A88,'个人技术总览'!$A$5:$A$46,0))</f>
        <v/>
      </c>
      <c r="J88" s="59">
        <f>INDEX('个人技术总览'!$H$5:$H$46,MATCH($A88,'个人技术总览'!$A$5:$A$46,0))</f>
        <v/>
      </c>
      <c r="K88" s="60">
        <f>INDEX('个人技术总览'!$I$5:$I$46,MATCH($A88,'个人技术总览'!$A$5:$A$46,0))</f>
        <v/>
      </c>
      <c r="L88" s="67">
        <f>H88+V88+IF(E88=G88-1,MAX(0,P88-H88*G88-SUMIFS($V$5:$V$589,$A$5:$A$589,$A88)),0)</f>
        <v/>
      </c>
      <c r="M88" s="61">
        <f>MAX(1,ROUNDDOWN($L88/'参数与公式'!$B$5,0))</f>
        <v/>
      </c>
      <c r="N88" s="67">
        <f>J88+Y88+IF(E88=G88-1,MAX(0,R88-J88*G88-SUMIFS($Y$5:$Y$589,$A$5:$A$589,$A88)),0)</f>
        <v/>
      </c>
      <c r="O88" s="18" t="inlineStr">
        <is>
          <t>data/technology_templates.yaml; upgrade_*_budget / *_curve; code: technology_rules.allocate_upgrade_budget</t>
        </is>
      </c>
      <c r="P88" s="67">
        <f>INDEX('个人技术总览'!$O$5:$O$46,MATCH($A88,'个人技术总览'!$A$5:$A$46,0))</f>
        <v/>
      </c>
      <c r="Q88" s="64">
        <f>INDEX('个人技术总览'!$P$5:$P$46,MATCH($A88,'个人技术总览'!$A$5:$A$46,0))</f>
        <v/>
      </c>
      <c r="R88" s="67">
        <f>INDEX('个人技术总览'!$Q$5:$Q$46,MATCH($A88,'个人技术总览'!$A$5:$A$46,0))</f>
        <v/>
      </c>
      <c r="S88" s="64">
        <f>INDEX('个人技术总览'!$R$5:$R$46,MATCH($A88,'个人技术总览'!$A$5:$A$46,0))</f>
        <v/>
      </c>
      <c r="T88" s="68">
        <f>POWER($Q88,$E88)</f>
        <v/>
      </c>
      <c r="U88" s="68">
        <f>SUMIFS($T$5:$T$589,$A$5:$A$589,$A88)</f>
        <v/>
      </c>
      <c r="V88" s="67">
        <f>ROUNDDOWN(MAX(0,$P88-$H88*$G88)*$T88/MAX(1,$U88),0)</f>
        <v/>
      </c>
      <c r="W88" s="68">
        <f>POWER($S88,$E88)</f>
        <v/>
      </c>
      <c r="X88" s="68">
        <f>SUMIFS($W$5:$W$589,$A$5:$A$589,$A88)</f>
        <v/>
      </c>
      <c r="Y88" s="67">
        <f>ROUNDDOWN(MAX(0,$R88-$J88*$G88)*$W88/MAX(1,$X88),0)</f>
        <v/>
      </c>
    </row>
    <row r="89">
      <c r="A89" s="17" t="inlineStr">
        <is>
          <t>scout_art</t>
        </is>
      </c>
      <c r="B89" s="18" t="inlineStr">
        <is>
          <t>侦查术</t>
        </is>
      </c>
      <c r="C89" s="18" t="inlineStr">
        <is>
          <t>基本技术</t>
        </is>
      </c>
      <c r="D89" s="18" t="inlineStr">
        <is>
          <t>—</t>
        </is>
      </c>
      <c r="E89" s="65" t="n">
        <v>84</v>
      </c>
      <c r="F89" s="66">
        <f>E89+1</f>
        <v/>
      </c>
      <c r="G89" s="65">
        <f>INDEX('个人技术总览'!$E$5:$E$46,MATCH($A89,'个人技术总览'!$A$5:$A$46,0))</f>
        <v/>
      </c>
      <c r="H89" s="59">
        <f>INDEX('个人技术总览'!$F$5:$F$46,MATCH($A89,'个人技术总览'!$A$5:$A$46,0))</f>
        <v/>
      </c>
      <c r="I89" s="60">
        <f>INDEX('个人技术总览'!$G$5:$G$46,MATCH($A89,'个人技术总览'!$A$5:$A$46,0))</f>
        <v/>
      </c>
      <c r="J89" s="59">
        <f>INDEX('个人技术总览'!$H$5:$H$46,MATCH($A89,'个人技术总览'!$A$5:$A$46,0))</f>
        <v/>
      </c>
      <c r="K89" s="60">
        <f>INDEX('个人技术总览'!$I$5:$I$46,MATCH($A89,'个人技术总览'!$A$5:$A$46,0))</f>
        <v/>
      </c>
      <c r="L89" s="67">
        <f>H89+V89+IF(E89=G89-1,MAX(0,P89-H89*G89-SUMIFS($V$5:$V$589,$A$5:$A$589,$A89)),0)</f>
        <v/>
      </c>
      <c r="M89" s="61">
        <f>MAX(1,ROUNDDOWN($L89/'参数与公式'!$B$5,0))</f>
        <v/>
      </c>
      <c r="N89" s="67">
        <f>J89+Y89+IF(E89=G89-1,MAX(0,R89-J89*G89-SUMIFS($Y$5:$Y$589,$A$5:$A$589,$A89)),0)</f>
        <v/>
      </c>
      <c r="O89" s="18" t="inlineStr">
        <is>
          <t>data/technology_templates.yaml; upgrade_*_budget / *_curve; code: technology_rules.allocate_upgrade_budget</t>
        </is>
      </c>
      <c r="P89" s="67">
        <f>INDEX('个人技术总览'!$O$5:$O$46,MATCH($A89,'个人技术总览'!$A$5:$A$46,0))</f>
        <v/>
      </c>
      <c r="Q89" s="64">
        <f>INDEX('个人技术总览'!$P$5:$P$46,MATCH($A89,'个人技术总览'!$A$5:$A$46,0))</f>
        <v/>
      </c>
      <c r="R89" s="67">
        <f>INDEX('个人技术总览'!$Q$5:$Q$46,MATCH($A89,'个人技术总览'!$A$5:$A$46,0))</f>
        <v/>
      </c>
      <c r="S89" s="64">
        <f>INDEX('个人技术总览'!$R$5:$R$46,MATCH($A89,'个人技术总览'!$A$5:$A$46,0))</f>
        <v/>
      </c>
      <c r="T89" s="68">
        <f>POWER($Q89,$E89)</f>
        <v/>
      </c>
      <c r="U89" s="68">
        <f>SUMIFS($T$5:$T$589,$A$5:$A$589,$A89)</f>
        <v/>
      </c>
      <c r="V89" s="67">
        <f>ROUNDDOWN(MAX(0,$P89-$H89*$G89)*$T89/MAX(1,$U89),0)</f>
        <v/>
      </c>
      <c r="W89" s="68">
        <f>POWER($S89,$E89)</f>
        <v/>
      </c>
      <c r="X89" s="68">
        <f>SUMIFS($W$5:$W$589,$A$5:$A$589,$A89)</f>
        <v/>
      </c>
      <c r="Y89" s="67">
        <f>ROUNDDOWN(MAX(0,$R89-$J89*$G89)*$W89/MAX(1,$X89),0)</f>
        <v/>
      </c>
    </row>
    <row r="90">
      <c r="A90" s="17" t="inlineStr">
        <is>
          <t>scout_art</t>
        </is>
      </c>
      <c r="B90" s="18" t="inlineStr">
        <is>
          <t>侦查术</t>
        </is>
      </c>
      <c r="C90" s="18" t="inlineStr">
        <is>
          <t>基本技术</t>
        </is>
      </c>
      <c r="D90" s="18" t="inlineStr">
        <is>
          <t>—</t>
        </is>
      </c>
      <c r="E90" s="65" t="n">
        <v>85</v>
      </c>
      <c r="F90" s="66">
        <f>E90+1</f>
        <v/>
      </c>
      <c r="G90" s="65">
        <f>INDEX('个人技术总览'!$E$5:$E$46,MATCH($A90,'个人技术总览'!$A$5:$A$46,0))</f>
        <v/>
      </c>
      <c r="H90" s="59">
        <f>INDEX('个人技术总览'!$F$5:$F$46,MATCH($A90,'个人技术总览'!$A$5:$A$46,0))</f>
        <v/>
      </c>
      <c r="I90" s="60">
        <f>INDEX('个人技术总览'!$G$5:$G$46,MATCH($A90,'个人技术总览'!$A$5:$A$46,0))</f>
        <v/>
      </c>
      <c r="J90" s="59">
        <f>INDEX('个人技术总览'!$H$5:$H$46,MATCH($A90,'个人技术总览'!$A$5:$A$46,0))</f>
        <v/>
      </c>
      <c r="K90" s="60">
        <f>INDEX('个人技术总览'!$I$5:$I$46,MATCH($A90,'个人技术总览'!$A$5:$A$46,0))</f>
        <v/>
      </c>
      <c r="L90" s="67">
        <f>H90+V90+IF(E90=G90-1,MAX(0,P90-H90*G90-SUMIFS($V$5:$V$589,$A$5:$A$589,$A90)),0)</f>
        <v/>
      </c>
      <c r="M90" s="61">
        <f>MAX(1,ROUNDDOWN($L90/'参数与公式'!$B$5,0))</f>
        <v/>
      </c>
      <c r="N90" s="67">
        <f>J90+Y90+IF(E90=G90-1,MAX(0,R90-J90*G90-SUMIFS($Y$5:$Y$589,$A$5:$A$589,$A90)),0)</f>
        <v/>
      </c>
      <c r="O90" s="18" t="inlineStr">
        <is>
          <t>data/technology_templates.yaml; upgrade_*_budget / *_curve; code: technology_rules.allocate_upgrade_budget</t>
        </is>
      </c>
      <c r="P90" s="67">
        <f>INDEX('个人技术总览'!$O$5:$O$46,MATCH($A90,'个人技术总览'!$A$5:$A$46,0))</f>
        <v/>
      </c>
      <c r="Q90" s="64">
        <f>INDEX('个人技术总览'!$P$5:$P$46,MATCH($A90,'个人技术总览'!$A$5:$A$46,0))</f>
        <v/>
      </c>
      <c r="R90" s="67">
        <f>INDEX('个人技术总览'!$Q$5:$Q$46,MATCH($A90,'个人技术总览'!$A$5:$A$46,0))</f>
        <v/>
      </c>
      <c r="S90" s="64">
        <f>INDEX('个人技术总览'!$R$5:$R$46,MATCH($A90,'个人技术总览'!$A$5:$A$46,0))</f>
        <v/>
      </c>
      <c r="T90" s="68">
        <f>POWER($Q90,$E90)</f>
        <v/>
      </c>
      <c r="U90" s="68">
        <f>SUMIFS($T$5:$T$589,$A$5:$A$589,$A90)</f>
        <v/>
      </c>
      <c r="V90" s="67">
        <f>ROUNDDOWN(MAX(0,$P90-$H90*$G90)*$T90/MAX(1,$U90),0)</f>
        <v/>
      </c>
      <c r="W90" s="68">
        <f>POWER($S90,$E90)</f>
        <v/>
      </c>
      <c r="X90" s="68">
        <f>SUMIFS($W$5:$W$589,$A$5:$A$589,$A90)</f>
        <v/>
      </c>
      <c r="Y90" s="67">
        <f>ROUNDDOWN(MAX(0,$R90-$J90*$G90)*$W90/MAX(1,$X90),0)</f>
        <v/>
      </c>
    </row>
    <row r="91">
      <c r="A91" s="17" t="inlineStr">
        <is>
          <t>scout_art</t>
        </is>
      </c>
      <c r="B91" s="18" t="inlineStr">
        <is>
          <t>侦查术</t>
        </is>
      </c>
      <c r="C91" s="18" t="inlineStr">
        <is>
          <t>基本技术</t>
        </is>
      </c>
      <c r="D91" s="18" t="inlineStr">
        <is>
          <t>—</t>
        </is>
      </c>
      <c r="E91" s="65" t="n">
        <v>86</v>
      </c>
      <c r="F91" s="66">
        <f>E91+1</f>
        <v/>
      </c>
      <c r="G91" s="65">
        <f>INDEX('个人技术总览'!$E$5:$E$46,MATCH($A91,'个人技术总览'!$A$5:$A$46,0))</f>
        <v/>
      </c>
      <c r="H91" s="59">
        <f>INDEX('个人技术总览'!$F$5:$F$46,MATCH($A91,'个人技术总览'!$A$5:$A$46,0))</f>
        <v/>
      </c>
      <c r="I91" s="60">
        <f>INDEX('个人技术总览'!$G$5:$G$46,MATCH($A91,'个人技术总览'!$A$5:$A$46,0))</f>
        <v/>
      </c>
      <c r="J91" s="59">
        <f>INDEX('个人技术总览'!$H$5:$H$46,MATCH($A91,'个人技术总览'!$A$5:$A$46,0))</f>
        <v/>
      </c>
      <c r="K91" s="60">
        <f>INDEX('个人技术总览'!$I$5:$I$46,MATCH($A91,'个人技术总览'!$A$5:$A$46,0))</f>
        <v/>
      </c>
      <c r="L91" s="67">
        <f>H91+V91+IF(E91=G91-1,MAX(0,P91-H91*G91-SUMIFS($V$5:$V$589,$A$5:$A$589,$A91)),0)</f>
        <v/>
      </c>
      <c r="M91" s="61">
        <f>MAX(1,ROUNDDOWN($L91/'参数与公式'!$B$5,0))</f>
        <v/>
      </c>
      <c r="N91" s="67">
        <f>J91+Y91+IF(E91=G91-1,MAX(0,R91-J91*G91-SUMIFS($Y$5:$Y$589,$A$5:$A$589,$A91)),0)</f>
        <v/>
      </c>
      <c r="O91" s="18" t="inlineStr">
        <is>
          <t>data/technology_templates.yaml; upgrade_*_budget / *_curve; code: technology_rules.allocate_upgrade_budget</t>
        </is>
      </c>
      <c r="P91" s="67">
        <f>INDEX('个人技术总览'!$O$5:$O$46,MATCH($A91,'个人技术总览'!$A$5:$A$46,0))</f>
        <v/>
      </c>
      <c r="Q91" s="64">
        <f>INDEX('个人技术总览'!$P$5:$P$46,MATCH($A91,'个人技术总览'!$A$5:$A$46,0))</f>
        <v/>
      </c>
      <c r="R91" s="67">
        <f>INDEX('个人技术总览'!$Q$5:$Q$46,MATCH($A91,'个人技术总览'!$A$5:$A$46,0))</f>
        <v/>
      </c>
      <c r="S91" s="64">
        <f>INDEX('个人技术总览'!$R$5:$R$46,MATCH($A91,'个人技术总览'!$A$5:$A$46,0))</f>
        <v/>
      </c>
      <c r="T91" s="68">
        <f>POWER($Q91,$E91)</f>
        <v/>
      </c>
      <c r="U91" s="68">
        <f>SUMIFS($T$5:$T$589,$A$5:$A$589,$A91)</f>
        <v/>
      </c>
      <c r="V91" s="67">
        <f>ROUNDDOWN(MAX(0,$P91-$H91*$G91)*$T91/MAX(1,$U91),0)</f>
        <v/>
      </c>
      <c r="W91" s="68">
        <f>POWER($S91,$E91)</f>
        <v/>
      </c>
      <c r="X91" s="68">
        <f>SUMIFS($W$5:$W$589,$A$5:$A$589,$A91)</f>
        <v/>
      </c>
      <c r="Y91" s="67">
        <f>ROUNDDOWN(MAX(0,$R91-$J91*$G91)*$W91/MAX(1,$X91),0)</f>
        <v/>
      </c>
    </row>
    <row r="92">
      <c r="A92" s="17" t="inlineStr">
        <is>
          <t>scout_art</t>
        </is>
      </c>
      <c r="B92" s="18" t="inlineStr">
        <is>
          <t>侦查术</t>
        </is>
      </c>
      <c r="C92" s="18" t="inlineStr">
        <is>
          <t>基本技术</t>
        </is>
      </c>
      <c r="D92" s="18" t="inlineStr">
        <is>
          <t>—</t>
        </is>
      </c>
      <c r="E92" s="65" t="n">
        <v>87</v>
      </c>
      <c r="F92" s="66">
        <f>E92+1</f>
        <v/>
      </c>
      <c r="G92" s="65">
        <f>INDEX('个人技术总览'!$E$5:$E$46,MATCH($A92,'个人技术总览'!$A$5:$A$46,0))</f>
        <v/>
      </c>
      <c r="H92" s="59">
        <f>INDEX('个人技术总览'!$F$5:$F$46,MATCH($A92,'个人技术总览'!$A$5:$A$46,0))</f>
        <v/>
      </c>
      <c r="I92" s="60">
        <f>INDEX('个人技术总览'!$G$5:$G$46,MATCH($A92,'个人技术总览'!$A$5:$A$46,0))</f>
        <v/>
      </c>
      <c r="J92" s="59">
        <f>INDEX('个人技术总览'!$H$5:$H$46,MATCH($A92,'个人技术总览'!$A$5:$A$46,0))</f>
        <v/>
      </c>
      <c r="K92" s="60">
        <f>INDEX('个人技术总览'!$I$5:$I$46,MATCH($A92,'个人技术总览'!$A$5:$A$46,0))</f>
        <v/>
      </c>
      <c r="L92" s="67">
        <f>H92+V92+IF(E92=G92-1,MAX(0,P92-H92*G92-SUMIFS($V$5:$V$589,$A$5:$A$589,$A92)),0)</f>
        <v/>
      </c>
      <c r="M92" s="61">
        <f>MAX(1,ROUNDDOWN($L92/'参数与公式'!$B$5,0))</f>
        <v/>
      </c>
      <c r="N92" s="67">
        <f>J92+Y92+IF(E92=G92-1,MAX(0,R92-J92*G92-SUMIFS($Y$5:$Y$589,$A$5:$A$589,$A92)),0)</f>
        <v/>
      </c>
      <c r="O92" s="18" t="inlineStr">
        <is>
          <t>data/technology_templates.yaml; upgrade_*_budget / *_curve; code: technology_rules.allocate_upgrade_budget</t>
        </is>
      </c>
      <c r="P92" s="67">
        <f>INDEX('个人技术总览'!$O$5:$O$46,MATCH($A92,'个人技术总览'!$A$5:$A$46,0))</f>
        <v/>
      </c>
      <c r="Q92" s="64">
        <f>INDEX('个人技术总览'!$P$5:$P$46,MATCH($A92,'个人技术总览'!$A$5:$A$46,0))</f>
        <v/>
      </c>
      <c r="R92" s="67">
        <f>INDEX('个人技术总览'!$Q$5:$Q$46,MATCH($A92,'个人技术总览'!$A$5:$A$46,0))</f>
        <v/>
      </c>
      <c r="S92" s="64">
        <f>INDEX('个人技术总览'!$R$5:$R$46,MATCH($A92,'个人技术总览'!$A$5:$A$46,0))</f>
        <v/>
      </c>
      <c r="T92" s="68">
        <f>POWER($Q92,$E92)</f>
        <v/>
      </c>
      <c r="U92" s="68">
        <f>SUMIFS($T$5:$T$589,$A$5:$A$589,$A92)</f>
        <v/>
      </c>
      <c r="V92" s="67">
        <f>ROUNDDOWN(MAX(0,$P92-$H92*$G92)*$T92/MAX(1,$U92),0)</f>
        <v/>
      </c>
      <c r="W92" s="68">
        <f>POWER($S92,$E92)</f>
        <v/>
      </c>
      <c r="X92" s="68">
        <f>SUMIFS($W$5:$W$589,$A$5:$A$589,$A92)</f>
        <v/>
      </c>
      <c r="Y92" s="67">
        <f>ROUNDDOWN(MAX(0,$R92-$J92*$G92)*$W92/MAX(1,$X92),0)</f>
        <v/>
      </c>
    </row>
    <row r="93">
      <c r="A93" s="17" t="inlineStr">
        <is>
          <t>scout_art</t>
        </is>
      </c>
      <c r="B93" s="18" t="inlineStr">
        <is>
          <t>侦查术</t>
        </is>
      </c>
      <c r="C93" s="18" t="inlineStr">
        <is>
          <t>基本技术</t>
        </is>
      </c>
      <c r="D93" s="18" t="inlineStr">
        <is>
          <t>—</t>
        </is>
      </c>
      <c r="E93" s="65" t="n">
        <v>88</v>
      </c>
      <c r="F93" s="66">
        <f>E93+1</f>
        <v/>
      </c>
      <c r="G93" s="65">
        <f>INDEX('个人技术总览'!$E$5:$E$46,MATCH($A93,'个人技术总览'!$A$5:$A$46,0))</f>
        <v/>
      </c>
      <c r="H93" s="59">
        <f>INDEX('个人技术总览'!$F$5:$F$46,MATCH($A93,'个人技术总览'!$A$5:$A$46,0))</f>
        <v/>
      </c>
      <c r="I93" s="60">
        <f>INDEX('个人技术总览'!$G$5:$G$46,MATCH($A93,'个人技术总览'!$A$5:$A$46,0))</f>
        <v/>
      </c>
      <c r="J93" s="59">
        <f>INDEX('个人技术总览'!$H$5:$H$46,MATCH($A93,'个人技术总览'!$A$5:$A$46,0))</f>
        <v/>
      </c>
      <c r="K93" s="60">
        <f>INDEX('个人技术总览'!$I$5:$I$46,MATCH($A93,'个人技术总览'!$A$5:$A$46,0))</f>
        <v/>
      </c>
      <c r="L93" s="67">
        <f>H93+V93+IF(E93=G93-1,MAX(0,P93-H93*G93-SUMIFS($V$5:$V$589,$A$5:$A$589,$A93)),0)</f>
        <v/>
      </c>
      <c r="M93" s="61">
        <f>MAX(1,ROUNDDOWN($L93/'参数与公式'!$B$5,0))</f>
        <v/>
      </c>
      <c r="N93" s="67">
        <f>J93+Y93+IF(E93=G93-1,MAX(0,R93-J93*G93-SUMIFS($Y$5:$Y$589,$A$5:$A$589,$A93)),0)</f>
        <v/>
      </c>
      <c r="O93" s="18" t="inlineStr">
        <is>
          <t>data/technology_templates.yaml; upgrade_*_budget / *_curve; code: technology_rules.allocate_upgrade_budget</t>
        </is>
      </c>
      <c r="P93" s="67">
        <f>INDEX('个人技术总览'!$O$5:$O$46,MATCH($A93,'个人技术总览'!$A$5:$A$46,0))</f>
        <v/>
      </c>
      <c r="Q93" s="64">
        <f>INDEX('个人技术总览'!$P$5:$P$46,MATCH($A93,'个人技术总览'!$A$5:$A$46,0))</f>
        <v/>
      </c>
      <c r="R93" s="67">
        <f>INDEX('个人技术总览'!$Q$5:$Q$46,MATCH($A93,'个人技术总览'!$A$5:$A$46,0))</f>
        <v/>
      </c>
      <c r="S93" s="64">
        <f>INDEX('个人技术总览'!$R$5:$R$46,MATCH($A93,'个人技术总览'!$A$5:$A$46,0))</f>
        <v/>
      </c>
      <c r="T93" s="68">
        <f>POWER($Q93,$E93)</f>
        <v/>
      </c>
      <c r="U93" s="68">
        <f>SUMIFS($T$5:$T$589,$A$5:$A$589,$A93)</f>
        <v/>
      </c>
      <c r="V93" s="67">
        <f>ROUNDDOWN(MAX(0,$P93-$H93*$G93)*$T93/MAX(1,$U93),0)</f>
        <v/>
      </c>
      <c r="W93" s="68">
        <f>POWER($S93,$E93)</f>
        <v/>
      </c>
      <c r="X93" s="68">
        <f>SUMIFS($W$5:$W$589,$A$5:$A$589,$A93)</f>
        <v/>
      </c>
      <c r="Y93" s="67">
        <f>ROUNDDOWN(MAX(0,$R93-$J93*$G93)*$W93/MAX(1,$X93),0)</f>
        <v/>
      </c>
    </row>
    <row r="94">
      <c r="A94" s="17" t="inlineStr">
        <is>
          <t>scout_art</t>
        </is>
      </c>
      <c r="B94" s="18" t="inlineStr">
        <is>
          <t>侦查术</t>
        </is>
      </c>
      <c r="C94" s="18" t="inlineStr">
        <is>
          <t>基本技术</t>
        </is>
      </c>
      <c r="D94" s="18" t="inlineStr">
        <is>
          <t>—</t>
        </is>
      </c>
      <c r="E94" s="65" t="n">
        <v>89</v>
      </c>
      <c r="F94" s="66">
        <f>E94+1</f>
        <v/>
      </c>
      <c r="G94" s="65">
        <f>INDEX('个人技术总览'!$E$5:$E$46,MATCH($A94,'个人技术总览'!$A$5:$A$46,0))</f>
        <v/>
      </c>
      <c r="H94" s="59">
        <f>INDEX('个人技术总览'!$F$5:$F$46,MATCH($A94,'个人技术总览'!$A$5:$A$46,0))</f>
        <v/>
      </c>
      <c r="I94" s="60">
        <f>INDEX('个人技术总览'!$G$5:$G$46,MATCH($A94,'个人技术总览'!$A$5:$A$46,0))</f>
        <v/>
      </c>
      <c r="J94" s="59">
        <f>INDEX('个人技术总览'!$H$5:$H$46,MATCH($A94,'个人技术总览'!$A$5:$A$46,0))</f>
        <v/>
      </c>
      <c r="K94" s="60">
        <f>INDEX('个人技术总览'!$I$5:$I$46,MATCH($A94,'个人技术总览'!$A$5:$A$46,0))</f>
        <v/>
      </c>
      <c r="L94" s="67">
        <f>H94+V94+IF(E94=G94-1,MAX(0,P94-H94*G94-SUMIFS($V$5:$V$589,$A$5:$A$589,$A94)),0)</f>
        <v/>
      </c>
      <c r="M94" s="61">
        <f>MAX(1,ROUNDDOWN($L94/'参数与公式'!$B$5,0))</f>
        <v/>
      </c>
      <c r="N94" s="67">
        <f>J94+Y94+IF(E94=G94-1,MAX(0,R94-J94*G94-SUMIFS($Y$5:$Y$589,$A$5:$A$589,$A94)),0)</f>
        <v/>
      </c>
      <c r="O94" s="18" t="inlineStr">
        <is>
          <t>data/technology_templates.yaml; upgrade_*_budget / *_curve; code: technology_rules.allocate_upgrade_budget</t>
        </is>
      </c>
      <c r="P94" s="67">
        <f>INDEX('个人技术总览'!$O$5:$O$46,MATCH($A94,'个人技术总览'!$A$5:$A$46,0))</f>
        <v/>
      </c>
      <c r="Q94" s="64">
        <f>INDEX('个人技术总览'!$P$5:$P$46,MATCH($A94,'个人技术总览'!$A$5:$A$46,0))</f>
        <v/>
      </c>
      <c r="R94" s="67">
        <f>INDEX('个人技术总览'!$Q$5:$Q$46,MATCH($A94,'个人技术总览'!$A$5:$A$46,0))</f>
        <v/>
      </c>
      <c r="S94" s="64">
        <f>INDEX('个人技术总览'!$R$5:$R$46,MATCH($A94,'个人技术总览'!$A$5:$A$46,0))</f>
        <v/>
      </c>
      <c r="T94" s="68">
        <f>POWER($Q94,$E94)</f>
        <v/>
      </c>
      <c r="U94" s="68">
        <f>SUMIFS($T$5:$T$589,$A$5:$A$589,$A94)</f>
        <v/>
      </c>
      <c r="V94" s="67">
        <f>ROUNDDOWN(MAX(0,$P94-$H94*$G94)*$T94/MAX(1,$U94),0)</f>
        <v/>
      </c>
      <c r="W94" s="68">
        <f>POWER($S94,$E94)</f>
        <v/>
      </c>
      <c r="X94" s="68">
        <f>SUMIFS($W$5:$W$589,$A$5:$A$589,$A94)</f>
        <v/>
      </c>
      <c r="Y94" s="67">
        <f>ROUNDDOWN(MAX(0,$R94-$J94*$G94)*$W94/MAX(1,$X94),0)</f>
        <v/>
      </c>
    </row>
    <row r="95">
      <c r="A95" s="17" t="inlineStr">
        <is>
          <t>scout_art</t>
        </is>
      </c>
      <c r="B95" s="18" t="inlineStr">
        <is>
          <t>侦查术</t>
        </is>
      </c>
      <c r="C95" s="18" t="inlineStr">
        <is>
          <t>基本技术</t>
        </is>
      </c>
      <c r="D95" s="18" t="inlineStr">
        <is>
          <t>—</t>
        </is>
      </c>
      <c r="E95" s="65" t="n">
        <v>90</v>
      </c>
      <c r="F95" s="66">
        <f>E95+1</f>
        <v/>
      </c>
      <c r="G95" s="65">
        <f>INDEX('个人技术总览'!$E$5:$E$46,MATCH($A95,'个人技术总览'!$A$5:$A$46,0))</f>
        <v/>
      </c>
      <c r="H95" s="59">
        <f>INDEX('个人技术总览'!$F$5:$F$46,MATCH($A95,'个人技术总览'!$A$5:$A$46,0))</f>
        <v/>
      </c>
      <c r="I95" s="60">
        <f>INDEX('个人技术总览'!$G$5:$G$46,MATCH($A95,'个人技术总览'!$A$5:$A$46,0))</f>
        <v/>
      </c>
      <c r="J95" s="59">
        <f>INDEX('个人技术总览'!$H$5:$H$46,MATCH($A95,'个人技术总览'!$A$5:$A$46,0))</f>
        <v/>
      </c>
      <c r="K95" s="60">
        <f>INDEX('个人技术总览'!$I$5:$I$46,MATCH($A95,'个人技术总览'!$A$5:$A$46,0))</f>
        <v/>
      </c>
      <c r="L95" s="67">
        <f>H95+V95+IF(E95=G95-1,MAX(0,P95-H95*G95-SUMIFS($V$5:$V$589,$A$5:$A$589,$A95)),0)</f>
        <v/>
      </c>
      <c r="M95" s="61">
        <f>MAX(1,ROUNDDOWN($L95/'参数与公式'!$B$5,0))</f>
        <v/>
      </c>
      <c r="N95" s="67">
        <f>J95+Y95+IF(E95=G95-1,MAX(0,R95-J95*G95-SUMIFS($Y$5:$Y$589,$A$5:$A$589,$A95)),0)</f>
        <v/>
      </c>
      <c r="O95" s="18" t="inlineStr">
        <is>
          <t>data/technology_templates.yaml; upgrade_*_budget / *_curve; code: technology_rules.allocate_upgrade_budget</t>
        </is>
      </c>
      <c r="P95" s="67">
        <f>INDEX('个人技术总览'!$O$5:$O$46,MATCH($A95,'个人技术总览'!$A$5:$A$46,0))</f>
        <v/>
      </c>
      <c r="Q95" s="64">
        <f>INDEX('个人技术总览'!$P$5:$P$46,MATCH($A95,'个人技术总览'!$A$5:$A$46,0))</f>
        <v/>
      </c>
      <c r="R95" s="67">
        <f>INDEX('个人技术总览'!$Q$5:$Q$46,MATCH($A95,'个人技术总览'!$A$5:$A$46,0))</f>
        <v/>
      </c>
      <c r="S95" s="64">
        <f>INDEX('个人技术总览'!$R$5:$R$46,MATCH($A95,'个人技术总览'!$A$5:$A$46,0))</f>
        <v/>
      </c>
      <c r="T95" s="68">
        <f>POWER($Q95,$E95)</f>
        <v/>
      </c>
      <c r="U95" s="68">
        <f>SUMIFS($T$5:$T$589,$A$5:$A$589,$A95)</f>
        <v/>
      </c>
      <c r="V95" s="67">
        <f>ROUNDDOWN(MAX(0,$P95-$H95*$G95)*$T95/MAX(1,$U95),0)</f>
        <v/>
      </c>
      <c r="W95" s="68">
        <f>POWER($S95,$E95)</f>
        <v/>
      </c>
      <c r="X95" s="68">
        <f>SUMIFS($W$5:$W$589,$A$5:$A$589,$A95)</f>
        <v/>
      </c>
      <c r="Y95" s="67">
        <f>ROUNDDOWN(MAX(0,$R95-$J95*$G95)*$W95/MAX(1,$X95),0)</f>
        <v/>
      </c>
    </row>
    <row r="96">
      <c r="A96" s="17" t="inlineStr">
        <is>
          <t>scout_art</t>
        </is>
      </c>
      <c r="B96" s="18" t="inlineStr">
        <is>
          <t>侦查术</t>
        </is>
      </c>
      <c r="C96" s="18" t="inlineStr">
        <is>
          <t>基本技术</t>
        </is>
      </c>
      <c r="D96" s="18" t="inlineStr">
        <is>
          <t>—</t>
        </is>
      </c>
      <c r="E96" s="65" t="n">
        <v>91</v>
      </c>
      <c r="F96" s="66">
        <f>E96+1</f>
        <v/>
      </c>
      <c r="G96" s="65">
        <f>INDEX('个人技术总览'!$E$5:$E$46,MATCH($A96,'个人技术总览'!$A$5:$A$46,0))</f>
        <v/>
      </c>
      <c r="H96" s="59">
        <f>INDEX('个人技术总览'!$F$5:$F$46,MATCH($A96,'个人技术总览'!$A$5:$A$46,0))</f>
        <v/>
      </c>
      <c r="I96" s="60">
        <f>INDEX('个人技术总览'!$G$5:$G$46,MATCH($A96,'个人技术总览'!$A$5:$A$46,0))</f>
        <v/>
      </c>
      <c r="J96" s="59">
        <f>INDEX('个人技术总览'!$H$5:$H$46,MATCH($A96,'个人技术总览'!$A$5:$A$46,0))</f>
        <v/>
      </c>
      <c r="K96" s="60">
        <f>INDEX('个人技术总览'!$I$5:$I$46,MATCH($A96,'个人技术总览'!$A$5:$A$46,0))</f>
        <v/>
      </c>
      <c r="L96" s="67">
        <f>H96+V96+IF(E96=G96-1,MAX(0,P96-H96*G96-SUMIFS($V$5:$V$589,$A$5:$A$589,$A96)),0)</f>
        <v/>
      </c>
      <c r="M96" s="61">
        <f>MAX(1,ROUNDDOWN($L96/'参数与公式'!$B$5,0))</f>
        <v/>
      </c>
      <c r="N96" s="67">
        <f>J96+Y96+IF(E96=G96-1,MAX(0,R96-J96*G96-SUMIFS($Y$5:$Y$589,$A$5:$A$589,$A96)),0)</f>
        <v/>
      </c>
      <c r="O96" s="18" t="inlineStr">
        <is>
          <t>data/technology_templates.yaml; upgrade_*_budget / *_curve; code: technology_rules.allocate_upgrade_budget</t>
        </is>
      </c>
      <c r="P96" s="67">
        <f>INDEX('个人技术总览'!$O$5:$O$46,MATCH($A96,'个人技术总览'!$A$5:$A$46,0))</f>
        <v/>
      </c>
      <c r="Q96" s="64">
        <f>INDEX('个人技术总览'!$P$5:$P$46,MATCH($A96,'个人技术总览'!$A$5:$A$46,0))</f>
        <v/>
      </c>
      <c r="R96" s="67">
        <f>INDEX('个人技术总览'!$Q$5:$Q$46,MATCH($A96,'个人技术总览'!$A$5:$A$46,0))</f>
        <v/>
      </c>
      <c r="S96" s="64">
        <f>INDEX('个人技术总览'!$R$5:$R$46,MATCH($A96,'个人技术总览'!$A$5:$A$46,0))</f>
        <v/>
      </c>
      <c r="T96" s="68">
        <f>POWER($Q96,$E96)</f>
        <v/>
      </c>
      <c r="U96" s="68">
        <f>SUMIFS($T$5:$T$589,$A$5:$A$589,$A96)</f>
        <v/>
      </c>
      <c r="V96" s="67">
        <f>ROUNDDOWN(MAX(0,$P96-$H96*$G96)*$T96/MAX(1,$U96),0)</f>
        <v/>
      </c>
      <c r="W96" s="68">
        <f>POWER($S96,$E96)</f>
        <v/>
      </c>
      <c r="X96" s="68">
        <f>SUMIFS($W$5:$W$589,$A$5:$A$589,$A96)</f>
        <v/>
      </c>
      <c r="Y96" s="67">
        <f>ROUNDDOWN(MAX(0,$R96-$J96*$G96)*$W96/MAX(1,$X96),0)</f>
        <v/>
      </c>
    </row>
    <row r="97">
      <c r="A97" s="17" t="inlineStr">
        <is>
          <t>scout_art</t>
        </is>
      </c>
      <c r="B97" s="18" t="inlineStr">
        <is>
          <t>侦查术</t>
        </is>
      </c>
      <c r="C97" s="18" t="inlineStr">
        <is>
          <t>基本技术</t>
        </is>
      </c>
      <c r="D97" s="18" t="inlineStr">
        <is>
          <t>—</t>
        </is>
      </c>
      <c r="E97" s="65" t="n">
        <v>92</v>
      </c>
      <c r="F97" s="66">
        <f>E97+1</f>
        <v/>
      </c>
      <c r="G97" s="65">
        <f>INDEX('个人技术总览'!$E$5:$E$46,MATCH($A97,'个人技术总览'!$A$5:$A$46,0))</f>
        <v/>
      </c>
      <c r="H97" s="59">
        <f>INDEX('个人技术总览'!$F$5:$F$46,MATCH($A97,'个人技术总览'!$A$5:$A$46,0))</f>
        <v/>
      </c>
      <c r="I97" s="60">
        <f>INDEX('个人技术总览'!$G$5:$G$46,MATCH($A97,'个人技术总览'!$A$5:$A$46,0))</f>
        <v/>
      </c>
      <c r="J97" s="59">
        <f>INDEX('个人技术总览'!$H$5:$H$46,MATCH($A97,'个人技术总览'!$A$5:$A$46,0))</f>
        <v/>
      </c>
      <c r="K97" s="60">
        <f>INDEX('个人技术总览'!$I$5:$I$46,MATCH($A97,'个人技术总览'!$A$5:$A$46,0))</f>
        <v/>
      </c>
      <c r="L97" s="67">
        <f>H97+V97+IF(E97=G97-1,MAX(0,P97-H97*G97-SUMIFS($V$5:$V$589,$A$5:$A$589,$A97)),0)</f>
        <v/>
      </c>
      <c r="M97" s="61">
        <f>MAX(1,ROUNDDOWN($L97/'参数与公式'!$B$5,0))</f>
        <v/>
      </c>
      <c r="N97" s="67">
        <f>J97+Y97+IF(E97=G97-1,MAX(0,R97-J97*G97-SUMIFS($Y$5:$Y$589,$A$5:$A$589,$A97)),0)</f>
        <v/>
      </c>
      <c r="O97" s="18" t="inlineStr">
        <is>
          <t>data/technology_templates.yaml; upgrade_*_budget / *_curve; code: technology_rules.allocate_upgrade_budget</t>
        </is>
      </c>
      <c r="P97" s="67">
        <f>INDEX('个人技术总览'!$O$5:$O$46,MATCH($A97,'个人技术总览'!$A$5:$A$46,0))</f>
        <v/>
      </c>
      <c r="Q97" s="64">
        <f>INDEX('个人技术总览'!$P$5:$P$46,MATCH($A97,'个人技术总览'!$A$5:$A$46,0))</f>
        <v/>
      </c>
      <c r="R97" s="67">
        <f>INDEX('个人技术总览'!$Q$5:$Q$46,MATCH($A97,'个人技术总览'!$A$5:$A$46,0))</f>
        <v/>
      </c>
      <c r="S97" s="64">
        <f>INDEX('个人技术总览'!$R$5:$R$46,MATCH($A97,'个人技术总览'!$A$5:$A$46,0))</f>
        <v/>
      </c>
      <c r="T97" s="68">
        <f>POWER($Q97,$E97)</f>
        <v/>
      </c>
      <c r="U97" s="68">
        <f>SUMIFS($T$5:$T$589,$A$5:$A$589,$A97)</f>
        <v/>
      </c>
      <c r="V97" s="67">
        <f>ROUNDDOWN(MAX(0,$P97-$H97*$G97)*$T97/MAX(1,$U97),0)</f>
        <v/>
      </c>
      <c r="W97" s="68">
        <f>POWER($S97,$E97)</f>
        <v/>
      </c>
      <c r="X97" s="68">
        <f>SUMIFS($W$5:$W$589,$A$5:$A$589,$A97)</f>
        <v/>
      </c>
      <c r="Y97" s="67">
        <f>ROUNDDOWN(MAX(0,$R97-$J97*$G97)*$W97/MAX(1,$X97),0)</f>
        <v/>
      </c>
    </row>
    <row r="98">
      <c r="A98" s="17" t="inlineStr">
        <is>
          <t>scout_art</t>
        </is>
      </c>
      <c r="B98" s="18" t="inlineStr">
        <is>
          <t>侦查术</t>
        </is>
      </c>
      <c r="C98" s="18" t="inlineStr">
        <is>
          <t>基本技术</t>
        </is>
      </c>
      <c r="D98" s="18" t="inlineStr">
        <is>
          <t>—</t>
        </is>
      </c>
      <c r="E98" s="65" t="n">
        <v>93</v>
      </c>
      <c r="F98" s="66">
        <f>E98+1</f>
        <v/>
      </c>
      <c r="G98" s="65">
        <f>INDEX('个人技术总览'!$E$5:$E$46,MATCH($A98,'个人技术总览'!$A$5:$A$46,0))</f>
        <v/>
      </c>
      <c r="H98" s="59">
        <f>INDEX('个人技术总览'!$F$5:$F$46,MATCH($A98,'个人技术总览'!$A$5:$A$46,0))</f>
        <v/>
      </c>
      <c r="I98" s="60">
        <f>INDEX('个人技术总览'!$G$5:$G$46,MATCH($A98,'个人技术总览'!$A$5:$A$46,0))</f>
        <v/>
      </c>
      <c r="J98" s="59">
        <f>INDEX('个人技术总览'!$H$5:$H$46,MATCH($A98,'个人技术总览'!$A$5:$A$46,0))</f>
        <v/>
      </c>
      <c r="K98" s="60">
        <f>INDEX('个人技术总览'!$I$5:$I$46,MATCH($A98,'个人技术总览'!$A$5:$A$46,0))</f>
        <v/>
      </c>
      <c r="L98" s="67">
        <f>H98+V98+IF(E98=G98-1,MAX(0,P98-H98*G98-SUMIFS($V$5:$V$589,$A$5:$A$589,$A98)),0)</f>
        <v/>
      </c>
      <c r="M98" s="61">
        <f>MAX(1,ROUNDDOWN($L98/'参数与公式'!$B$5,0))</f>
        <v/>
      </c>
      <c r="N98" s="67">
        <f>J98+Y98+IF(E98=G98-1,MAX(0,R98-J98*G98-SUMIFS($Y$5:$Y$589,$A$5:$A$589,$A98)),0)</f>
        <v/>
      </c>
      <c r="O98" s="18" t="inlineStr">
        <is>
          <t>data/technology_templates.yaml; upgrade_*_budget / *_curve; code: technology_rules.allocate_upgrade_budget</t>
        </is>
      </c>
      <c r="P98" s="67">
        <f>INDEX('个人技术总览'!$O$5:$O$46,MATCH($A98,'个人技术总览'!$A$5:$A$46,0))</f>
        <v/>
      </c>
      <c r="Q98" s="64">
        <f>INDEX('个人技术总览'!$P$5:$P$46,MATCH($A98,'个人技术总览'!$A$5:$A$46,0))</f>
        <v/>
      </c>
      <c r="R98" s="67">
        <f>INDEX('个人技术总览'!$Q$5:$Q$46,MATCH($A98,'个人技术总览'!$A$5:$A$46,0))</f>
        <v/>
      </c>
      <c r="S98" s="64">
        <f>INDEX('个人技术总览'!$R$5:$R$46,MATCH($A98,'个人技术总览'!$A$5:$A$46,0))</f>
        <v/>
      </c>
      <c r="T98" s="68">
        <f>POWER($Q98,$E98)</f>
        <v/>
      </c>
      <c r="U98" s="68">
        <f>SUMIFS($T$5:$T$589,$A$5:$A$589,$A98)</f>
        <v/>
      </c>
      <c r="V98" s="67">
        <f>ROUNDDOWN(MAX(0,$P98-$H98*$G98)*$T98/MAX(1,$U98),0)</f>
        <v/>
      </c>
      <c r="W98" s="68">
        <f>POWER($S98,$E98)</f>
        <v/>
      </c>
      <c r="X98" s="68">
        <f>SUMIFS($W$5:$W$589,$A$5:$A$589,$A98)</f>
        <v/>
      </c>
      <c r="Y98" s="67">
        <f>ROUNDDOWN(MAX(0,$R98-$J98*$G98)*$W98/MAX(1,$X98),0)</f>
        <v/>
      </c>
    </row>
    <row r="99">
      <c r="A99" s="17" t="inlineStr">
        <is>
          <t>scout_art</t>
        </is>
      </c>
      <c r="B99" s="18" t="inlineStr">
        <is>
          <t>侦查术</t>
        </is>
      </c>
      <c r="C99" s="18" t="inlineStr">
        <is>
          <t>基本技术</t>
        </is>
      </c>
      <c r="D99" s="18" t="inlineStr">
        <is>
          <t>—</t>
        </is>
      </c>
      <c r="E99" s="65" t="n">
        <v>94</v>
      </c>
      <c r="F99" s="66">
        <f>E99+1</f>
        <v/>
      </c>
      <c r="G99" s="65">
        <f>INDEX('个人技术总览'!$E$5:$E$46,MATCH($A99,'个人技术总览'!$A$5:$A$46,0))</f>
        <v/>
      </c>
      <c r="H99" s="59">
        <f>INDEX('个人技术总览'!$F$5:$F$46,MATCH($A99,'个人技术总览'!$A$5:$A$46,0))</f>
        <v/>
      </c>
      <c r="I99" s="60">
        <f>INDEX('个人技术总览'!$G$5:$G$46,MATCH($A99,'个人技术总览'!$A$5:$A$46,0))</f>
        <v/>
      </c>
      <c r="J99" s="59">
        <f>INDEX('个人技术总览'!$H$5:$H$46,MATCH($A99,'个人技术总览'!$A$5:$A$46,0))</f>
        <v/>
      </c>
      <c r="K99" s="60">
        <f>INDEX('个人技术总览'!$I$5:$I$46,MATCH($A99,'个人技术总览'!$A$5:$A$46,0))</f>
        <v/>
      </c>
      <c r="L99" s="67">
        <f>H99+V99+IF(E99=G99-1,MAX(0,P99-H99*G99-SUMIFS($V$5:$V$589,$A$5:$A$589,$A99)),0)</f>
        <v/>
      </c>
      <c r="M99" s="61">
        <f>MAX(1,ROUNDDOWN($L99/'参数与公式'!$B$5,0))</f>
        <v/>
      </c>
      <c r="N99" s="67">
        <f>J99+Y99+IF(E99=G99-1,MAX(0,R99-J99*G99-SUMIFS($Y$5:$Y$589,$A$5:$A$589,$A99)),0)</f>
        <v/>
      </c>
      <c r="O99" s="18" t="inlineStr">
        <is>
          <t>data/technology_templates.yaml; upgrade_*_budget / *_curve; code: technology_rules.allocate_upgrade_budget</t>
        </is>
      </c>
      <c r="P99" s="67">
        <f>INDEX('个人技术总览'!$O$5:$O$46,MATCH($A99,'个人技术总览'!$A$5:$A$46,0))</f>
        <v/>
      </c>
      <c r="Q99" s="64">
        <f>INDEX('个人技术总览'!$P$5:$P$46,MATCH($A99,'个人技术总览'!$A$5:$A$46,0))</f>
        <v/>
      </c>
      <c r="R99" s="67">
        <f>INDEX('个人技术总览'!$Q$5:$Q$46,MATCH($A99,'个人技术总览'!$A$5:$A$46,0))</f>
        <v/>
      </c>
      <c r="S99" s="64">
        <f>INDEX('个人技术总览'!$R$5:$R$46,MATCH($A99,'个人技术总览'!$A$5:$A$46,0))</f>
        <v/>
      </c>
      <c r="T99" s="68">
        <f>POWER($Q99,$E99)</f>
        <v/>
      </c>
      <c r="U99" s="68">
        <f>SUMIFS($T$5:$T$589,$A$5:$A$589,$A99)</f>
        <v/>
      </c>
      <c r="V99" s="67">
        <f>ROUNDDOWN(MAX(0,$P99-$H99*$G99)*$T99/MAX(1,$U99),0)</f>
        <v/>
      </c>
      <c r="W99" s="68">
        <f>POWER($S99,$E99)</f>
        <v/>
      </c>
      <c r="X99" s="68">
        <f>SUMIFS($W$5:$W$589,$A$5:$A$589,$A99)</f>
        <v/>
      </c>
      <c r="Y99" s="67">
        <f>ROUNDDOWN(MAX(0,$R99-$J99*$G99)*$W99/MAX(1,$X99),0)</f>
        <v/>
      </c>
    </row>
    <row r="100">
      <c r="A100" s="17" t="inlineStr">
        <is>
          <t>scout_art</t>
        </is>
      </c>
      <c r="B100" s="18" t="inlineStr">
        <is>
          <t>侦查术</t>
        </is>
      </c>
      <c r="C100" s="18" t="inlineStr">
        <is>
          <t>基本技术</t>
        </is>
      </c>
      <c r="D100" s="18" t="inlineStr">
        <is>
          <t>—</t>
        </is>
      </c>
      <c r="E100" s="65" t="n">
        <v>95</v>
      </c>
      <c r="F100" s="66">
        <f>E100+1</f>
        <v/>
      </c>
      <c r="G100" s="65">
        <f>INDEX('个人技术总览'!$E$5:$E$46,MATCH($A100,'个人技术总览'!$A$5:$A$46,0))</f>
        <v/>
      </c>
      <c r="H100" s="59">
        <f>INDEX('个人技术总览'!$F$5:$F$46,MATCH($A100,'个人技术总览'!$A$5:$A$46,0))</f>
        <v/>
      </c>
      <c r="I100" s="60">
        <f>INDEX('个人技术总览'!$G$5:$G$46,MATCH($A100,'个人技术总览'!$A$5:$A$46,0))</f>
        <v/>
      </c>
      <c r="J100" s="59">
        <f>INDEX('个人技术总览'!$H$5:$H$46,MATCH($A100,'个人技术总览'!$A$5:$A$46,0))</f>
        <v/>
      </c>
      <c r="K100" s="60">
        <f>INDEX('个人技术总览'!$I$5:$I$46,MATCH($A100,'个人技术总览'!$A$5:$A$46,0))</f>
        <v/>
      </c>
      <c r="L100" s="67">
        <f>H100+V100+IF(E100=G100-1,MAX(0,P100-H100*G100-SUMIFS($V$5:$V$589,$A$5:$A$589,$A100)),0)</f>
        <v/>
      </c>
      <c r="M100" s="61">
        <f>MAX(1,ROUNDDOWN($L100/'参数与公式'!$B$5,0))</f>
        <v/>
      </c>
      <c r="N100" s="67">
        <f>J100+Y100+IF(E100=G100-1,MAX(0,R100-J100*G100-SUMIFS($Y$5:$Y$589,$A$5:$A$589,$A100)),0)</f>
        <v/>
      </c>
      <c r="O100" s="18" t="inlineStr">
        <is>
          <t>data/technology_templates.yaml; upgrade_*_budget / *_curve; code: technology_rules.allocate_upgrade_budget</t>
        </is>
      </c>
      <c r="P100" s="67">
        <f>INDEX('个人技术总览'!$O$5:$O$46,MATCH($A100,'个人技术总览'!$A$5:$A$46,0))</f>
        <v/>
      </c>
      <c r="Q100" s="64">
        <f>INDEX('个人技术总览'!$P$5:$P$46,MATCH($A100,'个人技术总览'!$A$5:$A$46,0))</f>
        <v/>
      </c>
      <c r="R100" s="67">
        <f>INDEX('个人技术总览'!$Q$5:$Q$46,MATCH($A100,'个人技术总览'!$A$5:$A$46,0))</f>
        <v/>
      </c>
      <c r="S100" s="64">
        <f>INDEX('个人技术总览'!$R$5:$R$46,MATCH($A100,'个人技术总览'!$A$5:$A$46,0))</f>
        <v/>
      </c>
      <c r="T100" s="68">
        <f>POWER($Q100,$E100)</f>
        <v/>
      </c>
      <c r="U100" s="68">
        <f>SUMIFS($T$5:$T$589,$A$5:$A$589,$A100)</f>
        <v/>
      </c>
      <c r="V100" s="67">
        <f>ROUNDDOWN(MAX(0,$P100-$H100*$G100)*$T100/MAX(1,$U100),0)</f>
        <v/>
      </c>
      <c r="W100" s="68">
        <f>POWER($S100,$E100)</f>
        <v/>
      </c>
      <c r="X100" s="68">
        <f>SUMIFS($W$5:$W$589,$A$5:$A$589,$A100)</f>
        <v/>
      </c>
      <c r="Y100" s="67">
        <f>ROUNDDOWN(MAX(0,$R100-$J100*$G100)*$W100/MAX(1,$X100),0)</f>
        <v/>
      </c>
    </row>
    <row r="101">
      <c r="A101" s="17" t="inlineStr">
        <is>
          <t>scout_art</t>
        </is>
      </c>
      <c r="B101" s="18" t="inlineStr">
        <is>
          <t>侦查术</t>
        </is>
      </c>
      <c r="C101" s="18" t="inlineStr">
        <is>
          <t>基本技术</t>
        </is>
      </c>
      <c r="D101" s="18" t="inlineStr">
        <is>
          <t>—</t>
        </is>
      </c>
      <c r="E101" s="65" t="n">
        <v>96</v>
      </c>
      <c r="F101" s="66">
        <f>E101+1</f>
        <v/>
      </c>
      <c r="G101" s="65">
        <f>INDEX('个人技术总览'!$E$5:$E$46,MATCH($A101,'个人技术总览'!$A$5:$A$46,0))</f>
        <v/>
      </c>
      <c r="H101" s="59">
        <f>INDEX('个人技术总览'!$F$5:$F$46,MATCH($A101,'个人技术总览'!$A$5:$A$46,0))</f>
        <v/>
      </c>
      <c r="I101" s="60">
        <f>INDEX('个人技术总览'!$G$5:$G$46,MATCH($A101,'个人技术总览'!$A$5:$A$46,0))</f>
        <v/>
      </c>
      <c r="J101" s="59">
        <f>INDEX('个人技术总览'!$H$5:$H$46,MATCH($A101,'个人技术总览'!$A$5:$A$46,0))</f>
        <v/>
      </c>
      <c r="K101" s="60">
        <f>INDEX('个人技术总览'!$I$5:$I$46,MATCH($A101,'个人技术总览'!$A$5:$A$46,0))</f>
        <v/>
      </c>
      <c r="L101" s="67">
        <f>H101+V101+IF(E101=G101-1,MAX(0,P101-H101*G101-SUMIFS($V$5:$V$589,$A$5:$A$589,$A101)),0)</f>
        <v/>
      </c>
      <c r="M101" s="61">
        <f>MAX(1,ROUNDDOWN($L101/'参数与公式'!$B$5,0))</f>
        <v/>
      </c>
      <c r="N101" s="67">
        <f>J101+Y101+IF(E101=G101-1,MAX(0,R101-J101*G101-SUMIFS($Y$5:$Y$589,$A$5:$A$589,$A101)),0)</f>
        <v/>
      </c>
      <c r="O101" s="18" t="inlineStr">
        <is>
          <t>data/technology_templates.yaml; upgrade_*_budget / *_curve; code: technology_rules.allocate_upgrade_budget</t>
        </is>
      </c>
      <c r="P101" s="67">
        <f>INDEX('个人技术总览'!$O$5:$O$46,MATCH($A101,'个人技术总览'!$A$5:$A$46,0))</f>
        <v/>
      </c>
      <c r="Q101" s="64">
        <f>INDEX('个人技术总览'!$P$5:$P$46,MATCH($A101,'个人技术总览'!$A$5:$A$46,0))</f>
        <v/>
      </c>
      <c r="R101" s="67">
        <f>INDEX('个人技术总览'!$Q$5:$Q$46,MATCH($A101,'个人技术总览'!$A$5:$A$46,0))</f>
        <v/>
      </c>
      <c r="S101" s="64">
        <f>INDEX('个人技术总览'!$R$5:$R$46,MATCH($A101,'个人技术总览'!$A$5:$A$46,0))</f>
        <v/>
      </c>
      <c r="T101" s="68">
        <f>POWER($Q101,$E101)</f>
        <v/>
      </c>
      <c r="U101" s="68">
        <f>SUMIFS($T$5:$T$589,$A$5:$A$589,$A101)</f>
        <v/>
      </c>
      <c r="V101" s="67">
        <f>ROUNDDOWN(MAX(0,$P101-$H101*$G101)*$T101/MAX(1,$U101),0)</f>
        <v/>
      </c>
      <c r="W101" s="68">
        <f>POWER($S101,$E101)</f>
        <v/>
      </c>
      <c r="X101" s="68">
        <f>SUMIFS($W$5:$W$589,$A$5:$A$589,$A101)</f>
        <v/>
      </c>
      <c r="Y101" s="67">
        <f>ROUNDDOWN(MAX(0,$R101-$J101*$G101)*$W101/MAX(1,$X101),0)</f>
        <v/>
      </c>
    </row>
    <row r="102">
      <c r="A102" s="17" t="inlineStr">
        <is>
          <t>scout_art</t>
        </is>
      </c>
      <c r="B102" s="18" t="inlineStr">
        <is>
          <t>侦查术</t>
        </is>
      </c>
      <c r="C102" s="18" t="inlineStr">
        <is>
          <t>基本技术</t>
        </is>
      </c>
      <c r="D102" s="18" t="inlineStr">
        <is>
          <t>—</t>
        </is>
      </c>
      <c r="E102" s="65" t="n">
        <v>97</v>
      </c>
      <c r="F102" s="66">
        <f>E102+1</f>
        <v/>
      </c>
      <c r="G102" s="65">
        <f>INDEX('个人技术总览'!$E$5:$E$46,MATCH($A102,'个人技术总览'!$A$5:$A$46,0))</f>
        <v/>
      </c>
      <c r="H102" s="59">
        <f>INDEX('个人技术总览'!$F$5:$F$46,MATCH($A102,'个人技术总览'!$A$5:$A$46,0))</f>
        <v/>
      </c>
      <c r="I102" s="60">
        <f>INDEX('个人技术总览'!$G$5:$G$46,MATCH($A102,'个人技术总览'!$A$5:$A$46,0))</f>
        <v/>
      </c>
      <c r="J102" s="59">
        <f>INDEX('个人技术总览'!$H$5:$H$46,MATCH($A102,'个人技术总览'!$A$5:$A$46,0))</f>
        <v/>
      </c>
      <c r="K102" s="60">
        <f>INDEX('个人技术总览'!$I$5:$I$46,MATCH($A102,'个人技术总览'!$A$5:$A$46,0))</f>
        <v/>
      </c>
      <c r="L102" s="67">
        <f>H102+V102+IF(E102=G102-1,MAX(0,P102-H102*G102-SUMIFS($V$5:$V$589,$A$5:$A$589,$A102)),0)</f>
        <v/>
      </c>
      <c r="M102" s="61">
        <f>MAX(1,ROUNDDOWN($L102/'参数与公式'!$B$5,0))</f>
        <v/>
      </c>
      <c r="N102" s="67">
        <f>J102+Y102+IF(E102=G102-1,MAX(0,R102-J102*G102-SUMIFS($Y$5:$Y$589,$A$5:$A$589,$A102)),0)</f>
        <v/>
      </c>
      <c r="O102" s="18" t="inlineStr">
        <is>
          <t>data/technology_templates.yaml; upgrade_*_budget / *_curve; code: technology_rules.allocate_upgrade_budget</t>
        </is>
      </c>
      <c r="P102" s="67">
        <f>INDEX('个人技术总览'!$O$5:$O$46,MATCH($A102,'个人技术总览'!$A$5:$A$46,0))</f>
        <v/>
      </c>
      <c r="Q102" s="64">
        <f>INDEX('个人技术总览'!$P$5:$P$46,MATCH($A102,'个人技术总览'!$A$5:$A$46,0))</f>
        <v/>
      </c>
      <c r="R102" s="67">
        <f>INDEX('个人技术总览'!$Q$5:$Q$46,MATCH($A102,'个人技术总览'!$A$5:$A$46,0))</f>
        <v/>
      </c>
      <c r="S102" s="64">
        <f>INDEX('个人技术总览'!$R$5:$R$46,MATCH($A102,'个人技术总览'!$A$5:$A$46,0))</f>
        <v/>
      </c>
      <c r="T102" s="68">
        <f>POWER($Q102,$E102)</f>
        <v/>
      </c>
      <c r="U102" s="68">
        <f>SUMIFS($T$5:$T$589,$A$5:$A$589,$A102)</f>
        <v/>
      </c>
      <c r="V102" s="67">
        <f>ROUNDDOWN(MAX(0,$P102-$H102*$G102)*$T102/MAX(1,$U102),0)</f>
        <v/>
      </c>
      <c r="W102" s="68">
        <f>POWER($S102,$E102)</f>
        <v/>
      </c>
      <c r="X102" s="68">
        <f>SUMIFS($W$5:$W$589,$A$5:$A$589,$A102)</f>
        <v/>
      </c>
      <c r="Y102" s="67">
        <f>ROUNDDOWN(MAX(0,$R102-$J102*$G102)*$W102/MAX(1,$X102),0)</f>
        <v/>
      </c>
    </row>
    <row r="103">
      <c r="A103" s="17" t="inlineStr">
        <is>
          <t>scout_art</t>
        </is>
      </c>
      <c r="B103" s="18" t="inlineStr">
        <is>
          <t>侦查术</t>
        </is>
      </c>
      <c r="C103" s="18" t="inlineStr">
        <is>
          <t>基本技术</t>
        </is>
      </c>
      <c r="D103" s="18" t="inlineStr">
        <is>
          <t>—</t>
        </is>
      </c>
      <c r="E103" s="65" t="n">
        <v>98</v>
      </c>
      <c r="F103" s="66">
        <f>E103+1</f>
        <v/>
      </c>
      <c r="G103" s="65">
        <f>INDEX('个人技术总览'!$E$5:$E$46,MATCH($A103,'个人技术总览'!$A$5:$A$46,0))</f>
        <v/>
      </c>
      <c r="H103" s="59">
        <f>INDEX('个人技术总览'!$F$5:$F$46,MATCH($A103,'个人技术总览'!$A$5:$A$46,0))</f>
        <v/>
      </c>
      <c r="I103" s="60">
        <f>INDEX('个人技术总览'!$G$5:$G$46,MATCH($A103,'个人技术总览'!$A$5:$A$46,0))</f>
        <v/>
      </c>
      <c r="J103" s="59">
        <f>INDEX('个人技术总览'!$H$5:$H$46,MATCH($A103,'个人技术总览'!$A$5:$A$46,0))</f>
        <v/>
      </c>
      <c r="K103" s="60">
        <f>INDEX('个人技术总览'!$I$5:$I$46,MATCH($A103,'个人技术总览'!$A$5:$A$46,0))</f>
        <v/>
      </c>
      <c r="L103" s="67">
        <f>H103+V103+IF(E103=G103-1,MAX(0,P103-H103*G103-SUMIFS($V$5:$V$589,$A$5:$A$589,$A103)),0)</f>
        <v/>
      </c>
      <c r="M103" s="61">
        <f>MAX(1,ROUNDDOWN($L103/'参数与公式'!$B$5,0))</f>
        <v/>
      </c>
      <c r="N103" s="67">
        <f>J103+Y103+IF(E103=G103-1,MAX(0,R103-J103*G103-SUMIFS($Y$5:$Y$589,$A$5:$A$589,$A103)),0)</f>
        <v/>
      </c>
      <c r="O103" s="18" t="inlineStr">
        <is>
          <t>data/technology_templates.yaml; upgrade_*_budget / *_curve; code: technology_rules.allocate_upgrade_budget</t>
        </is>
      </c>
      <c r="P103" s="67">
        <f>INDEX('个人技术总览'!$O$5:$O$46,MATCH($A103,'个人技术总览'!$A$5:$A$46,0))</f>
        <v/>
      </c>
      <c r="Q103" s="64">
        <f>INDEX('个人技术总览'!$P$5:$P$46,MATCH($A103,'个人技术总览'!$A$5:$A$46,0))</f>
        <v/>
      </c>
      <c r="R103" s="67">
        <f>INDEX('个人技术总览'!$Q$5:$Q$46,MATCH($A103,'个人技术总览'!$A$5:$A$46,0))</f>
        <v/>
      </c>
      <c r="S103" s="64">
        <f>INDEX('个人技术总览'!$R$5:$R$46,MATCH($A103,'个人技术总览'!$A$5:$A$46,0))</f>
        <v/>
      </c>
      <c r="T103" s="68">
        <f>POWER($Q103,$E103)</f>
        <v/>
      </c>
      <c r="U103" s="68">
        <f>SUMIFS($T$5:$T$589,$A$5:$A$589,$A103)</f>
        <v/>
      </c>
      <c r="V103" s="67">
        <f>ROUNDDOWN(MAX(0,$P103-$H103*$G103)*$T103/MAX(1,$U103),0)</f>
        <v/>
      </c>
      <c r="W103" s="68">
        <f>POWER($S103,$E103)</f>
        <v/>
      </c>
      <c r="X103" s="68">
        <f>SUMIFS($W$5:$W$589,$A$5:$A$589,$A103)</f>
        <v/>
      </c>
      <c r="Y103" s="67">
        <f>ROUNDDOWN(MAX(0,$R103-$J103*$G103)*$W103/MAX(1,$X103),0)</f>
        <v/>
      </c>
    </row>
    <row r="104">
      <c r="A104" s="17" t="inlineStr">
        <is>
          <t>scout_art</t>
        </is>
      </c>
      <c r="B104" s="18" t="inlineStr">
        <is>
          <t>侦查术</t>
        </is>
      </c>
      <c r="C104" s="18" t="inlineStr">
        <is>
          <t>基本技术</t>
        </is>
      </c>
      <c r="D104" s="18" t="inlineStr">
        <is>
          <t>—</t>
        </is>
      </c>
      <c r="E104" s="65" t="n">
        <v>99</v>
      </c>
      <c r="F104" s="66">
        <f>E104+1</f>
        <v/>
      </c>
      <c r="G104" s="65">
        <f>INDEX('个人技术总览'!$E$5:$E$46,MATCH($A104,'个人技术总览'!$A$5:$A$46,0))</f>
        <v/>
      </c>
      <c r="H104" s="59">
        <f>INDEX('个人技术总览'!$F$5:$F$46,MATCH($A104,'个人技术总览'!$A$5:$A$46,0))</f>
        <v/>
      </c>
      <c r="I104" s="60">
        <f>INDEX('个人技术总览'!$G$5:$G$46,MATCH($A104,'个人技术总览'!$A$5:$A$46,0))</f>
        <v/>
      </c>
      <c r="J104" s="59">
        <f>INDEX('个人技术总览'!$H$5:$H$46,MATCH($A104,'个人技术总览'!$A$5:$A$46,0))</f>
        <v/>
      </c>
      <c r="K104" s="60">
        <f>INDEX('个人技术总览'!$I$5:$I$46,MATCH($A104,'个人技术总览'!$A$5:$A$46,0))</f>
        <v/>
      </c>
      <c r="L104" s="67">
        <f>H104+V104+IF(E104=G104-1,MAX(0,P104-H104*G104-SUMIFS($V$5:$V$589,$A$5:$A$589,$A104)),0)</f>
        <v/>
      </c>
      <c r="M104" s="61">
        <f>MAX(1,ROUNDDOWN($L104/'参数与公式'!$B$5,0))</f>
        <v/>
      </c>
      <c r="N104" s="67">
        <f>J104+Y104+IF(E104=G104-1,MAX(0,R104-J104*G104-SUMIFS($Y$5:$Y$589,$A$5:$A$589,$A104)),0)</f>
        <v/>
      </c>
      <c r="O104" s="18" t="inlineStr">
        <is>
          <t>data/technology_templates.yaml; upgrade_*_budget / *_curve; code: technology_rules.allocate_upgrade_budget</t>
        </is>
      </c>
      <c r="P104" s="67">
        <f>INDEX('个人技术总览'!$O$5:$O$46,MATCH($A104,'个人技术总览'!$A$5:$A$46,0))</f>
        <v/>
      </c>
      <c r="Q104" s="64">
        <f>INDEX('个人技术总览'!$P$5:$P$46,MATCH($A104,'个人技术总览'!$A$5:$A$46,0))</f>
        <v/>
      </c>
      <c r="R104" s="67">
        <f>INDEX('个人技术总览'!$Q$5:$Q$46,MATCH($A104,'个人技术总览'!$A$5:$A$46,0))</f>
        <v/>
      </c>
      <c r="S104" s="64">
        <f>INDEX('个人技术总览'!$R$5:$R$46,MATCH($A104,'个人技术总览'!$A$5:$A$46,0))</f>
        <v/>
      </c>
      <c r="T104" s="68">
        <f>POWER($Q104,$E104)</f>
        <v/>
      </c>
      <c r="U104" s="68">
        <f>SUMIFS($T$5:$T$589,$A$5:$A$589,$A104)</f>
        <v/>
      </c>
      <c r="V104" s="67">
        <f>ROUNDDOWN(MAX(0,$P104-$H104*$G104)*$T104/MAX(1,$U104),0)</f>
        <v/>
      </c>
      <c r="W104" s="68">
        <f>POWER($S104,$E104)</f>
        <v/>
      </c>
      <c r="X104" s="68">
        <f>SUMIFS($W$5:$W$589,$A$5:$A$589,$A104)</f>
        <v/>
      </c>
      <c r="Y104" s="67">
        <f>ROUNDDOWN(MAX(0,$R104-$J104*$G104)*$W104/MAX(1,$X104),0)</f>
        <v/>
      </c>
    </row>
    <row r="105">
      <c r="A105" s="17" t="inlineStr">
        <is>
          <t>scout_art</t>
        </is>
      </c>
      <c r="B105" s="18" t="inlineStr">
        <is>
          <t>侦查术</t>
        </is>
      </c>
      <c r="C105" s="18" t="inlineStr">
        <is>
          <t>基本技术</t>
        </is>
      </c>
      <c r="D105" s="18" t="inlineStr">
        <is>
          <t>—</t>
        </is>
      </c>
      <c r="E105" s="65" t="n">
        <v>100</v>
      </c>
      <c r="F105" s="66">
        <f>E105+1</f>
        <v/>
      </c>
      <c r="G105" s="65">
        <f>INDEX('个人技术总览'!$E$5:$E$46,MATCH($A105,'个人技术总览'!$A$5:$A$46,0))</f>
        <v/>
      </c>
      <c r="H105" s="59">
        <f>INDEX('个人技术总览'!$F$5:$F$46,MATCH($A105,'个人技术总览'!$A$5:$A$46,0))</f>
        <v/>
      </c>
      <c r="I105" s="60">
        <f>INDEX('个人技术总览'!$G$5:$G$46,MATCH($A105,'个人技术总览'!$A$5:$A$46,0))</f>
        <v/>
      </c>
      <c r="J105" s="59">
        <f>INDEX('个人技术总览'!$H$5:$H$46,MATCH($A105,'个人技术总览'!$A$5:$A$46,0))</f>
        <v/>
      </c>
      <c r="K105" s="60">
        <f>INDEX('个人技术总览'!$I$5:$I$46,MATCH($A105,'个人技术总览'!$A$5:$A$46,0))</f>
        <v/>
      </c>
      <c r="L105" s="67">
        <f>H105+V105+IF(E105=G105-1,MAX(0,P105-H105*G105-SUMIFS($V$5:$V$589,$A$5:$A$589,$A105)),0)</f>
        <v/>
      </c>
      <c r="M105" s="61">
        <f>MAX(1,ROUNDDOWN($L105/'参数与公式'!$B$5,0))</f>
        <v/>
      </c>
      <c r="N105" s="67">
        <f>J105+Y105+IF(E105=G105-1,MAX(0,R105-J105*G105-SUMIFS($Y$5:$Y$589,$A$5:$A$589,$A105)),0)</f>
        <v/>
      </c>
      <c r="O105" s="18" t="inlineStr">
        <is>
          <t>data/technology_templates.yaml; upgrade_*_budget / *_curve; code: technology_rules.allocate_upgrade_budget</t>
        </is>
      </c>
      <c r="P105" s="67">
        <f>INDEX('个人技术总览'!$O$5:$O$46,MATCH($A105,'个人技术总览'!$A$5:$A$46,0))</f>
        <v/>
      </c>
      <c r="Q105" s="64">
        <f>INDEX('个人技术总览'!$P$5:$P$46,MATCH($A105,'个人技术总览'!$A$5:$A$46,0))</f>
        <v/>
      </c>
      <c r="R105" s="67">
        <f>INDEX('个人技术总览'!$Q$5:$Q$46,MATCH($A105,'个人技术总览'!$A$5:$A$46,0))</f>
        <v/>
      </c>
      <c r="S105" s="64">
        <f>INDEX('个人技术总览'!$R$5:$R$46,MATCH($A105,'个人技术总览'!$A$5:$A$46,0))</f>
        <v/>
      </c>
      <c r="T105" s="68">
        <f>POWER($Q105,$E105)</f>
        <v/>
      </c>
      <c r="U105" s="68">
        <f>SUMIFS($T$5:$T$589,$A$5:$A$589,$A105)</f>
        <v/>
      </c>
      <c r="V105" s="67">
        <f>ROUNDDOWN(MAX(0,$P105-$H105*$G105)*$T105/MAX(1,$U105),0)</f>
        <v/>
      </c>
      <c r="W105" s="68">
        <f>POWER($S105,$E105)</f>
        <v/>
      </c>
      <c r="X105" s="68">
        <f>SUMIFS($W$5:$W$589,$A$5:$A$589,$A105)</f>
        <v/>
      </c>
      <c r="Y105" s="67">
        <f>ROUNDDOWN(MAX(0,$R105-$J105*$G105)*$W105/MAX(1,$X105),0)</f>
        <v/>
      </c>
    </row>
    <row r="106">
      <c r="A106" s="17" t="inlineStr">
        <is>
          <t>scout_art</t>
        </is>
      </c>
      <c r="B106" s="18" t="inlineStr">
        <is>
          <t>侦查术</t>
        </is>
      </c>
      <c r="C106" s="18" t="inlineStr">
        <is>
          <t>基本技术</t>
        </is>
      </c>
      <c r="D106" s="18" t="inlineStr">
        <is>
          <t>—</t>
        </is>
      </c>
      <c r="E106" s="65" t="n">
        <v>101</v>
      </c>
      <c r="F106" s="66">
        <f>E106+1</f>
        <v/>
      </c>
      <c r="G106" s="65">
        <f>INDEX('个人技术总览'!$E$5:$E$46,MATCH($A106,'个人技术总览'!$A$5:$A$46,0))</f>
        <v/>
      </c>
      <c r="H106" s="59">
        <f>INDEX('个人技术总览'!$F$5:$F$46,MATCH($A106,'个人技术总览'!$A$5:$A$46,0))</f>
        <v/>
      </c>
      <c r="I106" s="60">
        <f>INDEX('个人技术总览'!$G$5:$G$46,MATCH($A106,'个人技术总览'!$A$5:$A$46,0))</f>
        <v/>
      </c>
      <c r="J106" s="59">
        <f>INDEX('个人技术总览'!$H$5:$H$46,MATCH($A106,'个人技术总览'!$A$5:$A$46,0))</f>
        <v/>
      </c>
      <c r="K106" s="60">
        <f>INDEX('个人技术总览'!$I$5:$I$46,MATCH($A106,'个人技术总览'!$A$5:$A$46,0))</f>
        <v/>
      </c>
      <c r="L106" s="67">
        <f>H106+V106+IF(E106=G106-1,MAX(0,P106-H106*G106-SUMIFS($V$5:$V$589,$A$5:$A$589,$A106)),0)</f>
        <v/>
      </c>
      <c r="M106" s="61">
        <f>MAX(1,ROUNDDOWN($L106/'参数与公式'!$B$5,0))</f>
        <v/>
      </c>
      <c r="N106" s="67">
        <f>J106+Y106+IF(E106=G106-1,MAX(0,R106-J106*G106-SUMIFS($Y$5:$Y$589,$A$5:$A$589,$A106)),0)</f>
        <v/>
      </c>
      <c r="O106" s="18" t="inlineStr">
        <is>
          <t>data/technology_templates.yaml; upgrade_*_budget / *_curve; code: technology_rules.allocate_upgrade_budget</t>
        </is>
      </c>
      <c r="P106" s="67">
        <f>INDEX('个人技术总览'!$O$5:$O$46,MATCH($A106,'个人技术总览'!$A$5:$A$46,0))</f>
        <v/>
      </c>
      <c r="Q106" s="64">
        <f>INDEX('个人技术总览'!$P$5:$P$46,MATCH($A106,'个人技术总览'!$A$5:$A$46,0))</f>
        <v/>
      </c>
      <c r="R106" s="67">
        <f>INDEX('个人技术总览'!$Q$5:$Q$46,MATCH($A106,'个人技术总览'!$A$5:$A$46,0))</f>
        <v/>
      </c>
      <c r="S106" s="64">
        <f>INDEX('个人技术总览'!$R$5:$R$46,MATCH($A106,'个人技术总览'!$A$5:$A$46,0))</f>
        <v/>
      </c>
      <c r="T106" s="68">
        <f>POWER($Q106,$E106)</f>
        <v/>
      </c>
      <c r="U106" s="68">
        <f>SUMIFS($T$5:$T$589,$A$5:$A$589,$A106)</f>
        <v/>
      </c>
      <c r="V106" s="67">
        <f>ROUNDDOWN(MAX(0,$P106-$H106*$G106)*$T106/MAX(1,$U106),0)</f>
        <v/>
      </c>
      <c r="W106" s="68">
        <f>POWER($S106,$E106)</f>
        <v/>
      </c>
      <c r="X106" s="68">
        <f>SUMIFS($W$5:$W$589,$A$5:$A$589,$A106)</f>
        <v/>
      </c>
      <c r="Y106" s="67">
        <f>ROUNDDOWN(MAX(0,$R106-$J106*$G106)*$W106/MAX(1,$X106),0)</f>
        <v/>
      </c>
    </row>
    <row r="107">
      <c r="A107" s="17" t="inlineStr">
        <is>
          <t>scout_art</t>
        </is>
      </c>
      <c r="B107" s="18" t="inlineStr">
        <is>
          <t>侦查术</t>
        </is>
      </c>
      <c r="C107" s="18" t="inlineStr">
        <is>
          <t>基本技术</t>
        </is>
      </c>
      <c r="D107" s="18" t="inlineStr">
        <is>
          <t>—</t>
        </is>
      </c>
      <c r="E107" s="65" t="n">
        <v>102</v>
      </c>
      <c r="F107" s="66">
        <f>E107+1</f>
        <v/>
      </c>
      <c r="G107" s="65">
        <f>INDEX('个人技术总览'!$E$5:$E$46,MATCH($A107,'个人技术总览'!$A$5:$A$46,0))</f>
        <v/>
      </c>
      <c r="H107" s="59">
        <f>INDEX('个人技术总览'!$F$5:$F$46,MATCH($A107,'个人技术总览'!$A$5:$A$46,0))</f>
        <v/>
      </c>
      <c r="I107" s="60">
        <f>INDEX('个人技术总览'!$G$5:$G$46,MATCH($A107,'个人技术总览'!$A$5:$A$46,0))</f>
        <v/>
      </c>
      <c r="J107" s="59">
        <f>INDEX('个人技术总览'!$H$5:$H$46,MATCH($A107,'个人技术总览'!$A$5:$A$46,0))</f>
        <v/>
      </c>
      <c r="K107" s="60">
        <f>INDEX('个人技术总览'!$I$5:$I$46,MATCH($A107,'个人技术总览'!$A$5:$A$46,0))</f>
        <v/>
      </c>
      <c r="L107" s="67">
        <f>H107+V107+IF(E107=G107-1,MAX(0,P107-H107*G107-SUMIFS($V$5:$V$589,$A$5:$A$589,$A107)),0)</f>
        <v/>
      </c>
      <c r="M107" s="61">
        <f>MAX(1,ROUNDDOWN($L107/'参数与公式'!$B$5,0))</f>
        <v/>
      </c>
      <c r="N107" s="67">
        <f>J107+Y107+IF(E107=G107-1,MAX(0,R107-J107*G107-SUMIFS($Y$5:$Y$589,$A$5:$A$589,$A107)),0)</f>
        <v/>
      </c>
      <c r="O107" s="18" t="inlineStr">
        <is>
          <t>data/technology_templates.yaml; upgrade_*_budget / *_curve; code: technology_rules.allocate_upgrade_budget</t>
        </is>
      </c>
      <c r="P107" s="67">
        <f>INDEX('个人技术总览'!$O$5:$O$46,MATCH($A107,'个人技术总览'!$A$5:$A$46,0))</f>
        <v/>
      </c>
      <c r="Q107" s="64">
        <f>INDEX('个人技术总览'!$P$5:$P$46,MATCH($A107,'个人技术总览'!$A$5:$A$46,0))</f>
        <v/>
      </c>
      <c r="R107" s="67">
        <f>INDEX('个人技术总览'!$Q$5:$Q$46,MATCH($A107,'个人技术总览'!$A$5:$A$46,0))</f>
        <v/>
      </c>
      <c r="S107" s="64">
        <f>INDEX('个人技术总览'!$R$5:$R$46,MATCH($A107,'个人技术总览'!$A$5:$A$46,0))</f>
        <v/>
      </c>
      <c r="T107" s="68">
        <f>POWER($Q107,$E107)</f>
        <v/>
      </c>
      <c r="U107" s="68">
        <f>SUMIFS($T$5:$T$589,$A$5:$A$589,$A107)</f>
        <v/>
      </c>
      <c r="V107" s="67">
        <f>ROUNDDOWN(MAX(0,$P107-$H107*$G107)*$T107/MAX(1,$U107),0)</f>
        <v/>
      </c>
      <c r="W107" s="68">
        <f>POWER($S107,$E107)</f>
        <v/>
      </c>
      <c r="X107" s="68">
        <f>SUMIFS($W$5:$W$589,$A$5:$A$589,$A107)</f>
        <v/>
      </c>
      <c r="Y107" s="67">
        <f>ROUNDDOWN(MAX(0,$R107-$J107*$G107)*$W107/MAX(1,$X107),0)</f>
        <v/>
      </c>
    </row>
    <row r="108">
      <c r="A108" s="17" t="inlineStr">
        <is>
          <t>scout_art</t>
        </is>
      </c>
      <c r="B108" s="18" t="inlineStr">
        <is>
          <t>侦查术</t>
        </is>
      </c>
      <c r="C108" s="18" t="inlineStr">
        <is>
          <t>基本技术</t>
        </is>
      </c>
      <c r="D108" s="18" t="inlineStr">
        <is>
          <t>—</t>
        </is>
      </c>
      <c r="E108" s="65" t="n">
        <v>103</v>
      </c>
      <c r="F108" s="66">
        <f>E108+1</f>
        <v/>
      </c>
      <c r="G108" s="65">
        <f>INDEX('个人技术总览'!$E$5:$E$46,MATCH($A108,'个人技术总览'!$A$5:$A$46,0))</f>
        <v/>
      </c>
      <c r="H108" s="59">
        <f>INDEX('个人技术总览'!$F$5:$F$46,MATCH($A108,'个人技术总览'!$A$5:$A$46,0))</f>
        <v/>
      </c>
      <c r="I108" s="60">
        <f>INDEX('个人技术总览'!$G$5:$G$46,MATCH($A108,'个人技术总览'!$A$5:$A$46,0))</f>
        <v/>
      </c>
      <c r="J108" s="59">
        <f>INDEX('个人技术总览'!$H$5:$H$46,MATCH($A108,'个人技术总览'!$A$5:$A$46,0))</f>
        <v/>
      </c>
      <c r="K108" s="60">
        <f>INDEX('个人技术总览'!$I$5:$I$46,MATCH($A108,'个人技术总览'!$A$5:$A$46,0))</f>
        <v/>
      </c>
      <c r="L108" s="67">
        <f>H108+V108+IF(E108=G108-1,MAX(0,P108-H108*G108-SUMIFS($V$5:$V$589,$A$5:$A$589,$A108)),0)</f>
        <v/>
      </c>
      <c r="M108" s="61">
        <f>MAX(1,ROUNDDOWN($L108/'参数与公式'!$B$5,0))</f>
        <v/>
      </c>
      <c r="N108" s="67">
        <f>J108+Y108+IF(E108=G108-1,MAX(0,R108-J108*G108-SUMIFS($Y$5:$Y$589,$A$5:$A$589,$A108)),0)</f>
        <v/>
      </c>
      <c r="O108" s="18" t="inlineStr">
        <is>
          <t>data/technology_templates.yaml; upgrade_*_budget / *_curve; code: technology_rules.allocate_upgrade_budget</t>
        </is>
      </c>
      <c r="P108" s="67">
        <f>INDEX('个人技术总览'!$O$5:$O$46,MATCH($A108,'个人技术总览'!$A$5:$A$46,0))</f>
        <v/>
      </c>
      <c r="Q108" s="64">
        <f>INDEX('个人技术总览'!$P$5:$P$46,MATCH($A108,'个人技术总览'!$A$5:$A$46,0))</f>
        <v/>
      </c>
      <c r="R108" s="67">
        <f>INDEX('个人技术总览'!$Q$5:$Q$46,MATCH($A108,'个人技术总览'!$A$5:$A$46,0))</f>
        <v/>
      </c>
      <c r="S108" s="64">
        <f>INDEX('个人技术总览'!$R$5:$R$46,MATCH($A108,'个人技术总览'!$A$5:$A$46,0))</f>
        <v/>
      </c>
      <c r="T108" s="68">
        <f>POWER($Q108,$E108)</f>
        <v/>
      </c>
      <c r="U108" s="68">
        <f>SUMIFS($T$5:$T$589,$A$5:$A$589,$A108)</f>
        <v/>
      </c>
      <c r="V108" s="67">
        <f>ROUNDDOWN(MAX(0,$P108-$H108*$G108)*$T108/MAX(1,$U108),0)</f>
        <v/>
      </c>
      <c r="W108" s="68">
        <f>POWER($S108,$E108)</f>
        <v/>
      </c>
      <c r="X108" s="68">
        <f>SUMIFS($W$5:$W$589,$A$5:$A$589,$A108)</f>
        <v/>
      </c>
      <c r="Y108" s="67">
        <f>ROUNDDOWN(MAX(0,$R108-$J108*$G108)*$W108/MAX(1,$X108),0)</f>
        <v/>
      </c>
    </row>
    <row r="109">
      <c r="A109" s="17" t="inlineStr">
        <is>
          <t>scout_art</t>
        </is>
      </c>
      <c r="B109" s="18" t="inlineStr">
        <is>
          <t>侦查术</t>
        </is>
      </c>
      <c r="C109" s="18" t="inlineStr">
        <is>
          <t>基本技术</t>
        </is>
      </c>
      <c r="D109" s="18" t="inlineStr">
        <is>
          <t>—</t>
        </is>
      </c>
      <c r="E109" s="65" t="n">
        <v>104</v>
      </c>
      <c r="F109" s="66">
        <f>E109+1</f>
        <v/>
      </c>
      <c r="G109" s="65">
        <f>INDEX('个人技术总览'!$E$5:$E$46,MATCH($A109,'个人技术总览'!$A$5:$A$46,0))</f>
        <v/>
      </c>
      <c r="H109" s="59">
        <f>INDEX('个人技术总览'!$F$5:$F$46,MATCH($A109,'个人技术总览'!$A$5:$A$46,0))</f>
        <v/>
      </c>
      <c r="I109" s="60">
        <f>INDEX('个人技术总览'!$G$5:$G$46,MATCH($A109,'个人技术总览'!$A$5:$A$46,0))</f>
        <v/>
      </c>
      <c r="J109" s="59">
        <f>INDEX('个人技术总览'!$H$5:$H$46,MATCH($A109,'个人技术总览'!$A$5:$A$46,0))</f>
        <v/>
      </c>
      <c r="K109" s="60">
        <f>INDEX('个人技术总览'!$I$5:$I$46,MATCH($A109,'个人技术总览'!$A$5:$A$46,0))</f>
        <v/>
      </c>
      <c r="L109" s="67">
        <f>H109+V109+IF(E109=G109-1,MAX(0,P109-H109*G109-SUMIFS($V$5:$V$589,$A$5:$A$589,$A109)),0)</f>
        <v/>
      </c>
      <c r="M109" s="61">
        <f>MAX(1,ROUNDDOWN($L109/'参数与公式'!$B$5,0))</f>
        <v/>
      </c>
      <c r="N109" s="67">
        <f>J109+Y109+IF(E109=G109-1,MAX(0,R109-J109*G109-SUMIFS($Y$5:$Y$589,$A$5:$A$589,$A109)),0)</f>
        <v/>
      </c>
      <c r="O109" s="18" t="inlineStr">
        <is>
          <t>data/technology_templates.yaml; upgrade_*_budget / *_curve; code: technology_rules.allocate_upgrade_budget</t>
        </is>
      </c>
      <c r="P109" s="67">
        <f>INDEX('个人技术总览'!$O$5:$O$46,MATCH($A109,'个人技术总览'!$A$5:$A$46,0))</f>
        <v/>
      </c>
      <c r="Q109" s="64">
        <f>INDEX('个人技术总览'!$P$5:$P$46,MATCH($A109,'个人技术总览'!$A$5:$A$46,0))</f>
        <v/>
      </c>
      <c r="R109" s="67">
        <f>INDEX('个人技术总览'!$Q$5:$Q$46,MATCH($A109,'个人技术总览'!$A$5:$A$46,0))</f>
        <v/>
      </c>
      <c r="S109" s="64">
        <f>INDEX('个人技术总览'!$R$5:$R$46,MATCH($A109,'个人技术总览'!$A$5:$A$46,0))</f>
        <v/>
      </c>
      <c r="T109" s="68">
        <f>POWER($Q109,$E109)</f>
        <v/>
      </c>
      <c r="U109" s="68">
        <f>SUMIFS($T$5:$T$589,$A$5:$A$589,$A109)</f>
        <v/>
      </c>
      <c r="V109" s="67">
        <f>ROUNDDOWN(MAX(0,$P109-$H109*$G109)*$T109/MAX(1,$U109),0)</f>
        <v/>
      </c>
      <c r="W109" s="68">
        <f>POWER($S109,$E109)</f>
        <v/>
      </c>
      <c r="X109" s="68">
        <f>SUMIFS($W$5:$W$589,$A$5:$A$589,$A109)</f>
        <v/>
      </c>
      <c r="Y109" s="67">
        <f>ROUNDDOWN(MAX(0,$R109-$J109*$G109)*$W109/MAX(1,$X109),0)</f>
        <v/>
      </c>
    </row>
    <row r="110">
      <c r="A110" s="17" t="inlineStr">
        <is>
          <t>scout_art</t>
        </is>
      </c>
      <c r="B110" s="18" t="inlineStr">
        <is>
          <t>侦查术</t>
        </is>
      </c>
      <c r="C110" s="18" t="inlineStr">
        <is>
          <t>基本技术</t>
        </is>
      </c>
      <c r="D110" s="18" t="inlineStr">
        <is>
          <t>—</t>
        </is>
      </c>
      <c r="E110" s="65" t="n">
        <v>105</v>
      </c>
      <c r="F110" s="66">
        <f>E110+1</f>
        <v/>
      </c>
      <c r="G110" s="65">
        <f>INDEX('个人技术总览'!$E$5:$E$46,MATCH($A110,'个人技术总览'!$A$5:$A$46,0))</f>
        <v/>
      </c>
      <c r="H110" s="59">
        <f>INDEX('个人技术总览'!$F$5:$F$46,MATCH($A110,'个人技术总览'!$A$5:$A$46,0))</f>
        <v/>
      </c>
      <c r="I110" s="60">
        <f>INDEX('个人技术总览'!$G$5:$G$46,MATCH($A110,'个人技术总览'!$A$5:$A$46,0))</f>
        <v/>
      </c>
      <c r="J110" s="59">
        <f>INDEX('个人技术总览'!$H$5:$H$46,MATCH($A110,'个人技术总览'!$A$5:$A$46,0))</f>
        <v/>
      </c>
      <c r="K110" s="60">
        <f>INDEX('个人技术总览'!$I$5:$I$46,MATCH($A110,'个人技术总览'!$A$5:$A$46,0))</f>
        <v/>
      </c>
      <c r="L110" s="67">
        <f>H110+V110+IF(E110=G110-1,MAX(0,P110-H110*G110-SUMIFS($V$5:$V$589,$A$5:$A$589,$A110)),0)</f>
        <v/>
      </c>
      <c r="M110" s="61">
        <f>MAX(1,ROUNDDOWN($L110/'参数与公式'!$B$5,0))</f>
        <v/>
      </c>
      <c r="N110" s="67">
        <f>J110+Y110+IF(E110=G110-1,MAX(0,R110-J110*G110-SUMIFS($Y$5:$Y$589,$A$5:$A$589,$A110)),0)</f>
        <v/>
      </c>
      <c r="O110" s="18" t="inlineStr">
        <is>
          <t>data/technology_templates.yaml; upgrade_*_budget / *_curve; code: technology_rules.allocate_upgrade_budget</t>
        </is>
      </c>
      <c r="P110" s="67">
        <f>INDEX('个人技术总览'!$O$5:$O$46,MATCH($A110,'个人技术总览'!$A$5:$A$46,0))</f>
        <v/>
      </c>
      <c r="Q110" s="64">
        <f>INDEX('个人技术总览'!$P$5:$P$46,MATCH($A110,'个人技术总览'!$A$5:$A$46,0))</f>
        <v/>
      </c>
      <c r="R110" s="67">
        <f>INDEX('个人技术总览'!$Q$5:$Q$46,MATCH($A110,'个人技术总览'!$A$5:$A$46,0))</f>
        <v/>
      </c>
      <c r="S110" s="64">
        <f>INDEX('个人技术总览'!$R$5:$R$46,MATCH($A110,'个人技术总览'!$A$5:$A$46,0))</f>
        <v/>
      </c>
      <c r="T110" s="68">
        <f>POWER($Q110,$E110)</f>
        <v/>
      </c>
      <c r="U110" s="68">
        <f>SUMIFS($T$5:$T$589,$A$5:$A$589,$A110)</f>
        <v/>
      </c>
      <c r="V110" s="67">
        <f>ROUNDDOWN(MAX(0,$P110-$H110*$G110)*$T110/MAX(1,$U110),0)</f>
        <v/>
      </c>
      <c r="W110" s="68">
        <f>POWER($S110,$E110)</f>
        <v/>
      </c>
      <c r="X110" s="68">
        <f>SUMIFS($W$5:$W$589,$A$5:$A$589,$A110)</f>
        <v/>
      </c>
      <c r="Y110" s="67">
        <f>ROUNDDOWN(MAX(0,$R110-$J110*$G110)*$W110/MAX(1,$X110),0)</f>
        <v/>
      </c>
    </row>
    <row r="111">
      <c r="A111" s="17" t="inlineStr">
        <is>
          <t>scout_art</t>
        </is>
      </c>
      <c r="B111" s="18" t="inlineStr">
        <is>
          <t>侦查术</t>
        </is>
      </c>
      <c r="C111" s="18" t="inlineStr">
        <is>
          <t>基本技术</t>
        </is>
      </c>
      <c r="D111" s="18" t="inlineStr">
        <is>
          <t>—</t>
        </is>
      </c>
      <c r="E111" s="65" t="n">
        <v>106</v>
      </c>
      <c r="F111" s="66">
        <f>E111+1</f>
        <v/>
      </c>
      <c r="G111" s="65">
        <f>INDEX('个人技术总览'!$E$5:$E$46,MATCH($A111,'个人技术总览'!$A$5:$A$46,0))</f>
        <v/>
      </c>
      <c r="H111" s="59">
        <f>INDEX('个人技术总览'!$F$5:$F$46,MATCH($A111,'个人技术总览'!$A$5:$A$46,0))</f>
        <v/>
      </c>
      <c r="I111" s="60">
        <f>INDEX('个人技术总览'!$G$5:$G$46,MATCH($A111,'个人技术总览'!$A$5:$A$46,0))</f>
        <v/>
      </c>
      <c r="J111" s="59">
        <f>INDEX('个人技术总览'!$H$5:$H$46,MATCH($A111,'个人技术总览'!$A$5:$A$46,0))</f>
        <v/>
      </c>
      <c r="K111" s="60">
        <f>INDEX('个人技术总览'!$I$5:$I$46,MATCH($A111,'个人技术总览'!$A$5:$A$46,0))</f>
        <v/>
      </c>
      <c r="L111" s="67">
        <f>H111+V111+IF(E111=G111-1,MAX(0,P111-H111*G111-SUMIFS($V$5:$V$589,$A$5:$A$589,$A111)),0)</f>
        <v/>
      </c>
      <c r="M111" s="61">
        <f>MAX(1,ROUNDDOWN($L111/'参数与公式'!$B$5,0))</f>
        <v/>
      </c>
      <c r="N111" s="67">
        <f>J111+Y111+IF(E111=G111-1,MAX(0,R111-J111*G111-SUMIFS($Y$5:$Y$589,$A$5:$A$589,$A111)),0)</f>
        <v/>
      </c>
      <c r="O111" s="18" t="inlineStr">
        <is>
          <t>data/technology_templates.yaml; upgrade_*_budget / *_curve; code: technology_rules.allocate_upgrade_budget</t>
        </is>
      </c>
      <c r="P111" s="67">
        <f>INDEX('个人技术总览'!$O$5:$O$46,MATCH($A111,'个人技术总览'!$A$5:$A$46,0))</f>
        <v/>
      </c>
      <c r="Q111" s="64">
        <f>INDEX('个人技术总览'!$P$5:$P$46,MATCH($A111,'个人技术总览'!$A$5:$A$46,0))</f>
        <v/>
      </c>
      <c r="R111" s="67">
        <f>INDEX('个人技术总览'!$Q$5:$Q$46,MATCH($A111,'个人技术总览'!$A$5:$A$46,0))</f>
        <v/>
      </c>
      <c r="S111" s="64">
        <f>INDEX('个人技术总览'!$R$5:$R$46,MATCH($A111,'个人技术总览'!$A$5:$A$46,0))</f>
        <v/>
      </c>
      <c r="T111" s="68">
        <f>POWER($Q111,$E111)</f>
        <v/>
      </c>
      <c r="U111" s="68">
        <f>SUMIFS($T$5:$T$589,$A$5:$A$589,$A111)</f>
        <v/>
      </c>
      <c r="V111" s="67">
        <f>ROUNDDOWN(MAX(0,$P111-$H111*$G111)*$T111/MAX(1,$U111),0)</f>
        <v/>
      </c>
      <c r="W111" s="68">
        <f>POWER($S111,$E111)</f>
        <v/>
      </c>
      <c r="X111" s="68">
        <f>SUMIFS($W$5:$W$589,$A$5:$A$589,$A111)</f>
        <v/>
      </c>
      <c r="Y111" s="67">
        <f>ROUNDDOWN(MAX(0,$R111-$J111*$G111)*$W111/MAX(1,$X111),0)</f>
        <v/>
      </c>
    </row>
    <row r="112">
      <c r="A112" s="17" t="inlineStr">
        <is>
          <t>scout_art</t>
        </is>
      </c>
      <c r="B112" s="18" t="inlineStr">
        <is>
          <t>侦查术</t>
        </is>
      </c>
      <c r="C112" s="18" t="inlineStr">
        <is>
          <t>基本技术</t>
        </is>
      </c>
      <c r="D112" s="18" t="inlineStr">
        <is>
          <t>—</t>
        </is>
      </c>
      <c r="E112" s="65" t="n">
        <v>107</v>
      </c>
      <c r="F112" s="66">
        <f>E112+1</f>
        <v/>
      </c>
      <c r="G112" s="65">
        <f>INDEX('个人技术总览'!$E$5:$E$46,MATCH($A112,'个人技术总览'!$A$5:$A$46,0))</f>
        <v/>
      </c>
      <c r="H112" s="59">
        <f>INDEX('个人技术总览'!$F$5:$F$46,MATCH($A112,'个人技术总览'!$A$5:$A$46,0))</f>
        <v/>
      </c>
      <c r="I112" s="60">
        <f>INDEX('个人技术总览'!$G$5:$G$46,MATCH($A112,'个人技术总览'!$A$5:$A$46,0))</f>
        <v/>
      </c>
      <c r="J112" s="59">
        <f>INDEX('个人技术总览'!$H$5:$H$46,MATCH($A112,'个人技术总览'!$A$5:$A$46,0))</f>
        <v/>
      </c>
      <c r="K112" s="60">
        <f>INDEX('个人技术总览'!$I$5:$I$46,MATCH($A112,'个人技术总览'!$A$5:$A$46,0))</f>
        <v/>
      </c>
      <c r="L112" s="67">
        <f>H112+V112+IF(E112=G112-1,MAX(0,P112-H112*G112-SUMIFS($V$5:$V$589,$A$5:$A$589,$A112)),0)</f>
        <v/>
      </c>
      <c r="M112" s="61">
        <f>MAX(1,ROUNDDOWN($L112/'参数与公式'!$B$5,0))</f>
        <v/>
      </c>
      <c r="N112" s="67">
        <f>J112+Y112+IF(E112=G112-1,MAX(0,R112-J112*G112-SUMIFS($Y$5:$Y$589,$A$5:$A$589,$A112)),0)</f>
        <v/>
      </c>
      <c r="O112" s="18" t="inlineStr">
        <is>
          <t>data/technology_templates.yaml; upgrade_*_budget / *_curve; code: technology_rules.allocate_upgrade_budget</t>
        </is>
      </c>
      <c r="P112" s="67">
        <f>INDEX('个人技术总览'!$O$5:$O$46,MATCH($A112,'个人技术总览'!$A$5:$A$46,0))</f>
        <v/>
      </c>
      <c r="Q112" s="64">
        <f>INDEX('个人技术总览'!$P$5:$P$46,MATCH($A112,'个人技术总览'!$A$5:$A$46,0))</f>
        <v/>
      </c>
      <c r="R112" s="67">
        <f>INDEX('个人技术总览'!$Q$5:$Q$46,MATCH($A112,'个人技术总览'!$A$5:$A$46,0))</f>
        <v/>
      </c>
      <c r="S112" s="64">
        <f>INDEX('个人技术总览'!$R$5:$R$46,MATCH($A112,'个人技术总览'!$A$5:$A$46,0))</f>
        <v/>
      </c>
      <c r="T112" s="68">
        <f>POWER($Q112,$E112)</f>
        <v/>
      </c>
      <c r="U112" s="68">
        <f>SUMIFS($T$5:$T$589,$A$5:$A$589,$A112)</f>
        <v/>
      </c>
      <c r="V112" s="67">
        <f>ROUNDDOWN(MAX(0,$P112-$H112*$G112)*$T112/MAX(1,$U112),0)</f>
        <v/>
      </c>
      <c r="W112" s="68">
        <f>POWER($S112,$E112)</f>
        <v/>
      </c>
      <c r="X112" s="68">
        <f>SUMIFS($W$5:$W$589,$A$5:$A$589,$A112)</f>
        <v/>
      </c>
      <c r="Y112" s="67">
        <f>ROUNDDOWN(MAX(0,$R112-$J112*$G112)*$W112/MAX(1,$X112),0)</f>
        <v/>
      </c>
    </row>
    <row r="113">
      <c r="A113" s="17" t="inlineStr">
        <is>
          <t>scout_art</t>
        </is>
      </c>
      <c r="B113" s="18" t="inlineStr">
        <is>
          <t>侦查术</t>
        </is>
      </c>
      <c r="C113" s="18" t="inlineStr">
        <is>
          <t>基本技术</t>
        </is>
      </c>
      <c r="D113" s="18" t="inlineStr">
        <is>
          <t>—</t>
        </is>
      </c>
      <c r="E113" s="65" t="n">
        <v>108</v>
      </c>
      <c r="F113" s="66">
        <f>E113+1</f>
        <v/>
      </c>
      <c r="G113" s="65">
        <f>INDEX('个人技术总览'!$E$5:$E$46,MATCH($A113,'个人技术总览'!$A$5:$A$46,0))</f>
        <v/>
      </c>
      <c r="H113" s="59">
        <f>INDEX('个人技术总览'!$F$5:$F$46,MATCH($A113,'个人技术总览'!$A$5:$A$46,0))</f>
        <v/>
      </c>
      <c r="I113" s="60">
        <f>INDEX('个人技术总览'!$G$5:$G$46,MATCH($A113,'个人技术总览'!$A$5:$A$46,0))</f>
        <v/>
      </c>
      <c r="J113" s="59">
        <f>INDEX('个人技术总览'!$H$5:$H$46,MATCH($A113,'个人技术总览'!$A$5:$A$46,0))</f>
        <v/>
      </c>
      <c r="K113" s="60">
        <f>INDEX('个人技术总览'!$I$5:$I$46,MATCH($A113,'个人技术总览'!$A$5:$A$46,0))</f>
        <v/>
      </c>
      <c r="L113" s="67">
        <f>H113+V113+IF(E113=G113-1,MAX(0,P113-H113*G113-SUMIFS($V$5:$V$589,$A$5:$A$589,$A113)),0)</f>
        <v/>
      </c>
      <c r="M113" s="61">
        <f>MAX(1,ROUNDDOWN($L113/'参数与公式'!$B$5,0))</f>
        <v/>
      </c>
      <c r="N113" s="67">
        <f>J113+Y113+IF(E113=G113-1,MAX(0,R113-J113*G113-SUMIFS($Y$5:$Y$589,$A$5:$A$589,$A113)),0)</f>
        <v/>
      </c>
      <c r="O113" s="18" t="inlineStr">
        <is>
          <t>data/technology_templates.yaml; upgrade_*_budget / *_curve; code: technology_rules.allocate_upgrade_budget</t>
        </is>
      </c>
      <c r="P113" s="67">
        <f>INDEX('个人技术总览'!$O$5:$O$46,MATCH($A113,'个人技术总览'!$A$5:$A$46,0))</f>
        <v/>
      </c>
      <c r="Q113" s="64">
        <f>INDEX('个人技术总览'!$P$5:$P$46,MATCH($A113,'个人技术总览'!$A$5:$A$46,0))</f>
        <v/>
      </c>
      <c r="R113" s="67">
        <f>INDEX('个人技术总览'!$Q$5:$Q$46,MATCH($A113,'个人技术总览'!$A$5:$A$46,0))</f>
        <v/>
      </c>
      <c r="S113" s="64">
        <f>INDEX('个人技术总览'!$R$5:$R$46,MATCH($A113,'个人技术总览'!$A$5:$A$46,0))</f>
        <v/>
      </c>
      <c r="T113" s="68">
        <f>POWER($Q113,$E113)</f>
        <v/>
      </c>
      <c r="U113" s="68">
        <f>SUMIFS($T$5:$T$589,$A$5:$A$589,$A113)</f>
        <v/>
      </c>
      <c r="V113" s="67">
        <f>ROUNDDOWN(MAX(0,$P113-$H113*$G113)*$T113/MAX(1,$U113),0)</f>
        <v/>
      </c>
      <c r="W113" s="68">
        <f>POWER($S113,$E113)</f>
        <v/>
      </c>
      <c r="X113" s="68">
        <f>SUMIFS($W$5:$W$589,$A$5:$A$589,$A113)</f>
        <v/>
      </c>
      <c r="Y113" s="67">
        <f>ROUNDDOWN(MAX(0,$R113-$J113*$G113)*$W113/MAX(1,$X113),0)</f>
        <v/>
      </c>
    </row>
    <row r="114">
      <c r="A114" s="17" t="inlineStr">
        <is>
          <t>scout_art</t>
        </is>
      </c>
      <c r="B114" s="18" t="inlineStr">
        <is>
          <t>侦查术</t>
        </is>
      </c>
      <c r="C114" s="18" t="inlineStr">
        <is>
          <t>基本技术</t>
        </is>
      </c>
      <c r="D114" s="18" t="inlineStr">
        <is>
          <t>—</t>
        </is>
      </c>
      <c r="E114" s="65" t="n">
        <v>109</v>
      </c>
      <c r="F114" s="66">
        <f>E114+1</f>
        <v/>
      </c>
      <c r="G114" s="65">
        <f>INDEX('个人技术总览'!$E$5:$E$46,MATCH($A114,'个人技术总览'!$A$5:$A$46,0))</f>
        <v/>
      </c>
      <c r="H114" s="59">
        <f>INDEX('个人技术总览'!$F$5:$F$46,MATCH($A114,'个人技术总览'!$A$5:$A$46,0))</f>
        <v/>
      </c>
      <c r="I114" s="60">
        <f>INDEX('个人技术总览'!$G$5:$G$46,MATCH($A114,'个人技术总览'!$A$5:$A$46,0))</f>
        <v/>
      </c>
      <c r="J114" s="59">
        <f>INDEX('个人技术总览'!$H$5:$H$46,MATCH($A114,'个人技术总览'!$A$5:$A$46,0))</f>
        <v/>
      </c>
      <c r="K114" s="60">
        <f>INDEX('个人技术总览'!$I$5:$I$46,MATCH($A114,'个人技术总览'!$A$5:$A$46,0))</f>
        <v/>
      </c>
      <c r="L114" s="67">
        <f>H114+V114+IF(E114=G114-1,MAX(0,P114-H114*G114-SUMIFS($V$5:$V$589,$A$5:$A$589,$A114)),0)</f>
        <v/>
      </c>
      <c r="M114" s="61">
        <f>MAX(1,ROUNDDOWN($L114/'参数与公式'!$B$5,0))</f>
        <v/>
      </c>
      <c r="N114" s="67">
        <f>J114+Y114+IF(E114=G114-1,MAX(0,R114-J114*G114-SUMIFS($Y$5:$Y$589,$A$5:$A$589,$A114)),0)</f>
        <v/>
      </c>
      <c r="O114" s="18" t="inlineStr">
        <is>
          <t>data/technology_templates.yaml; upgrade_*_budget / *_curve; code: technology_rules.allocate_upgrade_budget</t>
        </is>
      </c>
      <c r="P114" s="67">
        <f>INDEX('个人技术总览'!$O$5:$O$46,MATCH($A114,'个人技术总览'!$A$5:$A$46,0))</f>
        <v/>
      </c>
      <c r="Q114" s="64">
        <f>INDEX('个人技术总览'!$P$5:$P$46,MATCH($A114,'个人技术总览'!$A$5:$A$46,0))</f>
        <v/>
      </c>
      <c r="R114" s="67">
        <f>INDEX('个人技术总览'!$Q$5:$Q$46,MATCH($A114,'个人技术总览'!$A$5:$A$46,0))</f>
        <v/>
      </c>
      <c r="S114" s="64">
        <f>INDEX('个人技术总览'!$R$5:$R$46,MATCH($A114,'个人技术总览'!$A$5:$A$46,0))</f>
        <v/>
      </c>
      <c r="T114" s="68">
        <f>POWER($Q114,$E114)</f>
        <v/>
      </c>
      <c r="U114" s="68">
        <f>SUMIFS($T$5:$T$589,$A$5:$A$589,$A114)</f>
        <v/>
      </c>
      <c r="V114" s="67">
        <f>ROUNDDOWN(MAX(0,$P114-$H114*$G114)*$T114/MAX(1,$U114),0)</f>
        <v/>
      </c>
      <c r="W114" s="68">
        <f>POWER($S114,$E114)</f>
        <v/>
      </c>
      <c r="X114" s="68">
        <f>SUMIFS($W$5:$W$589,$A$5:$A$589,$A114)</f>
        <v/>
      </c>
      <c r="Y114" s="67">
        <f>ROUNDDOWN(MAX(0,$R114-$J114*$G114)*$W114/MAX(1,$X114),0)</f>
        <v/>
      </c>
    </row>
    <row r="115">
      <c r="A115" s="17" t="inlineStr">
        <is>
          <t>scout_art</t>
        </is>
      </c>
      <c r="B115" s="18" t="inlineStr">
        <is>
          <t>侦查术</t>
        </is>
      </c>
      <c r="C115" s="18" t="inlineStr">
        <is>
          <t>基本技术</t>
        </is>
      </c>
      <c r="D115" s="18" t="inlineStr">
        <is>
          <t>—</t>
        </is>
      </c>
      <c r="E115" s="65" t="n">
        <v>110</v>
      </c>
      <c r="F115" s="66">
        <f>E115+1</f>
        <v/>
      </c>
      <c r="G115" s="65">
        <f>INDEX('个人技术总览'!$E$5:$E$46,MATCH($A115,'个人技术总览'!$A$5:$A$46,0))</f>
        <v/>
      </c>
      <c r="H115" s="59">
        <f>INDEX('个人技术总览'!$F$5:$F$46,MATCH($A115,'个人技术总览'!$A$5:$A$46,0))</f>
        <v/>
      </c>
      <c r="I115" s="60">
        <f>INDEX('个人技术总览'!$G$5:$G$46,MATCH($A115,'个人技术总览'!$A$5:$A$46,0))</f>
        <v/>
      </c>
      <c r="J115" s="59">
        <f>INDEX('个人技术总览'!$H$5:$H$46,MATCH($A115,'个人技术总览'!$A$5:$A$46,0))</f>
        <v/>
      </c>
      <c r="K115" s="60">
        <f>INDEX('个人技术总览'!$I$5:$I$46,MATCH($A115,'个人技术总览'!$A$5:$A$46,0))</f>
        <v/>
      </c>
      <c r="L115" s="67">
        <f>H115+V115+IF(E115=G115-1,MAX(0,P115-H115*G115-SUMIFS($V$5:$V$589,$A$5:$A$589,$A115)),0)</f>
        <v/>
      </c>
      <c r="M115" s="61">
        <f>MAX(1,ROUNDDOWN($L115/'参数与公式'!$B$5,0))</f>
        <v/>
      </c>
      <c r="N115" s="67">
        <f>J115+Y115+IF(E115=G115-1,MAX(0,R115-J115*G115-SUMIFS($Y$5:$Y$589,$A$5:$A$589,$A115)),0)</f>
        <v/>
      </c>
      <c r="O115" s="18" t="inlineStr">
        <is>
          <t>data/technology_templates.yaml; upgrade_*_budget / *_curve; code: technology_rules.allocate_upgrade_budget</t>
        </is>
      </c>
      <c r="P115" s="67">
        <f>INDEX('个人技术总览'!$O$5:$O$46,MATCH($A115,'个人技术总览'!$A$5:$A$46,0))</f>
        <v/>
      </c>
      <c r="Q115" s="64">
        <f>INDEX('个人技术总览'!$P$5:$P$46,MATCH($A115,'个人技术总览'!$A$5:$A$46,0))</f>
        <v/>
      </c>
      <c r="R115" s="67">
        <f>INDEX('个人技术总览'!$Q$5:$Q$46,MATCH($A115,'个人技术总览'!$A$5:$A$46,0))</f>
        <v/>
      </c>
      <c r="S115" s="64">
        <f>INDEX('个人技术总览'!$R$5:$R$46,MATCH($A115,'个人技术总览'!$A$5:$A$46,0))</f>
        <v/>
      </c>
      <c r="T115" s="68">
        <f>POWER($Q115,$E115)</f>
        <v/>
      </c>
      <c r="U115" s="68">
        <f>SUMIFS($T$5:$T$589,$A$5:$A$589,$A115)</f>
        <v/>
      </c>
      <c r="V115" s="67">
        <f>ROUNDDOWN(MAX(0,$P115-$H115*$G115)*$T115/MAX(1,$U115),0)</f>
        <v/>
      </c>
      <c r="W115" s="68">
        <f>POWER($S115,$E115)</f>
        <v/>
      </c>
      <c r="X115" s="68">
        <f>SUMIFS($W$5:$W$589,$A$5:$A$589,$A115)</f>
        <v/>
      </c>
      <c r="Y115" s="67">
        <f>ROUNDDOWN(MAX(0,$R115-$J115*$G115)*$W115/MAX(1,$X115),0)</f>
        <v/>
      </c>
    </row>
    <row r="116">
      <c r="A116" s="17" t="inlineStr">
        <is>
          <t>scout_art</t>
        </is>
      </c>
      <c r="B116" s="18" t="inlineStr">
        <is>
          <t>侦查术</t>
        </is>
      </c>
      <c r="C116" s="18" t="inlineStr">
        <is>
          <t>基本技术</t>
        </is>
      </c>
      <c r="D116" s="18" t="inlineStr">
        <is>
          <t>—</t>
        </is>
      </c>
      <c r="E116" s="65" t="n">
        <v>111</v>
      </c>
      <c r="F116" s="66">
        <f>E116+1</f>
        <v/>
      </c>
      <c r="G116" s="65">
        <f>INDEX('个人技术总览'!$E$5:$E$46,MATCH($A116,'个人技术总览'!$A$5:$A$46,0))</f>
        <v/>
      </c>
      <c r="H116" s="59">
        <f>INDEX('个人技术总览'!$F$5:$F$46,MATCH($A116,'个人技术总览'!$A$5:$A$46,0))</f>
        <v/>
      </c>
      <c r="I116" s="60">
        <f>INDEX('个人技术总览'!$G$5:$G$46,MATCH($A116,'个人技术总览'!$A$5:$A$46,0))</f>
        <v/>
      </c>
      <c r="J116" s="59">
        <f>INDEX('个人技术总览'!$H$5:$H$46,MATCH($A116,'个人技术总览'!$A$5:$A$46,0))</f>
        <v/>
      </c>
      <c r="K116" s="60">
        <f>INDEX('个人技术总览'!$I$5:$I$46,MATCH($A116,'个人技术总览'!$A$5:$A$46,0))</f>
        <v/>
      </c>
      <c r="L116" s="67">
        <f>H116+V116+IF(E116=G116-1,MAX(0,P116-H116*G116-SUMIFS($V$5:$V$589,$A$5:$A$589,$A116)),0)</f>
        <v/>
      </c>
      <c r="M116" s="61">
        <f>MAX(1,ROUNDDOWN($L116/'参数与公式'!$B$5,0))</f>
        <v/>
      </c>
      <c r="N116" s="67">
        <f>J116+Y116+IF(E116=G116-1,MAX(0,R116-J116*G116-SUMIFS($Y$5:$Y$589,$A$5:$A$589,$A116)),0)</f>
        <v/>
      </c>
      <c r="O116" s="18" t="inlineStr">
        <is>
          <t>data/technology_templates.yaml; upgrade_*_budget / *_curve; code: technology_rules.allocate_upgrade_budget</t>
        </is>
      </c>
      <c r="P116" s="67">
        <f>INDEX('个人技术总览'!$O$5:$O$46,MATCH($A116,'个人技术总览'!$A$5:$A$46,0))</f>
        <v/>
      </c>
      <c r="Q116" s="64">
        <f>INDEX('个人技术总览'!$P$5:$P$46,MATCH($A116,'个人技术总览'!$A$5:$A$46,0))</f>
        <v/>
      </c>
      <c r="R116" s="67">
        <f>INDEX('个人技术总览'!$Q$5:$Q$46,MATCH($A116,'个人技术总览'!$A$5:$A$46,0))</f>
        <v/>
      </c>
      <c r="S116" s="64">
        <f>INDEX('个人技术总览'!$R$5:$R$46,MATCH($A116,'个人技术总览'!$A$5:$A$46,0))</f>
        <v/>
      </c>
      <c r="T116" s="68">
        <f>POWER($Q116,$E116)</f>
        <v/>
      </c>
      <c r="U116" s="68">
        <f>SUMIFS($T$5:$T$589,$A$5:$A$589,$A116)</f>
        <v/>
      </c>
      <c r="V116" s="67">
        <f>ROUNDDOWN(MAX(0,$P116-$H116*$G116)*$T116/MAX(1,$U116),0)</f>
        <v/>
      </c>
      <c r="W116" s="68">
        <f>POWER($S116,$E116)</f>
        <v/>
      </c>
      <c r="X116" s="68">
        <f>SUMIFS($W$5:$W$589,$A$5:$A$589,$A116)</f>
        <v/>
      </c>
      <c r="Y116" s="67">
        <f>ROUNDDOWN(MAX(0,$R116-$J116*$G116)*$W116/MAX(1,$X116),0)</f>
        <v/>
      </c>
    </row>
    <row r="117">
      <c r="A117" s="17" t="inlineStr">
        <is>
          <t>scout_art</t>
        </is>
      </c>
      <c r="B117" s="18" t="inlineStr">
        <is>
          <t>侦查术</t>
        </is>
      </c>
      <c r="C117" s="18" t="inlineStr">
        <is>
          <t>基本技术</t>
        </is>
      </c>
      <c r="D117" s="18" t="inlineStr">
        <is>
          <t>—</t>
        </is>
      </c>
      <c r="E117" s="65" t="n">
        <v>112</v>
      </c>
      <c r="F117" s="66">
        <f>E117+1</f>
        <v/>
      </c>
      <c r="G117" s="65">
        <f>INDEX('个人技术总览'!$E$5:$E$46,MATCH($A117,'个人技术总览'!$A$5:$A$46,0))</f>
        <v/>
      </c>
      <c r="H117" s="59">
        <f>INDEX('个人技术总览'!$F$5:$F$46,MATCH($A117,'个人技术总览'!$A$5:$A$46,0))</f>
        <v/>
      </c>
      <c r="I117" s="60">
        <f>INDEX('个人技术总览'!$G$5:$G$46,MATCH($A117,'个人技术总览'!$A$5:$A$46,0))</f>
        <v/>
      </c>
      <c r="J117" s="59">
        <f>INDEX('个人技术总览'!$H$5:$H$46,MATCH($A117,'个人技术总览'!$A$5:$A$46,0))</f>
        <v/>
      </c>
      <c r="K117" s="60">
        <f>INDEX('个人技术总览'!$I$5:$I$46,MATCH($A117,'个人技术总览'!$A$5:$A$46,0))</f>
        <v/>
      </c>
      <c r="L117" s="67">
        <f>H117+V117+IF(E117=G117-1,MAX(0,P117-H117*G117-SUMIFS($V$5:$V$589,$A$5:$A$589,$A117)),0)</f>
        <v/>
      </c>
      <c r="M117" s="61">
        <f>MAX(1,ROUNDDOWN($L117/'参数与公式'!$B$5,0))</f>
        <v/>
      </c>
      <c r="N117" s="67">
        <f>J117+Y117+IF(E117=G117-1,MAX(0,R117-J117*G117-SUMIFS($Y$5:$Y$589,$A$5:$A$589,$A117)),0)</f>
        <v/>
      </c>
      <c r="O117" s="18" t="inlineStr">
        <is>
          <t>data/technology_templates.yaml; upgrade_*_budget / *_curve; code: technology_rules.allocate_upgrade_budget</t>
        </is>
      </c>
      <c r="P117" s="67">
        <f>INDEX('个人技术总览'!$O$5:$O$46,MATCH($A117,'个人技术总览'!$A$5:$A$46,0))</f>
        <v/>
      </c>
      <c r="Q117" s="64">
        <f>INDEX('个人技术总览'!$P$5:$P$46,MATCH($A117,'个人技术总览'!$A$5:$A$46,0))</f>
        <v/>
      </c>
      <c r="R117" s="67">
        <f>INDEX('个人技术总览'!$Q$5:$Q$46,MATCH($A117,'个人技术总览'!$A$5:$A$46,0))</f>
        <v/>
      </c>
      <c r="S117" s="64">
        <f>INDEX('个人技术总览'!$R$5:$R$46,MATCH($A117,'个人技术总览'!$A$5:$A$46,0))</f>
        <v/>
      </c>
      <c r="T117" s="68">
        <f>POWER($Q117,$E117)</f>
        <v/>
      </c>
      <c r="U117" s="68">
        <f>SUMIFS($T$5:$T$589,$A$5:$A$589,$A117)</f>
        <v/>
      </c>
      <c r="V117" s="67">
        <f>ROUNDDOWN(MAX(0,$P117-$H117*$G117)*$T117/MAX(1,$U117),0)</f>
        <v/>
      </c>
      <c r="W117" s="68">
        <f>POWER($S117,$E117)</f>
        <v/>
      </c>
      <c r="X117" s="68">
        <f>SUMIFS($W$5:$W$589,$A$5:$A$589,$A117)</f>
        <v/>
      </c>
      <c r="Y117" s="67">
        <f>ROUNDDOWN(MAX(0,$R117-$J117*$G117)*$W117/MAX(1,$X117),0)</f>
        <v/>
      </c>
    </row>
    <row r="118">
      <c r="A118" s="17" t="inlineStr">
        <is>
          <t>scout_art</t>
        </is>
      </c>
      <c r="B118" s="18" t="inlineStr">
        <is>
          <t>侦查术</t>
        </is>
      </c>
      <c r="C118" s="18" t="inlineStr">
        <is>
          <t>基本技术</t>
        </is>
      </c>
      <c r="D118" s="18" t="inlineStr">
        <is>
          <t>—</t>
        </is>
      </c>
      <c r="E118" s="65" t="n">
        <v>113</v>
      </c>
      <c r="F118" s="66">
        <f>E118+1</f>
        <v/>
      </c>
      <c r="G118" s="65">
        <f>INDEX('个人技术总览'!$E$5:$E$46,MATCH($A118,'个人技术总览'!$A$5:$A$46,0))</f>
        <v/>
      </c>
      <c r="H118" s="59">
        <f>INDEX('个人技术总览'!$F$5:$F$46,MATCH($A118,'个人技术总览'!$A$5:$A$46,0))</f>
        <v/>
      </c>
      <c r="I118" s="60">
        <f>INDEX('个人技术总览'!$G$5:$G$46,MATCH($A118,'个人技术总览'!$A$5:$A$46,0))</f>
        <v/>
      </c>
      <c r="J118" s="59">
        <f>INDEX('个人技术总览'!$H$5:$H$46,MATCH($A118,'个人技术总览'!$A$5:$A$46,0))</f>
        <v/>
      </c>
      <c r="K118" s="60">
        <f>INDEX('个人技术总览'!$I$5:$I$46,MATCH($A118,'个人技术总览'!$A$5:$A$46,0))</f>
        <v/>
      </c>
      <c r="L118" s="67">
        <f>H118+V118+IF(E118=G118-1,MAX(0,P118-H118*G118-SUMIFS($V$5:$V$589,$A$5:$A$589,$A118)),0)</f>
        <v/>
      </c>
      <c r="M118" s="61">
        <f>MAX(1,ROUNDDOWN($L118/'参数与公式'!$B$5,0))</f>
        <v/>
      </c>
      <c r="N118" s="67">
        <f>J118+Y118+IF(E118=G118-1,MAX(0,R118-J118*G118-SUMIFS($Y$5:$Y$589,$A$5:$A$589,$A118)),0)</f>
        <v/>
      </c>
      <c r="O118" s="18" t="inlineStr">
        <is>
          <t>data/technology_templates.yaml; upgrade_*_budget / *_curve; code: technology_rules.allocate_upgrade_budget</t>
        </is>
      </c>
      <c r="P118" s="67">
        <f>INDEX('个人技术总览'!$O$5:$O$46,MATCH($A118,'个人技术总览'!$A$5:$A$46,0))</f>
        <v/>
      </c>
      <c r="Q118" s="64">
        <f>INDEX('个人技术总览'!$P$5:$P$46,MATCH($A118,'个人技术总览'!$A$5:$A$46,0))</f>
        <v/>
      </c>
      <c r="R118" s="67">
        <f>INDEX('个人技术总览'!$Q$5:$Q$46,MATCH($A118,'个人技术总览'!$A$5:$A$46,0))</f>
        <v/>
      </c>
      <c r="S118" s="64">
        <f>INDEX('个人技术总览'!$R$5:$R$46,MATCH($A118,'个人技术总览'!$A$5:$A$46,0))</f>
        <v/>
      </c>
      <c r="T118" s="68">
        <f>POWER($Q118,$E118)</f>
        <v/>
      </c>
      <c r="U118" s="68">
        <f>SUMIFS($T$5:$T$589,$A$5:$A$589,$A118)</f>
        <v/>
      </c>
      <c r="V118" s="67">
        <f>ROUNDDOWN(MAX(0,$P118-$H118*$G118)*$T118/MAX(1,$U118),0)</f>
        <v/>
      </c>
      <c r="W118" s="68">
        <f>POWER($S118,$E118)</f>
        <v/>
      </c>
      <c r="X118" s="68">
        <f>SUMIFS($W$5:$W$589,$A$5:$A$589,$A118)</f>
        <v/>
      </c>
      <c r="Y118" s="67">
        <f>ROUNDDOWN(MAX(0,$R118-$J118*$G118)*$W118/MAX(1,$X118),0)</f>
        <v/>
      </c>
    </row>
    <row r="119">
      <c r="A119" s="17" t="inlineStr">
        <is>
          <t>scout_art</t>
        </is>
      </c>
      <c r="B119" s="18" t="inlineStr">
        <is>
          <t>侦查术</t>
        </is>
      </c>
      <c r="C119" s="18" t="inlineStr">
        <is>
          <t>基本技术</t>
        </is>
      </c>
      <c r="D119" s="18" t="inlineStr">
        <is>
          <t>—</t>
        </is>
      </c>
      <c r="E119" s="65" t="n">
        <v>114</v>
      </c>
      <c r="F119" s="66">
        <f>E119+1</f>
        <v/>
      </c>
      <c r="G119" s="65">
        <f>INDEX('个人技术总览'!$E$5:$E$46,MATCH($A119,'个人技术总览'!$A$5:$A$46,0))</f>
        <v/>
      </c>
      <c r="H119" s="59">
        <f>INDEX('个人技术总览'!$F$5:$F$46,MATCH($A119,'个人技术总览'!$A$5:$A$46,0))</f>
        <v/>
      </c>
      <c r="I119" s="60">
        <f>INDEX('个人技术总览'!$G$5:$G$46,MATCH($A119,'个人技术总览'!$A$5:$A$46,0))</f>
        <v/>
      </c>
      <c r="J119" s="59">
        <f>INDEX('个人技术总览'!$H$5:$H$46,MATCH($A119,'个人技术总览'!$A$5:$A$46,0))</f>
        <v/>
      </c>
      <c r="K119" s="60">
        <f>INDEX('个人技术总览'!$I$5:$I$46,MATCH($A119,'个人技术总览'!$A$5:$A$46,0))</f>
        <v/>
      </c>
      <c r="L119" s="67">
        <f>H119+V119+IF(E119=G119-1,MAX(0,P119-H119*G119-SUMIFS($V$5:$V$589,$A$5:$A$589,$A119)),0)</f>
        <v/>
      </c>
      <c r="M119" s="61">
        <f>MAX(1,ROUNDDOWN($L119/'参数与公式'!$B$5,0))</f>
        <v/>
      </c>
      <c r="N119" s="67">
        <f>J119+Y119+IF(E119=G119-1,MAX(0,R119-J119*G119-SUMIFS($Y$5:$Y$589,$A$5:$A$589,$A119)),0)</f>
        <v/>
      </c>
      <c r="O119" s="18" t="inlineStr">
        <is>
          <t>data/technology_templates.yaml; upgrade_*_budget / *_curve; code: technology_rules.allocate_upgrade_budget</t>
        </is>
      </c>
      <c r="P119" s="67">
        <f>INDEX('个人技术总览'!$O$5:$O$46,MATCH($A119,'个人技术总览'!$A$5:$A$46,0))</f>
        <v/>
      </c>
      <c r="Q119" s="64">
        <f>INDEX('个人技术总览'!$P$5:$P$46,MATCH($A119,'个人技术总览'!$A$5:$A$46,0))</f>
        <v/>
      </c>
      <c r="R119" s="67">
        <f>INDEX('个人技术总览'!$Q$5:$Q$46,MATCH($A119,'个人技术总览'!$A$5:$A$46,0))</f>
        <v/>
      </c>
      <c r="S119" s="64">
        <f>INDEX('个人技术总览'!$R$5:$R$46,MATCH($A119,'个人技术总览'!$A$5:$A$46,0))</f>
        <v/>
      </c>
      <c r="T119" s="68">
        <f>POWER($Q119,$E119)</f>
        <v/>
      </c>
      <c r="U119" s="68">
        <f>SUMIFS($T$5:$T$589,$A$5:$A$589,$A119)</f>
        <v/>
      </c>
      <c r="V119" s="67">
        <f>ROUNDDOWN(MAX(0,$P119-$H119*$G119)*$T119/MAX(1,$U119),0)</f>
        <v/>
      </c>
      <c r="W119" s="68">
        <f>POWER($S119,$E119)</f>
        <v/>
      </c>
      <c r="X119" s="68">
        <f>SUMIFS($W$5:$W$589,$A$5:$A$589,$A119)</f>
        <v/>
      </c>
      <c r="Y119" s="67">
        <f>ROUNDDOWN(MAX(0,$R119-$J119*$G119)*$W119/MAX(1,$X119),0)</f>
        <v/>
      </c>
    </row>
    <row r="120">
      <c r="A120" s="17" t="inlineStr">
        <is>
          <t>scout_art</t>
        </is>
      </c>
      <c r="B120" s="18" t="inlineStr">
        <is>
          <t>侦查术</t>
        </is>
      </c>
      <c r="C120" s="18" t="inlineStr">
        <is>
          <t>基本技术</t>
        </is>
      </c>
      <c r="D120" s="18" t="inlineStr">
        <is>
          <t>—</t>
        </is>
      </c>
      <c r="E120" s="65" t="n">
        <v>115</v>
      </c>
      <c r="F120" s="66">
        <f>E120+1</f>
        <v/>
      </c>
      <c r="G120" s="65">
        <f>INDEX('个人技术总览'!$E$5:$E$46,MATCH($A120,'个人技术总览'!$A$5:$A$46,0))</f>
        <v/>
      </c>
      <c r="H120" s="59">
        <f>INDEX('个人技术总览'!$F$5:$F$46,MATCH($A120,'个人技术总览'!$A$5:$A$46,0))</f>
        <v/>
      </c>
      <c r="I120" s="60">
        <f>INDEX('个人技术总览'!$G$5:$G$46,MATCH($A120,'个人技术总览'!$A$5:$A$46,0))</f>
        <v/>
      </c>
      <c r="J120" s="59">
        <f>INDEX('个人技术总览'!$H$5:$H$46,MATCH($A120,'个人技术总览'!$A$5:$A$46,0))</f>
        <v/>
      </c>
      <c r="K120" s="60">
        <f>INDEX('个人技术总览'!$I$5:$I$46,MATCH($A120,'个人技术总览'!$A$5:$A$46,0))</f>
        <v/>
      </c>
      <c r="L120" s="67">
        <f>H120+V120+IF(E120=G120-1,MAX(0,P120-H120*G120-SUMIFS($V$5:$V$589,$A$5:$A$589,$A120)),0)</f>
        <v/>
      </c>
      <c r="M120" s="61">
        <f>MAX(1,ROUNDDOWN($L120/'参数与公式'!$B$5,0))</f>
        <v/>
      </c>
      <c r="N120" s="67">
        <f>J120+Y120+IF(E120=G120-1,MAX(0,R120-J120*G120-SUMIFS($Y$5:$Y$589,$A$5:$A$589,$A120)),0)</f>
        <v/>
      </c>
      <c r="O120" s="18" t="inlineStr">
        <is>
          <t>data/technology_templates.yaml; upgrade_*_budget / *_curve; code: technology_rules.allocate_upgrade_budget</t>
        </is>
      </c>
      <c r="P120" s="67">
        <f>INDEX('个人技术总览'!$O$5:$O$46,MATCH($A120,'个人技术总览'!$A$5:$A$46,0))</f>
        <v/>
      </c>
      <c r="Q120" s="64">
        <f>INDEX('个人技术总览'!$P$5:$P$46,MATCH($A120,'个人技术总览'!$A$5:$A$46,0))</f>
        <v/>
      </c>
      <c r="R120" s="67">
        <f>INDEX('个人技术总览'!$Q$5:$Q$46,MATCH($A120,'个人技术总览'!$A$5:$A$46,0))</f>
        <v/>
      </c>
      <c r="S120" s="64">
        <f>INDEX('个人技术总览'!$R$5:$R$46,MATCH($A120,'个人技术总览'!$A$5:$A$46,0))</f>
        <v/>
      </c>
      <c r="T120" s="68">
        <f>POWER($Q120,$E120)</f>
        <v/>
      </c>
      <c r="U120" s="68">
        <f>SUMIFS($T$5:$T$589,$A$5:$A$589,$A120)</f>
        <v/>
      </c>
      <c r="V120" s="67">
        <f>ROUNDDOWN(MAX(0,$P120-$H120*$G120)*$T120/MAX(1,$U120),0)</f>
        <v/>
      </c>
      <c r="W120" s="68">
        <f>POWER($S120,$E120)</f>
        <v/>
      </c>
      <c r="X120" s="68">
        <f>SUMIFS($W$5:$W$589,$A$5:$A$589,$A120)</f>
        <v/>
      </c>
      <c r="Y120" s="67">
        <f>ROUNDDOWN(MAX(0,$R120-$J120*$G120)*$W120/MAX(1,$X120),0)</f>
        <v/>
      </c>
    </row>
    <row r="121">
      <c r="A121" s="17" t="inlineStr">
        <is>
          <t>scout_art</t>
        </is>
      </c>
      <c r="B121" s="18" t="inlineStr">
        <is>
          <t>侦查术</t>
        </is>
      </c>
      <c r="C121" s="18" t="inlineStr">
        <is>
          <t>基本技术</t>
        </is>
      </c>
      <c r="D121" s="18" t="inlineStr">
        <is>
          <t>—</t>
        </is>
      </c>
      <c r="E121" s="65" t="n">
        <v>116</v>
      </c>
      <c r="F121" s="66">
        <f>E121+1</f>
        <v/>
      </c>
      <c r="G121" s="65">
        <f>INDEX('个人技术总览'!$E$5:$E$46,MATCH($A121,'个人技术总览'!$A$5:$A$46,0))</f>
        <v/>
      </c>
      <c r="H121" s="59">
        <f>INDEX('个人技术总览'!$F$5:$F$46,MATCH($A121,'个人技术总览'!$A$5:$A$46,0))</f>
        <v/>
      </c>
      <c r="I121" s="60">
        <f>INDEX('个人技术总览'!$G$5:$G$46,MATCH($A121,'个人技术总览'!$A$5:$A$46,0))</f>
        <v/>
      </c>
      <c r="J121" s="59">
        <f>INDEX('个人技术总览'!$H$5:$H$46,MATCH($A121,'个人技术总览'!$A$5:$A$46,0))</f>
        <v/>
      </c>
      <c r="K121" s="60">
        <f>INDEX('个人技术总览'!$I$5:$I$46,MATCH($A121,'个人技术总览'!$A$5:$A$46,0))</f>
        <v/>
      </c>
      <c r="L121" s="67">
        <f>H121+V121+IF(E121=G121-1,MAX(0,P121-H121*G121-SUMIFS($V$5:$V$589,$A$5:$A$589,$A121)),0)</f>
        <v/>
      </c>
      <c r="M121" s="61">
        <f>MAX(1,ROUNDDOWN($L121/'参数与公式'!$B$5,0))</f>
        <v/>
      </c>
      <c r="N121" s="67">
        <f>J121+Y121+IF(E121=G121-1,MAX(0,R121-J121*G121-SUMIFS($Y$5:$Y$589,$A$5:$A$589,$A121)),0)</f>
        <v/>
      </c>
      <c r="O121" s="18" t="inlineStr">
        <is>
          <t>data/technology_templates.yaml; upgrade_*_budget / *_curve; code: technology_rules.allocate_upgrade_budget</t>
        </is>
      </c>
      <c r="P121" s="67">
        <f>INDEX('个人技术总览'!$O$5:$O$46,MATCH($A121,'个人技术总览'!$A$5:$A$46,0))</f>
        <v/>
      </c>
      <c r="Q121" s="64">
        <f>INDEX('个人技术总览'!$P$5:$P$46,MATCH($A121,'个人技术总览'!$A$5:$A$46,0))</f>
        <v/>
      </c>
      <c r="R121" s="67">
        <f>INDEX('个人技术总览'!$Q$5:$Q$46,MATCH($A121,'个人技术总览'!$A$5:$A$46,0))</f>
        <v/>
      </c>
      <c r="S121" s="64">
        <f>INDEX('个人技术总览'!$R$5:$R$46,MATCH($A121,'个人技术总览'!$A$5:$A$46,0))</f>
        <v/>
      </c>
      <c r="T121" s="68">
        <f>POWER($Q121,$E121)</f>
        <v/>
      </c>
      <c r="U121" s="68">
        <f>SUMIFS($T$5:$T$589,$A$5:$A$589,$A121)</f>
        <v/>
      </c>
      <c r="V121" s="67">
        <f>ROUNDDOWN(MAX(0,$P121-$H121*$G121)*$T121/MAX(1,$U121),0)</f>
        <v/>
      </c>
      <c r="W121" s="68">
        <f>POWER($S121,$E121)</f>
        <v/>
      </c>
      <c r="X121" s="68">
        <f>SUMIFS($W$5:$W$589,$A$5:$A$589,$A121)</f>
        <v/>
      </c>
      <c r="Y121" s="67">
        <f>ROUNDDOWN(MAX(0,$R121-$J121*$G121)*$W121/MAX(1,$X121),0)</f>
        <v/>
      </c>
    </row>
    <row r="122">
      <c r="A122" s="17" t="inlineStr">
        <is>
          <t>scout_art</t>
        </is>
      </c>
      <c r="B122" s="18" t="inlineStr">
        <is>
          <t>侦查术</t>
        </is>
      </c>
      <c r="C122" s="18" t="inlineStr">
        <is>
          <t>基本技术</t>
        </is>
      </c>
      <c r="D122" s="18" t="inlineStr">
        <is>
          <t>—</t>
        </is>
      </c>
      <c r="E122" s="65" t="n">
        <v>117</v>
      </c>
      <c r="F122" s="66">
        <f>E122+1</f>
        <v/>
      </c>
      <c r="G122" s="65">
        <f>INDEX('个人技术总览'!$E$5:$E$46,MATCH($A122,'个人技术总览'!$A$5:$A$46,0))</f>
        <v/>
      </c>
      <c r="H122" s="59">
        <f>INDEX('个人技术总览'!$F$5:$F$46,MATCH($A122,'个人技术总览'!$A$5:$A$46,0))</f>
        <v/>
      </c>
      <c r="I122" s="60">
        <f>INDEX('个人技术总览'!$G$5:$G$46,MATCH($A122,'个人技术总览'!$A$5:$A$46,0))</f>
        <v/>
      </c>
      <c r="J122" s="59">
        <f>INDEX('个人技术总览'!$H$5:$H$46,MATCH($A122,'个人技术总览'!$A$5:$A$46,0))</f>
        <v/>
      </c>
      <c r="K122" s="60">
        <f>INDEX('个人技术总览'!$I$5:$I$46,MATCH($A122,'个人技术总览'!$A$5:$A$46,0))</f>
        <v/>
      </c>
      <c r="L122" s="67">
        <f>H122+V122+IF(E122=G122-1,MAX(0,P122-H122*G122-SUMIFS($V$5:$V$589,$A$5:$A$589,$A122)),0)</f>
        <v/>
      </c>
      <c r="M122" s="61">
        <f>MAX(1,ROUNDDOWN($L122/'参数与公式'!$B$5,0))</f>
        <v/>
      </c>
      <c r="N122" s="67">
        <f>J122+Y122+IF(E122=G122-1,MAX(0,R122-J122*G122-SUMIFS($Y$5:$Y$589,$A$5:$A$589,$A122)),0)</f>
        <v/>
      </c>
      <c r="O122" s="18" t="inlineStr">
        <is>
          <t>data/technology_templates.yaml; upgrade_*_budget / *_curve; code: technology_rules.allocate_upgrade_budget</t>
        </is>
      </c>
      <c r="P122" s="67">
        <f>INDEX('个人技术总览'!$O$5:$O$46,MATCH($A122,'个人技术总览'!$A$5:$A$46,0))</f>
        <v/>
      </c>
      <c r="Q122" s="64">
        <f>INDEX('个人技术总览'!$P$5:$P$46,MATCH($A122,'个人技术总览'!$A$5:$A$46,0))</f>
        <v/>
      </c>
      <c r="R122" s="67">
        <f>INDEX('个人技术总览'!$Q$5:$Q$46,MATCH($A122,'个人技术总览'!$A$5:$A$46,0))</f>
        <v/>
      </c>
      <c r="S122" s="64">
        <f>INDEX('个人技术总览'!$R$5:$R$46,MATCH($A122,'个人技术总览'!$A$5:$A$46,0))</f>
        <v/>
      </c>
      <c r="T122" s="68">
        <f>POWER($Q122,$E122)</f>
        <v/>
      </c>
      <c r="U122" s="68">
        <f>SUMIFS($T$5:$T$589,$A$5:$A$589,$A122)</f>
        <v/>
      </c>
      <c r="V122" s="67">
        <f>ROUNDDOWN(MAX(0,$P122-$H122*$G122)*$T122/MAX(1,$U122),0)</f>
        <v/>
      </c>
      <c r="W122" s="68">
        <f>POWER($S122,$E122)</f>
        <v/>
      </c>
      <c r="X122" s="68">
        <f>SUMIFS($W$5:$W$589,$A$5:$A$589,$A122)</f>
        <v/>
      </c>
      <c r="Y122" s="67">
        <f>ROUNDDOWN(MAX(0,$R122-$J122*$G122)*$W122/MAX(1,$X122),0)</f>
        <v/>
      </c>
    </row>
    <row r="123">
      <c r="A123" s="17" t="inlineStr">
        <is>
          <t>scout_art</t>
        </is>
      </c>
      <c r="B123" s="18" t="inlineStr">
        <is>
          <t>侦查术</t>
        </is>
      </c>
      <c r="C123" s="18" t="inlineStr">
        <is>
          <t>基本技术</t>
        </is>
      </c>
      <c r="D123" s="18" t="inlineStr">
        <is>
          <t>—</t>
        </is>
      </c>
      <c r="E123" s="65" t="n">
        <v>118</v>
      </c>
      <c r="F123" s="66">
        <f>E123+1</f>
        <v/>
      </c>
      <c r="G123" s="65">
        <f>INDEX('个人技术总览'!$E$5:$E$46,MATCH($A123,'个人技术总览'!$A$5:$A$46,0))</f>
        <v/>
      </c>
      <c r="H123" s="59">
        <f>INDEX('个人技术总览'!$F$5:$F$46,MATCH($A123,'个人技术总览'!$A$5:$A$46,0))</f>
        <v/>
      </c>
      <c r="I123" s="60">
        <f>INDEX('个人技术总览'!$G$5:$G$46,MATCH($A123,'个人技术总览'!$A$5:$A$46,0))</f>
        <v/>
      </c>
      <c r="J123" s="59">
        <f>INDEX('个人技术总览'!$H$5:$H$46,MATCH($A123,'个人技术总览'!$A$5:$A$46,0))</f>
        <v/>
      </c>
      <c r="K123" s="60">
        <f>INDEX('个人技术总览'!$I$5:$I$46,MATCH($A123,'个人技术总览'!$A$5:$A$46,0))</f>
        <v/>
      </c>
      <c r="L123" s="67">
        <f>H123+V123+IF(E123=G123-1,MAX(0,P123-H123*G123-SUMIFS($V$5:$V$589,$A$5:$A$589,$A123)),0)</f>
        <v/>
      </c>
      <c r="M123" s="61">
        <f>MAX(1,ROUNDDOWN($L123/'参数与公式'!$B$5,0))</f>
        <v/>
      </c>
      <c r="N123" s="67">
        <f>J123+Y123+IF(E123=G123-1,MAX(0,R123-J123*G123-SUMIFS($Y$5:$Y$589,$A$5:$A$589,$A123)),0)</f>
        <v/>
      </c>
      <c r="O123" s="18" t="inlineStr">
        <is>
          <t>data/technology_templates.yaml; upgrade_*_budget / *_curve; code: technology_rules.allocate_upgrade_budget</t>
        </is>
      </c>
      <c r="P123" s="67">
        <f>INDEX('个人技术总览'!$O$5:$O$46,MATCH($A123,'个人技术总览'!$A$5:$A$46,0))</f>
        <v/>
      </c>
      <c r="Q123" s="64">
        <f>INDEX('个人技术总览'!$P$5:$P$46,MATCH($A123,'个人技术总览'!$A$5:$A$46,0))</f>
        <v/>
      </c>
      <c r="R123" s="67">
        <f>INDEX('个人技术总览'!$Q$5:$Q$46,MATCH($A123,'个人技术总览'!$A$5:$A$46,0))</f>
        <v/>
      </c>
      <c r="S123" s="64">
        <f>INDEX('个人技术总览'!$R$5:$R$46,MATCH($A123,'个人技术总览'!$A$5:$A$46,0))</f>
        <v/>
      </c>
      <c r="T123" s="68">
        <f>POWER($Q123,$E123)</f>
        <v/>
      </c>
      <c r="U123" s="68">
        <f>SUMIFS($T$5:$T$589,$A$5:$A$589,$A123)</f>
        <v/>
      </c>
      <c r="V123" s="67">
        <f>ROUNDDOWN(MAX(0,$P123-$H123*$G123)*$T123/MAX(1,$U123),0)</f>
        <v/>
      </c>
      <c r="W123" s="68">
        <f>POWER($S123,$E123)</f>
        <v/>
      </c>
      <c r="X123" s="68">
        <f>SUMIFS($W$5:$W$589,$A$5:$A$589,$A123)</f>
        <v/>
      </c>
      <c r="Y123" s="67">
        <f>ROUNDDOWN(MAX(0,$R123-$J123*$G123)*$W123/MAX(1,$X123),0)</f>
        <v/>
      </c>
    </row>
    <row r="124">
      <c r="A124" s="17" t="inlineStr">
        <is>
          <t>scout_art</t>
        </is>
      </c>
      <c r="B124" s="18" t="inlineStr">
        <is>
          <t>侦查术</t>
        </is>
      </c>
      <c r="C124" s="18" t="inlineStr">
        <is>
          <t>基本技术</t>
        </is>
      </c>
      <c r="D124" s="18" t="inlineStr">
        <is>
          <t>—</t>
        </is>
      </c>
      <c r="E124" s="65" t="n">
        <v>119</v>
      </c>
      <c r="F124" s="66">
        <f>E124+1</f>
        <v/>
      </c>
      <c r="G124" s="65">
        <f>INDEX('个人技术总览'!$E$5:$E$46,MATCH($A124,'个人技术总览'!$A$5:$A$46,0))</f>
        <v/>
      </c>
      <c r="H124" s="59">
        <f>INDEX('个人技术总览'!$F$5:$F$46,MATCH($A124,'个人技术总览'!$A$5:$A$46,0))</f>
        <v/>
      </c>
      <c r="I124" s="60">
        <f>INDEX('个人技术总览'!$G$5:$G$46,MATCH($A124,'个人技术总览'!$A$5:$A$46,0))</f>
        <v/>
      </c>
      <c r="J124" s="59">
        <f>INDEX('个人技术总览'!$H$5:$H$46,MATCH($A124,'个人技术总览'!$A$5:$A$46,0))</f>
        <v/>
      </c>
      <c r="K124" s="60">
        <f>INDEX('个人技术总览'!$I$5:$I$46,MATCH($A124,'个人技术总览'!$A$5:$A$46,0))</f>
        <v/>
      </c>
      <c r="L124" s="67">
        <f>H124+V124+IF(E124=G124-1,MAX(0,P124-H124*G124-SUMIFS($V$5:$V$589,$A$5:$A$589,$A124)),0)</f>
        <v/>
      </c>
      <c r="M124" s="61">
        <f>MAX(1,ROUNDDOWN($L124/'参数与公式'!$B$5,0))</f>
        <v/>
      </c>
      <c r="N124" s="67">
        <f>J124+Y124+IF(E124=G124-1,MAX(0,R124-J124*G124-SUMIFS($Y$5:$Y$589,$A$5:$A$589,$A124)),0)</f>
        <v/>
      </c>
      <c r="O124" s="18" t="inlineStr">
        <is>
          <t>data/technology_templates.yaml; upgrade_*_budget / *_curve; code: technology_rules.allocate_upgrade_budget</t>
        </is>
      </c>
      <c r="P124" s="67">
        <f>INDEX('个人技术总览'!$O$5:$O$46,MATCH($A124,'个人技术总览'!$A$5:$A$46,0))</f>
        <v/>
      </c>
      <c r="Q124" s="64">
        <f>INDEX('个人技术总览'!$P$5:$P$46,MATCH($A124,'个人技术总览'!$A$5:$A$46,0))</f>
        <v/>
      </c>
      <c r="R124" s="67">
        <f>INDEX('个人技术总览'!$Q$5:$Q$46,MATCH($A124,'个人技术总览'!$A$5:$A$46,0))</f>
        <v/>
      </c>
      <c r="S124" s="64">
        <f>INDEX('个人技术总览'!$R$5:$R$46,MATCH($A124,'个人技术总览'!$A$5:$A$46,0))</f>
        <v/>
      </c>
      <c r="T124" s="68">
        <f>POWER($Q124,$E124)</f>
        <v/>
      </c>
      <c r="U124" s="68">
        <f>SUMIFS($T$5:$T$589,$A$5:$A$589,$A124)</f>
        <v/>
      </c>
      <c r="V124" s="67">
        <f>ROUNDDOWN(MAX(0,$P124-$H124*$G124)*$T124/MAX(1,$U124),0)</f>
        <v/>
      </c>
      <c r="W124" s="68">
        <f>POWER($S124,$E124)</f>
        <v/>
      </c>
      <c r="X124" s="68">
        <f>SUMIFS($W$5:$W$589,$A$5:$A$589,$A124)</f>
        <v/>
      </c>
      <c r="Y124" s="67">
        <f>ROUNDDOWN(MAX(0,$R124-$J124*$G124)*$W124/MAX(1,$X124),0)</f>
        <v/>
      </c>
    </row>
    <row r="125">
      <c r="A125" s="17" t="inlineStr">
        <is>
          <t>scout_art</t>
        </is>
      </c>
      <c r="B125" s="18" t="inlineStr">
        <is>
          <t>侦查术</t>
        </is>
      </c>
      <c r="C125" s="18" t="inlineStr">
        <is>
          <t>基本技术</t>
        </is>
      </c>
      <c r="D125" s="18" t="inlineStr">
        <is>
          <t>—</t>
        </is>
      </c>
      <c r="E125" s="65" t="n">
        <v>120</v>
      </c>
      <c r="F125" s="66">
        <f>E125+1</f>
        <v/>
      </c>
      <c r="G125" s="65">
        <f>INDEX('个人技术总览'!$E$5:$E$46,MATCH($A125,'个人技术总览'!$A$5:$A$46,0))</f>
        <v/>
      </c>
      <c r="H125" s="59">
        <f>INDEX('个人技术总览'!$F$5:$F$46,MATCH($A125,'个人技术总览'!$A$5:$A$46,0))</f>
        <v/>
      </c>
      <c r="I125" s="60">
        <f>INDEX('个人技术总览'!$G$5:$G$46,MATCH($A125,'个人技术总览'!$A$5:$A$46,0))</f>
        <v/>
      </c>
      <c r="J125" s="59">
        <f>INDEX('个人技术总览'!$H$5:$H$46,MATCH($A125,'个人技术总览'!$A$5:$A$46,0))</f>
        <v/>
      </c>
      <c r="K125" s="60">
        <f>INDEX('个人技术总览'!$I$5:$I$46,MATCH($A125,'个人技术总览'!$A$5:$A$46,0))</f>
        <v/>
      </c>
      <c r="L125" s="67">
        <f>H125+V125+IF(E125=G125-1,MAX(0,P125-H125*G125-SUMIFS($V$5:$V$589,$A$5:$A$589,$A125)),0)</f>
        <v/>
      </c>
      <c r="M125" s="61">
        <f>MAX(1,ROUNDDOWN($L125/'参数与公式'!$B$5,0))</f>
        <v/>
      </c>
      <c r="N125" s="67">
        <f>J125+Y125+IF(E125=G125-1,MAX(0,R125-J125*G125-SUMIFS($Y$5:$Y$589,$A$5:$A$589,$A125)),0)</f>
        <v/>
      </c>
      <c r="O125" s="18" t="inlineStr">
        <is>
          <t>data/technology_templates.yaml; upgrade_*_budget / *_curve; code: technology_rules.allocate_upgrade_budget</t>
        </is>
      </c>
      <c r="P125" s="67">
        <f>INDEX('个人技术总览'!$O$5:$O$46,MATCH($A125,'个人技术总览'!$A$5:$A$46,0))</f>
        <v/>
      </c>
      <c r="Q125" s="64">
        <f>INDEX('个人技术总览'!$P$5:$P$46,MATCH($A125,'个人技术总览'!$A$5:$A$46,0))</f>
        <v/>
      </c>
      <c r="R125" s="67">
        <f>INDEX('个人技术总览'!$Q$5:$Q$46,MATCH($A125,'个人技术总览'!$A$5:$A$46,0))</f>
        <v/>
      </c>
      <c r="S125" s="64">
        <f>INDEX('个人技术总览'!$R$5:$R$46,MATCH($A125,'个人技术总览'!$A$5:$A$46,0))</f>
        <v/>
      </c>
      <c r="T125" s="68">
        <f>POWER($Q125,$E125)</f>
        <v/>
      </c>
      <c r="U125" s="68">
        <f>SUMIFS($T$5:$T$589,$A$5:$A$589,$A125)</f>
        <v/>
      </c>
      <c r="V125" s="67">
        <f>ROUNDDOWN(MAX(0,$P125-$H125*$G125)*$T125/MAX(1,$U125),0)</f>
        <v/>
      </c>
      <c r="W125" s="68">
        <f>POWER($S125,$E125)</f>
        <v/>
      </c>
      <c r="X125" s="68">
        <f>SUMIFS($W$5:$W$589,$A$5:$A$589,$A125)</f>
        <v/>
      </c>
      <c r="Y125" s="67">
        <f>ROUNDDOWN(MAX(0,$R125-$J125*$G125)*$W125/MAX(1,$X125),0)</f>
        <v/>
      </c>
    </row>
    <row r="126">
      <c r="A126" s="17" t="inlineStr">
        <is>
          <t>scout_art</t>
        </is>
      </c>
      <c r="B126" s="18" t="inlineStr">
        <is>
          <t>侦查术</t>
        </is>
      </c>
      <c r="C126" s="18" t="inlineStr">
        <is>
          <t>基本技术</t>
        </is>
      </c>
      <c r="D126" s="18" t="inlineStr">
        <is>
          <t>—</t>
        </is>
      </c>
      <c r="E126" s="65" t="n">
        <v>121</v>
      </c>
      <c r="F126" s="66">
        <f>E126+1</f>
        <v/>
      </c>
      <c r="G126" s="65">
        <f>INDEX('个人技术总览'!$E$5:$E$46,MATCH($A126,'个人技术总览'!$A$5:$A$46,0))</f>
        <v/>
      </c>
      <c r="H126" s="59">
        <f>INDEX('个人技术总览'!$F$5:$F$46,MATCH($A126,'个人技术总览'!$A$5:$A$46,0))</f>
        <v/>
      </c>
      <c r="I126" s="60">
        <f>INDEX('个人技术总览'!$G$5:$G$46,MATCH($A126,'个人技术总览'!$A$5:$A$46,0))</f>
        <v/>
      </c>
      <c r="J126" s="59">
        <f>INDEX('个人技术总览'!$H$5:$H$46,MATCH($A126,'个人技术总览'!$A$5:$A$46,0))</f>
        <v/>
      </c>
      <c r="K126" s="60">
        <f>INDEX('个人技术总览'!$I$5:$I$46,MATCH($A126,'个人技术总览'!$A$5:$A$46,0))</f>
        <v/>
      </c>
      <c r="L126" s="67">
        <f>H126+V126+IF(E126=G126-1,MAX(0,P126-H126*G126-SUMIFS($V$5:$V$589,$A$5:$A$589,$A126)),0)</f>
        <v/>
      </c>
      <c r="M126" s="61">
        <f>MAX(1,ROUNDDOWN($L126/'参数与公式'!$B$5,0))</f>
        <v/>
      </c>
      <c r="N126" s="67">
        <f>J126+Y126+IF(E126=G126-1,MAX(0,R126-J126*G126-SUMIFS($Y$5:$Y$589,$A$5:$A$589,$A126)),0)</f>
        <v/>
      </c>
      <c r="O126" s="18" t="inlineStr">
        <is>
          <t>data/technology_templates.yaml; upgrade_*_budget / *_curve; code: technology_rules.allocate_upgrade_budget</t>
        </is>
      </c>
      <c r="P126" s="67">
        <f>INDEX('个人技术总览'!$O$5:$O$46,MATCH($A126,'个人技术总览'!$A$5:$A$46,0))</f>
        <v/>
      </c>
      <c r="Q126" s="64">
        <f>INDEX('个人技术总览'!$P$5:$P$46,MATCH($A126,'个人技术总览'!$A$5:$A$46,0))</f>
        <v/>
      </c>
      <c r="R126" s="67">
        <f>INDEX('个人技术总览'!$Q$5:$Q$46,MATCH($A126,'个人技术总览'!$A$5:$A$46,0))</f>
        <v/>
      </c>
      <c r="S126" s="64">
        <f>INDEX('个人技术总览'!$R$5:$R$46,MATCH($A126,'个人技术总览'!$A$5:$A$46,0))</f>
        <v/>
      </c>
      <c r="T126" s="68">
        <f>POWER($Q126,$E126)</f>
        <v/>
      </c>
      <c r="U126" s="68">
        <f>SUMIFS($T$5:$T$589,$A$5:$A$589,$A126)</f>
        <v/>
      </c>
      <c r="V126" s="67">
        <f>ROUNDDOWN(MAX(0,$P126-$H126*$G126)*$T126/MAX(1,$U126),0)</f>
        <v/>
      </c>
      <c r="W126" s="68">
        <f>POWER($S126,$E126)</f>
        <v/>
      </c>
      <c r="X126" s="68">
        <f>SUMIFS($W$5:$W$589,$A$5:$A$589,$A126)</f>
        <v/>
      </c>
      <c r="Y126" s="67">
        <f>ROUNDDOWN(MAX(0,$R126-$J126*$G126)*$W126/MAX(1,$X126),0)</f>
        <v/>
      </c>
    </row>
    <row r="127">
      <c r="A127" s="17" t="inlineStr">
        <is>
          <t>scout_art</t>
        </is>
      </c>
      <c r="B127" s="18" t="inlineStr">
        <is>
          <t>侦查术</t>
        </is>
      </c>
      <c r="C127" s="18" t="inlineStr">
        <is>
          <t>基本技术</t>
        </is>
      </c>
      <c r="D127" s="18" t="inlineStr">
        <is>
          <t>—</t>
        </is>
      </c>
      <c r="E127" s="65" t="n">
        <v>122</v>
      </c>
      <c r="F127" s="66">
        <f>E127+1</f>
        <v/>
      </c>
      <c r="G127" s="65">
        <f>INDEX('个人技术总览'!$E$5:$E$46,MATCH($A127,'个人技术总览'!$A$5:$A$46,0))</f>
        <v/>
      </c>
      <c r="H127" s="59">
        <f>INDEX('个人技术总览'!$F$5:$F$46,MATCH($A127,'个人技术总览'!$A$5:$A$46,0))</f>
        <v/>
      </c>
      <c r="I127" s="60">
        <f>INDEX('个人技术总览'!$G$5:$G$46,MATCH($A127,'个人技术总览'!$A$5:$A$46,0))</f>
        <v/>
      </c>
      <c r="J127" s="59">
        <f>INDEX('个人技术总览'!$H$5:$H$46,MATCH($A127,'个人技术总览'!$A$5:$A$46,0))</f>
        <v/>
      </c>
      <c r="K127" s="60">
        <f>INDEX('个人技术总览'!$I$5:$I$46,MATCH($A127,'个人技术总览'!$A$5:$A$46,0))</f>
        <v/>
      </c>
      <c r="L127" s="67">
        <f>H127+V127+IF(E127=G127-1,MAX(0,P127-H127*G127-SUMIFS($V$5:$V$589,$A$5:$A$589,$A127)),0)</f>
        <v/>
      </c>
      <c r="M127" s="61">
        <f>MAX(1,ROUNDDOWN($L127/'参数与公式'!$B$5,0))</f>
        <v/>
      </c>
      <c r="N127" s="67">
        <f>J127+Y127+IF(E127=G127-1,MAX(0,R127-J127*G127-SUMIFS($Y$5:$Y$589,$A$5:$A$589,$A127)),0)</f>
        <v/>
      </c>
      <c r="O127" s="18" t="inlineStr">
        <is>
          <t>data/technology_templates.yaml; upgrade_*_budget / *_curve; code: technology_rules.allocate_upgrade_budget</t>
        </is>
      </c>
      <c r="P127" s="67">
        <f>INDEX('个人技术总览'!$O$5:$O$46,MATCH($A127,'个人技术总览'!$A$5:$A$46,0))</f>
        <v/>
      </c>
      <c r="Q127" s="64">
        <f>INDEX('个人技术总览'!$P$5:$P$46,MATCH($A127,'个人技术总览'!$A$5:$A$46,0))</f>
        <v/>
      </c>
      <c r="R127" s="67">
        <f>INDEX('个人技术总览'!$Q$5:$Q$46,MATCH($A127,'个人技术总览'!$A$5:$A$46,0))</f>
        <v/>
      </c>
      <c r="S127" s="64">
        <f>INDEX('个人技术总览'!$R$5:$R$46,MATCH($A127,'个人技术总览'!$A$5:$A$46,0))</f>
        <v/>
      </c>
      <c r="T127" s="68">
        <f>POWER($Q127,$E127)</f>
        <v/>
      </c>
      <c r="U127" s="68">
        <f>SUMIFS($T$5:$T$589,$A$5:$A$589,$A127)</f>
        <v/>
      </c>
      <c r="V127" s="67">
        <f>ROUNDDOWN(MAX(0,$P127-$H127*$G127)*$T127/MAX(1,$U127),0)</f>
        <v/>
      </c>
      <c r="W127" s="68">
        <f>POWER($S127,$E127)</f>
        <v/>
      </c>
      <c r="X127" s="68">
        <f>SUMIFS($W$5:$W$589,$A$5:$A$589,$A127)</f>
        <v/>
      </c>
      <c r="Y127" s="67">
        <f>ROUNDDOWN(MAX(0,$R127-$J127*$G127)*$W127/MAX(1,$X127),0)</f>
        <v/>
      </c>
    </row>
    <row r="128">
      <c r="A128" s="17" t="inlineStr">
        <is>
          <t>scout_art</t>
        </is>
      </c>
      <c r="B128" s="18" t="inlineStr">
        <is>
          <t>侦查术</t>
        </is>
      </c>
      <c r="C128" s="18" t="inlineStr">
        <is>
          <t>基本技术</t>
        </is>
      </c>
      <c r="D128" s="18" t="inlineStr">
        <is>
          <t>—</t>
        </is>
      </c>
      <c r="E128" s="65" t="n">
        <v>123</v>
      </c>
      <c r="F128" s="66">
        <f>E128+1</f>
        <v/>
      </c>
      <c r="G128" s="65">
        <f>INDEX('个人技术总览'!$E$5:$E$46,MATCH($A128,'个人技术总览'!$A$5:$A$46,0))</f>
        <v/>
      </c>
      <c r="H128" s="59">
        <f>INDEX('个人技术总览'!$F$5:$F$46,MATCH($A128,'个人技术总览'!$A$5:$A$46,0))</f>
        <v/>
      </c>
      <c r="I128" s="60">
        <f>INDEX('个人技术总览'!$G$5:$G$46,MATCH($A128,'个人技术总览'!$A$5:$A$46,0))</f>
        <v/>
      </c>
      <c r="J128" s="59">
        <f>INDEX('个人技术总览'!$H$5:$H$46,MATCH($A128,'个人技术总览'!$A$5:$A$46,0))</f>
        <v/>
      </c>
      <c r="K128" s="60">
        <f>INDEX('个人技术总览'!$I$5:$I$46,MATCH($A128,'个人技术总览'!$A$5:$A$46,0))</f>
        <v/>
      </c>
      <c r="L128" s="67">
        <f>H128+V128+IF(E128=G128-1,MAX(0,P128-H128*G128-SUMIFS($V$5:$V$589,$A$5:$A$589,$A128)),0)</f>
        <v/>
      </c>
      <c r="M128" s="61">
        <f>MAX(1,ROUNDDOWN($L128/'参数与公式'!$B$5,0))</f>
        <v/>
      </c>
      <c r="N128" s="67">
        <f>J128+Y128+IF(E128=G128-1,MAX(0,R128-J128*G128-SUMIFS($Y$5:$Y$589,$A$5:$A$589,$A128)),0)</f>
        <v/>
      </c>
      <c r="O128" s="18" t="inlineStr">
        <is>
          <t>data/technology_templates.yaml; upgrade_*_budget / *_curve; code: technology_rules.allocate_upgrade_budget</t>
        </is>
      </c>
      <c r="P128" s="67">
        <f>INDEX('个人技术总览'!$O$5:$O$46,MATCH($A128,'个人技术总览'!$A$5:$A$46,0))</f>
        <v/>
      </c>
      <c r="Q128" s="64">
        <f>INDEX('个人技术总览'!$P$5:$P$46,MATCH($A128,'个人技术总览'!$A$5:$A$46,0))</f>
        <v/>
      </c>
      <c r="R128" s="67">
        <f>INDEX('个人技术总览'!$Q$5:$Q$46,MATCH($A128,'个人技术总览'!$A$5:$A$46,0))</f>
        <v/>
      </c>
      <c r="S128" s="64">
        <f>INDEX('个人技术总览'!$R$5:$R$46,MATCH($A128,'个人技术总览'!$A$5:$A$46,0))</f>
        <v/>
      </c>
      <c r="T128" s="68">
        <f>POWER($Q128,$E128)</f>
        <v/>
      </c>
      <c r="U128" s="68">
        <f>SUMIFS($T$5:$T$589,$A$5:$A$589,$A128)</f>
        <v/>
      </c>
      <c r="V128" s="67">
        <f>ROUNDDOWN(MAX(0,$P128-$H128*$G128)*$T128/MAX(1,$U128),0)</f>
        <v/>
      </c>
      <c r="W128" s="68">
        <f>POWER($S128,$E128)</f>
        <v/>
      </c>
      <c r="X128" s="68">
        <f>SUMIFS($W$5:$W$589,$A$5:$A$589,$A128)</f>
        <v/>
      </c>
      <c r="Y128" s="67">
        <f>ROUNDDOWN(MAX(0,$R128-$J128*$G128)*$W128/MAX(1,$X128),0)</f>
        <v/>
      </c>
    </row>
    <row r="129">
      <c r="A129" s="17" t="inlineStr">
        <is>
          <t>scout_art</t>
        </is>
      </c>
      <c r="B129" s="18" t="inlineStr">
        <is>
          <t>侦查术</t>
        </is>
      </c>
      <c r="C129" s="18" t="inlineStr">
        <is>
          <t>基本技术</t>
        </is>
      </c>
      <c r="D129" s="18" t="inlineStr">
        <is>
          <t>—</t>
        </is>
      </c>
      <c r="E129" s="65" t="n">
        <v>124</v>
      </c>
      <c r="F129" s="66">
        <f>E129+1</f>
        <v/>
      </c>
      <c r="G129" s="65">
        <f>INDEX('个人技术总览'!$E$5:$E$46,MATCH($A129,'个人技术总览'!$A$5:$A$46,0))</f>
        <v/>
      </c>
      <c r="H129" s="59">
        <f>INDEX('个人技术总览'!$F$5:$F$46,MATCH($A129,'个人技术总览'!$A$5:$A$46,0))</f>
        <v/>
      </c>
      <c r="I129" s="60">
        <f>INDEX('个人技术总览'!$G$5:$G$46,MATCH($A129,'个人技术总览'!$A$5:$A$46,0))</f>
        <v/>
      </c>
      <c r="J129" s="59">
        <f>INDEX('个人技术总览'!$H$5:$H$46,MATCH($A129,'个人技术总览'!$A$5:$A$46,0))</f>
        <v/>
      </c>
      <c r="K129" s="60">
        <f>INDEX('个人技术总览'!$I$5:$I$46,MATCH($A129,'个人技术总览'!$A$5:$A$46,0))</f>
        <v/>
      </c>
      <c r="L129" s="67">
        <f>H129+V129+IF(E129=G129-1,MAX(0,P129-H129*G129-SUMIFS($V$5:$V$589,$A$5:$A$589,$A129)),0)</f>
        <v/>
      </c>
      <c r="M129" s="61">
        <f>MAX(1,ROUNDDOWN($L129/'参数与公式'!$B$5,0))</f>
        <v/>
      </c>
      <c r="N129" s="67">
        <f>J129+Y129+IF(E129=G129-1,MAX(0,R129-J129*G129-SUMIFS($Y$5:$Y$589,$A$5:$A$589,$A129)),0)</f>
        <v/>
      </c>
      <c r="O129" s="18" t="inlineStr">
        <is>
          <t>data/technology_templates.yaml; upgrade_*_budget / *_curve; code: technology_rules.allocate_upgrade_budget</t>
        </is>
      </c>
      <c r="P129" s="67">
        <f>INDEX('个人技术总览'!$O$5:$O$46,MATCH($A129,'个人技术总览'!$A$5:$A$46,0))</f>
        <v/>
      </c>
      <c r="Q129" s="64">
        <f>INDEX('个人技术总览'!$P$5:$P$46,MATCH($A129,'个人技术总览'!$A$5:$A$46,0))</f>
        <v/>
      </c>
      <c r="R129" s="67">
        <f>INDEX('个人技术总览'!$Q$5:$Q$46,MATCH($A129,'个人技术总览'!$A$5:$A$46,0))</f>
        <v/>
      </c>
      <c r="S129" s="64">
        <f>INDEX('个人技术总览'!$R$5:$R$46,MATCH($A129,'个人技术总览'!$A$5:$A$46,0))</f>
        <v/>
      </c>
      <c r="T129" s="68">
        <f>POWER($Q129,$E129)</f>
        <v/>
      </c>
      <c r="U129" s="68">
        <f>SUMIFS($T$5:$T$589,$A$5:$A$589,$A129)</f>
        <v/>
      </c>
      <c r="V129" s="67">
        <f>ROUNDDOWN(MAX(0,$P129-$H129*$G129)*$T129/MAX(1,$U129),0)</f>
        <v/>
      </c>
      <c r="W129" s="68">
        <f>POWER($S129,$E129)</f>
        <v/>
      </c>
      <c r="X129" s="68">
        <f>SUMIFS($W$5:$W$589,$A$5:$A$589,$A129)</f>
        <v/>
      </c>
      <c r="Y129" s="67">
        <f>ROUNDDOWN(MAX(0,$R129-$J129*$G129)*$W129/MAX(1,$X129),0)</f>
        <v/>
      </c>
    </row>
    <row r="130">
      <c r="A130" s="17" t="inlineStr">
        <is>
          <t>scout_art</t>
        </is>
      </c>
      <c r="B130" s="18" t="inlineStr">
        <is>
          <t>侦查术</t>
        </is>
      </c>
      <c r="C130" s="18" t="inlineStr">
        <is>
          <t>基本技术</t>
        </is>
      </c>
      <c r="D130" s="18" t="inlineStr">
        <is>
          <t>—</t>
        </is>
      </c>
      <c r="E130" s="65" t="n">
        <v>125</v>
      </c>
      <c r="F130" s="66">
        <f>E130+1</f>
        <v/>
      </c>
      <c r="G130" s="65">
        <f>INDEX('个人技术总览'!$E$5:$E$46,MATCH($A130,'个人技术总览'!$A$5:$A$46,0))</f>
        <v/>
      </c>
      <c r="H130" s="59">
        <f>INDEX('个人技术总览'!$F$5:$F$46,MATCH($A130,'个人技术总览'!$A$5:$A$46,0))</f>
        <v/>
      </c>
      <c r="I130" s="60">
        <f>INDEX('个人技术总览'!$G$5:$G$46,MATCH($A130,'个人技术总览'!$A$5:$A$46,0))</f>
        <v/>
      </c>
      <c r="J130" s="59">
        <f>INDEX('个人技术总览'!$H$5:$H$46,MATCH($A130,'个人技术总览'!$A$5:$A$46,0))</f>
        <v/>
      </c>
      <c r="K130" s="60">
        <f>INDEX('个人技术总览'!$I$5:$I$46,MATCH($A130,'个人技术总览'!$A$5:$A$46,0))</f>
        <v/>
      </c>
      <c r="L130" s="67">
        <f>H130+V130+IF(E130=G130-1,MAX(0,P130-H130*G130-SUMIFS($V$5:$V$589,$A$5:$A$589,$A130)),0)</f>
        <v/>
      </c>
      <c r="M130" s="61">
        <f>MAX(1,ROUNDDOWN($L130/'参数与公式'!$B$5,0))</f>
        <v/>
      </c>
      <c r="N130" s="67">
        <f>J130+Y130+IF(E130=G130-1,MAX(0,R130-J130*G130-SUMIFS($Y$5:$Y$589,$A$5:$A$589,$A130)),0)</f>
        <v/>
      </c>
      <c r="O130" s="18" t="inlineStr">
        <is>
          <t>data/technology_templates.yaml; upgrade_*_budget / *_curve; code: technology_rules.allocate_upgrade_budget</t>
        </is>
      </c>
      <c r="P130" s="67">
        <f>INDEX('个人技术总览'!$O$5:$O$46,MATCH($A130,'个人技术总览'!$A$5:$A$46,0))</f>
        <v/>
      </c>
      <c r="Q130" s="64">
        <f>INDEX('个人技术总览'!$P$5:$P$46,MATCH($A130,'个人技术总览'!$A$5:$A$46,0))</f>
        <v/>
      </c>
      <c r="R130" s="67">
        <f>INDEX('个人技术总览'!$Q$5:$Q$46,MATCH($A130,'个人技术总览'!$A$5:$A$46,0))</f>
        <v/>
      </c>
      <c r="S130" s="64">
        <f>INDEX('个人技术总览'!$R$5:$R$46,MATCH($A130,'个人技术总览'!$A$5:$A$46,0))</f>
        <v/>
      </c>
      <c r="T130" s="68">
        <f>POWER($Q130,$E130)</f>
        <v/>
      </c>
      <c r="U130" s="68">
        <f>SUMIFS($T$5:$T$589,$A$5:$A$589,$A130)</f>
        <v/>
      </c>
      <c r="V130" s="67">
        <f>ROUNDDOWN(MAX(0,$P130-$H130*$G130)*$T130/MAX(1,$U130),0)</f>
        <v/>
      </c>
      <c r="W130" s="68">
        <f>POWER($S130,$E130)</f>
        <v/>
      </c>
      <c r="X130" s="68">
        <f>SUMIFS($W$5:$W$589,$A$5:$A$589,$A130)</f>
        <v/>
      </c>
      <c r="Y130" s="67">
        <f>ROUNDDOWN(MAX(0,$R130-$J130*$G130)*$W130/MAX(1,$X130),0)</f>
        <v/>
      </c>
    </row>
    <row r="131">
      <c r="A131" s="17" t="inlineStr">
        <is>
          <t>scout_art</t>
        </is>
      </c>
      <c r="B131" s="18" t="inlineStr">
        <is>
          <t>侦查术</t>
        </is>
      </c>
      <c r="C131" s="18" t="inlineStr">
        <is>
          <t>基本技术</t>
        </is>
      </c>
      <c r="D131" s="18" t="inlineStr">
        <is>
          <t>—</t>
        </is>
      </c>
      <c r="E131" s="65" t="n">
        <v>126</v>
      </c>
      <c r="F131" s="66">
        <f>E131+1</f>
        <v/>
      </c>
      <c r="G131" s="65">
        <f>INDEX('个人技术总览'!$E$5:$E$46,MATCH($A131,'个人技术总览'!$A$5:$A$46,0))</f>
        <v/>
      </c>
      <c r="H131" s="59">
        <f>INDEX('个人技术总览'!$F$5:$F$46,MATCH($A131,'个人技术总览'!$A$5:$A$46,0))</f>
        <v/>
      </c>
      <c r="I131" s="60">
        <f>INDEX('个人技术总览'!$G$5:$G$46,MATCH($A131,'个人技术总览'!$A$5:$A$46,0))</f>
        <v/>
      </c>
      <c r="J131" s="59">
        <f>INDEX('个人技术总览'!$H$5:$H$46,MATCH($A131,'个人技术总览'!$A$5:$A$46,0))</f>
        <v/>
      </c>
      <c r="K131" s="60">
        <f>INDEX('个人技术总览'!$I$5:$I$46,MATCH($A131,'个人技术总览'!$A$5:$A$46,0))</f>
        <v/>
      </c>
      <c r="L131" s="67">
        <f>H131+V131+IF(E131=G131-1,MAX(0,P131-H131*G131-SUMIFS($V$5:$V$589,$A$5:$A$589,$A131)),0)</f>
        <v/>
      </c>
      <c r="M131" s="61">
        <f>MAX(1,ROUNDDOWN($L131/'参数与公式'!$B$5,0))</f>
        <v/>
      </c>
      <c r="N131" s="67">
        <f>J131+Y131+IF(E131=G131-1,MAX(0,R131-J131*G131-SUMIFS($Y$5:$Y$589,$A$5:$A$589,$A131)),0)</f>
        <v/>
      </c>
      <c r="O131" s="18" t="inlineStr">
        <is>
          <t>data/technology_templates.yaml; upgrade_*_budget / *_curve; code: technology_rules.allocate_upgrade_budget</t>
        </is>
      </c>
      <c r="P131" s="67">
        <f>INDEX('个人技术总览'!$O$5:$O$46,MATCH($A131,'个人技术总览'!$A$5:$A$46,0))</f>
        <v/>
      </c>
      <c r="Q131" s="64">
        <f>INDEX('个人技术总览'!$P$5:$P$46,MATCH($A131,'个人技术总览'!$A$5:$A$46,0))</f>
        <v/>
      </c>
      <c r="R131" s="67">
        <f>INDEX('个人技术总览'!$Q$5:$Q$46,MATCH($A131,'个人技术总览'!$A$5:$A$46,0))</f>
        <v/>
      </c>
      <c r="S131" s="64">
        <f>INDEX('个人技术总览'!$R$5:$R$46,MATCH($A131,'个人技术总览'!$A$5:$A$46,0))</f>
        <v/>
      </c>
      <c r="T131" s="68">
        <f>POWER($Q131,$E131)</f>
        <v/>
      </c>
      <c r="U131" s="68">
        <f>SUMIFS($T$5:$T$589,$A$5:$A$589,$A131)</f>
        <v/>
      </c>
      <c r="V131" s="67">
        <f>ROUNDDOWN(MAX(0,$P131-$H131*$G131)*$T131/MAX(1,$U131),0)</f>
        <v/>
      </c>
      <c r="W131" s="68">
        <f>POWER($S131,$E131)</f>
        <v/>
      </c>
      <c r="X131" s="68">
        <f>SUMIFS($W$5:$W$589,$A$5:$A$589,$A131)</f>
        <v/>
      </c>
      <c r="Y131" s="67">
        <f>ROUNDDOWN(MAX(0,$R131-$J131*$G131)*$W131/MAX(1,$X131),0)</f>
        <v/>
      </c>
    </row>
    <row r="132">
      <c r="A132" s="17" t="inlineStr">
        <is>
          <t>scout_art</t>
        </is>
      </c>
      <c r="B132" s="18" t="inlineStr">
        <is>
          <t>侦查术</t>
        </is>
      </c>
      <c r="C132" s="18" t="inlineStr">
        <is>
          <t>基本技术</t>
        </is>
      </c>
      <c r="D132" s="18" t="inlineStr">
        <is>
          <t>—</t>
        </is>
      </c>
      <c r="E132" s="65" t="n">
        <v>127</v>
      </c>
      <c r="F132" s="66">
        <f>E132+1</f>
        <v/>
      </c>
      <c r="G132" s="65">
        <f>INDEX('个人技术总览'!$E$5:$E$46,MATCH($A132,'个人技术总览'!$A$5:$A$46,0))</f>
        <v/>
      </c>
      <c r="H132" s="59">
        <f>INDEX('个人技术总览'!$F$5:$F$46,MATCH($A132,'个人技术总览'!$A$5:$A$46,0))</f>
        <v/>
      </c>
      <c r="I132" s="60">
        <f>INDEX('个人技术总览'!$G$5:$G$46,MATCH($A132,'个人技术总览'!$A$5:$A$46,0))</f>
        <v/>
      </c>
      <c r="J132" s="59">
        <f>INDEX('个人技术总览'!$H$5:$H$46,MATCH($A132,'个人技术总览'!$A$5:$A$46,0))</f>
        <v/>
      </c>
      <c r="K132" s="60">
        <f>INDEX('个人技术总览'!$I$5:$I$46,MATCH($A132,'个人技术总览'!$A$5:$A$46,0))</f>
        <v/>
      </c>
      <c r="L132" s="67">
        <f>H132+V132+IF(E132=G132-1,MAX(0,P132-H132*G132-SUMIFS($V$5:$V$589,$A$5:$A$589,$A132)),0)</f>
        <v/>
      </c>
      <c r="M132" s="61">
        <f>MAX(1,ROUNDDOWN($L132/'参数与公式'!$B$5,0))</f>
        <v/>
      </c>
      <c r="N132" s="67">
        <f>J132+Y132+IF(E132=G132-1,MAX(0,R132-J132*G132-SUMIFS($Y$5:$Y$589,$A$5:$A$589,$A132)),0)</f>
        <v/>
      </c>
      <c r="O132" s="18" t="inlineStr">
        <is>
          <t>data/technology_templates.yaml; upgrade_*_budget / *_curve; code: technology_rules.allocate_upgrade_budget</t>
        </is>
      </c>
      <c r="P132" s="67">
        <f>INDEX('个人技术总览'!$O$5:$O$46,MATCH($A132,'个人技术总览'!$A$5:$A$46,0))</f>
        <v/>
      </c>
      <c r="Q132" s="64">
        <f>INDEX('个人技术总览'!$P$5:$P$46,MATCH($A132,'个人技术总览'!$A$5:$A$46,0))</f>
        <v/>
      </c>
      <c r="R132" s="67">
        <f>INDEX('个人技术总览'!$Q$5:$Q$46,MATCH($A132,'个人技术总览'!$A$5:$A$46,0))</f>
        <v/>
      </c>
      <c r="S132" s="64">
        <f>INDEX('个人技术总览'!$R$5:$R$46,MATCH($A132,'个人技术总览'!$A$5:$A$46,0))</f>
        <v/>
      </c>
      <c r="T132" s="68">
        <f>POWER($Q132,$E132)</f>
        <v/>
      </c>
      <c r="U132" s="68">
        <f>SUMIFS($T$5:$T$589,$A$5:$A$589,$A132)</f>
        <v/>
      </c>
      <c r="V132" s="67">
        <f>ROUNDDOWN(MAX(0,$P132-$H132*$G132)*$T132/MAX(1,$U132),0)</f>
        <v/>
      </c>
      <c r="W132" s="68">
        <f>POWER($S132,$E132)</f>
        <v/>
      </c>
      <c r="X132" s="68">
        <f>SUMIFS($W$5:$W$589,$A$5:$A$589,$A132)</f>
        <v/>
      </c>
      <c r="Y132" s="67">
        <f>ROUNDDOWN(MAX(0,$R132-$J132*$G132)*$W132/MAX(1,$X132),0)</f>
        <v/>
      </c>
    </row>
    <row r="133">
      <c r="A133" s="17" t="inlineStr">
        <is>
          <t>scout_art</t>
        </is>
      </c>
      <c r="B133" s="18" t="inlineStr">
        <is>
          <t>侦查术</t>
        </is>
      </c>
      <c r="C133" s="18" t="inlineStr">
        <is>
          <t>基本技术</t>
        </is>
      </c>
      <c r="D133" s="18" t="inlineStr">
        <is>
          <t>—</t>
        </is>
      </c>
      <c r="E133" s="65" t="n">
        <v>128</v>
      </c>
      <c r="F133" s="66">
        <f>E133+1</f>
        <v/>
      </c>
      <c r="G133" s="65">
        <f>INDEX('个人技术总览'!$E$5:$E$46,MATCH($A133,'个人技术总览'!$A$5:$A$46,0))</f>
        <v/>
      </c>
      <c r="H133" s="59">
        <f>INDEX('个人技术总览'!$F$5:$F$46,MATCH($A133,'个人技术总览'!$A$5:$A$46,0))</f>
        <v/>
      </c>
      <c r="I133" s="60">
        <f>INDEX('个人技术总览'!$G$5:$G$46,MATCH($A133,'个人技术总览'!$A$5:$A$46,0))</f>
        <v/>
      </c>
      <c r="J133" s="59">
        <f>INDEX('个人技术总览'!$H$5:$H$46,MATCH($A133,'个人技术总览'!$A$5:$A$46,0))</f>
        <v/>
      </c>
      <c r="K133" s="60">
        <f>INDEX('个人技术总览'!$I$5:$I$46,MATCH($A133,'个人技术总览'!$A$5:$A$46,0))</f>
        <v/>
      </c>
      <c r="L133" s="67">
        <f>H133+V133+IF(E133=G133-1,MAX(0,P133-H133*G133-SUMIFS($V$5:$V$589,$A$5:$A$589,$A133)),0)</f>
        <v/>
      </c>
      <c r="M133" s="61">
        <f>MAX(1,ROUNDDOWN($L133/'参数与公式'!$B$5,0))</f>
        <v/>
      </c>
      <c r="N133" s="67">
        <f>J133+Y133+IF(E133=G133-1,MAX(0,R133-J133*G133-SUMIFS($Y$5:$Y$589,$A$5:$A$589,$A133)),0)</f>
        <v/>
      </c>
      <c r="O133" s="18" t="inlineStr">
        <is>
          <t>data/technology_templates.yaml; upgrade_*_budget / *_curve; code: technology_rules.allocate_upgrade_budget</t>
        </is>
      </c>
      <c r="P133" s="67">
        <f>INDEX('个人技术总览'!$O$5:$O$46,MATCH($A133,'个人技术总览'!$A$5:$A$46,0))</f>
        <v/>
      </c>
      <c r="Q133" s="64">
        <f>INDEX('个人技术总览'!$P$5:$P$46,MATCH($A133,'个人技术总览'!$A$5:$A$46,0))</f>
        <v/>
      </c>
      <c r="R133" s="67">
        <f>INDEX('个人技术总览'!$Q$5:$Q$46,MATCH($A133,'个人技术总览'!$A$5:$A$46,0))</f>
        <v/>
      </c>
      <c r="S133" s="64">
        <f>INDEX('个人技术总览'!$R$5:$R$46,MATCH($A133,'个人技术总览'!$A$5:$A$46,0))</f>
        <v/>
      </c>
      <c r="T133" s="68">
        <f>POWER($Q133,$E133)</f>
        <v/>
      </c>
      <c r="U133" s="68">
        <f>SUMIFS($T$5:$T$589,$A$5:$A$589,$A133)</f>
        <v/>
      </c>
      <c r="V133" s="67">
        <f>ROUNDDOWN(MAX(0,$P133-$H133*$G133)*$T133/MAX(1,$U133),0)</f>
        <v/>
      </c>
      <c r="W133" s="68">
        <f>POWER($S133,$E133)</f>
        <v/>
      </c>
      <c r="X133" s="68">
        <f>SUMIFS($W$5:$W$589,$A$5:$A$589,$A133)</f>
        <v/>
      </c>
      <c r="Y133" s="67">
        <f>ROUNDDOWN(MAX(0,$R133-$J133*$G133)*$W133/MAX(1,$X133),0)</f>
        <v/>
      </c>
    </row>
    <row r="134">
      <c r="A134" s="17" t="inlineStr">
        <is>
          <t>scout_art</t>
        </is>
      </c>
      <c r="B134" s="18" t="inlineStr">
        <is>
          <t>侦查术</t>
        </is>
      </c>
      <c r="C134" s="18" t="inlineStr">
        <is>
          <t>基本技术</t>
        </is>
      </c>
      <c r="D134" s="18" t="inlineStr">
        <is>
          <t>—</t>
        </is>
      </c>
      <c r="E134" s="65" t="n">
        <v>129</v>
      </c>
      <c r="F134" s="66">
        <f>E134+1</f>
        <v/>
      </c>
      <c r="G134" s="65">
        <f>INDEX('个人技术总览'!$E$5:$E$46,MATCH($A134,'个人技术总览'!$A$5:$A$46,0))</f>
        <v/>
      </c>
      <c r="H134" s="59">
        <f>INDEX('个人技术总览'!$F$5:$F$46,MATCH($A134,'个人技术总览'!$A$5:$A$46,0))</f>
        <v/>
      </c>
      <c r="I134" s="60">
        <f>INDEX('个人技术总览'!$G$5:$G$46,MATCH($A134,'个人技术总览'!$A$5:$A$46,0))</f>
        <v/>
      </c>
      <c r="J134" s="59">
        <f>INDEX('个人技术总览'!$H$5:$H$46,MATCH($A134,'个人技术总览'!$A$5:$A$46,0))</f>
        <v/>
      </c>
      <c r="K134" s="60">
        <f>INDEX('个人技术总览'!$I$5:$I$46,MATCH($A134,'个人技术总览'!$A$5:$A$46,0))</f>
        <v/>
      </c>
      <c r="L134" s="67">
        <f>H134+V134+IF(E134=G134-1,MAX(0,P134-H134*G134-SUMIFS($V$5:$V$589,$A$5:$A$589,$A134)),0)</f>
        <v/>
      </c>
      <c r="M134" s="61">
        <f>MAX(1,ROUNDDOWN($L134/'参数与公式'!$B$5,0))</f>
        <v/>
      </c>
      <c r="N134" s="67">
        <f>J134+Y134+IF(E134=G134-1,MAX(0,R134-J134*G134-SUMIFS($Y$5:$Y$589,$A$5:$A$589,$A134)),0)</f>
        <v/>
      </c>
      <c r="O134" s="18" t="inlineStr">
        <is>
          <t>data/technology_templates.yaml; upgrade_*_budget / *_curve; code: technology_rules.allocate_upgrade_budget</t>
        </is>
      </c>
      <c r="P134" s="67">
        <f>INDEX('个人技术总览'!$O$5:$O$46,MATCH($A134,'个人技术总览'!$A$5:$A$46,0))</f>
        <v/>
      </c>
      <c r="Q134" s="64">
        <f>INDEX('个人技术总览'!$P$5:$P$46,MATCH($A134,'个人技术总览'!$A$5:$A$46,0))</f>
        <v/>
      </c>
      <c r="R134" s="67">
        <f>INDEX('个人技术总览'!$Q$5:$Q$46,MATCH($A134,'个人技术总览'!$A$5:$A$46,0))</f>
        <v/>
      </c>
      <c r="S134" s="64">
        <f>INDEX('个人技术总览'!$R$5:$R$46,MATCH($A134,'个人技术总览'!$A$5:$A$46,0))</f>
        <v/>
      </c>
      <c r="T134" s="68">
        <f>POWER($Q134,$E134)</f>
        <v/>
      </c>
      <c r="U134" s="68">
        <f>SUMIFS($T$5:$T$589,$A$5:$A$589,$A134)</f>
        <v/>
      </c>
      <c r="V134" s="67">
        <f>ROUNDDOWN(MAX(0,$P134-$H134*$G134)*$T134/MAX(1,$U134),0)</f>
        <v/>
      </c>
      <c r="W134" s="68">
        <f>POWER($S134,$E134)</f>
        <v/>
      </c>
      <c r="X134" s="68">
        <f>SUMIFS($W$5:$W$589,$A$5:$A$589,$A134)</f>
        <v/>
      </c>
      <c r="Y134" s="67">
        <f>ROUNDDOWN(MAX(0,$R134-$J134*$G134)*$W134/MAX(1,$X134),0)</f>
        <v/>
      </c>
    </row>
    <row r="135">
      <c r="A135" s="17" t="inlineStr">
        <is>
          <t>scout_art</t>
        </is>
      </c>
      <c r="B135" s="18" t="inlineStr">
        <is>
          <t>侦查术</t>
        </is>
      </c>
      <c r="C135" s="18" t="inlineStr">
        <is>
          <t>基本技术</t>
        </is>
      </c>
      <c r="D135" s="18" t="inlineStr">
        <is>
          <t>—</t>
        </is>
      </c>
      <c r="E135" s="65" t="n">
        <v>130</v>
      </c>
      <c r="F135" s="66">
        <f>E135+1</f>
        <v/>
      </c>
      <c r="G135" s="65">
        <f>INDEX('个人技术总览'!$E$5:$E$46,MATCH($A135,'个人技术总览'!$A$5:$A$46,0))</f>
        <v/>
      </c>
      <c r="H135" s="59">
        <f>INDEX('个人技术总览'!$F$5:$F$46,MATCH($A135,'个人技术总览'!$A$5:$A$46,0))</f>
        <v/>
      </c>
      <c r="I135" s="60">
        <f>INDEX('个人技术总览'!$G$5:$G$46,MATCH($A135,'个人技术总览'!$A$5:$A$46,0))</f>
        <v/>
      </c>
      <c r="J135" s="59">
        <f>INDEX('个人技术总览'!$H$5:$H$46,MATCH($A135,'个人技术总览'!$A$5:$A$46,0))</f>
        <v/>
      </c>
      <c r="K135" s="60">
        <f>INDEX('个人技术总览'!$I$5:$I$46,MATCH($A135,'个人技术总览'!$A$5:$A$46,0))</f>
        <v/>
      </c>
      <c r="L135" s="67">
        <f>H135+V135+IF(E135=G135-1,MAX(0,P135-H135*G135-SUMIFS($V$5:$V$589,$A$5:$A$589,$A135)),0)</f>
        <v/>
      </c>
      <c r="M135" s="61">
        <f>MAX(1,ROUNDDOWN($L135/'参数与公式'!$B$5,0))</f>
        <v/>
      </c>
      <c r="N135" s="67">
        <f>J135+Y135+IF(E135=G135-1,MAX(0,R135-J135*G135-SUMIFS($Y$5:$Y$589,$A$5:$A$589,$A135)),0)</f>
        <v/>
      </c>
      <c r="O135" s="18" t="inlineStr">
        <is>
          <t>data/technology_templates.yaml; upgrade_*_budget / *_curve; code: technology_rules.allocate_upgrade_budget</t>
        </is>
      </c>
      <c r="P135" s="67">
        <f>INDEX('个人技术总览'!$O$5:$O$46,MATCH($A135,'个人技术总览'!$A$5:$A$46,0))</f>
        <v/>
      </c>
      <c r="Q135" s="64">
        <f>INDEX('个人技术总览'!$P$5:$P$46,MATCH($A135,'个人技术总览'!$A$5:$A$46,0))</f>
        <v/>
      </c>
      <c r="R135" s="67">
        <f>INDEX('个人技术总览'!$Q$5:$Q$46,MATCH($A135,'个人技术总览'!$A$5:$A$46,0))</f>
        <v/>
      </c>
      <c r="S135" s="64">
        <f>INDEX('个人技术总览'!$R$5:$R$46,MATCH($A135,'个人技术总览'!$A$5:$A$46,0))</f>
        <v/>
      </c>
      <c r="T135" s="68">
        <f>POWER($Q135,$E135)</f>
        <v/>
      </c>
      <c r="U135" s="68">
        <f>SUMIFS($T$5:$T$589,$A$5:$A$589,$A135)</f>
        <v/>
      </c>
      <c r="V135" s="67">
        <f>ROUNDDOWN(MAX(0,$P135-$H135*$G135)*$T135/MAX(1,$U135),0)</f>
        <v/>
      </c>
      <c r="W135" s="68">
        <f>POWER($S135,$E135)</f>
        <v/>
      </c>
      <c r="X135" s="68">
        <f>SUMIFS($W$5:$W$589,$A$5:$A$589,$A135)</f>
        <v/>
      </c>
      <c r="Y135" s="67">
        <f>ROUNDDOWN(MAX(0,$R135-$J135*$G135)*$W135/MAX(1,$X135),0)</f>
        <v/>
      </c>
    </row>
    <row r="136">
      <c r="A136" s="17" t="inlineStr">
        <is>
          <t>scout_art</t>
        </is>
      </c>
      <c r="B136" s="18" t="inlineStr">
        <is>
          <t>侦查术</t>
        </is>
      </c>
      <c r="C136" s="18" t="inlineStr">
        <is>
          <t>基本技术</t>
        </is>
      </c>
      <c r="D136" s="18" t="inlineStr">
        <is>
          <t>—</t>
        </is>
      </c>
      <c r="E136" s="65" t="n">
        <v>131</v>
      </c>
      <c r="F136" s="66">
        <f>E136+1</f>
        <v/>
      </c>
      <c r="G136" s="65">
        <f>INDEX('个人技术总览'!$E$5:$E$46,MATCH($A136,'个人技术总览'!$A$5:$A$46,0))</f>
        <v/>
      </c>
      <c r="H136" s="59">
        <f>INDEX('个人技术总览'!$F$5:$F$46,MATCH($A136,'个人技术总览'!$A$5:$A$46,0))</f>
        <v/>
      </c>
      <c r="I136" s="60">
        <f>INDEX('个人技术总览'!$G$5:$G$46,MATCH($A136,'个人技术总览'!$A$5:$A$46,0))</f>
        <v/>
      </c>
      <c r="J136" s="59">
        <f>INDEX('个人技术总览'!$H$5:$H$46,MATCH($A136,'个人技术总览'!$A$5:$A$46,0))</f>
        <v/>
      </c>
      <c r="K136" s="60">
        <f>INDEX('个人技术总览'!$I$5:$I$46,MATCH($A136,'个人技术总览'!$A$5:$A$46,0))</f>
        <v/>
      </c>
      <c r="L136" s="67">
        <f>H136+V136+IF(E136=G136-1,MAX(0,P136-H136*G136-SUMIFS($V$5:$V$589,$A$5:$A$589,$A136)),0)</f>
        <v/>
      </c>
      <c r="M136" s="61">
        <f>MAX(1,ROUNDDOWN($L136/'参数与公式'!$B$5,0))</f>
        <v/>
      </c>
      <c r="N136" s="67">
        <f>J136+Y136+IF(E136=G136-1,MAX(0,R136-J136*G136-SUMIFS($Y$5:$Y$589,$A$5:$A$589,$A136)),0)</f>
        <v/>
      </c>
      <c r="O136" s="18" t="inlineStr">
        <is>
          <t>data/technology_templates.yaml; upgrade_*_budget / *_curve; code: technology_rules.allocate_upgrade_budget</t>
        </is>
      </c>
      <c r="P136" s="67">
        <f>INDEX('个人技术总览'!$O$5:$O$46,MATCH($A136,'个人技术总览'!$A$5:$A$46,0))</f>
        <v/>
      </c>
      <c r="Q136" s="64">
        <f>INDEX('个人技术总览'!$P$5:$P$46,MATCH($A136,'个人技术总览'!$A$5:$A$46,0))</f>
        <v/>
      </c>
      <c r="R136" s="67">
        <f>INDEX('个人技术总览'!$Q$5:$Q$46,MATCH($A136,'个人技术总览'!$A$5:$A$46,0))</f>
        <v/>
      </c>
      <c r="S136" s="64">
        <f>INDEX('个人技术总览'!$R$5:$R$46,MATCH($A136,'个人技术总览'!$A$5:$A$46,0))</f>
        <v/>
      </c>
      <c r="T136" s="68">
        <f>POWER($Q136,$E136)</f>
        <v/>
      </c>
      <c r="U136" s="68">
        <f>SUMIFS($T$5:$T$589,$A$5:$A$589,$A136)</f>
        <v/>
      </c>
      <c r="V136" s="67">
        <f>ROUNDDOWN(MAX(0,$P136-$H136*$G136)*$T136/MAX(1,$U136),0)</f>
        <v/>
      </c>
      <c r="W136" s="68">
        <f>POWER($S136,$E136)</f>
        <v/>
      </c>
      <c r="X136" s="68">
        <f>SUMIFS($W$5:$W$589,$A$5:$A$589,$A136)</f>
        <v/>
      </c>
      <c r="Y136" s="67">
        <f>ROUNDDOWN(MAX(0,$R136-$J136*$G136)*$W136/MAX(1,$X136),0)</f>
        <v/>
      </c>
    </row>
    <row r="137">
      <c r="A137" s="17" t="inlineStr">
        <is>
          <t>scout_art</t>
        </is>
      </c>
      <c r="B137" s="18" t="inlineStr">
        <is>
          <t>侦查术</t>
        </is>
      </c>
      <c r="C137" s="18" t="inlineStr">
        <is>
          <t>基本技术</t>
        </is>
      </c>
      <c r="D137" s="18" t="inlineStr">
        <is>
          <t>—</t>
        </is>
      </c>
      <c r="E137" s="65" t="n">
        <v>132</v>
      </c>
      <c r="F137" s="66">
        <f>E137+1</f>
        <v/>
      </c>
      <c r="G137" s="65">
        <f>INDEX('个人技术总览'!$E$5:$E$46,MATCH($A137,'个人技术总览'!$A$5:$A$46,0))</f>
        <v/>
      </c>
      <c r="H137" s="59">
        <f>INDEX('个人技术总览'!$F$5:$F$46,MATCH($A137,'个人技术总览'!$A$5:$A$46,0))</f>
        <v/>
      </c>
      <c r="I137" s="60">
        <f>INDEX('个人技术总览'!$G$5:$G$46,MATCH($A137,'个人技术总览'!$A$5:$A$46,0))</f>
        <v/>
      </c>
      <c r="J137" s="59">
        <f>INDEX('个人技术总览'!$H$5:$H$46,MATCH($A137,'个人技术总览'!$A$5:$A$46,0))</f>
        <v/>
      </c>
      <c r="K137" s="60">
        <f>INDEX('个人技术总览'!$I$5:$I$46,MATCH($A137,'个人技术总览'!$A$5:$A$46,0))</f>
        <v/>
      </c>
      <c r="L137" s="67">
        <f>H137+V137+IF(E137=G137-1,MAX(0,P137-H137*G137-SUMIFS($V$5:$V$589,$A$5:$A$589,$A137)),0)</f>
        <v/>
      </c>
      <c r="M137" s="61">
        <f>MAX(1,ROUNDDOWN($L137/'参数与公式'!$B$5,0))</f>
        <v/>
      </c>
      <c r="N137" s="67">
        <f>J137+Y137+IF(E137=G137-1,MAX(0,R137-J137*G137-SUMIFS($Y$5:$Y$589,$A$5:$A$589,$A137)),0)</f>
        <v/>
      </c>
      <c r="O137" s="18" t="inlineStr">
        <is>
          <t>data/technology_templates.yaml; upgrade_*_budget / *_curve; code: technology_rules.allocate_upgrade_budget</t>
        </is>
      </c>
      <c r="P137" s="67">
        <f>INDEX('个人技术总览'!$O$5:$O$46,MATCH($A137,'个人技术总览'!$A$5:$A$46,0))</f>
        <v/>
      </c>
      <c r="Q137" s="64">
        <f>INDEX('个人技术总览'!$P$5:$P$46,MATCH($A137,'个人技术总览'!$A$5:$A$46,0))</f>
        <v/>
      </c>
      <c r="R137" s="67">
        <f>INDEX('个人技术总览'!$Q$5:$Q$46,MATCH($A137,'个人技术总览'!$A$5:$A$46,0))</f>
        <v/>
      </c>
      <c r="S137" s="64">
        <f>INDEX('个人技术总览'!$R$5:$R$46,MATCH($A137,'个人技术总览'!$A$5:$A$46,0))</f>
        <v/>
      </c>
      <c r="T137" s="68">
        <f>POWER($Q137,$E137)</f>
        <v/>
      </c>
      <c r="U137" s="68">
        <f>SUMIFS($T$5:$T$589,$A$5:$A$589,$A137)</f>
        <v/>
      </c>
      <c r="V137" s="67">
        <f>ROUNDDOWN(MAX(0,$P137-$H137*$G137)*$T137/MAX(1,$U137),0)</f>
        <v/>
      </c>
      <c r="W137" s="68">
        <f>POWER($S137,$E137)</f>
        <v/>
      </c>
      <c r="X137" s="68">
        <f>SUMIFS($W$5:$W$589,$A$5:$A$589,$A137)</f>
        <v/>
      </c>
      <c r="Y137" s="67">
        <f>ROUNDDOWN(MAX(0,$R137-$J137*$G137)*$W137/MAX(1,$X137),0)</f>
        <v/>
      </c>
    </row>
    <row r="138">
      <c r="A138" s="17" t="inlineStr">
        <is>
          <t>scout_art</t>
        </is>
      </c>
      <c r="B138" s="18" t="inlineStr">
        <is>
          <t>侦查术</t>
        </is>
      </c>
      <c r="C138" s="18" t="inlineStr">
        <is>
          <t>基本技术</t>
        </is>
      </c>
      <c r="D138" s="18" t="inlineStr">
        <is>
          <t>—</t>
        </is>
      </c>
      <c r="E138" s="65" t="n">
        <v>133</v>
      </c>
      <c r="F138" s="66">
        <f>E138+1</f>
        <v/>
      </c>
      <c r="G138" s="65">
        <f>INDEX('个人技术总览'!$E$5:$E$46,MATCH($A138,'个人技术总览'!$A$5:$A$46,0))</f>
        <v/>
      </c>
      <c r="H138" s="59">
        <f>INDEX('个人技术总览'!$F$5:$F$46,MATCH($A138,'个人技术总览'!$A$5:$A$46,0))</f>
        <v/>
      </c>
      <c r="I138" s="60">
        <f>INDEX('个人技术总览'!$G$5:$G$46,MATCH($A138,'个人技术总览'!$A$5:$A$46,0))</f>
        <v/>
      </c>
      <c r="J138" s="59">
        <f>INDEX('个人技术总览'!$H$5:$H$46,MATCH($A138,'个人技术总览'!$A$5:$A$46,0))</f>
        <v/>
      </c>
      <c r="K138" s="60">
        <f>INDEX('个人技术总览'!$I$5:$I$46,MATCH($A138,'个人技术总览'!$A$5:$A$46,0))</f>
        <v/>
      </c>
      <c r="L138" s="67">
        <f>H138+V138+IF(E138=G138-1,MAX(0,P138-H138*G138-SUMIFS($V$5:$V$589,$A$5:$A$589,$A138)),0)</f>
        <v/>
      </c>
      <c r="M138" s="61">
        <f>MAX(1,ROUNDDOWN($L138/'参数与公式'!$B$5,0))</f>
        <v/>
      </c>
      <c r="N138" s="67">
        <f>J138+Y138+IF(E138=G138-1,MAX(0,R138-J138*G138-SUMIFS($Y$5:$Y$589,$A$5:$A$589,$A138)),0)</f>
        <v/>
      </c>
      <c r="O138" s="18" t="inlineStr">
        <is>
          <t>data/technology_templates.yaml; upgrade_*_budget / *_curve; code: technology_rules.allocate_upgrade_budget</t>
        </is>
      </c>
      <c r="P138" s="67">
        <f>INDEX('个人技术总览'!$O$5:$O$46,MATCH($A138,'个人技术总览'!$A$5:$A$46,0))</f>
        <v/>
      </c>
      <c r="Q138" s="64">
        <f>INDEX('个人技术总览'!$P$5:$P$46,MATCH($A138,'个人技术总览'!$A$5:$A$46,0))</f>
        <v/>
      </c>
      <c r="R138" s="67">
        <f>INDEX('个人技术总览'!$Q$5:$Q$46,MATCH($A138,'个人技术总览'!$A$5:$A$46,0))</f>
        <v/>
      </c>
      <c r="S138" s="64">
        <f>INDEX('个人技术总览'!$R$5:$R$46,MATCH($A138,'个人技术总览'!$A$5:$A$46,0))</f>
        <v/>
      </c>
      <c r="T138" s="68">
        <f>POWER($Q138,$E138)</f>
        <v/>
      </c>
      <c r="U138" s="68">
        <f>SUMIFS($T$5:$T$589,$A$5:$A$589,$A138)</f>
        <v/>
      </c>
      <c r="V138" s="67">
        <f>ROUNDDOWN(MAX(0,$P138-$H138*$G138)*$T138/MAX(1,$U138),0)</f>
        <v/>
      </c>
      <c r="W138" s="68">
        <f>POWER($S138,$E138)</f>
        <v/>
      </c>
      <c r="X138" s="68">
        <f>SUMIFS($W$5:$W$589,$A$5:$A$589,$A138)</f>
        <v/>
      </c>
      <c r="Y138" s="67">
        <f>ROUNDDOWN(MAX(0,$R138-$J138*$G138)*$W138/MAX(1,$X138),0)</f>
        <v/>
      </c>
    </row>
    <row r="139">
      <c r="A139" s="17" t="inlineStr">
        <is>
          <t>scout_art</t>
        </is>
      </c>
      <c r="B139" s="18" t="inlineStr">
        <is>
          <t>侦查术</t>
        </is>
      </c>
      <c r="C139" s="18" t="inlineStr">
        <is>
          <t>基本技术</t>
        </is>
      </c>
      <c r="D139" s="18" t="inlineStr">
        <is>
          <t>—</t>
        </is>
      </c>
      <c r="E139" s="65" t="n">
        <v>134</v>
      </c>
      <c r="F139" s="66">
        <f>E139+1</f>
        <v/>
      </c>
      <c r="G139" s="65">
        <f>INDEX('个人技术总览'!$E$5:$E$46,MATCH($A139,'个人技术总览'!$A$5:$A$46,0))</f>
        <v/>
      </c>
      <c r="H139" s="59">
        <f>INDEX('个人技术总览'!$F$5:$F$46,MATCH($A139,'个人技术总览'!$A$5:$A$46,0))</f>
        <v/>
      </c>
      <c r="I139" s="60">
        <f>INDEX('个人技术总览'!$G$5:$G$46,MATCH($A139,'个人技术总览'!$A$5:$A$46,0))</f>
        <v/>
      </c>
      <c r="J139" s="59">
        <f>INDEX('个人技术总览'!$H$5:$H$46,MATCH($A139,'个人技术总览'!$A$5:$A$46,0))</f>
        <v/>
      </c>
      <c r="K139" s="60">
        <f>INDEX('个人技术总览'!$I$5:$I$46,MATCH($A139,'个人技术总览'!$A$5:$A$46,0))</f>
        <v/>
      </c>
      <c r="L139" s="67">
        <f>H139+V139+IF(E139=G139-1,MAX(0,P139-H139*G139-SUMIFS($V$5:$V$589,$A$5:$A$589,$A139)),0)</f>
        <v/>
      </c>
      <c r="M139" s="61">
        <f>MAX(1,ROUNDDOWN($L139/'参数与公式'!$B$5,0))</f>
        <v/>
      </c>
      <c r="N139" s="67">
        <f>J139+Y139+IF(E139=G139-1,MAX(0,R139-J139*G139-SUMIFS($Y$5:$Y$589,$A$5:$A$589,$A139)),0)</f>
        <v/>
      </c>
      <c r="O139" s="18" t="inlineStr">
        <is>
          <t>data/technology_templates.yaml; upgrade_*_budget / *_curve; code: technology_rules.allocate_upgrade_budget</t>
        </is>
      </c>
      <c r="P139" s="67">
        <f>INDEX('个人技术总览'!$O$5:$O$46,MATCH($A139,'个人技术总览'!$A$5:$A$46,0))</f>
        <v/>
      </c>
      <c r="Q139" s="64">
        <f>INDEX('个人技术总览'!$P$5:$P$46,MATCH($A139,'个人技术总览'!$A$5:$A$46,0))</f>
        <v/>
      </c>
      <c r="R139" s="67">
        <f>INDEX('个人技术总览'!$Q$5:$Q$46,MATCH($A139,'个人技术总览'!$A$5:$A$46,0))</f>
        <v/>
      </c>
      <c r="S139" s="64">
        <f>INDEX('个人技术总览'!$R$5:$R$46,MATCH($A139,'个人技术总览'!$A$5:$A$46,0))</f>
        <v/>
      </c>
      <c r="T139" s="68">
        <f>POWER($Q139,$E139)</f>
        <v/>
      </c>
      <c r="U139" s="68">
        <f>SUMIFS($T$5:$T$589,$A$5:$A$589,$A139)</f>
        <v/>
      </c>
      <c r="V139" s="67">
        <f>ROUNDDOWN(MAX(0,$P139-$H139*$G139)*$T139/MAX(1,$U139),0)</f>
        <v/>
      </c>
      <c r="W139" s="68">
        <f>POWER($S139,$E139)</f>
        <v/>
      </c>
      <c r="X139" s="68">
        <f>SUMIFS($W$5:$W$589,$A$5:$A$589,$A139)</f>
        <v/>
      </c>
      <c r="Y139" s="67">
        <f>ROUNDDOWN(MAX(0,$R139-$J139*$G139)*$W139/MAX(1,$X139),0)</f>
        <v/>
      </c>
    </row>
    <row r="140">
      <c r="A140" s="17" t="inlineStr">
        <is>
          <t>scout_art</t>
        </is>
      </c>
      <c r="B140" s="18" t="inlineStr">
        <is>
          <t>侦查术</t>
        </is>
      </c>
      <c r="C140" s="18" t="inlineStr">
        <is>
          <t>基本技术</t>
        </is>
      </c>
      <c r="D140" s="18" t="inlineStr">
        <is>
          <t>—</t>
        </is>
      </c>
      <c r="E140" s="65" t="n">
        <v>135</v>
      </c>
      <c r="F140" s="66">
        <f>E140+1</f>
        <v/>
      </c>
      <c r="G140" s="65">
        <f>INDEX('个人技术总览'!$E$5:$E$46,MATCH($A140,'个人技术总览'!$A$5:$A$46,0))</f>
        <v/>
      </c>
      <c r="H140" s="59">
        <f>INDEX('个人技术总览'!$F$5:$F$46,MATCH($A140,'个人技术总览'!$A$5:$A$46,0))</f>
        <v/>
      </c>
      <c r="I140" s="60">
        <f>INDEX('个人技术总览'!$G$5:$G$46,MATCH($A140,'个人技术总览'!$A$5:$A$46,0))</f>
        <v/>
      </c>
      <c r="J140" s="59">
        <f>INDEX('个人技术总览'!$H$5:$H$46,MATCH($A140,'个人技术总览'!$A$5:$A$46,0))</f>
        <v/>
      </c>
      <c r="K140" s="60">
        <f>INDEX('个人技术总览'!$I$5:$I$46,MATCH($A140,'个人技术总览'!$A$5:$A$46,0))</f>
        <v/>
      </c>
      <c r="L140" s="67">
        <f>H140+V140+IF(E140=G140-1,MAX(0,P140-H140*G140-SUMIFS($V$5:$V$589,$A$5:$A$589,$A140)),0)</f>
        <v/>
      </c>
      <c r="M140" s="61">
        <f>MAX(1,ROUNDDOWN($L140/'参数与公式'!$B$5,0))</f>
        <v/>
      </c>
      <c r="N140" s="67">
        <f>J140+Y140+IF(E140=G140-1,MAX(0,R140-J140*G140-SUMIFS($Y$5:$Y$589,$A$5:$A$589,$A140)),0)</f>
        <v/>
      </c>
      <c r="O140" s="18" t="inlineStr">
        <is>
          <t>data/technology_templates.yaml; upgrade_*_budget / *_curve; code: technology_rules.allocate_upgrade_budget</t>
        </is>
      </c>
      <c r="P140" s="67">
        <f>INDEX('个人技术总览'!$O$5:$O$46,MATCH($A140,'个人技术总览'!$A$5:$A$46,0))</f>
        <v/>
      </c>
      <c r="Q140" s="64">
        <f>INDEX('个人技术总览'!$P$5:$P$46,MATCH($A140,'个人技术总览'!$A$5:$A$46,0))</f>
        <v/>
      </c>
      <c r="R140" s="67">
        <f>INDEX('个人技术总览'!$Q$5:$Q$46,MATCH($A140,'个人技术总览'!$A$5:$A$46,0))</f>
        <v/>
      </c>
      <c r="S140" s="64">
        <f>INDEX('个人技术总览'!$R$5:$R$46,MATCH($A140,'个人技术总览'!$A$5:$A$46,0))</f>
        <v/>
      </c>
      <c r="T140" s="68">
        <f>POWER($Q140,$E140)</f>
        <v/>
      </c>
      <c r="U140" s="68">
        <f>SUMIFS($T$5:$T$589,$A$5:$A$589,$A140)</f>
        <v/>
      </c>
      <c r="V140" s="67">
        <f>ROUNDDOWN(MAX(0,$P140-$H140*$G140)*$T140/MAX(1,$U140),0)</f>
        <v/>
      </c>
      <c r="W140" s="68">
        <f>POWER($S140,$E140)</f>
        <v/>
      </c>
      <c r="X140" s="68">
        <f>SUMIFS($W$5:$W$589,$A$5:$A$589,$A140)</f>
        <v/>
      </c>
      <c r="Y140" s="67">
        <f>ROUNDDOWN(MAX(0,$R140-$J140*$G140)*$W140/MAX(1,$X140),0)</f>
        <v/>
      </c>
    </row>
    <row r="141">
      <c r="A141" s="17" t="inlineStr">
        <is>
          <t>scout_art</t>
        </is>
      </c>
      <c r="B141" s="18" t="inlineStr">
        <is>
          <t>侦查术</t>
        </is>
      </c>
      <c r="C141" s="18" t="inlineStr">
        <is>
          <t>基本技术</t>
        </is>
      </c>
      <c r="D141" s="18" t="inlineStr">
        <is>
          <t>—</t>
        </is>
      </c>
      <c r="E141" s="65" t="n">
        <v>136</v>
      </c>
      <c r="F141" s="66">
        <f>E141+1</f>
        <v/>
      </c>
      <c r="G141" s="65">
        <f>INDEX('个人技术总览'!$E$5:$E$46,MATCH($A141,'个人技术总览'!$A$5:$A$46,0))</f>
        <v/>
      </c>
      <c r="H141" s="59">
        <f>INDEX('个人技术总览'!$F$5:$F$46,MATCH($A141,'个人技术总览'!$A$5:$A$46,0))</f>
        <v/>
      </c>
      <c r="I141" s="60">
        <f>INDEX('个人技术总览'!$G$5:$G$46,MATCH($A141,'个人技术总览'!$A$5:$A$46,0))</f>
        <v/>
      </c>
      <c r="J141" s="59">
        <f>INDEX('个人技术总览'!$H$5:$H$46,MATCH($A141,'个人技术总览'!$A$5:$A$46,0))</f>
        <v/>
      </c>
      <c r="K141" s="60">
        <f>INDEX('个人技术总览'!$I$5:$I$46,MATCH($A141,'个人技术总览'!$A$5:$A$46,0))</f>
        <v/>
      </c>
      <c r="L141" s="67">
        <f>H141+V141+IF(E141=G141-1,MAX(0,P141-H141*G141-SUMIFS($V$5:$V$589,$A$5:$A$589,$A141)),0)</f>
        <v/>
      </c>
      <c r="M141" s="61">
        <f>MAX(1,ROUNDDOWN($L141/'参数与公式'!$B$5,0))</f>
        <v/>
      </c>
      <c r="N141" s="67">
        <f>J141+Y141+IF(E141=G141-1,MAX(0,R141-J141*G141-SUMIFS($Y$5:$Y$589,$A$5:$A$589,$A141)),0)</f>
        <v/>
      </c>
      <c r="O141" s="18" t="inlineStr">
        <is>
          <t>data/technology_templates.yaml; upgrade_*_budget / *_curve; code: technology_rules.allocate_upgrade_budget</t>
        </is>
      </c>
      <c r="P141" s="67">
        <f>INDEX('个人技术总览'!$O$5:$O$46,MATCH($A141,'个人技术总览'!$A$5:$A$46,0))</f>
        <v/>
      </c>
      <c r="Q141" s="64">
        <f>INDEX('个人技术总览'!$P$5:$P$46,MATCH($A141,'个人技术总览'!$A$5:$A$46,0))</f>
        <v/>
      </c>
      <c r="R141" s="67">
        <f>INDEX('个人技术总览'!$Q$5:$Q$46,MATCH($A141,'个人技术总览'!$A$5:$A$46,0))</f>
        <v/>
      </c>
      <c r="S141" s="64">
        <f>INDEX('个人技术总览'!$R$5:$R$46,MATCH($A141,'个人技术总览'!$A$5:$A$46,0))</f>
        <v/>
      </c>
      <c r="T141" s="68">
        <f>POWER($Q141,$E141)</f>
        <v/>
      </c>
      <c r="U141" s="68">
        <f>SUMIFS($T$5:$T$589,$A$5:$A$589,$A141)</f>
        <v/>
      </c>
      <c r="V141" s="67">
        <f>ROUNDDOWN(MAX(0,$P141-$H141*$G141)*$T141/MAX(1,$U141),0)</f>
        <v/>
      </c>
      <c r="W141" s="68">
        <f>POWER($S141,$E141)</f>
        <v/>
      </c>
      <c r="X141" s="68">
        <f>SUMIFS($W$5:$W$589,$A$5:$A$589,$A141)</f>
        <v/>
      </c>
      <c r="Y141" s="67">
        <f>ROUNDDOWN(MAX(0,$R141-$J141*$G141)*$W141/MAX(1,$X141),0)</f>
        <v/>
      </c>
    </row>
    <row r="142">
      <c r="A142" s="17" t="inlineStr">
        <is>
          <t>scout_art</t>
        </is>
      </c>
      <c r="B142" s="18" t="inlineStr">
        <is>
          <t>侦查术</t>
        </is>
      </c>
      <c r="C142" s="18" t="inlineStr">
        <is>
          <t>基本技术</t>
        </is>
      </c>
      <c r="D142" s="18" t="inlineStr">
        <is>
          <t>—</t>
        </is>
      </c>
      <c r="E142" s="65" t="n">
        <v>137</v>
      </c>
      <c r="F142" s="66">
        <f>E142+1</f>
        <v/>
      </c>
      <c r="G142" s="65">
        <f>INDEX('个人技术总览'!$E$5:$E$46,MATCH($A142,'个人技术总览'!$A$5:$A$46,0))</f>
        <v/>
      </c>
      <c r="H142" s="59">
        <f>INDEX('个人技术总览'!$F$5:$F$46,MATCH($A142,'个人技术总览'!$A$5:$A$46,0))</f>
        <v/>
      </c>
      <c r="I142" s="60">
        <f>INDEX('个人技术总览'!$G$5:$G$46,MATCH($A142,'个人技术总览'!$A$5:$A$46,0))</f>
        <v/>
      </c>
      <c r="J142" s="59">
        <f>INDEX('个人技术总览'!$H$5:$H$46,MATCH($A142,'个人技术总览'!$A$5:$A$46,0))</f>
        <v/>
      </c>
      <c r="K142" s="60">
        <f>INDEX('个人技术总览'!$I$5:$I$46,MATCH($A142,'个人技术总览'!$A$5:$A$46,0))</f>
        <v/>
      </c>
      <c r="L142" s="67">
        <f>H142+V142+IF(E142=G142-1,MAX(0,P142-H142*G142-SUMIFS($V$5:$V$589,$A$5:$A$589,$A142)),0)</f>
        <v/>
      </c>
      <c r="M142" s="61">
        <f>MAX(1,ROUNDDOWN($L142/'参数与公式'!$B$5,0))</f>
        <v/>
      </c>
      <c r="N142" s="67">
        <f>J142+Y142+IF(E142=G142-1,MAX(0,R142-J142*G142-SUMIFS($Y$5:$Y$589,$A$5:$A$589,$A142)),0)</f>
        <v/>
      </c>
      <c r="O142" s="18" t="inlineStr">
        <is>
          <t>data/technology_templates.yaml; upgrade_*_budget / *_curve; code: technology_rules.allocate_upgrade_budget</t>
        </is>
      </c>
      <c r="P142" s="67">
        <f>INDEX('个人技术总览'!$O$5:$O$46,MATCH($A142,'个人技术总览'!$A$5:$A$46,0))</f>
        <v/>
      </c>
      <c r="Q142" s="64">
        <f>INDEX('个人技术总览'!$P$5:$P$46,MATCH($A142,'个人技术总览'!$A$5:$A$46,0))</f>
        <v/>
      </c>
      <c r="R142" s="67">
        <f>INDEX('个人技术总览'!$Q$5:$Q$46,MATCH($A142,'个人技术总览'!$A$5:$A$46,0))</f>
        <v/>
      </c>
      <c r="S142" s="64">
        <f>INDEX('个人技术总览'!$R$5:$R$46,MATCH($A142,'个人技术总览'!$A$5:$A$46,0))</f>
        <v/>
      </c>
      <c r="T142" s="68">
        <f>POWER($Q142,$E142)</f>
        <v/>
      </c>
      <c r="U142" s="68">
        <f>SUMIFS($T$5:$T$589,$A$5:$A$589,$A142)</f>
        <v/>
      </c>
      <c r="V142" s="67">
        <f>ROUNDDOWN(MAX(0,$P142-$H142*$G142)*$T142/MAX(1,$U142),0)</f>
        <v/>
      </c>
      <c r="W142" s="68">
        <f>POWER($S142,$E142)</f>
        <v/>
      </c>
      <c r="X142" s="68">
        <f>SUMIFS($W$5:$W$589,$A$5:$A$589,$A142)</f>
        <v/>
      </c>
      <c r="Y142" s="67">
        <f>ROUNDDOWN(MAX(0,$R142-$J142*$G142)*$W142/MAX(1,$X142),0)</f>
        <v/>
      </c>
    </row>
    <row r="143">
      <c r="A143" s="17" t="inlineStr">
        <is>
          <t>scout_art</t>
        </is>
      </c>
      <c r="B143" s="18" t="inlineStr">
        <is>
          <t>侦查术</t>
        </is>
      </c>
      <c r="C143" s="18" t="inlineStr">
        <is>
          <t>基本技术</t>
        </is>
      </c>
      <c r="D143" s="18" t="inlineStr">
        <is>
          <t>—</t>
        </is>
      </c>
      <c r="E143" s="65" t="n">
        <v>138</v>
      </c>
      <c r="F143" s="66">
        <f>E143+1</f>
        <v/>
      </c>
      <c r="G143" s="65">
        <f>INDEX('个人技术总览'!$E$5:$E$46,MATCH($A143,'个人技术总览'!$A$5:$A$46,0))</f>
        <v/>
      </c>
      <c r="H143" s="59">
        <f>INDEX('个人技术总览'!$F$5:$F$46,MATCH($A143,'个人技术总览'!$A$5:$A$46,0))</f>
        <v/>
      </c>
      <c r="I143" s="60">
        <f>INDEX('个人技术总览'!$G$5:$G$46,MATCH($A143,'个人技术总览'!$A$5:$A$46,0))</f>
        <v/>
      </c>
      <c r="J143" s="59">
        <f>INDEX('个人技术总览'!$H$5:$H$46,MATCH($A143,'个人技术总览'!$A$5:$A$46,0))</f>
        <v/>
      </c>
      <c r="K143" s="60">
        <f>INDEX('个人技术总览'!$I$5:$I$46,MATCH($A143,'个人技术总览'!$A$5:$A$46,0))</f>
        <v/>
      </c>
      <c r="L143" s="67">
        <f>H143+V143+IF(E143=G143-1,MAX(0,P143-H143*G143-SUMIFS($V$5:$V$589,$A$5:$A$589,$A143)),0)</f>
        <v/>
      </c>
      <c r="M143" s="61">
        <f>MAX(1,ROUNDDOWN($L143/'参数与公式'!$B$5,0))</f>
        <v/>
      </c>
      <c r="N143" s="67">
        <f>J143+Y143+IF(E143=G143-1,MAX(0,R143-J143*G143-SUMIFS($Y$5:$Y$589,$A$5:$A$589,$A143)),0)</f>
        <v/>
      </c>
      <c r="O143" s="18" t="inlineStr">
        <is>
          <t>data/technology_templates.yaml; upgrade_*_budget / *_curve; code: technology_rules.allocate_upgrade_budget</t>
        </is>
      </c>
      <c r="P143" s="67">
        <f>INDEX('个人技术总览'!$O$5:$O$46,MATCH($A143,'个人技术总览'!$A$5:$A$46,0))</f>
        <v/>
      </c>
      <c r="Q143" s="64">
        <f>INDEX('个人技术总览'!$P$5:$P$46,MATCH($A143,'个人技术总览'!$A$5:$A$46,0))</f>
        <v/>
      </c>
      <c r="R143" s="67">
        <f>INDEX('个人技术总览'!$Q$5:$Q$46,MATCH($A143,'个人技术总览'!$A$5:$A$46,0))</f>
        <v/>
      </c>
      <c r="S143" s="64">
        <f>INDEX('个人技术总览'!$R$5:$R$46,MATCH($A143,'个人技术总览'!$A$5:$A$46,0))</f>
        <v/>
      </c>
      <c r="T143" s="68">
        <f>POWER($Q143,$E143)</f>
        <v/>
      </c>
      <c r="U143" s="68">
        <f>SUMIFS($T$5:$T$589,$A$5:$A$589,$A143)</f>
        <v/>
      </c>
      <c r="V143" s="67">
        <f>ROUNDDOWN(MAX(0,$P143-$H143*$G143)*$T143/MAX(1,$U143),0)</f>
        <v/>
      </c>
      <c r="W143" s="68">
        <f>POWER($S143,$E143)</f>
        <v/>
      </c>
      <c r="X143" s="68">
        <f>SUMIFS($W$5:$W$589,$A$5:$A$589,$A143)</f>
        <v/>
      </c>
      <c r="Y143" s="67">
        <f>ROUNDDOWN(MAX(0,$R143-$J143*$G143)*$W143/MAX(1,$X143),0)</f>
        <v/>
      </c>
    </row>
    <row r="144">
      <c r="A144" s="17" t="inlineStr">
        <is>
          <t>scout_art</t>
        </is>
      </c>
      <c r="B144" s="18" t="inlineStr">
        <is>
          <t>侦查术</t>
        </is>
      </c>
      <c r="C144" s="18" t="inlineStr">
        <is>
          <t>基本技术</t>
        </is>
      </c>
      <c r="D144" s="18" t="inlineStr">
        <is>
          <t>—</t>
        </is>
      </c>
      <c r="E144" s="65" t="n">
        <v>139</v>
      </c>
      <c r="F144" s="66">
        <f>E144+1</f>
        <v/>
      </c>
      <c r="G144" s="65">
        <f>INDEX('个人技术总览'!$E$5:$E$46,MATCH($A144,'个人技术总览'!$A$5:$A$46,0))</f>
        <v/>
      </c>
      <c r="H144" s="59">
        <f>INDEX('个人技术总览'!$F$5:$F$46,MATCH($A144,'个人技术总览'!$A$5:$A$46,0))</f>
        <v/>
      </c>
      <c r="I144" s="60">
        <f>INDEX('个人技术总览'!$G$5:$G$46,MATCH($A144,'个人技术总览'!$A$5:$A$46,0))</f>
        <v/>
      </c>
      <c r="J144" s="59">
        <f>INDEX('个人技术总览'!$H$5:$H$46,MATCH($A144,'个人技术总览'!$A$5:$A$46,0))</f>
        <v/>
      </c>
      <c r="K144" s="60">
        <f>INDEX('个人技术总览'!$I$5:$I$46,MATCH($A144,'个人技术总览'!$A$5:$A$46,0))</f>
        <v/>
      </c>
      <c r="L144" s="67">
        <f>H144+V144+IF(E144=G144-1,MAX(0,P144-H144*G144-SUMIFS($V$5:$V$589,$A$5:$A$589,$A144)),0)</f>
        <v/>
      </c>
      <c r="M144" s="61">
        <f>MAX(1,ROUNDDOWN($L144/'参数与公式'!$B$5,0))</f>
        <v/>
      </c>
      <c r="N144" s="67">
        <f>J144+Y144+IF(E144=G144-1,MAX(0,R144-J144*G144-SUMIFS($Y$5:$Y$589,$A$5:$A$589,$A144)),0)</f>
        <v/>
      </c>
      <c r="O144" s="18" t="inlineStr">
        <is>
          <t>data/technology_templates.yaml; upgrade_*_budget / *_curve; code: technology_rules.allocate_upgrade_budget</t>
        </is>
      </c>
      <c r="P144" s="67">
        <f>INDEX('个人技术总览'!$O$5:$O$46,MATCH($A144,'个人技术总览'!$A$5:$A$46,0))</f>
        <v/>
      </c>
      <c r="Q144" s="64">
        <f>INDEX('个人技术总览'!$P$5:$P$46,MATCH($A144,'个人技术总览'!$A$5:$A$46,0))</f>
        <v/>
      </c>
      <c r="R144" s="67">
        <f>INDEX('个人技术总览'!$Q$5:$Q$46,MATCH($A144,'个人技术总览'!$A$5:$A$46,0))</f>
        <v/>
      </c>
      <c r="S144" s="64">
        <f>INDEX('个人技术总览'!$R$5:$R$46,MATCH($A144,'个人技术总览'!$A$5:$A$46,0))</f>
        <v/>
      </c>
      <c r="T144" s="68">
        <f>POWER($Q144,$E144)</f>
        <v/>
      </c>
      <c r="U144" s="68">
        <f>SUMIFS($T$5:$T$589,$A$5:$A$589,$A144)</f>
        <v/>
      </c>
      <c r="V144" s="67">
        <f>ROUNDDOWN(MAX(0,$P144-$H144*$G144)*$T144/MAX(1,$U144),0)</f>
        <v/>
      </c>
      <c r="W144" s="68">
        <f>POWER($S144,$E144)</f>
        <v/>
      </c>
      <c r="X144" s="68">
        <f>SUMIFS($W$5:$W$589,$A$5:$A$589,$A144)</f>
        <v/>
      </c>
      <c r="Y144" s="67">
        <f>ROUNDDOWN(MAX(0,$R144-$J144*$G144)*$W144/MAX(1,$X144),0)</f>
        <v/>
      </c>
    </row>
    <row r="145">
      <c r="A145" s="17" t="inlineStr">
        <is>
          <t>scout_art</t>
        </is>
      </c>
      <c r="B145" s="18" t="inlineStr">
        <is>
          <t>侦查术</t>
        </is>
      </c>
      <c r="C145" s="18" t="inlineStr">
        <is>
          <t>基本技术</t>
        </is>
      </c>
      <c r="D145" s="18" t="inlineStr">
        <is>
          <t>—</t>
        </is>
      </c>
      <c r="E145" s="65" t="n">
        <v>140</v>
      </c>
      <c r="F145" s="66">
        <f>E145+1</f>
        <v/>
      </c>
      <c r="G145" s="65">
        <f>INDEX('个人技术总览'!$E$5:$E$46,MATCH($A145,'个人技术总览'!$A$5:$A$46,0))</f>
        <v/>
      </c>
      <c r="H145" s="59">
        <f>INDEX('个人技术总览'!$F$5:$F$46,MATCH($A145,'个人技术总览'!$A$5:$A$46,0))</f>
        <v/>
      </c>
      <c r="I145" s="60">
        <f>INDEX('个人技术总览'!$G$5:$G$46,MATCH($A145,'个人技术总览'!$A$5:$A$46,0))</f>
        <v/>
      </c>
      <c r="J145" s="59">
        <f>INDEX('个人技术总览'!$H$5:$H$46,MATCH($A145,'个人技术总览'!$A$5:$A$46,0))</f>
        <v/>
      </c>
      <c r="K145" s="60">
        <f>INDEX('个人技术总览'!$I$5:$I$46,MATCH($A145,'个人技术总览'!$A$5:$A$46,0))</f>
        <v/>
      </c>
      <c r="L145" s="67">
        <f>H145+V145+IF(E145=G145-1,MAX(0,P145-H145*G145-SUMIFS($V$5:$V$589,$A$5:$A$589,$A145)),0)</f>
        <v/>
      </c>
      <c r="M145" s="61">
        <f>MAX(1,ROUNDDOWN($L145/'参数与公式'!$B$5,0))</f>
        <v/>
      </c>
      <c r="N145" s="67">
        <f>J145+Y145+IF(E145=G145-1,MAX(0,R145-J145*G145-SUMIFS($Y$5:$Y$589,$A$5:$A$589,$A145)),0)</f>
        <v/>
      </c>
      <c r="O145" s="18" t="inlineStr">
        <is>
          <t>data/technology_templates.yaml; upgrade_*_budget / *_curve; code: technology_rules.allocate_upgrade_budget</t>
        </is>
      </c>
      <c r="P145" s="67">
        <f>INDEX('个人技术总览'!$O$5:$O$46,MATCH($A145,'个人技术总览'!$A$5:$A$46,0))</f>
        <v/>
      </c>
      <c r="Q145" s="64">
        <f>INDEX('个人技术总览'!$P$5:$P$46,MATCH($A145,'个人技术总览'!$A$5:$A$46,0))</f>
        <v/>
      </c>
      <c r="R145" s="67">
        <f>INDEX('个人技术总览'!$Q$5:$Q$46,MATCH($A145,'个人技术总览'!$A$5:$A$46,0))</f>
        <v/>
      </c>
      <c r="S145" s="64">
        <f>INDEX('个人技术总览'!$R$5:$R$46,MATCH($A145,'个人技术总览'!$A$5:$A$46,0))</f>
        <v/>
      </c>
      <c r="T145" s="68">
        <f>POWER($Q145,$E145)</f>
        <v/>
      </c>
      <c r="U145" s="68">
        <f>SUMIFS($T$5:$T$589,$A$5:$A$589,$A145)</f>
        <v/>
      </c>
      <c r="V145" s="67">
        <f>ROUNDDOWN(MAX(0,$P145-$H145*$G145)*$T145/MAX(1,$U145),0)</f>
        <v/>
      </c>
      <c r="W145" s="68">
        <f>POWER($S145,$E145)</f>
        <v/>
      </c>
      <c r="X145" s="68">
        <f>SUMIFS($W$5:$W$589,$A$5:$A$589,$A145)</f>
        <v/>
      </c>
      <c r="Y145" s="67">
        <f>ROUNDDOWN(MAX(0,$R145-$J145*$G145)*$W145/MAX(1,$X145),0)</f>
        <v/>
      </c>
    </row>
    <row r="146">
      <c r="A146" s="17" t="inlineStr">
        <is>
          <t>scout_art</t>
        </is>
      </c>
      <c r="B146" s="18" t="inlineStr">
        <is>
          <t>侦查术</t>
        </is>
      </c>
      <c r="C146" s="18" t="inlineStr">
        <is>
          <t>基本技术</t>
        </is>
      </c>
      <c r="D146" s="18" t="inlineStr">
        <is>
          <t>—</t>
        </is>
      </c>
      <c r="E146" s="65" t="n">
        <v>141</v>
      </c>
      <c r="F146" s="66">
        <f>E146+1</f>
        <v/>
      </c>
      <c r="G146" s="65">
        <f>INDEX('个人技术总览'!$E$5:$E$46,MATCH($A146,'个人技术总览'!$A$5:$A$46,0))</f>
        <v/>
      </c>
      <c r="H146" s="59">
        <f>INDEX('个人技术总览'!$F$5:$F$46,MATCH($A146,'个人技术总览'!$A$5:$A$46,0))</f>
        <v/>
      </c>
      <c r="I146" s="60">
        <f>INDEX('个人技术总览'!$G$5:$G$46,MATCH($A146,'个人技术总览'!$A$5:$A$46,0))</f>
        <v/>
      </c>
      <c r="J146" s="59">
        <f>INDEX('个人技术总览'!$H$5:$H$46,MATCH($A146,'个人技术总览'!$A$5:$A$46,0))</f>
        <v/>
      </c>
      <c r="K146" s="60">
        <f>INDEX('个人技术总览'!$I$5:$I$46,MATCH($A146,'个人技术总览'!$A$5:$A$46,0))</f>
        <v/>
      </c>
      <c r="L146" s="67">
        <f>H146+V146+IF(E146=G146-1,MAX(0,P146-H146*G146-SUMIFS($V$5:$V$589,$A$5:$A$589,$A146)),0)</f>
        <v/>
      </c>
      <c r="M146" s="61">
        <f>MAX(1,ROUNDDOWN($L146/'参数与公式'!$B$5,0))</f>
        <v/>
      </c>
      <c r="N146" s="67">
        <f>J146+Y146+IF(E146=G146-1,MAX(0,R146-J146*G146-SUMIFS($Y$5:$Y$589,$A$5:$A$589,$A146)),0)</f>
        <v/>
      </c>
      <c r="O146" s="18" t="inlineStr">
        <is>
          <t>data/technology_templates.yaml; upgrade_*_budget / *_curve; code: technology_rules.allocate_upgrade_budget</t>
        </is>
      </c>
      <c r="P146" s="67">
        <f>INDEX('个人技术总览'!$O$5:$O$46,MATCH($A146,'个人技术总览'!$A$5:$A$46,0))</f>
        <v/>
      </c>
      <c r="Q146" s="64">
        <f>INDEX('个人技术总览'!$P$5:$P$46,MATCH($A146,'个人技术总览'!$A$5:$A$46,0))</f>
        <v/>
      </c>
      <c r="R146" s="67">
        <f>INDEX('个人技术总览'!$Q$5:$Q$46,MATCH($A146,'个人技术总览'!$A$5:$A$46,0))</f>
        <v/>
      </c>
      <c r="S146" s="64">
        <f>INDEX('个人技术总览'!$R$5:$R$46,MATCH($A146,'个人技术总览'!$A$5:$A$46,0))</f>
        <v/>
      </c>
      <c r="T146" s="68">
        <f>POWER($Q146,$E146)</f>
        <v/>
      </c>
      <c r="U146" s="68">
        <f>SUMIFS($T$5:$T$589,$A$5:$A$589,$A146)</f>
        <v/>
      </c>
      <c r="V146" s="67">
        <f>ROUNDDOWN(MAX(0,$P146-$H146*$G146)*$T146/MAX(1,$U146),0)</f>
        <v/>
      </c>
      <c r="W146" s="68">
        <f>POWER($S146,$E146)</f>
        <v/>
      </c>
      <c r="X146" s="68">
        <f>SUMIFS($W$5:$W$589,$A$5:$A$589,$A146)</f>
        <v/>
      </c>
      <c r="Y146" s="67">
        <f>ROUNDDOWN(MAX(0,$R146-$J146*$G146)*$W146/MAX(1,$X146),0)</f>
        <v/>
      </c>
    </row>
    <row r="147">
      <c r="A147" s="17" t="inlineStr">
        <is>
          <t>scout_art</t>
        </is>
      </c>
      <c r="B147" s="18" t="inlineStr">
        <is>
          <t>侦查术</t>
        </is>
      </c>
      <c r="C147" s="18" t="inlineStr">
        <is>
          <t>基本技术</t>
        </is>
      </c>
      <c r="D147" s="18" t="inlineStr">
        <is>
          <t>—</t>
        </is>
      </c>
      <c r="E147" s="65" t="n">
        <v>142</v>
      </c>
      <c r="F147" s="66">
        <f>E147+1</f>
        <v/>
      </c>
      <c r="G147" s="65">
        <f>INDEX('个人技术总览'!$E$5:$E$46,MATCH($A147,'个人技术总览'!$A$5:$A$46,0))</f>
        <v/>
      </c>
      <c r="H147" s="59">
        <f>INDEX('个人技术总览'!$F$5:$F$46,MATCH($A147,'个人技术总览'!$A$5:$A$46,0))</f>
        <v/>
      </c>
      <c r="I147" s="60">
        <f>INDEX('个人技术总览'!$G$5:$G$46,MATCH($A147,'个人技术总览'!$A$5:$A$46,0))</f>
        <v/>
      </c>
      <c r="J147" s="59">
        <f>INDEX('个人技术总览'!$H$5:$H$46,MATCH($A147,'个人技术总览'!$A$5:$A$46,0))</f>
        <v/>
      </c>
      <c r="K147" s="60">
        <f>INDEX('个人技术总览'!$I$5:$I$46,MATCH($A147,'个人技术总览'!$A$5:$A$46,0))</f>
        <v/>
      </c>
      <c r="L147" s="67">
        <f>H147+V147+IF(E147=G147-1,MAX(0,P147-H147*G147-SUMIFS($V$5:$V$589,$A$5:$A$589,$A147)),0)</f>
        <v/>
      </c>
      <c r="M147" s="61">
        <f>MAX(1,ROUNDDOWN($L147/'参数与公式'!$B$5,0))</f>
        <v/>
      </c>
      <c r="N147" s="67">
        <f>J147+Y147+IF(E147=G147-1,MAX(0,R147-J147*G147-SUMIFS($Y$5:$Y$589,$A$5:$A$589,$A147)),0)</f>
        <v/>
      </c>
      <c r="O147" s="18" t="inlineStr">
        <is>
          <t>data/technology_templates.yaml; upgrade_*_budget / *_curve; code: technology_rules.allocate_upgrade_budget</t>
        </is>
      </c>
      <c r="P147" s="67">
        <f>INDEX('个人技术总览'!$O$5:$O$46,MATCH($A147,'个人技术总览'!$A$5:$A$46,0))</f>
        <v/>
      </c>
      <c r="Q147" s="64">
        <f>INDEX('个人技术总览'!$P$5:$P$46,MATCH($A147,'个人技术总览'!$A$5:$A$46,0))</f>
        <v/>
      </c>
      <c r="R147" s="67">
        <f>INDEX('个人技术总览'!$Q$5:$Q$46,MATCH($A147,'个人技术总览'!$A$5:$A$46,0))</f>
        <v/>
      </c>
      <c r="S147" s="64">
        <f>INDEX('个人技术总览'!$R$5:$R$46,MATCH($A147,'个人技术总览'!$A$5:$A$46,0))</f>
        <v/>
      </c>
      <c r="T147" s="68">
        <f>POWER($Q147,$E147)</f>
        <v/>
      </c>
      <c r="U147" s="68">
        <f>SUMIFS($T$5:$T$589,$A$5:$A$589,$A147)</f>
        <v/>
      </c>
      <c r="V147" s="67">
        <f>ROUNDDOWN(MAX(0,$P147-$H147*$G147)*$T147/MAX(1,$U147),0)</f>
        <v/>
      </c>
      <c r="W147" s="68">
        <f>POWER($S147,$E147)</f>
        <v/>
      </c>
      <c r="X147" s="68">
        <f>SUMIFS($W$5:$W$589,$A$5:$A$589,$A147)</f>
        <v/>
      </c>
      <c r="Y147" s="67">
        <f>ROUNDDOWN(MAX(0,$R147-$J147*$G147)*$W147/MAX(1,$X147),0)</f>
        <v/>
      </c>
    </row>
    <row r="148">
      <c r="A148" s="17" t="inlineStr">
        <is>
          <t>scout_art</t>
        </is>
      </c>
      <c r="B148" s="18" t="inlineStr">
        <is>
          <t>侦查术</t>
        </is>
      </c>
      <c r="C148" s="18" t="inlineStr">
        <is>
          <t>基本技术</t>
        </is>
      </c>
      <c r="D148" s="18" t="inlineStr">
        <is>
          <t>—</t>
        </is>
      </c>
      <c r="E148" s="65" t="n">
        <v>143</v>
      </c>
      <c r="F148" s="66">
        <f>E148+1</f>
        <v/>
      </c>
      <c r="G148" s="65">
        <f>INDEX('个人技术总览'!$E$5:$E$46,MATCH($A148,'个人技术总览'!$A$5:$A$46,0))</f>
        <v/>
      </c>
      <c r="H148" s="59">
        <f>INDEX('个人技术总览'!$F$5:$F$46,MATCH($A148,'个人技术总览'!$A$5:$A$46,0))</f>
        <v/>
      </c>
      <c r="I148" s="60">
        <f>INDEX('个人技术总览'!$G$5:$G$46,MATCH($A148,'个人技术总览'!$A$5:$A$46,0))</f>
        <v/>
      </c>
      <c r="J148" s="59">
        <f>INDEX('个人技术总览'!$H$5:$H$46,MATCH($A148,'个人技术总览'!$A$5:$A$46,0))</f>
        <v/>
      </c>
      <c r="K148" s="60">
        <f>INDEX('个人技术总览'!$I$5:$I$46,MATCH($A148,'个人技术总览'!$A$5:$A$46,0))</f>
        <v/>
      </c>
      <c r="L148" s="67">
        <f>H148+V148+IF(E148=G148-1,MAX(0,P148-H148*G148-SUMIFS($V$5:$V$589,$A$5:$A$589,$A148)),0)</f>
        <v/>
      </c>
      <c r="M148" s="61">
        <f>MAX(1,ROUNDDOWN($L148/'参数与公式'!$B$5,0))</f>
        <v/>
      </c>
      <c r="N148" s="67">
        <f>J148+Y148+IF(E148=G148-1,MAX(0,R148-J148*G148-SUMIFS($Y$5:$Y$589,$A$5:$A$589,$A148)),0)</f>
        <v/>
      </c>
      <c r="O148" s="18" t="inlineStr">
        <is>
          <t>data/technology_templates.yaml; upgrade_*_budget / *_curve; code: technology_rules.allocate_upgrade_budget</t>
        </is>
      </c>
      <c r="P148" s="67">
        <f>INDEX('个人技术总览'!$O$5:$O$46,MATCH($A148,'个人技术总览'!$A$5:$A$46,0))</f>
        <v/>
      </c>
      <c r="Q148" s="64">
        <f>INDEX('个人技术总览'!$P$5:$P$46,MATCH($A148,'个人技术总览'!$A$5:$A$46,0))</f>
        <v/>
      </c>
      <c r="R148" s="67">
        <f>INDEX('个人技术总览'!$Q$5:$Q$46,MATCH($A148,'个人技术总览'!$A$5:$A$46,0))</f>
        <v/>
      </c>
      <c r="S148" s="64">
        <f>INDEX('个人技术总览'!$R$5:$R$46,MATCH($A148,'个人技术总览'!$A$5:$A$46,0))</f>
        <v/>
      </c>
      <c r="T148" s="68">
        <f>POWER($Q148,$E148)</f>
        <v/>
      </c>
      <c r="U148" s="68">
        <f>SUMIFS($T$5:$T$589,$A$5:$A$589,$A148)</f>
        <v/>
      </c>
      <c r="V148" s="67">
        <f>ROUNDDOWN(MAX(0,$P148-$H148*$G148)*$T148/MAX(1,$U148),0)</f>
        <v/>
      </c>
      <c r="W148" s="68">
        <f>POWER($S148,$E148)</f>
        <v/>
      </c>
      <c r="X148" s="68">
        <f>SUMIFS($W$5:$W$589,$A$5:$A$589,$A148)</f>
        <v/>
      </c>
      <c r="Y148" s="67">
        <f>ROUNDDOWN(MAX(0,$R148-$J148*$G148)*$W148/MAX(1,$X148),0)</f>
        <v/>
      </c>
    </row>
    <row r="149">
      <c r="A149" s="17" t="inlineStr">
        <is>
          <t>scout_art</t>
        </is>
      </c>
      <c r="B149" s="18" t="inlineStr">
        <is>
          <t>侦查术</t>
        </is>
      </c>
      <c r="C149" s="18" t="inlineStr">
        <is>
          <t>基本技术</t>
        </is>
      </c>
      <c r="D149" s="18" t="inlineStr">
        <is>
          <t>—</t>
        </is>
      </c>
      <c r="E149" s="65" t="n">
        <v>144</v>
      </c>
      <c r="F149" s="66">
        <f>E149+1</f>
        <v/>
      </c>
      <c r="G149" s="65">
        <f>INDEX('个人技术总览'!$E$5:$E$46,MATCH($A149,'个人技术总览'!$A$5:$A$46,0))</f>
        <v/>
      </c>
      <c r="H149" s="59">
        <f>INDEX('个人技术总览'!$F$5:$F$46,MATCH($A149,'个人技术总览'!$A$5:$A$46,0))</f>
        <v/>
      </c>
      <c r="I149" s="60">
        <f>INDEX('个人技术总览'!$G$5:$G$46,MATCH($A149,'个人技术总览'!$A$5:$A$46,0))</f>
        <v/>
      </c>
      <c r="J149" s="59">
        <f>INDEX('个人技术总览'!$H$5:$H$46,MATCH($A149,'个人技术总览'!$A$5:$A$46,0))</f>
        <v/>
      </c>
      <c r="K149" s="60">
        <f>INDEX('个人技术总览'!$I$5:$I$46,MATCH($A149,'个人技术总览'!$A$5:$A$46,0))</f>
        <v/>
      </c>
      <c r="L149" s="67">
        <f>H149+V149+IF(E149=G149-1,MAX(0,P149-H149*G149-SUMIFS($V$5:$V$589,$A$5:$A$589,$A149)),0)</f>
        <v/>
      </c>
      <c r="M149" s="61">
        <f>MAX(1,ROUNDDOWN($L149/'参数与公式'!$B$5,0))</f>
        <v/>
      </c>
      <c r="N149" s="67">
        <f>J149+Y149+IF(E149=G149-1,MAX(0,R149-J149*G149-SUMIFS($Y$5:$Y$589,$A$5:$A$589,$A149)),0)</f>
        <v/>
      </c>
      <c r="O149" s="18" t="inlineStr">
        <is>
          <t>data/technology_templates.yaml; upgrade_*_budget / *_curve; code: technology_rules.allocate_upgrade_budget</t>
        </is>
      </c>
      <c r="P149" s="67">
        <f>INDEX('个人技术总览'!$O$5:$O$46,MATCH($A149,'个人技术总览'!$A$5:$A$46,0))</f>
        <v/>
      </c>
      <c r="Q149" s="64">
        <f>INDEX('个人技术总览'!$P$5:$P$46,MATCH($A149,'个人技术总览'!$A$5:$A$46,0))</f>
        <v/>
      </c>
      <c r="R149" s="67">
        <f>INDEX('个人技术总览'!$Q$5:$Q$46,MATCH($A149,'个人技术总览'!$A$5:$A$46,0))</f>
        <v/>
      </c>
      <c r="S149" s="64">
        <f>INDEX('个人技术总览'!$R$5:$R$46,MATCH($A149,'个人技术总览'!$A$5:$A$46,0))</f>
        <v/>
      </c>
      <c r="T149" s="68">
        <f>POWER($Q149,$E149)</f>
        <v/>
      </c>
      <c r="U149" s="68">
        <f>SUMIFS($T$5:$T$589,$A$5:$A$589,$A149)</f>
        <v/>
      </c>
      <c r="V149" s="67">
        <f>ROUNDDOWN(MAX(0,$P149-$H149*$G149)*$T149/MAX(1,$U149),0)</f>
        <v/>
      </c>
      <c r="W149" s="68">
        <f>POWER($S149,$E149)</f>
        <v/>
      </c>
      <c r="X149" s="68">
        <f>SUMIFS($W$5:$W$589,$A$5:$A$589,$A149)</f>
        <v/>
      </c>
      <c r="Y149" s="67">
        <f>ROUNDDOWN(MAX(0,$R149-$J149*$G149)*$W149/MAX(1,$X149),0)</f>
        <v/>
      </c>
    </row>
    <row r="150">
      <c r="A150" s="17" t="inlineStr">
        <is>
          <t>scout_art</t>
        </is>
      </c>
      <c r="B150" s="18" t="inlineStr">
        <is>
          <t>侦查术</t>
        </is>
      </c>
      <c r="C150" s="18" t="inlineStr">
        <is>
          <t>基本技术</t>
        </is>
      </c>
      <c r="D150" s="18" t="inlineStr">
        <is>
          <t>—</t>
        </is>
      </c>
      <c r="E150" s="65" t="n">
        <v>145</v>
      </c>
      <c r="F150" s="66">
        <f>E150+1</f>
        <v/>
      </c>
      <c r="G150" s="65">
        <f>INDEX('个人技术总览'!$E$5:$E$46,MATCH($A150,'个人技术总览'!$A$5:$A$46,0))</f>
        <v/>
      </c>
      <c r="H150" s="59">
        <f>INDEX('个人技术总览'!$F$5:$F$46,MATCH($A150,'个人技术总览'!$A$5:$A$46,0))</f>
        <v/>
      </c>
      <c r="I150" s="60">
        <f>INDEX('个人技术总览'!$G$5:$G$46,MATCH($A150,'个人技术总览'!$A$5:$A$46,0))</f>
        <v/>
      </c>
      <c r="J150" s="59">
        <f>INDEX('个人技术总览'!$H$5:$H$46,MATCH($A150,'个人技术总览'!$A$5:$A$46,0))</f>
        <v/>
      </c>
      <c r="K150" s="60">
        <f>INDEX('个人技术总览'!$I$5:$I$46,MATCH($A150,'个人技术总览'!$A$5:$A$46,0))</f>
        <v/>
      </c>
      <c r="L150" s="67">
        <f>H150+V150+IF(E150=G150-1,MAX(0,P150-H150*G150-SUMIFS($V$5:$V$589,$A$5:$A$589,$A150)),0)</f>
        <v/>
      </c>
      <c r="M150" s="61">
        <f>MAX(1,ROUNDDOWN($L150/'参数与公式'!$B$5,0))</f>
        <v/>
      </c>
      <c r="N150" s="67">
        <f>J150+Y150+IF(E150=G150-1,MAX(0,R150-J150*G150-SUMIFS($Y$5:$Y$589,$A$5:$A$589,$A150)),0)</f>
        <v/>
      </c>
      <c r="O150" s="18" t="inlineStr">
        <is>
          <t>data/technology_templates.yaml; upgrade_*_budget / *_curve; code: technology_rules.allocate_upgrade_budget</t>
        </is>
      </c>
      <c r="P150" s="67">
        <f>INDEX('个人技术总览'!$O$5:$O$46,MATCH($A150,'个人技术总览'!$A$5:$A$46,0))</f>
        <v/>
      </c>
      <c r="Q150" s="64">
        <f>INDEX('个人技术总览'!$P$5:$P$46,MATCH($A150,'个人技术总览'!$A$5:$A$46,0))</f>
        <v/>
      </c>
      <c r="R150" s="67">
        <f>INDEX('个人技术总览'!$Q$5:$Q$46,MATCH($A150,'个人技术总览'!$A$5:$A$46,0))</f>
        <v/>
      </c>
      <c r="S150" s="64">
        <f>INDEX('个人技术总览'!$R$5:$R$46,MATCH($A150,'个人技术总览'!$A$5:$A$46,0))</f>
        <v/>
      </c>
      <c r="T150" s="68">
        <f>POWER($Q150,$E150)</f>
        <v/>
      </c>
      <c r="U150" s="68">
        <f>SUMIFS($T$5:$T$589,$A$5:$A$589,$A150)</f>
        <v/>
      </c>
      <c r="V150" s="67">
        <f>ROUNDDOWN(MAX(0,$P150-$H150*$G150)*$T150/MAX(1,$U150),0)</f>
        <v/>
      </c>
      <c r="W150" s="68">
        <f>POWER($S150,$E150)</f>
        <v/>
      </c>
      <c r="X150" s="68">
        <f>SUMIFS($W$5:$W$589,$A$5:$A$589,$A150)</f>
        <v/>
      </c>
      <c r="Y150" s="67">
        <f>ROUNDDOWN(MAX(0,$R150-$J150*$G150)*$W150/MAX(1,$X150),0)</f>
        <v/>
      </c>
    </row>
    <row r="151">
      <c r="A151" s="17" t="inlineStr">
        <is>
          <t>scout_art</t>
        </is>
      </c>
      <c r="B151" s="18" t="inlineStr">
        <is>
          <t>侦查术</t>
        </is>
      </c>
      <c r="C151" s="18" t="inlineStr">
        <is>
          <t>基本技术</t>
        </is>
      </c>
      <c r="D151" s="18" t="inlineStr">
        <is>
          <t>—</t>
        </is>
      </c>
      <c r="E151" s="65" t="n">
        <v>146</v>
      </c>
      <c r="F151" s="66">
        <f>E151+1</f>
        <v/>
      </c>
      <c r="G151" s="65">
        <f>INDEX('个人技术总览'!$E$5:$E$46,MATCH($A151,'个人技术总览'!$A$5:$A$46,0))</f>
        <v/>
      </c>
      <c r="H151" s="59">
        <f>INDEX('个人技术总览'!$F$5:$F$46,MATCH($A151,'个人技术总览'!$A$5:$A$46,0))</f>
        <v/>
      </c>
      <c r="I151" s="60">
        <f>INDEX('个人技术总览'!$G$5:$G$46,MATCH($A151,'个人技术总览'!$A$5:$A$46,0))</f>
        <v/>
      </c>
      <c r="J151" s="59">
        <f>INDEX('个人技术总览'!$H$5:$H$46,MATCH($A151,'个人技术总览'!$A$5:$A$46,0))</f>
        <v/>
      </c>
      <c r="K151" s="60">
        <f>INDEX('个人技术总览'!$I$5:$I$46,MATCH($A151,'个人技术总览'!$A$5:$A$46,0))</f>
        <v/>
      </c>
      <c r="L151" s="67">
        <f>H151+V151+IF(E151=G151-1,MAX(0,P151-H151*G151-SUMIFS($V$5:$V$589,$A$5:$A$589,$A151)),0)</f>
        <v/>
      </c>
      <c r="M151" s="61">
        <f>MAX(1,ROUNDDOWN($L151/'参数与公式'!$B$5,0))</f>
        <v/>
      </c>
      <c r="N151" s="67">
        <f>J151+Y151+IF(E151=G151-1,MAX(0,R151-J151*G151-SUMIFS($Y$5:$Y$589,$A$5:$A$589,$A151)),0)</f>
        <v/>
      </c>
      <c r="O151" s="18" t="inlineStr">
        <is>
          <t>data/technology_templates.yaml; upgrade_*_budget / *_curve; code: technology_rules.allocate_upgrade_budget</t>
        </is>
      </c>
      <c r="P151" s="67">
        <f>INDEX('个人技术总览'!$O$5:$O$46,MATCH($A151,'个人技术总览'!$A$5:$A$46,0))</f>
        <v/>
      </c>
      <c r="Q151" s="64">
        <f>INDEX('个人技术总览'!$P$5:$P$46,MATCH($A151,'个人技术总览'!$A$5:$A$46,0))</f>
        <v/>
      </c>
      <c r="R151" s="67">
        <f>INDEX('个人技术总览'!$Q$5:$Q$46,MATCH($A151,'个人技术总览'!$A$5:$A$46,0))</f>
        <v/>
      </c>
      <c r="S151" s="64">
        <f>INDEX('个人技术总览'!$R$5:$R$46,MATCH($A151,'个人技术总览'!$A$5:$A$46,0))</f>
        <v/>
      </c>
      <c r="T151" s="68">
        <f>POWER($Q151,$E151)</f>
        <v/>
      </c>
      <c r="U151" s="68">
        <f>SUMIFS($T$5:$T$589,$A$5:$A$589,$A151)</f>
        <v/>
      </c>
      <c r="V151" s="67">
        <f>ROUNDDOWN(MAX(0,$P151-$H151*$G151)*$T151/MAX(1,$U151),0)</f>
        <v/>
      </c>
      <c r="W151" s="68">
        <f>POWER($S151,$E151)</f>
        <v/>
      </c>
      <c r="X151" s="68">
        <f>SUMIFS($W$5:$W$589,$A$5:$A$589,$A151)</f>
        <v/>
      </c>
      <c r="Y151" s="67">
        <f>ROUNDDOWN(MAX(0,$R151-$J151*$G151)*$W151/MAX(1,$X151),0)</f>
        <v/>
      </c>
    </row>
    <row r="152">
      <c r="A152" s="17" t="inlineStr">
        <is>
          <t>scout_art</t>
        </is>
      </c>
      <c r="B152" s="18" t="inlineStr">
        <is>
          <t>侦查术</t>
        </is>
      </c>
      <c r="C152" s="18" t="inlineStr">
        <is>
          <t>基本技术</t>
        </is>
      </c>
      <c r="D152" s="18" t="inlineStr">
        <is>
          <t>—</t>
        </is>
      </c>
      <c r="E152" s="65" t="n">
        <v>147</v>
      </c>
      <c r="F152" s="66">
        <f>E152+1</f>
        <v/>
      </c>
      <c r="G152" s="65">
        <f>INDEX('个人技术总览'!$E$5:$E$46,MATCH($A152,'个人技术总览'!$A$5:$A$46,0))</f>
        <v/>
      </c>
      <c r="H152" s="59">
        <f>INDEX('个人技术总览'!$F$5:$F$46,MATCH($A152,'个人技术总览'!$A$5:$A$46,0))</f>
        <v/>
      </c>
      <c r="I152" s="60">
        <f>INDEX('个人技术总览'!$G$5:$G$46,MATCH($A152,'个人技术总览'!$A$5:$A$46,0))</f>
        <v/>
      </c>
      <c r="J152" s="59">
        <f>INDEX('个人技术总览'!$H$5:$H$46,MATCH($A152,'个人技术总览'!$A$5:$A$46,0))</f>
        <v/>
      </c>
      <c r="K152" s="60">
        <f>INDEX('个人技术总览'!$I$5:$I$46,MATCH($A152,'个人技术总览'!$A$5:$A$46,0))</f>
        <v/>
      </c>
      <c r="L152" s="67">
        <f>H152+V152+IF(E152=G152-1,MAX(0,P152-H152*G152-SUMIFS($V$5:$V$589,$A$5:$A$589,$A152)),0)</f>
        <v/>
      </c>
      <c r="M152" s="61">
        <f>MAX(1,ROUNDDOWN($L152/'参数与公式'!$B$5,0))</f>
        <v/>
      </c>
      <c r="N152" s="67">
        <f>J152+Y152+IF(E152=G152-1,MAX(0,R152-J152*G152-SUMIFS($Y$5:$Y$589,$A$5:$A$589,$A152)),0)</f>
        <v/>
      </c>
      <c r="O152" s="18" t="inlineStr">
        <is>
          <t>data/technology_templates.yaml; upgrade_*_budget / *_curve; code: technology_rules.allocate_upgrade_budget</t>
        </is>
      </c>
      <c r="P152" s="67">
        <f>INDEX('个人技术总览'!$O$5:$O$46,MATCH($A152,'个人技术总览'!$A$5:$A$46,0))</f>
        <v/>
      </c>
      <c r="Q152" s="64">
        <f>INDEX('个人技术总览'!$P$5:$P$46,MATCH($A152,'个人技术总览'!$A$5:$A$46,0))</f>
        <v/>
      </c>
      <c r="R152" s="67">
        <f>INDEX('个人技术总览'!$Q$5:$Q$46,MATCH($A152,'个人技术总览'!$A$5:$A$46,0))</f>
        <v/>
      </c>
      <c r="S152" s="64">
        <f>INDEX('个人技术总览'!$R$5:$R$46,MATCH($A152,'个人技术总览'!$A$5:$A$46,0))</f>
        <v/>
      </c>
      <c r="T152" s="68">
        <f>POWER($Q152,$E152)</f>
        <v/>
      </c>
      <c r="U152" s="68">
        <f>SUMIFS($T$5:$T$589,$A$5:$A$589,$A152)</f>
        <v/>
      </c>
      <c r="V152" s="67">
        <f>ROUNDDOWN(MAX(0,$P152-$H152*$G152)*$T152/MAX(1,$U152),0)</f>
        <v/>
      </c>
      <c r="W152" s="68">
        <f>POWER($S152,$E152)</f>
        <v/>
      </c>
      <c r="X152" s="68">
        <f>SUMIFS($W$5:$W$589,$A$5:$A$589,$A152)</f>
        <v/>
      </c>
      <c r="Y152" s="67">
        <f>ROUNDDOWN(MAX(0,$R152-$J152*$G152)*$W152/MAX(1,$X152),0)</f>
        <v/>
      </c>
    </row>
    <row r="153">
      <c r="A153" s="17" t="inlineStr">
        <is>
          <t>scout_art</t>
        </is>
      </c>
      <c r="B153" s="18" t="inlineStr">
        <is>
          <t>侦查术</t>
        </is>
      </c>
      <c r="C153" s="18" t="inlineStr">
        <is>
          <t>基本技术</t>
        </is>
      </c>
      <c r="D153" s="18" t="inlineStr">
        <is>
          <t>—</t>
        </is>
      </c>
      <c r="E153" s="65" t="n">
        <v>148</v>
      </c>
      <c r="F153" s="66">
        <f>E153+1</f>
        <v/>
      </c>
      <c r="G153" s="65">
        <f>INDEX('个人技术总览'!$E$5:$E$46,MATCH($A153,'个人技术总览'!$A$5:$A$46,0))</f>
        <v/>
      </c>
      <c r="H153" s="59">
        <f>INDEX('个人技术总览'!$F$5:$F$46,MATCH($A153,'个人技术总览'!$A$5:$A$46,0))</f>
        <v/>
      </c>
      <c r="I153" s="60">
        <f>INDEX('个人技术总览'!$G$5:$G$46,MATCH($A153,'个人技术总览'!$A$5:$A$46,0))</f>
        <v/>
      </c>
      <c r="J153" s="59">
        <f>INDEX('个人技术总览'!$H$5:$H$46,MATCH($A153,'个人技术总览'!$A$5:$A$46,0))</f>
        <v/>
      </c>
      <c r="K153" s="60">
        <f>INDEX('个人技术总览'!$I$5:$I$46,MATCH($A153,'个人技术总览'!$A$5:$A$46,0))</f>
        <v/>
      </c>
      <c r="L153" s="67">
        <f>H153+V153+IF(E153=G153-1,MAX(0,P153-H153*G153-SUMIFS($V$5:$V$589,$A$5:$A$589,$A153)),0)</f>
        <v/>
      </c>
      <c r="M153" s="61">
        <f>MAX(1,ROUNDDOWN($L153/'参数与公式'!$B$5,0))</f>
        <v/>
      </c>
      <c r="N153" s="67">
        <f>J153+Y153+IF(E153=G153-1,MAX(0,R153-J153*G153-SUMIFS($Y$5:$Y$589,$A$5:$A$589,$A153)),0)</f>
        <v/>
      </c>
      <c r="O153" s="18" t="inlineStr">
        <is>
          <t>data/technology_templates.yaml; upgrade_*_budget / *_curve; code: technology_rules.allocate_upgrade_budget</t>
        </is>
      </c>
      <c r="P153" s="67">
        <f>INDEX('个人技术总览'!$O$5:$O$46,MATCH($A153,'个人技术总览'!$A$5:$A$46,0))</f>
        <v/>
      </c>
      <c r="Q153" s="64">
        <f>INDEX('个人技术总览'!$P$5:$P$46,MATCH($A153,'个人技术总览'!$A$5:$A$46,0))</f>
        <v/>
      </c>
      <c r="R153" s="67">
        <f>INDEX('个人技术总览'!$Q$5:$Q$46,MATCH($A153,'个人技术总览'!$A$5:$A$46,0))</f>
        <v/>
      </c>
      <c r="S153" s="64">
        <f>INDEX('个人技术总览'!$R$5:$R$46,MATCH($A153,'个人技术总览'!$A$5:$A$46,0))</f>
        <v/>
      </c>
      <c r="T153" s="68">
        <f>POWER($Q153,$E153)</f>
        <v/>
      </c>
      <c r="U153" s="68">
        <f>SUMIFS($T$5:$T$589,$A$5:$A$589,$A153)</f>
        <v/>
      </c>
      <c r="V153" s="67">
        <f>ROUNDDOWN(MAX(0,$P153-$H153*$G153)*$T153/MAX(1,$U153),0)</f>
        <v/>
      </c>
      <c r="W153" s="68">
        <f>POWER($S153,$E153)</f>
        <v/>
      </c>
      <c r="X153" s="68">
        <f>SUMIFS($W$5:$W$589,$A$5:$A$589,$A153)</f>
        <v/>
      </c>
      <c r="Y153" s="67">
        <f>ROUNDDOWN(MAX(0,$R153-$J153*$G153)*$W153/MAX(1,$X153),0)</f>
        <v/>
      </c>
    </row>
    <row r="154">
      <c r="A154" s="17" t="inlineStr">
        <is>
          <t>scout_art</t>
        </is>
      </c>
      <c r="B154" s="18" t="inlineStr">
        <is>
          <t>侦查术</t>
        </is>
      </c>
      <c r="C154" s="18" t="inlineStr">
        <is>
          <t>基本技术</t>
        </is>
      </c>
      <c r="D154" s="18" t="inlineStr">
        <is>
          <t>—</t>
        </is>
      </c>
      <c r="E154" s="65" t="n">
        <v>149</v>
      </c>
      <c r="F154" s="66">
        <f>E154+1</f>
        <v/>
      </c>
      <c r="G154" s="65">
        <f>INDEX('个人技术总览'!$E$5:$E$46,MATCH($A154,'个人技术总览'!$A$5:$A$46,0))</f>
        <v/>
      </c>
      <c r="H154" s="59">
        <f>INDEX('个人技术总览'!$F$5:$F$46,MATCH($A154,'个人技术总览'!$A$5:$A$46,0))</f>
        <v/>
      </c>
      <c r="I154" s="60">
        <f>INDEX('个人技术总览'!$G$5:$G$46,MATCH($A154,'个人技术总览'!$A$5:$A$46,0))</f>
        <v/>
      </c>
      <c r="J154" s="59">
        <f>INDEX('个人技术总览'!$H$5:$H$46,MATCH($A154,'个人技术总览'!$A$5:$A$46,0))</f>
        <v/>
      </c>
      <c r="K154" s="60">
        <f>INDEX('个人技术总览'!$I$5:$I$46,MATCH($A154,'个人技术总览'!$A$5:$A$46,0))</f>
        <v/>
      </c>
      <c r="L154" s="67">
        <f>H154+V154+IF(E154=G154-1,MAX(0,P154-H154*G154-SUMIFS($V$5:$V$589,$A$5:$A$589,$A154)),0)</f>
        <v/>
      </c>
      <c r="M154" s="61">
        <f>MAX(1,ROUNDDOWN($L154/'参数与公式'!$B$5,0))</f>
        <v/>
      </c>
      <c r="N154" s="67">
        <f>J154+Y154+IF(E154=G154-1,MAX(0,R154-J154*G154-SUMIFS($Y$5:$Y$589,$A$5:$A$589,$A154)),0)</f>
        <v/>
      </c>
      <c r="O154" s="18" t="inlineStr">
        <is>
          <t>data/technology_templates.yaml; upgrade_*_budget / *_curve; code: technology_rules.allocate_upgrade_budget</t>
        </is>
      </c>
      <c r="P154" s="67">
        <f>INDEX('个人技术总览'!$O$5:$O$46,MATCH($A154,'个人技术总览'!$A$5:$A$46,0))</f>
        <v/>
      </c>
      <c r="Q154" s="64">
        <f>INDEX('个人技术总览'!$P$5:$P$46,MATCH($A154,'个人技术总览'!$A$5:$A$46,0))</f>
        <v/>
      </c>
      <c r="R154" s="67">
        <f>INDEX('个人技术总览'!$Q$5:$Q$46,MATCH($A154,'个人技术总览'!$A$5:$A$46,0))</f>
        <v/>
      </c>
      <c r="S154" s="64">
        <f>INDEX('个人技术总览'!$R$5:$R$46,MATCH($A154,'个人技术总览'!$A$5:$A$46,0))</f>
        <v/>
      </c>
      <c r="T154" s="68">
        <f>POWER($Q154,$E154)</f>
        <v/>
      </c>
      <c r="U154" s="68">
        <f>SUMIFS($T$5:$T$589,$A$5:$A$589,$A154)</f>
        <v/>
      </c>
      <c r="V154" s="67">
        <f>ROUNDDOWN(MAX(0,$P154-$H154*$G154)*$T154/MAX(1,$U154),0)</f>
        <v/>
      </c>
      <c r="W154" s="68">
        <f>POWER($S154,$E154)</f>
        <v/>
      </c>
      <c r="X154" s="68">
        <f>SUMIFS($W$5:$W$589,$A$5:$A$589,$A154)</f>
        <v/>
      </c>
      <c r="Y154" s="67">
        <f>ROUNDDOWN(MAX(0,$R154-$J154*$G154)*$W154/MAX(1,$X154),0)</f>
        <v/>
      </c>
    </row>
    <row r="155">
      <c r="A155" s="17" t="inlineStr">
        <is>
          <t>scout_art</t>
        </is>
      </c>
      <c r="B155" s="18" t="inlineStr">
        <is>
          <t>侦查术</t>
        </is>
      </c>
      <c r="C155" s="18" t="inlineStr">
        <is>
          <t>基本技术</t>
        </is>
      </c>
      <c r="D155" s="18" t="inlineStr">
        <is>
          <t>—</t>
        </is>
      </c>
      <c r="E155" s="65" t="n">
        <v>150</v>
      </c>
      <c r="F155" s="66">
        <f>E155+1</f>
        <v/>
      </c>
      <c r="G155" s="65">
        <f>INDEX('个人技术总览'!$E$5:$E$46,MATCH($A155,'个人技术总览'!$A$5:$A$46,0))</f>
        <v/>
      </c>
      <c r="H155" s="59">
        <f>INDEX('个人技术总览'!$F$5:$F$46,MATCH($A155,'个人技术总览'!$A$5:$A$46,0))</f>
        <v/>
      </c>
      <c r="I155" s="60">
        <f>INDEX('个人技术总览'!$G$5:$G$46,MATCH($A155,'个人技术总览'!$A$5:$A$46,0))</f>
        <v/>
      </c>
      <c r="J155" s="59">
        <f>INDEX('个人技术总览'!$H$5:$H$46,MATCH($A155,'个人技术总览'!$A$5:$A$46,0))</f>
        <v/>
      </c>
      <c r="K155" s="60">
        <f>INDEX('个人技术总览'!$I$5:$I$46,MATCH($A155,'个人技术总览'!$A$5:$A$46,0))</f>
        <v/>
      </c>
      <c r="L155" s="67">
        <f>H155+V155+IF(E155=G155-1,MAX(0,P155-H155*G155-SUMIFS($V$5:$V$589,$A$5:$A$589,$A155)),0)</f>
        <v/>
      </c>
      <c r="M155" s="61">
        <f>MAX(1,ROUNDDOWN($L155/'参数与公式'!$B$5,0))</f>
        <v/>
      </c>
      <c r="N155" s="67">
        <f>J155+Y155+IF(E155=G155-1,MAX(0,R155-J155*G155-SUMIFS($Y$5:$Y$589,$A$5:$A$589,$A155)),0)</f>
        <v/>
      </c>
      <c r="O155" s="18" t="inlineStr">
        <is>
          <t>data/technology_templates.yaml; upgrade_*_budget / *_curve; code: technology_rules.allocate_upgrade_budget</t>
        </is>
      </c>
      <c r="P155" s="67">
        <f>INDEX('个人技术总览'!$O$5:$O$46,MATCH($A155,'个人技术总览'!$A$5:$A$46,0))</f>
        <v/>
      </c>
      <c r="Q155" s="64">
        <f>INDEX('个人技术总览'!$P$5:$P$46,MATCH($A155,'个人技术总览'!$A$5:$A$46,0))</f>
        <v/>
      </c>
      <c r="R155" s="67">
        <f>INDEX('个人技术总览'!$Q$5:$Q$46,MATCH($A155,'个人技术总览'!$A$5:$A$46,0))</f>
        <v/>
      </c>
      <c r="S155" s="64">
        <f>INDEX('个人技术总览'!$R$5:$R$46,MATCH($A155,'个人技术总览'!$A$5:$A$46,0))</f>
        <v/>
      </c>
      <c r="T155" s="68">
        <f>POWER($Q155,$E155)</f>
        <v/>
      </c>
      <c r="U155" s="68">
        <f>SUMIFS($T$5:$T$589,$A$5:$A$589,$A155)</f>
        <v/>
      </c>
      <c r="V155" s="67">
        <f>ROUNDDOWN(MAX(0,$P155-$H155*$G155)*$T155/MAX(1,$U155),0)</f>
        <v/>
      </c>
      <c r="W155" s="68">
        <f>POWER($S155,$E155)</f>
        <v/>
      </c>
      <c r="X155" s="68">
        <f>SUMIFS($W$5:$W$589,$A$5:$A$589,$A155)</f>
        <v/>
      </c>
      <c r="Y155" s="67">
        <f>ROUNDDOWN(MAX(0,$R155-$J155*$G155)*$W155/MAX(1,$X155),0)</f>
        <v/>
      </c>
    </row>
    <row r="156">
      <c r="A156" s="17" t="inlineStr">
        <is>
          <t>scout_art</t>
        </is>
      </c>
      <c r="B156" s="18" t="inlineStr">
        <is>
          <t>侦查术</t>
        </is>
      </c>
      <c r="C156" s="18" t="inlineStr">
        <is>
          <t>基本技术</t>
        </is>
      </c>
      <c r="D156" s="18" t="inlineStr">
        <is>
          <t>—</t>
        </is>
      </c>
      <c r="E156" s="65" t="n">
        <v>151</v>
      </c>
      <c r="F156" s="66">
        <f>E156+1</f>
        <v/>
      </c>
      <c r="G156" s="65">
        <f>INDEX('个人技术总览'!$E$5:$E$46,MATCH($A156,'个人技术总览'!$A$5:$A$46,0))</f>
        <v/>
      </c>
      <c r="H156" s="59">
        <f>INDEX('个人技术总览'!$F$5:$F$46,MATCH($A156,'个人技术总览'!$A$5:$A$46,0))</f>
        <v/>
      </c>
      <c r="I156" s="60">
        <f>INDEX('个人技术总览'!$G$5:$G$46,MATCH($A156,'个人技术总览'!$A$5:$A$46,0))</f>
        <v/>
      </c>
      <c r="J156" s="59">
        <f>INDEX('个人技术总览'!$H$5:$H$46,MATCH($A156,'个人技术总览'!$A$5:$A$46,0))</f>
        <v/>
      </c>
      <c r="K156" s="60">
        <f>INDEX('个人技术总览'!$I$5:$I$46,MATCH($A156,'个人技术总览'!$A$5:$A$46,0))</f>
        <v/>
      </c>
      <c r="L156" s="67">
        <f>H156+V156+IF(E156=G156-1,MAX(0,P156-H156*G156-SUMIFS($V$5:$V$589,$A$5:$A$589,$A156)),0)</f>
        <v/>
      </c>
      <c r="M156" s="61">
        <f>MAX(1,ROUNDDOWN($L156/'参数与公式'!$B$5,0))</f>
        <v/>
      </c>
      <c r="N156" s="67">
        <f>J156+Y156+IF(E156=G156-1,MAX(0,R156-J156*G156-SUMIFS($Y$5:$Y$589,$A$5:$A$589,$A156)),0)</f>
        <v/>
      </c>
      <c r="O156" s="18" t="inlineStr">
        <is>
          <t>data/technology_templates.yaml; upgrade_*_budget / *_curve; code: technology_rules.allocate_upgrade_budget</t>
        </is>
      </c>
      <c r="P156" s="67">
        <f>INDEX('个人技术总览'!$O$5:$O$46,MATCH($A156,'个人技术总览'!$A$5:$A$46,0))</f>
        <v/>
      </c>
      <c r="Q156" s="64">
        <f>INDEX('个人技术总览'!$P$5:$P$46,MATCH($A156,'个人技术总览'!$A$5:$A$46,0))</f>
        <v/>
      </c>
      <c r="R156" s="67">
        <f>INDEX('个人技术总览'!$Q$5:$Q$46,MATCH($A156,'个人技术总览'!$A$5:$A$46,0))</f>
        <v/>
      </c>
      <c r="S156" s="64">
        <f>INDEX('个人技术总览'!$R$5:$R$46,MATCH($A156,'个人技术总览'!$A$5:$A$46,0))</f>
        <v/>
      </c>
      <c r="T156" s="68">
        <f>POWER($Q156,$E156)</f>
        <v/>
      </c>
      <c r="U156" s="68">
        <f>SUMIFS($T$5:$T$589,$A$5:$A$589,$A156)</f>
        <v/>
      </c>
      <c r="V156" s="67">
        <f>ROUNDDOWN(MAX(0,$P156-$H156*$G156)*$T156/MAX(1,$U156),0)</f>
        <v/>
      </c>
      <c r="W156" s="68">
        <f>POWER($S156,$E156)</f>
        <v/>
      </c>
      <c r="X156" s="68">
        <f>SUMIFS($W$5:$W$589,$A$5:$A$589,$A156)</f>
        <v/>
      </c>
      <c r="Y156" s="67">
        <f>ROUNDDOWN(MAX(0,$R156-$J156*$G156)*$W156/MAX(1,$X156),0)</f>
        <v/>
      </c>
    </row>
    <row r="157">
      <c r="A157" s="17" t="inlineStr">
        <is>
          <t>scout_art</t>
        </is>
      </c>
      <c r="B157" s="18" t="inlineStr">
        <is>
          <t>侦查术</t>
        </is>
      </c>
      <c r="C157" s="18" t="inlineStr">
        <is>
          <t>基本技术</t>
        </is>
      </c>
      <c r="D157" s="18" t="inlineStr">
        <is>
          <t>—</t>
        </is>
      </c>
      <c r="E157" s="65" t="n">
        <v>152</v>
      </c>
      <c r="F157" s="66">
        <f>E157+1</f>
        <v/>
      </c>
      <c r="G157" s="65">
        <f>INDEX('个人技术总览'!$E$5:$E$46,MATCH($A157,'个人技术总览'!$A$5:$A$46,0))</f>
        <v/>
      </c>
      <c r="H157" s="59">
        <f>INDEX('个人技术总览'!$F$5:$F$46,MATCH($A157,'个人技术总览'!$A$5:$A$46,0))</f>
        <v/>
      </c>
      <c r="I157" s="60">
        <f>INDEX('个人技术总览'!$G$5:$G$46,MATCH($A157,'个人技术总览'!$A$5:$A$46,0))</f>
        <v/>
      </c>
      <c r="J157" s="59">
        <f>INDEX('个人技术总览'!$H$5:$H$46,MATCH($A157,'个人技术总览'!$A$5:$A$46,0))</f>
        <v/>
      </c>
      <c r="K157" s="60">
        <f>INDEX('个人技术总览'!$I$5:$I$46,MATCH($A157,'个人技术总览'!$A$5:$A$46,0))</f>
        <v/>
      </c>
      <c r="L157" s="67">
        <f>H157+V157+IF(E157=G157-1,MAX(0,P157-H157*G157-SUMIFS($V$5:$V$589,$A$5:$A$589,$A157)),0)</f>
        <v/>
      </c>
      <c r="M157" s="61">
        <f>MAX(1,ROUNDDOWN($L157/'参数与公式'!$B$5,0))</f>
        <v/>
      </c>
      <c r="N157" s="67">
        <f>J157+Y157+IF(E157=G157-1,MAX(0,R157-J157*G157-SUMIFS($Y$5:$Y$589,$A$5:$A$589,$A157)),0)</f>
        <v/>
      </c>
      <c r="O157" s="18" t="inlineStr">
        <is>
          <t>data/technology_templates.yaml; upgrade_*_budget / *_curve; code: technology_rules.allocate_upgrade_budget</t>
        </is>
      </c>
      <c r="P157" s="67">
        <f>INDEX('个人技术总览'!$O$5:$O$46,MATCH($A157,'个人技术总览'!$A$5:$A$46,0))</f>
        <v/>
      </c>
      <c r="Q157" s="64">
        <f>INDEX('个人技术总览'!$P$5:$P$46,MATCH($A157,'个人技术总览'!$A$5:$A$46,0))</f>
        <v/>
      </c>
      <c r="R157" s="67">
        <f>INDEX('个人技术总览'!$Q$5:$Q$46,MATCH($A157,'个人技术总览'!$A$5:$A$46,0))</f>
        <v/>
      </c>
      <c r="S157" s="64">
        <f>INDEX('个人技术总览'!$R$5:$R$46,MATCH($A157,'个人技术总览'!$A$5:$A$46,0))</f>
        <v/>
      </c>
      <c r="T157" s="68">
        <f>POWER($Q157,$E157)</f>
        <v/>
      </c>
      <c r="U157" s="68">
        <f>SUMIFS($T$5:$T$589,$A$5:$A$589,$A157)</f>
        <v/>
      </c>
      <c r="V157" s="67">
        <f>ROUNDDOWN(MAX(0,$P157-$H157*$G157)*$T157/MAX(1,$U157),0)</f>
        <v/>
      </c>
      <c r="W157" s="68">
        <f>POWER($S157,$E157)</f>
        <v/>
      </c>
      <c r="X157" s="68">
        <f>SUMIFS($W$5:$W$589,$A$5:$A$589,$A157)</f>
        <v/>
      </c>
      <c r="Y157" s="67">
        <f>ROUNDDOWN(MAX(0,$R157-$J157*$G157)*$W157/MAX(1,$X157),0)</f>
        <v/>
      </c>
    </row>
    <row r="158">
      <c r="A158" s="17" t="inlineStr">
        <is>
          <t>scout_art</t>
        </is>
      </c>
      <c r="B158" s="18" t="inlineStr">
        <is>
          <t>侦查术</t>
        </is>
      </c>
      <c r="C158" s="18" t="inlineStr">
        <is>
          <t>基本技术</t>
        </is>
      </c>
      <c r="D158" s="18" t="inlineStr">
        <is>
          <t>—</t>
        </is>
      </c>
      <c r="E158" s="65" t="n">
        <v>153</v>
      </c>
      <c r="F158" s="66">
        <f>E158+1</f>
        <v/>
      </c>
      <c r="G158" s="65">
        <f>INDEX('个人技术总览'!$E$5:$E$46,MATCH($A158,'个人技术总览'!$A$5:$A$46,0))</f>
        <v/>
      </c>
      <c r="H158" s="59">
        <f>INDEX('个人技术总览'!$F$5:$F$46,MATCH($A158,'个人技术总览'!$A$5:$A$46,0))</f>
        <v/>
      </c>
      <c r="I158" s="60">
        <f>INDEX('个人技术总览'!$G$5:$G$46,MATCH($A158,'个人技术总览'!$A$5:$A$46,0))</f>
        <v/>
      </c>
      <c r="J158" s="59">
        <f>INDEX('个人技术总览'!$H$5:$H$46,MATCH($A158,'个人技术总览'!$A$5:$A$46,0))</f>
        <v/>
      </c>
      <c r="K158" s="60">
        <f>INDEX('个人技术总览'!$I$5:$I$46,MATCH($A158,'个人技术总览'!$A$5:$A$46,0))</f>
        <v/>
      </c>
      <c r="L158" s="67">
        <f>H158+V158+IF(E158=G158-1,MAX(0,P158-H158*G158-SUMIFS($V$5:$V$589,$A$5:$A$589,$A158)),0)</f>
        <v/>
      </c>
      <c r="M158" s="61">
        <f>MAX(1,ROUNDDOWN($L158/'参数与公式'!$B$5,0))</f>
        <v/>
      </c>
      <c r="N158" s="67">
        <f>J158+Y158+IF(E158=G158-1,MAX(0,R158-J158*G158-SUMIFS($Y$5:$Y$589,$A$5:$A$589,$A158)),0)</f>
        <v/>
      </c>
      <c r="O158" s="18" t="inlineStr">
        <is>
          <t>data/technology_templates.yaml; upgrade_*_budget / *_curve; code: technology_rules.allocate_upgrade_budget</t>
        </is>
      </c>
      <c r="P158" s="67">
        <f>INDEX('个人技术总览'!$O$5:$O$46,MATCH($A158,'个人技术总览'!$A$5:$A$46,0))</f>
        <v/>
      </c>
      <c r="Q158" s="64">
        <f>INDEX('个人技术总览'!$P$5:$P$46,MATCH($A158,'个人技术总览'!$A$5:$A$46,0))</f>
        <v/>
      </c>
      <c r="R158" s="67">
        <f>INDEX('个人技术总览'!$Q$5:$Q$46,MATCH($A158,'个人技术总览'!$A$5:$A$46,0))</f>
        <v/>
      </c>
      <c r="S158" s="64">
        <f>INDEX('个人技术总览'!$R$5:$R$46,MATCH($A158,'个人技术总览'!$A$5:$A$46,0))</f>
        <v/>
      </c>
      <c r="T158" s="68">
        <f>POWER($Q158,$E158)</f>
        <v/>
      </c>
      <c r="U158" s="68">
        <f>SUMIFS($T$5:$T$589,$A$5:$A$589,$A158)</f>
        <v/>
      </c>
      <c r="V158" s="67">
        <f>ROUNDDOWN(MAX(0,$P158-$H158*$G158)*$T158/MAX(1,$U158),0)</f>
        <v/>
      </c>
      <c r="W158" s="68">
        <f>POWER($S158,$E158)</f>
        <v/>
      </c>
      <c r="X158" s="68">
        <f>SUMIFS($W$5:$W$589,$A$5:$A$589,$A158)</f>
        <v/>
      </c>
      <c r="Y158" s="67">
        <f>ROUNDDOWN(MAX(0,$R158-$J158*$G158)*$W158/MAX(1,$X158),0)</f>
        <v/>
      </c>
    </row>
    <row r="159">
      <c r="A159" s="17" t="inlineStr">
        <is>
          <t>scout_art</t>
        </is>
      </c>
      <c r="B159" s="18" t="inlineStr">
        <is>
          <t>侦查术</t>
        </is>
      </c>
      <c r="C159" s="18" t="inlineStr">
        <is>
          <t>基本技术</t>
        </is>
      </c>
      <c r="D159" s="18" t="inlineStr">
        <is>
          <t>—</t>
        </is>
      </c>
      <c r="E159" s="65" t="n">
        <v>154</v>
      </c>
      <c r="F159" s="66">
        <f>E159+1</f>
        <v/>
      </c>
      <c r="G159" s="65">
        <f>INDEX('个人技术总览'!$E$5:$E$46,MATCH($A159,'个人技术总览'!$A$5:$A$46,0))</f>
        <v/>
      </c>
      <c r="H159" s="59">
        <f>INDEX('个人技术总览'!$F$5:$F$46,MATCH($A159,'个人技术总览'!$A$5:$A$46,0))</f>
        <v/>
      </c>
      <c r="I159" s="60">
        <f>INDEX('个人技术总览'!$G$5:$G$46,MATCH($A159,'个人技术总览'!$A$5:$A$46,0))</f>
        <v/>
      </c>
      <c r="J159" s="59">
        <f>INDEX('个人技术总览'!$H$5:$H$46,MATCH($A159,'个人技术总览'!$A$5:$A$46,0))</f>
        <v/>
      </c>
      <c r="K159" s="60">
        <f>INDEX('个人技术总览'!$I$5:$I$46,MATCH($A159,'个人技术总览'!$A$5:$A$46,0))</f>
        <v/>
      </c>
      <c r="L159" s="67">
        <f>H159+V159+IF(E159=G159-1,MAX(0,P159-H159*G159-SUMIFS($V$5:$V$589,$A$5:$A$589,$A159)),0)</f>
        <v/>
      </c>
      <c r="M159" s="61">
        <f>MAX(1,ROUNDDOWN($L159/'参数与公式'!$B$5,0))</f>
        <v/>
      </c>
      <c r="N159" s="67">
        <f>J159+Y159+IF(E159=G159-1,MAX(0,R159-J159*G159-SUMIFS($Y$5:$Y$589,$A$5:$A$589,$A159)),0)</f>
        <v/>
      </c>
      <c r="O159" s="18" t="inlineStr">
        <is>
          <t>data/technology_templates.yaml; upgrade_*_budget / *_curve; code: technology_rules.allocate_upgrade_budget</t>
        </is>
      </c>
      <c r="P159" s="67">
        <f>INDEX('个人技术总览'!$O$5:$O$46,MATCH($A159,'个人技术总览'!$A$5:$A$46,0))</f>
        <v/>
      </c>
      <c r="Q159" s="64">
        <f>INDEX('个人技术总览'!$P$5:$P$46,MATCH($A159,'个人技术总览'!$A$5:$A$46,0))</f>
        <v/>
      </c>
      <c r="R159" s="67">
        <f>INDEX('个人技术总览'!$Q$5:$Q$46,MATCH($A159,'个人技术总览'!$A$5:$A$46,0))</f>
        <v/>
      </c>
      <c r="S159" s="64">
        <f>INDEX('个人技术总览'!$R$5:$R$46,MATCH($A159,'个人技术总览'!$A$5:$A$46,0))</f>
        <v/>
      </c>
      <c r="T159" s="68">
        <f>POWER($Q159,$E159)</f>
        <v/>
      </c>
      <c r="U159" s="68">
        <f>SUMIFS($T$5:$T$589,$A$5:$A$589,$A159)</f>
        <v/>
      </c>
      <c r="V159" s="67">
        <f>ROUNDDOWN(MAX(0,$P159-$H159*$G159)*$T159/MAX(1,$U159),0)</f>
        <v/>
      </c>
      <c r="W159" s="68">
        <f>POWER($S159,$E159)</f>
        <v/>
      </c>
      <c r="X159" s="68">
        <f>SUMIFS($W$5:$W$589,$A$5:$A$589,$A159)</f>
        <v/>
      </c>
      <c r="Y159" s="67">
        <f>ROUNDDOWN(MAX(0,$R159-$J159*$G159)*$W159/MAX(1,$X159),0)</f>
        <v/>
      </c>
    </row>
    <row r="160">
      <c r="A160" s="17" t="inlineStr">
        <is>
          <t>scout_art</t>
        </is>
      </c>
      <c r="B160" s="18" t="inlineStr">
        <is>
          <t>侦查术</t>
        </is>
      </c>
      <c r="C160" s="18" t="inlineStr">
        <is>
          <t>基本技术</t>
        </is>
      </c>
      <c r="D160" s="18" t="inlineStr">
        <is>
          <t>—</t>
        </is>
      </c>
      <c r="E160" s="65" t="n">
        <v>155</v>
      </c>
      <c r="F160" s="66">
        <f>E160+1</f>
        <v/>
      </c>
      <c r="G160" s="65">
        <f>INDEX('个人技术总览'!$E$5:$E$46,MATCH($A160,'个人技术总览'!$A$5:$A$46,0))</f>
        <v/>
      </c>
      <c r="H160" s="59">
        <f>INDEX('个人技术总览'!$F$5:$F$46,MATCH($A160,'个人技术总览'!$A$5:$A$46,0))</f>
        <v/>
      </c>
      <c r="I160" s="60">
        <f>INDEX('个人技术总览'!$G$5:$G$46,MATCH($A160,'个人技术总览'!$A$5:$A$46,0))</f>
        <v/>
      </c>
      <c r="J160" s="59">
        <f>INDEX('个人技术总览'!$H$5:$H$46,MATCH($A160,'个人技术总览'!$A$5:$A$46,0))</f>
        <v/>
      </c>
      <c r="K160" s="60">
        <f>INDEX('个人技术总览'!$I$5:$I$46,MATCH($A160,'个人技术总览'!$A$5:$A$46,0))</f>
        <v/>
      </c>
      <c r="L160" s="67">
        <f>H160+V160+IF(E160=G160-1,MAX(0,P160-H160*G160-SUMIFS($V$5:$V$589,$A$5:$A$589,$A160)),0)</f>
        <v/>
      </c>
      <c r="M160" s="61">
        <f>MAX(1,ROUNDDOWN($L160/'参数与公式'!$B$5,0))</f>
        <v/>
      </c>
      <c r="N160" s="67">
        <f>J160+Y160+IF(E160=G160-1,MAX(0,R160-J160*G160-SUMIFS($Y$5:$Y$589,$A$5:$A$589,$A160)),0)</f>
        <v/>
      </c>
      <c r="O160" s="18" t="inlineStr">
        <is>
          <t>data/technology_templates.yaml; upgrade_*_budget / *_curve; code: technology_rules.allocate_upgrade_budget</t>
        </is>
      </c>
      <c r="P160" s="67">
        <f>INDEX('个人技术总览'!$O$5:$O$46,MATCH($A160,'个人技术总览'!$A$5:$A$46,0))</f>
        <v/>
      </c>
      <c r="Q160" s="64">
        <f>INDEX('个人技术总览'!$P$5:$P$46,MATCH($A160,'个人技术总览'!$A$5:$A$46,0))</f>
        <v/>
      </c>
      <c r="R160" s="67">
        <f>INDEX('个人技术总览'!$Q$5:$Q$46,MATCH($A160,'个人技术总览'!$A$5:$A$46,0))</f>
        <v/>
      </c>
      <c r="S160" s="64">
        <f>INDEX('个人技术总览'!$R$5:$R$46,MATCH($A160,'个人技术总览'!$A$5:$A$46,0))</f>
        <v/>
      </c>
      <c r="T160" s="68">
        <f>POWER($Q160,$E160)</f>
        <v/>
      </c>
      <c r="U160" s="68">
        <f>SUMIFS($T$5:$T$589,$A$5:$A$589,$A160)</f>
        <v/>
      </c>
      <c r="V160" s="67">
        <f>ROUNDDOWN(MAX(0,$P160-$H160*$G160)*$T160/MAX(1,$U160),0)</f>
        <v/>
      </c>
      <c r="W160" s="68">
        <f>POWER($S160,$E160)</f>
        <v/>
      </c>
      <c r="X160" s="68">
        <f>SUMIFS($W$5:$W$589,$A$5:$A$589,$A160)</f>
        <v/>
      </c>
      <c r="Y160" s="67">
        <f>ROUNDDOWN(MAX(0,$R160-$J160*$G160)*$W160/MAX(1,$X160),0)</f>
        <v/>
      </c>
    </row>
    <row r="161">
      <c r="A161" s="17" t="inlineStr">
        <is>
          <t>scout_art</t>
        </is>
      </c>
      <c r="B161" s="18" t="inlineStr">
        <is>
          <t>侦查术</t>
        </is>
      </c>
      <c r="C161" s="18" t="inlineStr">
        <is>
          <t>基本技术</t>
        </is>
      </c>
      <c r="D161" s="18" t="inlineStr">
        <is>
          <t>—</t>
        </is>
      </c>
      <c r="E161" s="65" t="n">
        <v>156</v>
      </c>
      <c r="F161" s="66">
        <f>E161+1</f>
        <v/>
      </c>
      <c r="G161" s="65">
        <f>INDEX('个人技术总览'!$E$5:$E$46,MATCH($A161,'个人技术总览'!$A$5:$A$46,0))</f>
        <v/>
      </c>
      <c r="H161" s="59">
        <f>INDEX('个人技术总览'!$F$5:$F$46,MATCH($A161,'个人技术总览'!$A$5:$A$46,0))</f>
        <v/>
      </c>
      <c r="I161" s="60">
        <f>INDEX('个人技术总览'!$G$5:$G$46,MATCH($A161,'个人技术总览'!$A$5:$A$46,0))</f>
        <v/>
      </c>
      <c r="J161" s="59">
        <f>INDEX('个人技术总览'!$H$5:$H$46,MATCH($A161,'个人技术总览'!$A$5:$A$46,0))</f>
        <v/>
      </c>
      <c r="K161" s="60">
        <f>INDEX('个人技术总览'!$I$5:$I$46,MATCH($A161,'个人技术总览'!$A$5:$A$46,0))</f>
        <v/>
      </c>
      <c r="L161" s="67">
        <f>H161+V161+IF(E161=G161-1,MAX(0,P161-H161*G161-SUMIFS($V$5:$V$589,$A$5:$A$589,$A161)),0)</f>
        <v/>
      </c>
      <c r="M161" s="61">
        <f>MAX(1,ROUNDDOWN($L161/'参数与公式'!$B$5,0))</f>
        <v/>
      </c>
      <c r="N161" s="67">
        <f>J161+Y161+IF(E161=G161-1,MAX(0,R161-J161*G161-SUMIFS($Y$5:$Y$589,$A$5:$A$589,$A161)),0)</f>
        <v/>
      </c>
      <c r="O161" s="18" t="inlineStr">
        <is>
          <t>data/technology_templates.yaml; upgrade_*_budget / *_curve; code: technology_rules.allocate_upgrade_budget</t>
        </is>
      </c>
      <c r="P161" s="67">
        <f>INDEX('个人技术总览'!$O$5:$O$46,MATCH($A161,'个人技术总览'!$A$5:$A$46,0))</f>
        <v/>
      </c>
      <c r="Q161" s="64">
        <f>INDEX('个人技术总览'!$P$5:$P$46,MATCH($A161,'个人技术总览'!$A$5:$A$46,0))</f>
        <v/>
      </c>
      <c r="R161" s="67">
        <f>INDEX('个人技术总览'!$Q$5:$Q$46,MATCH($A161,'个人技术总览'!$A$5:$A$46,0))</f>
        <v/>
      </c>
      <c r="S161" s="64">
        <f>INDEX('个人技术总览'!$R$5:$R$46,MATCH($A161,'个人技术总览'!$A$5:$A$46,0))</f>
        <v/>
      </c>
      <c r="T161" s="68">
        <f>POWER($Q161,$E161)</f>
        <v/>
      </c>
      <c r="U161" s="68">
        <f>SUMIFS($T$5:$T$589,$A$5:$A$589,$A161)</f>
        <v/>
      </c>
      <c r="V161" s="67">
        <f>ROUNDDOWN(MAX(0,$P161-$H161*$G161)*$T161/MAX(1,$U161),0)</f>
        <v/>
      </c>
      <c r="W161" s="68">
        <f>POWER($S161,$E161)</f>
        <v/>
      </c>
      <c r="X161" s="68">
        <f>SUMIFS($W$5:$W$589,$A$5:$A$589,$A161)</f>
        <v/>
      </c>
      <c r="Y161" s="67">
        <f>ROUNDDOWN(MAX(0,$R161-$J161*$G161)*$W161/MAX(1,$X161),0)</f>
        <v/>
      </c>
    </row>
    <row r="162">
      <c r="A162" s="17" t="inlineStr">
        <is>
          <t>scout_art</t>
        </is>
      </c>
      <c r="B162" s="18" t="inlineStr">
        <is>
          <t>侦查术</t>
        </is>
      </c>
      <c r="C162" s="18" t="inlineStr">
        <is>
          <t>基本技术</t>
        </is>
      </c>
      <c r="D162" s="18" t="inlineStr">
        <is>
          <t>—</t>
        </is>
      </c>
      <c r="E162" s="65" t="n">
        <v>157</v>
      </c>
      <c r="F162" s="66">
        <f>E162+1</f>
        <v/>
      </c>
      <c r="G162" s="65">
        <f>INDEX('个人技术总览'!$E$5:$E$46,MATCH($A162,'个人技术总览'!$A$5:$A$46,0))</f>
        <v/>
      </c>
      <c r="H162" s="59">
        <f>INDEX('个人技术总览'!$F$5:$F$46,MATCH($A162,'个人技术总览'!$A$5:$A$46,0))</f>
        <v/>
      </c>
      <c r="I162" s="60">
        <f>INDEX('个人技术总览'!$G$5:$G$46,MATCH($A162,'个人技术总览'!$A$5:$A$46,0))</f>
        <v/>
      </c>
      <c r="J162" s="59">
        <f>INDEX('个人技术总览'!$H$5:$H$46,MATCH($A162,'个人技术总览'!$A$5:$A$46,0))</f>
        <v/>
      </c>
      <c r="K162" s="60">
        <f>INDEX('个人技术总览'!$I$5:$I$46,MATCH($A162,'个人技术总览'!$A$5:$A$46,0))</f>
        <v/>
      </c>
      <c r="L162" s="67">
        <f>H162+V162+IF(E162=G162-1,MAX(0,P162-H162*G162-SUMIFS($V$5:$V$589,$A$5:$A$589,$A162)),0)</f>
        <v/>
      </c>
      <c r="M162" s="61">
        <f>MAX(1,ROUNDDOWN($L162/'参数与公式'!$B$5,0))</f>
        <v/>
      </c>
      <c r="N162" s="67">
        <f>J162+Y162+IF(E162=G162-1,MAX(0,R162-J162*G162-SUMIFS($Y$5:$Y$589,$A$5:$A$589,$A162)),0)</f>
        <v/>
      </c>
      <c r="O162" s="18" t="inlineStr">
        <is>
          <t>data/technology_templates.yaml; upgrade_*_budget / *_curve; code: technology_rules.allocate_upgrade_budget</t>
        </is>
      </c>
      <c r="P162" s="67">
        <f>INDEX('个人技术总览'!$O$5:$O$46,MATCH($A162,'个人技术总览'!$A$5:$A$46,0))</f>
        <v/>
      </c>
      <c r="Q162" s="64">
        <f>INDEX('个人技术总览'!$P$5:$P$46,MATCH($A162,'个人技术总览'!$A$5:$A$46,0))</f>
        <v/>
      </c>
      <c r="R162" s="67">
        <f>INDEX('个人技术总览'!$Q$5:$Q$46,MATCH($A162,'个人技术总览'!$A$5:$A$46,0))</f>
        <v/>
      </c>
      <c r="S162" s="64">
        <f>INDEX('个人技术总览'!$R$5:$R$46,MATCH($A162,'个人技术总览'!$A$5:$A$46,0))</f>
        <v/>
      </c>
      <c r="T162" s="68">
        <f>POWER($Q162,$E162)</f>
        <v/>
      </c>
      <c r="U162" s="68">
        <f>SUMIFS($T$5:$T$589,$A$5:$A$589,$A162)</f>
        <v/>
      </c>
      <c r="V162" s="67">
        <f>ROUNDDOWN(MAX(0,$P162-$H162*$G162)*$T162/MAX(1,$U162),0)</f>
        <v/>
      </c>
      <c r="W162" s="68">
        <f>POWER($S162,$E162)</f>
        <v/>
      </c>
      <c r="X162" s="68">
        <f>SUMIFS($W$5:$W$589,$A$5:$A$589,$A162)</f>
        <v/>
      </c>
      <c r="Y162" s="67">
        <f>ROUNDDOWN(MAX(0,$R162-$J162*$G162)*$W162/MAX(1,$X162),0)</f>
        <v/>
      </c>
    </row>
    <row r="163">
      <c r="A163" s="17" t="inlineStr">
        <is>
          <t>scout_art</t>
        </is>
      </c>
      <c r="B163" s="18" t="inlineStr">
        <is>
          <t>侦查术</t>
        </is>
      </c>
      <c r="C163" s="18" t="inlineStr">
        <is>
          <t>基本技术</t>
        </is>
      </c>
      <c r="D163" s="18" t="inlineStr">
        <is>
          <t>—</t>
        </is>
      </c>
      <c r="E163" s="65" t="n">
        <v>158</v>
      </c>
      <c r="F163" s="66">
        <f>E163+1</f>
        <v/>
      </c>
      <c r="G163" s="65">
        <f>INDEX('个人技术总览'!$E$5:$E$46,MATCH($A163,'个人技术总览'!$A$5:$A$46,0))</f>
        <v/>
      </c>
      <c r="H163" s="59">
        <f>INDEX('个人技术总览'!$F$5:$F$46,MATCH($A163,'个人技术总览'!$A$5:$A$46,0))</f>
        <v/>
      </c>
      <c r="I163" s="60">
        <f>INDEX('个人技术总览'!$G$5:$G$46,MATCH($A163,'个人技术总览'!$A$5:$A$46,0))</f>
        <v/>
      </c>
      <c r="J163" s="59">
        <f>INDEX('个人技术总览'!$H$5:$H$46,MATCH($A163,'个人技术总览'!$A$5:$A$46,0))</f>
        <v/>
      </c>
      <c r="K163" s="60">
        <f>INDEX('个人技术总览'!$I$5:$I$46,MATCH($A163,'个人技术总览'!$A$5:$A$46,0))</f>
        <v/>
      </c>
      <c r="L163" s="67">
        <f>H163+V163+IF(E163=G163-1,MAX(0,P163-H163*G163-SUMIFS($V$5:$V$589,$A$5:$A$589,$A163)),0)</f>
        <v/>
      </c>
      <c r="M163" s="61">
        <f>MAX(1,ROUNDDOWN($L163/'参数与公式'!$B$5,0))</f>
        <v/>
      </c>
      <c r="N163" s="67">
        <f>J163+Y163+IF(E163=G163-1,MAX(0,R163-J163*G163-SUMIFS($Y$5:$Y$589,$A$5:$A$589,$A163)),0)</f>
        <v/>
      </c>
      <c r="O163" s="18" t="inlineStr">
        <is>
          <t>data/technology_templates.yaml; upgrade_*_budget / *_curve; code: technology_rules.allocate_upgrade_budget</t>
        </is>
      </c>
      <c r="P163" s="67">
        <f>INDEX('个人技术总览'!$O$5:$O$46,MATCH($A163,'个人技术总览'!$A$5:$A$46,0))</f>
        <v/>
      </c>
      <c r="Q163" s="64">
        <f>INDEX('个人技术总览'!$P$5:$P$46,MATCH($A163,'个人技术总览'!$A$5:$A$46,0))</f>
        <v/>
      </c>
      <c r="R163" s="67">
        <f>INDEX('个人技术总览'!$Q$5:$Q$46,MATCH($A163,'个人技术总览'!$A$5:$A$46,0))</f>
        <v/>
      </c>
      <c r="S163" s="64">
        <f>INDEX('个人技术总览'!$R$5:$R$46,MATCH($A163,'个人技术总览'!$A$5:$A$46,0))</f>
        <v/>
      </c>
      <c r="T163" s="68">
        <f>POWER($Q163,$E163)</f>
        <v/>
      </c>
      <c r="U163" s="68">
        <f>SUMIFS($T$5:$T$589,$A$5:$A$589,$A163)</f>
        <v/>
      </c>
      <c r="V163" s="67">
        <f>ROUNDDOWN(MAX(0,$P163-$H163*$G163)*$T163/MAX(1,$U163),0)</f>
        <v/>
      </c>
      <c r="W163" s="68">
        <f>POWER($S163,$E163)</f>
        <v/>
      </c>
      <c r="X163" s="68">
        <f>SUMIFS($W$5:$W$589,$A$5:$A$589,$A163)</f>
        <v/>
      </c>
      <c r="Y163" s="67">
        <f>ROUNDDOWN(MAX(0,$R163-$J163*$G163)*$W163/MAX(1,$X163),0)</f>
        <v/>
      </c>
    </row>
    <row r="164">
      <c r="A164" s="17" t="inlineStr">
        <is>
          <t>scout_art</t>
        </is>
      </c>
      <c r="B164" s="18" t="inlineStr">
        <is>
          <t>侦查术</t>
        </is>
      </c>
      <c r="C164" s="18" t="inlineStr">
        <is>
          <t>基本技术</t>
        </is>
      </c>
      <c r="D164" s="18" t="inlineStr">
        <is>
          <t>—</t>
        </is>
      </c>
      <c r="E164" s="65" t="n">
        <v>159</v>
      </c>
      <c r="F164" s="66">
        <f>E164+1</f>
        <v/>
      </c>
      <c r="G164" s="65">
        <f>INDEX('个人技术总览'!$E$5:$E$46,MATCH($A164,'个人技术总览'!$A$5:$A$46,0))</f>
        <v/>
      </c>
      <c r="H164" s="59">
        <f>INDEX('个人技术总览'!$F$5:$F$46,MATCH($A164,'个人技术总览'!$A$5:$A$46,0))</f>
        <v/>
      </c>
      <c r="I164" s="60">
        <f>INDEX('个人技术总览'!$G$5:$G$46,MATCH($A164,'个人技术总览'!$A$5:$A$46,0))</f>
        <v/>
      </c>
      <c r="J164" s="59">
        <f>INDEX('个人技术总览'!$H$5:$H$46,MATCH($A164,'个人技术总览'!$A$5:$A$46,0))</f>
        <v/>
      </c>
      <c r="K164" s="60">
        <f>INDEX('个人技术总览'!$I$5:$I$46,MATCH($A164,'个人技术总览'!$A$5:$A$46,0))</f>
        <v/>
      </c>
      <c r="L164" s="67">
        <f>H164+V164+IF(E164=G164-1,MAX(0,P164-H164*G164-SUMIFS($V$5:$V$589,$A$5:$A$589,$A164)),0)</f>
        <v/>
      </c>
      <c r="M164" s="61">
        <f>MAX(1,ROUNDDOWN($L164/'参数与公式'!$B$5,0))</f>
        <v/>
      </c>
      <c r="N164" s="67">
        <f>J164+Y164+IF(E164=G164-1,MAX(0,R164-J164*G164-SUMIFS($Y$5:$Y$589,$A$5:$A$589,$A164)),0)</f>
        <v/>
      </c>
      <c r="O164" s="18" t="inlineStr">
        <is>
          <t>data/technology_templates.yaml; upgrade_*_budget / *_curve; code: technology_rules.allocate_upgrade_budget</t>
        </is>
      </c>
      <c r="P164" s="67">
        <f>INDEX('个人技术总览'!$O$5:$O$46,MATCH($A164,'个人技术总览'!$A$5:$A$46,0))</f>
        <v/>
      </c>
      <c r="Q164" s="64">
        <f>INDEX('个人技术总览'!$P$5:$P$46,MATCH($A164,'个人技术总览'!$A$5:$A$46,0))</f>
        <v/>
      </c>
      <c r="R164" s="67">
        <f>INDEX('个人技术总览'!$Q$5:$Q$46,MATCH($A164,'个人技术总览'!$A$5:$A$46,0))</f>
        <v/>
      </c>
      <c r="S164" s="64">
        <f>INDEX('个人技术总览'!$R$5:$R$46,MATCH($A164,'个人技术总览'!$A$5:$A$46,0))</f>
        <v/>
      </c>
      <c r="T164" s="68">
        <f>POWER($Q164,$E164)</f>
        <v/>
      </c>
      <c r="U164" s="68">
        <f>SUMIFS($T$5:$T$589,$A$5:$A$589,$A164)</f>
        <v/>
      </c>
      <c r="V164" s="67">
        <f>ROUNDDOWN(MAX(0,$P164-$H164*$G164)*$T164/MAX(1,$U164),0)</f>
        <v/>
      </c>
      <c r="W164" s="68">
        <f>POWER($S164,$E164)</f>
        <v/>
      </c>
      <c r="X164" s="68">
        <f>SUMIFS($W$5:$W$589,$A$5:$A$589,$A164)</f>
        <v/>
      </c>
      <c r="Y164" s="67">
        <f>ROUNDDOWN(MAX(0,$R164-$J164*$G164)*$W164/MAX(1,$X164),0)</f>
        <v/>
      </c>
    </row>
    <row r="165">
      <c r="A165" s="17" t="inlineStr">
        <is>
          <t>scout_art</t>
        </is>
      </c>
      <c r="B165" s="18" t="inlineStr">
        <is>
          <t>侦查术</t>
        </is>
      </c>
      <c r="C165" s="18" t="inlineStr">
        <is>
          <t>基本技术</t>
        </is>
      </c>
      <c r="D165" s="18" t="inlineStr">
        <is>
          <t>—</t>
        </is>
      </c>
      <c r="E165" s="65" t="n">
        <v>160</v>
      </c>
      <c r="F165" s="66">
        <f>E165+1</f>
        <v/>
      </c>
      <c r="G165" s="65">
        <f>INDEX('个人技术总览'!$E$5:$E$46,MATCH($A165,'个人技术总览'!$A$5:$A$46,0))</f>
        <v/>
      </c>
      <c r="H165" s="59">
        <f>INDEX('个人技术总览'!$F$5:$F$46,MATCH($A165,'个人技术总览'!$A$5:$A$46,0))</f>
        <v/>
      </c>
      <c r="I165" s="60">
        <f>INDEX('个人技术总览'!$G$5:$G$46,MATCH($A165,'个人技术总览'!$A$5:$A$46,0))</f>
        <v/>
      </c>
      <c r="J165" s="59">
        <f>INDEX('个人技术总览'!$H$5:$H$46,MATCH($A165,'个人技术总览'!$A$5:$A$46,0))</f>
        <v/>
      </c>
      <c r="K165" s="60">
        <f>INDEX('个人技术总览'!$I$5:$I$46,MATCH($A165,'个人技术总览'!$A$5:$A$46,0))</f>
        <v/>
      </c>
      <c r="L165" s="67">
        <f>H165+V165+IF(E165=G165-1,MAX(0,P165-H165*G165-SUMIFS($V$5:$V$589,$A$5:$A$589,$A165)),0)</f>
        <v/>
      </c>
      <c r="M165" s="61">
        <f>MAX(1,ROUNDDOWN($L165/'参数与公式'!$B$5,0))</f>
        <v/>
      </c>
      <c r="N165" s="67">
        <f>J165+Y165+IF(E165=G165-1,MAX(0,R165-J165*G165-SUMIFS($Y$5:$Y$589,$A$5:$A$589,$A165)),0)</f>
        <v/>
      </c>
      <c r="O165" s="18" t="inlineStr">
        <is>
          <t>data/technology_templates.yaml; upgrade_*_budget / *_curve; code: technology_rules.allocate_upgrade_budget</t>
        </is>
      </c>
      <c r="P165" s="67">
        <f>INDEX('个人技术总览'!$O$5:$O$46,MATCH($A165,'个人技术总览'!$A$5:$A$46,0))</f>
        <v/>
      </c>
      <c r="Q165" s="64">
        <f>INDEX('个人技术总览'!$P$5:$P$46,MATCH($A165,'个人技术总览'!$A$5:$A$46,0))</f>
        <v/>
      </c>
      <c r="R165" s="67">
        <f>INDEX('个人技术总览'!$Q$5:$Q$46,MATCH($A165,'个人技术总览'!$A$5:$A$46,0))</f>
        <v/>
      </c>
      <c r="S165" s="64">
        <f>INDEX('个人技术总览'!$R$5:$R$46,MATCH($A165,'个人技术总览'!$A$5:$A$46,0))</f>
        <v/>
      </c>
      <c r="T165" s="68">
        <f>POWER($Q165,$E165)</f>
        <v/>
      </c>
      <c r="U165" s="68">
        <f>SUMIFS($T$5:$T$589,$A$5:$A$589,$A165)</f>
        <v/>
      </c>
      <c r="V165" s="67">
        <f>ROUNDDOWN(MAX(0,$P165-$H165*$G165)*$T165/MAX(1,$U165),0)</f>
        <v/>
      </c>
      <c r="W165" s="68">
        <f>POWER($S165,$E165)</f>
        <v/>
      </c>
      <c r="X165" s="68">
        <f>SUMIFS($W$5:$W$589,$A$5:$A$589,$A165)</f>
        <v/>
      </c>
      <c r="Y165" s="67">
        <f>ROUNDDOWN(MAX(0,$R165-$J165*$G165)*$W165/MAX(1,$X165),0)</f>
        <v/>
      </c>
    </row>
    <row r="166">
      <c r="A166" s="17" t="inlineStr">
        <is>
          <t>scout_art</t>
        </is>
      </c>
      <c r="B166" s="18" t="inlineStr">
        <is>
          <t>侦查术</t>
        </is>
      </c>
      <c r="C166" s="18" t="inlineStr">
        <is>
          <t>基本技术</t>
        </is>
      </c>
      <c r="D166" s="18" t="inlineStr">
        <is>
          <t>—</t>
        </is>
      </c>
      <c r="E166" s="65" t="n">
        <v>161</v>
      </c>
      <c r="F166" s="66">
        <f>E166+1</f>
        <v/>
      </c>
      <c r="G166" s="65">
        <f>INDEX('个人技术总览'!$E$5:$E$46,MATCH($A166,'个人技术总览'!$A$5:$A$46,0))</f>
        <v/>
      </c>
      <c r="H166" s="59">
        <f>INDEX('个人技术总览'!$F$5:$F$46,MATCH($A166,'个人技术总览'!$A$5:$A$46,0))</f>
        <v/>
      </c>
      <c r="I166" s="60">
        <f>INDEX('个人技术总览'!$G$5:$G$46,MATCH($A166,'个人技术总览'!$A$5:$A$46,0))</f>
        <v/>
      </c>
      <c r="J166" s="59">
        <f>INDEX('个人技术总览'!$H$5:$H$46,MATCH($A166,'个人技术总览'!$A$5:$A$46,0))</f>
        <v/>
      </c>
      <c r="K166" s="60">
        <f>INDEX('个人技术总览'!$I$5:$I$46,MATCH($A166,'个人技术总览'!$A$5:$A$46,0))</f>
        <v/>
      </c>
      <c r="L166" s="67">
        <f>H166+V166+IF(E166=G166-1,MAX(0,P166-H166*G166-SUMIFS($V$5:$V$589,$A$5:$A$589,$A166)),0)</f>
        <v/>
      </c>
      <c r="M166" s="61">
        <f>MAX(1,ROUNDDOWN($L166/'参数与公式'!$B$5,0))</f>
        <v/>
      </c>
      <c r="N166" s="67">
        <f>J166+Y166+IF(E166=G166-1,MAX(0,R166-J166*G166-SUMIFS($Y$5:$Y$589,$A$5:$A$589,$A166)),0)</f>
        <v/>
      </c>
      <c r="O166" s="18" t="inlineStr">
        <is>
          <t>data/technology_templates.yaml; upgrade_*_budget / *_curve; code: technology_rules.allocate_upgrade_budget</t>
        </is>
      </c>
      <c r="P166" s="67">
        <f>INDEX('个人技术总览'!$O$5:$O$46,MATCH($A166,'个人技术总览'!$A$5:$A$46,0))</f>
        <v/>
      </c>
      <c r="Q166" s="64">
        <f>INDEX('个人技术总览'!$P$5:$P$46,MATCH($A166,'个人技术总览'!$A$5:$A$46,0))</f>
        <v/>
      </c>
      <c r="R166" s="67">
        <f>INDEX('个人技术总览'!$Q$5:$Q$46,MATCH($A166,'个人技术总览'!$A$5:$A$46,0))</f>
        <v/>
      </c>
      <c r="S166" s="64">
        <f>INDEX('个人技术总览'!$R$5:$R$46,MATCH($A166,'个人技术总览'!$A$5:$A$46,0))</f>
        <v/>
      </c>
      <c r="T166" s="68">
        <f>POWER($Q166,$E166)</f>
        <v/>
      </c>
      <c r="U166" s="68">
        <f>SUMIFS($T$5:$T$589,$A$5:$A$589,$A166)</f>
        <v/>
      </c>
      <c r="V166" s="67">
        <f>ROUNDDOWN(MAX(0,$P166-$H166*$G166)*$T166/MAX(1,$U166),0)</f>
        <v/>
      </c>
      <c r="W166" s="68">
        <f>POWER($S166,$E166)</f>
        <v/>
      </c>
      <c r="X166" s="68">
        <f>SUMIFS($W$5:$W$589,$A$5:$A$589,$A166)</f>
        <v/>
      </c>
      <c r="Y166" s="67">
        <f>ROUNDDOWN(MAX(0,$R166-$J166*$G166)*$W166/MAX(1,$X166),0)</f>
        <v/>
      </c>
    </row>
    <row r="167">
      <c r="A167" s="17" t="inlineStr">
        <is>
          <t>scout_art</t>
        </is>
      </c>
      <c r="B167" s="18" t="inlineStr">
        <is>
          <t>侦查术</t>
        </is>
      </c>
      <c r="C167" s="18" t="inlineStr">
        <is>
          <t>基本技术</t>
        </is>
      </c>
      <c r="D167" s="18" t="inlineStr">
        <is>
          <t>—</t>
        </is>
      </c>
      <c r="E167" s="65" t="n">
        <v>162</v>
      </c>
      <c r="F167" s="66">
        <f>E167+1</f>
        <v/>
      </c>
      <c r="G167" s="65">
        <f>INDEX('个人技术总览'!$E$5:$E$46,MATCH($A167,'个人技术总览'!$A$5:$A$46,0))</f>
        <v/>
      </c>
      <c r="H167" s="59">
        <f>INDEX('个人技术总览'!$F$5:$F$46,MATCH($A167,'个人技术总览'!$A$5:$A$46,0))</f>
        <v/>
      </c>
      <c r="I167" s="60">
        <f>INDEX('个人技术总览'!$G$5:$G$46,MATCH($A167,'个人技术总览'!$A$5:$A$46,0))</f>
        <v/>
      </c>
      <c r="J167" s="59">
        <f>INDEX('个人技术总览'!$H$5:$H$46,MATCH($A167,'个人技术总览'!$A$5:$A$46,0))</f>
        <v/>
      </c>
      <c r="K167" s="60">
        <f>INDEX('个人技术总览'!$I$5:$I$46,MATCH($A167,'个人技术总览'!$A$5:$A$46,0))</f>
        <v/>
      </c>
      <c r="L167" s="67">
        <f>H167+V167+IF(E167=G167-1,MAX(0,P167-H167*G167-SUMIFS($V$5:$V$589,$A$5:$A$589,$A167)),0)</f>
        <v/>
      </c>
      <c r="M167" s="61">
        <f>MAX(1,ROUNDDOWN($L167/'参数与公式'!$B$5,0))</f>
        <v/>
      </c>
      <c r="N167" s="67">
        <f>J167+Y167+IF(E167=G167-1,MAX(0,R167-J167*G167-SUMIFS($Y$5:$Y$589,$A$5:$A$589,$A167)),0)</f>
        <v/>
      </c>
      <c r="O167" s="18" t="inlineStr">
        <is>
          <t>data/technology_templates.yaml; upgrade_*_budget / *_curve; code: technology_rules.allocate_upgrade_budget</t>
        </is>
      </c>
      <c r="P167" s="67">
        <f>INDEX('个人技术总览'!$O$5:$O$46,MATCH($A167,'个人技术总览'!$A$5:$A$46,0))</f>
        <v/>
      </c>
      <c r="Q167" s="64">
        <f>INDEX('个人技术总览'!$P$5:$P$46,MATCH($A167,'个人技术总览'!$A$5:$A$46,0))</f>
        <v/>
      </c>
      <c r="R167" s="67">
        <f>INDEX('个人技术总览'!$Q$5:$Q$46,MATCH($A167,'个人技术总览'!$A$5:$A$46,0))</f>
        <v/>
      </c>
      <c r="S167" s="64">
        <f>INDEX('个人技术总览'!$R$5:$R$46,MATCH($A167,'个人技术总览'!$A$5:$A$46,0))</f>
        <v/>
      </c>
      <c r="T167" s="68">
        <f>POWER($Q167,$E167)</f>
        <v/>
      </c>
      <c r="U167" s="68">
        <f>SUMIFS($T$5:$T$589,$A$5:$A$589,$A167)</f>
        <v/>
      </c>
      <c r="V167" s="67">
        <f>ROUNDDOWN(MAX(0,$P167-$H167*$G167)*$T167/MAX(1,$U167),0)</f>
        <v/>
      </c>
      <c r="W167" s="68">
        <f>POWER($S167,$E167)</f>
        <v/>
      </c>
      <c r="X167" s="68">
        <f>SUMIFS($W$5:$W$589,$A$5:$A$589,$A167)</f>
        <v/>
      </c>
      <c r="Y167" s="67">
        <f>ROUNDDOWN(MAX(0,$R167-$J167*$G167)*$W167/MAX(1,$X167),0)</f>
        <v/>
      </c>
    </row>
    <row r="168">
      <c r="A168" s="17" t="inlineStr">
        <is>
          <t>scout_art</t>
        </is>
      </c>
      <c r="B168" s="18" t="inlineStr">
        <is>
          <t>侦查术</t>
        </is>
      </c>
      <c r="C168" s="18" t="inlineStr">
        <is>
          <t>基本技术</t>
        </is>
      </c>
      <c r="D168" s="18" t="inlineStr">
        <is>
          <t>—</t>
        </is>
      </c>
      <c r="E168" s="65" t="n">
        <v>163</v>
      </c>
      <c r="F168" s="66">
        <f>E168+1</f>
        <v/>
      </c>
      <c r="G168" s="65">
        <f>INDEX('个人技术总览'!$E$5:$E$46,MATCH($A168,'个人技术总览'!$A$5:$A$46,0))</f>
        <v/>
      </c>
      <c r="H168" s="59">
        <f>INDEX('个人技术总览'!$F$5:$F$46,MATCH($A168,'个人技术总览'!$A$5:$A$46,0))</f>
        <v/>
      </c>
      <c r="I168" s="60">
        <f>INDEX('个人技术总览'!$G$5:$G$46,MATCH($A168,'个人技术总览'!$A$5:$A$46,0))</f>
        <v/>
      </c>
      <c r="J168" s="59">
        <f>INDEX('个人技术总览'!$H$5:$H$46,MATCH($A168,'个人技术总览'!$A$5:$A$46,0))</f>
        <v/>
      </c>
      <c r="K168" s="60">
        <f>INDEX('个人技术总览'!$I$5:$I$46,MATCH($A168,'个人技术总览'!$A$5:$A$46,0))</f>
        <v/>
      </c>
      <c r="L168" s="67">
        <f>H168+V168+IF(E168=G168-1,MAX(0,P168-H168*G168-SUMIFS($V$5:$V$589,$A$5:$A$589,$A168)),0)</f>
        <v/>
      </c>
      <c r="M168" s="61">
        <f>MAX(1,ROUNDDOWN($L168/'参数与公式'!$B$5,0))</f>
        <v/>
      </c>
      <c r="N168" s="67">
        <f>J168+Y168+IF(E168=G168-1,MAX(0,R168-J168*G168-SUMIFS($Y$5:$Y$589,$A$5:$A$589,$A168)),0)</f>
        <v/>
      </c>
      <c r="O168" s="18" t="inlineStr">
        <is>
          <t>data/technology_templates.yaml; upgrade_*_budget / *_curve; code: technology_rules.allocate_upgrade_budget</t>
        </is>
      </c>
      <c r="P168" s="67">
        <f>INDEX('个人技术总览'!$O$5:$O$46,MATCH($A168,'个人技术总览'!$A$5:$A$46,0))</f>
        <v/>
      </c>
      <c r="Q168" s="64">
        <f>INDEX('个人技术总览'!$P$5:$P$46,MATCH($A168,'个人技术总览'!$A$5:$A$46,0))</f>
        <v/>
      </c>
      <c r="R168" s="67">
        <f>INDEX('个人技术总览'!$Q$5:$Q$46,MATCH($A168,'个人技术总览'!$A$5:$A$46,0))</f>
        <v/>
      </c>
      <c r="S168" s="64">
        <f>INDEX('个人技术总览'!$R$5:$R$46,MATCH($A168,'个人技术总览'!$A$5:$A$46,0))</f>
        <v/>
      </c>
      <c r="T168" s="68">
        <f>POWER($Q168,$E168)</f>
        <v/>
      </c>
      <c r="U168" s="68">
        <f>SUMIFS($T$5:$T$589,$A$5:$A$589,$A168)</f>
        <v/>
      </c>
      <c r="V168" s="67">
        <f>ROUNDDOWN(MAX(0,$P168-$H168*$G168)*$T168/MAX(1,$U168),0)</f>
        <v/>
      </c>
      <c r="W168" s="68">
        <f>POWER($S168,$E168)</f>
        <v/>
      </c>
      <c r="X168" s="68">
        <f>SUMIFS($W$5:$W$589,$A$5:$A$589,$A168)</f>
        <v/>
      </c>
      <c r="Y168" s="67">
        <f>ROUNDDOWN(MAX(0,$R168-$J168*$G168)*$W168/MAX(1,$X168),0)</f>
        <v/>
      </c>
    </row>
    <row r="169">
      <c r="A169" s="17" t="inlineStr">
        <is>
          <t>scout_art</t>
        </is>
      </c>
      <c r="B169" s="18" t="inlineStr">
        <is>
          <t>侦查术</t>
        </is>
      </c>
      <c r="C169" s="18" t="inlineStr">
        <is>
          <t>基本技术</t>
        </is>
      </c>
      <c r="D169" s="18" t="inlineStr">
        <is>
          <t>—</t>
        </is>
      </c>
      <c r="E169" s="65" t="n">
        <v>164</v>
      </c>
      <c r="F169" s="66">
        <f>E169+1</f>
        <v/>
      </c>
      <c r="G169" s="65">
        <f>INDEX('个人技术总览'!$E$5:$E$46,MATCH($A169,'个人技术总览'!$A$5:$A$46,0))</f>
        <v/>
      </c>
      <c r="H169" s="59">
        <f>INDEX('个人技术总览'!$F$5:$F$46,MATCH($A169,'个人技术总览'!$A$5:$A$46,0))</f>
        <v/>
      </c>
      <c r="I169" s="60">
        <f>INDEX('个人技术总览'!$G$5:$G$46,MATCH($A169,'个人技术总览'!$A$5:$A$46,0))</f>
        <v/>
      </c>
      <c r="J169" s="59">
        <f>INDEX('个人技术总览'!$H$5:$H$46,MATCH($A169,'个人技术总览'!$A$5:$A$46,0))</f>
        <v/>
      </c>
      <c r="K169" s="60">
        <f>INDEX('个人技术总览'!$I$5:$I$46,MATCH($A169,'个人技术总览'!$A$5:$A$46,0))</f>
        <v/>
      </c>
      <c r="L169" s="67">
        <f>H169+V169+IF(E169=G169-1,MAX(0,P169-H169*G169-SUMIFS($V$5:$V$589,$A$5:$A$589,$A169)),0)</f>
        <v/>
      </c>
      <c r="M169" s="61">
        <f>MAX(1,ROUNDDOWN($L169/'参数与公式'!$B$5,0))</f>
        <v/>
      </c>
      <c r="N169" s="67">
        <f>J169+Y169+IF(E169=G169-1,MAX(0,R169-J169*G169-SUMIFS($Y$5:$Y$589,$A$5:$A$589,$A169)),0)</f>
        <v/>
      </c>
      <c r="O169" s="18" t="inlineStr">
        <is>
          <t>data/technology_templates.yaml; upgrade_*_budget / *_curve; code: technology_rules.allocate_upgrade_budget</t>
        </is>
      </c>
      <c r="P169" s="67">
        <f>INDEX('个人技术总览'!$O$5:$O$46,MATCH($A169,'个人技术总览'!$A$5:$A$46,0))</f>
        <v/>
      </c>
      <c r="Q169" s="64">
        <f>INDEX('个人技术总览'!$P$5:$P$46,MATCH($A169,'个人技术总览'!$A$5:$A$46,0))</f>
        <v/>
      </c>
      <c r="R169" s="67">
        <f>INDEX('个人技术总览'!$Q$5:$Q$46,MATCH($A169,'个人技术总览'!$A$5:$A$46,0))</f>
        <v/>
      </c>
      <c r="S169" s="64">
        <f>INDEX('个人技术总览'!$R$5:$R$46,MATCH($A169,'个人技术总览'!$A$5:$A$46,0))</f>
        <v/>
      </c>
      <c r="T169" s="68">
        <f>POWER($Q169,$E169)</f>
        <v/>
      </c>
      <c r="U169" s="68">
        <f>SUMIFS($T$5:$T$589,$A$5:$A$589,$A169)</f>
        <v/>
      </c>
      <c r="V169" s="67">
        <f>ROUNDDOWN(MAX(0,$P169-$H169*$G169)*$T169/MAX(1,$U169),0)</f>
        <v/>
      </c>
      <c r="W169" s="68">
        <f>POWER($S169,$E169)</f>
        <v/>
      </c>
      <c r="X169" s="68">
        <f>SUMIFS($W$5:$W$589,$A$5:$A$589,$A169)</f>
        <v/>
      </c>
      <c r="Y169" s="67">
        <f>ROUNDDOWN(MAX(0,$R169-$J169*$G169)*$W169/MAX(1,$X169),0)</f>
        <v/>
      </c>
    </row>
    <row r="170">
      <c r="A170" s="17" t="inlineStr">
        <is>
          <t>scout_art</t>
        </is>
      </c>
      <c r="B170" s="18" t="inlineStr">
        <is>
          <t>侦查术</t>
        </is>
      </c>
      <c r="C170" s="18" t="inlineStr">
        <is>
          <t>基本技术</t>
        </is>
      </c>
      <c r="D170" s="18" t="inlineStr">
        <is>
          <t>—</t>
        </is>
      </c>
      <c r="E170" s="65" t="n">
        <v>165</v>
      </c>
      <c r="F170" s="66">
        <f>E170+1</f>
        <v/>
      </c>
      <c r="G170" s="65">
        <f>INDEX('个人技术总览'!$E$5:$E$46,MATCH($A170,'个人技术总览'!$A$5:$A$46,0))</f>
        <v/>
      </c>
      <c r="H170" s="59">
        <f>INDEX('个人技术总览'!$F$5:$F$46,MATCH($A170,'个人技术总览'!$A$5:$A$46,0))</f>
        <v/>
      </c>
      <c r="I170" s="60">
        <f>INDEX('个人技术总览'!$G$5:$G$46,MATCH($A170,'个人技术总览'!$A$5:$A$46,0))</f>
        <v/>
      </c>
      <c r="J170" s="59">
        <f>INDEX('个人技术总览'!$H$5:$H$46,MATCH($A170,'个人技术总览'!$A$5:$A$46,0))</f>
        <v/>
      </c>
      <c r="K170" s="60">
        <f>INDEX('个人技术总览'!$I$5:$I$46,MATCH($A170,'个人技术总览'!$A$5:$A$46,0))</f>
        <v/>
      </c>
      <c r="L170" s="67">
        <f>H170+V170+IF(E170=G170-1,MAX(0,P170-H170*G170-SUMIFS($V$5:$V$589,$A$5:$A$589,$A170)),0)</f>
        <v/>
      </c>
      <c r="M170" s="61">
        <f>MAX(1,ROUNDDOWN($L170/'参数与公式'!$B$5,0))</f>
        <v/>
      </c>
      <c r="N170" s="67">
        <f>J170+Y170+IF(E170=G170-1,MAX(0,R170-J170*G170-SUMIFS($Y$5:$Y$589,$A$5:$A$589,$A170)),0)</f>
        <v/>
      </c>
      <c r="O170" s="18" t="inlineStr">
        <is>
          <t>data/technology_templates.yaml; upgrade_*_budget / *_curve; code: technology_rules.allocate_upgrade_budget</t>
        </is>
      </c>
      <c r="P170" s="67">
        <f>INDEX('个人技术总览'!$O$5:$O$46,MATCH($A170,'个人技术总览'!$A$5:$A$46,0))</f>
        <v/>
      </c>
      <c r="Q170" s="64">
        <f>INDEX('个人技术总览'!$P$5:$P$46,MATCH($A170,'个人技术总览'!$A$5:$A$46,0))</f>
        <v/>
      </c>
      <c r="R170" s="67">
        <f>INDEX('个人技术总览'!$Q$5:$Q$46,MATCH($A170,'个人技术总览'!$A$5:$A$46,0))</f>
        <v/>
      </c>
      <c r="S170" s="64">
        <f>INDEX('个人技术总览'!$R$5:$R$46,MATCH($A170,'个人技术总览'!$A$5:$A$46,0))</f>
        <v/>
      </c>
      <c r="T170" s="68">
        <f>POWER($Q170,$E170)</f>
        <v/>
      </c>
      <c r="U170" s="68">
        <f>SUMIFS($T$5:$T$589,$A$5:$A$589,$A170)</f>
        <v/>
      </c>
      <c r="V170" s="67">
        <f>ROUNDDOWN(MAX(0,$P170-$H170*$G170)*$T170/MAX(1,$U170),0)</f>
        <v/>
      </c>
      <c r="W170" s="68">
        <f>POWER($S170,$E170)</f>
        <v/>
      </c>
      <c r="X170" s="68">
        <f>SUMIFS($W$5:$W$589,$A$5:$A$589,$A170)</f>
        <v/>
      </c>
      <c r="Y170" s="67">
        <f>ROUNDDOWN(MAX(0,$R170-$J170*$G170)*$W170/MAX(1,$X170),0)</f>
        <v/>
      </c>
    </row>
    <row r="171">
      <c r="A171" s="17" t="inlineStr">
        <is>
          <t>scout_art</t>
        </is>
      </c>
      <c r="B171" s="18" t="inlineStr">
        <is>
          <t>侦查术</t>
        </is>
      </c>
      <c r="C171" s="18" t="inlineStr">
        <is>
          <t>基本技术</t>
        </is>
      </c>
      <c r="D171" s="18" t="inlineStr">
        <is>
          <t>—</t>
        </is>
      </c>
      <c r="E171" s="65" t="n">
        <v>166</v>
      </c>
      <c r="F171" s="66">
        <f>E171+1</f>
        <v/>
      </c>
      <c r="G171" s="65">
        <f>INDEX('个人技术总览'!$E$5:$E$46,MATCH($A171,'个人技术总览'!$A$5:$A$46,0))</f>
        <v/>
      </c>
      <c r="H171" s="59">
        <f>INDEX('个人技术总览'!$F$5:$F$46,MATCH($A171,'个人技术总览'!$A$5:$A$46,0))</f>
        <v/>
      </c>
      <c r="I171" s="60">
        <f>INDEX('个人技术总览'!$G$5:$G$46,MATCH($A171,'个人技术总览'!$A$5:$A$46,0))</f>
        <v/>
      </c>
      <c r="J171" s="59">
        <f>INDEX('个人技术总览'!$H$5:$H$46,MATCH($A171,'个人技术总览'!$A$5:$A$46,0))</f>
        <v/>
      </c>
      <c r="K171" s="60">
        <f>INDEX('个人技术总览'!$I$5:$I$46,MATCH($A171,'个人技术总览'!$A$5:$A$46,0))</f>
        <v/>
      </c>
      <c r="L171" s="67">
        <f>H171+V171+IF(E171=G171-1,MAX(0,P171-H171*G171-SUMIFS($V$5:$V$589,$A$5:$A$589,$A171)),0)</f>
        <v/>
      </c>
      <c r="M171" s="61">
        <f>MAX(1,ROUNDDOWN($L171/'参数与公式'!$B$5,0))</f>
        <v/>
      </c>
      <c r="N171" s="67">
        <f>J171+Y171+IF(E171=G171-1,MAX(0,R171-J171*G171-SUMIFS($Y$5:$Y$589,$A$5:$A$589,$A171)),0)</f>
        <v/>
      </c>
      <c r="O171" s="18" t="inlineStr">
        <is>
          <t>data/technology_templates.yaml; upgrade_*_budget / *_curve; code: technology_rules.allocate_upgrade_budget</t>
        </is>
      </c>
      <c r="P171" s="67">
        <f>INDEX('个人技术总览'!$O$5:$O$46,MATCH($A171,'个人技术总览'!$A$5:$A$46,0))</f>
        <v/>
      </c>
      <c r="Q171" s="64">
        <f>INDEX('个人技术总览'!$P$5:$P$46,MATCH($A171,'个人技术总览'!$A$5:$A$46,0))</f>
        <v/>
      </c>
      <c r="R171" s="67">
        <f>INDEX('个人技术总览'!$Q$5:$Q$46,MATCH($A171,'个人技术总览'!$A$5:$A$46,0))</f>
        <v/>
      </c>
      <c r="S171" s="64">
        <f>INDEX('个人技术总览'!$R$5:$R$46,MATCH($A171,'个人技术总览'!$A$5:$A$46,0))</f>
        <v/>
      </c>
      <c r="T171" s="68">
        <f>POWER($Q171,$E171)</f>
        <v/>
      </c>
      <c r="U171" s="68">
        <f>SUMIFS($T$5:$T$589,$A$5:$A$589,$A171)</f>
        <v/>
      </c>
      <c r="V171" s="67">
        <f>ROUNDDOWN(MAX(0,$P171-$H171*$G171)*$T171/MAX(1,$U171),0)</f>
        <v/>
      </c>
      <c r="W171" s="68">
        <f>POWER($S171,$E171)</f>
        <v/>
      </c>
      <c r="X171" s="68">
        <f>SUMIFS($W$5:$W$589,$A$5:$A$589,$A171)</f>
        <v/>
      </c>
      <c r="Y171" s="67">
        <f>ROUNDDOWN(MAX(0,$R171-$J171*$G171)*$W171/MAX(1,$X171),0)</f>
        <v/>
      </c>
    </row>
    <row r="172">
      <c r="A172" s="17" t="inlineStr">
        <is>
          <t>scout_art</t>
        </is>
      </c>
      <c r="B172" s="18" t="inlineStr">
        <is>
          <t>侦查术</t>
        </is>
      </c>
      <c r="C172" s="18" t="inlineStr">
        <is>
          <t>基本技术</t>
        </is>
      </c>
      <c r="D172" s="18" t="inlineStr">
        <is>
          <t>—</t>
        </is>
      </c>
      <c r="E172" s="65" t="n">
        <v>167</v>
      </c>
      <c r="F172" s="66">
        <f>E172+1</f>
        <v/>
      </c>
      <c r="G172" s="65">
        <f>INDEX('个人技术总览'!$E$5:$E$46,MATCH($A172,'个人技术总览'!$A$5:$A$46,0))</f>
        <v/>
      </c>
      <c r="H172" s="59">
        <f>INDEX('个人技术总览'!$F$5:$F$46,MATCH($A172,'个人技术总览'!$A$5:$A$46,0))</f>
        <v/>
      </c>
      <c r="I172" s="60">
        <f>INDEX('个人技术总览'!$G$5:$G$46,MATCH($A172,'个人技术总览'!$A$5:$A$46,0))</f>
        <v/>
      </c>
      <c r="J172" s="59">
        <f>INDEX('个人技术总览'!$H$5:$H$46,MATCH($A172,'个人技术总览'!$A$5:$A$46,0))</f>
        <v/>
      </c>
      <c r="K172" s="60">
        <f>INDEX('个人技术总览'!$I$5:$I$46,MATCH($A172,'个人技术总览'!$A$5:$A$46,0))</f>
        <v/>
      </c>
      <c r="L172" s="67">
        <f>H172+V172+IF(E172=G172-1,MAX(0,P172-H172*G172-SUMIFS($V$5:$V$589,$A$5:$A$589,$A172)),0)</f>
        <v/>
      </c>
      <c r="M172" s="61">
        <f>MAX(1,ROUNDDOWN($L172/'参数与公式'!$B$5,0))</f>
        <v/>
      </c>
      <c r="N172" s="67">
        <f>J172+Y172+IF(E172=G172-1,MAX(0,R172-J172*G172-SUMIFS($Y$5:$Y$589,$A$5:$A$589,$A172)),0)</f>
        <v/>
      </c>
      <c r="O172" s="18" t="inlineStr">
        <is>
          <t>data/technology_templates.yaml; upgrade_*_budget / *_curve; code: technology_rules.allocate_upgrade_budget</t>
        </is>
      </c>
      <c r="P172" s="67">
        <f>INDEX('个人技术总览'!$O$5:$O$46,MATCH($A172,'个人技术总览'!$A$5:$A$46,0))</f>
        <v/>
      </c>
      <c r="Q172" s="64">
        <f>INDEX('个人技术总览'!$P$5:$P$46,MATCH($A172,'个人技术总览'!$A$5:$A$46,0))</f>
        <v/>
      </c>
      <c r="R172" s="67">
        <f>INDEX('个人技术总览'!$Q$5:$Q$46,MATCH($A172,'个人技术总览'!$A$5:$A$46,0))</f>
        <v/>
      </c>
      <c r="S172" s="64">
        <f>INDEX('个人技术总览'!$R$5:$R$46,MATCH($A172,'个人技术总览'!$A$5:$A$46,0))</f>
        <v/>
      </c>
      <c r="T172" s="68">
        <f>POWER($Q172,$E172)</f>
        <v/>
      </c>
      <c r="U172" s="68">
        <f>SUMIFS($T$5:$T$589,$A$5:$A$589,$A172)</f>
        <v/>
      </c>
      <c r="V172" s="67">
        <f>ROUNDDOWN(MAX(0,$P172-$H172*$G172)*$T172/MAX(1,$U172),0)</f>
        <v/>
      </c>
      <c r="W172" s="68">
        <f>POWER($S172,$E172)</f>
        <v/>
      </c>
      <c r="X172" s="68">
        <f>SUMIFS($W$5:$W$589,$A$5:$A$589,$A172)</f>
        <v/>
      </c>
      <c r="Y172" s="67">
        <f>ROUNDDOWN(MAX(0,$R172-$J172*$G172)*$W172/MAX(1,$X172),0)</f>
        <v/>
      </c>
    </row>
    <row r="173">
      <c r="A173" s="17" t="inlineStr">
        <is>
          <t>scout_art</t>
        </is>
      </c>
      <c r="B173" s="18" t="inlineStr">
        <is>
          <t>侦查术</t>
        </is>
      </c>
      <c r="C173" s="18" t="inlineStr">
        <is>
          <t>基本技术</t>
        </is>
      </c>
      <c r="D173" s="18" t="inlineStr">
        <is>
          <t>—</t>
        </is>
      </c>
      <c r="E173" s="65" t="n">
        <v>168</v>
      </c>
      <c r="F173" s="66">
        <f>E173+1</f>
        <v/>
      </c>
      <c r="G173" s="65">
        <f>INDEX('个人技术总览'!$E$5:$E$46,MATCH($A173,'个人技术总览'!$A$5:$A$46,0))</f>
        <v/>
      </c>
      <c r="H173" s="59">
        <f>INDEX('个人技术总览'!$F$5:$F$46,MATCH($A173,'个人技术总览'!$A$5:$A$46,0))</f>
        <v/>
      </c>
      <c r="I173" s="60">
        <f>INDEX('个人技术总览'!$G$5:$G$46,MATCH($A173,'个人技术总览'!$A$5:$A$46,0))</f>
        <v/>
      </c>
      <c r="J173" s="59">
        <f>INDEX('个人技术总览'!$H$5:$H$46,MATCH($A173,'个人技术总览'!$A$5:$A$46,0))</f>
        <v/>
      </c>
      <c r="K173" s="60">
        <f>INDEX('个人技术总览'!$I$5:$I$46,MATCH($A173,'个人技术总览'!$A$5:$A$46,0))</f>
        <v/>
      </c>
      <c r="L173" s="67">
        <f>H173+V173+IF(E173=G173-1,MAX(0,P173-H173*G173-SUMIFS($V$5:$V$589,$A$5:$A$589,$A173)),0)</f>
        <v/>
      </c>
      <c r="M173" s="61">
        <f>MAX(1,ROUNDDOWN($L173/'参数与公式'!$B$5,0))</f>
        <v/>
      </c>
      <c r="N173" s="67">
        <f>J173+Y173+IF(E173=G173-1,MAX(0,R173-J173*G173-SUMIFS($Y$5:$Y$589,$A$5:$A$589,$A173)),0)</f>
        <v/>
      </c>
      <c r="O173" s="18" t="inlineStr">
        <is>
          <t>data/technology_templates.yaml; upgrade_*_budget / *_curve; code: technology_rules.allocate_upgrade_budget</t>
        </is>
      </c>
      <c r="P173" s="67">
        <f>INDEX('个人技术总览'!$O$5:$O$46,MATCH($A173,'个人技术总览'!$A$5:$A$46,0))</f>
        <v/>
      </c>
      <c r="Q173" s="64">
        <f>INDEX('个人技术总览'!$P$5:$P$46,MATCH($A173,'个人技术总览'!$A$5:$A$46,0))</f>
        <v/>
      </c>
      <c r="R173" s="67">
        <f>INDEX('个人技术总览'!$Q$5:$Q$46,MATCH($A173,'个人技术总览'!$A$5:$A$46,0))</f>
        <v/>
      </c>
      <c r="S173" s="64">
        <f>INDEX('个人技术总览'!$R$5:$R$46,MATCH($A173,'个人技术总览'!$A$5:$A$46,0))</f>
        <v/>
      </c>
      <c r="T173" s="68">
        <f>POWER($Q173,$E173)</f>
        <v/>
      </c>
      <c r="U173" s="68">
        <f>SUMIFS($T$5:$T$589,$A$5:$A$589,$A173)</f>
        <v/>
      </c>
      <c r="V173" s="67">
        <f>ROUNDDOWN(MAX(0,$P173-$H173*$G173)*$T173/MAX(1,$U173),0)</f>
        <v/>
      </c>
      <c r="W173" s="68">
        <f>POWER($S173,$E173)</f>
        <v/>
      </c>
      <c r="X173" s="68">
        <f>SUMIFS($W$5:$W$589,$A$5:$A$589,$A173)</f>
        <v/>
      </c>
      <c r="Y173" s="67">
        <f>ROUNDDOWN(MAX(0,$R173-$J173*$G173)*$W173/MAX(1,$X173),0)</f>
        <v/>
      </c>
    </row>
    <row r="174">
      <c r="A174" s="17" t="inlineStr">
        <is>
          <t>scout_art</t>
        </is>
      </c>
      <c r="B174" s="18" t="inlineStr">
        <is>
          <t>侦查术</t>
        </is>
      </c>
      <c r="C174" s="18" t="inlineStr">
        <is>
          <t>基本技术</t>
        </is>
      </c>
      <c r="D174" s="18" t="inlineStr">
        <is>
          <t>—</t>
        </is>
      </c>
      <c r="E174" s="65" t="n">
        <v>169</v>
      </c>
      <c r="F174" s="66">
        <f>E174+1</f>
        <v/>
      </c>
      <c r="G174" s="65">
        <f>INDEX('个人技术总览'!$E$5:$E$46,MATCH($A174,'个人技术总览'!$A$5:$A$46,0))</f>
        <v/>
      </c>
      <c r="H174" s="59">
        <f>INDEX('个人技术总览'!$F$5:$F$46,MATCH($A174,'个人技术总览'!$A$5:$A$46,0))</f>
        <v/>
      </c>
      <c r="I174" s="60">
        <f>INDEX('个人技术总览'!$G$5:$G$46,MATCH($A174,'个人技术总览'!$A$5:$A$46,0))</f>
        <v/>
      </c>
      <c r="J174" s="59">
        <f>INDEX('个人技术总览'!$H$5:$H$46,MATCH($A174,'个人技术总览'!$A$5:$A$46,0))</f>
        <v/>
      </c>
      <c r="K174" s="60">
        <f>INDEX('个人技术总览'!$I$5:$I$46,MATCH($A174,'个人技术总览'!$A$5:$A$46,0))</f>
        <v/>
      </c>
      <c r="L174" s="67">
        <f>H174+V174+IF(E174=G174-1,MAX(0,P174-H174*G174-SUMIFS($V$5:$V$589,$A$5:$A$589,$A174)),0)</f>
        <v/>
      </c>
      <c r="M174" s="61">
        <f>MAX(1,ROUNDDOWN($L174/'参数与公式'!$B$5,0))</f>
        <v/>
      </c>
      <c r="N174" s="67">
        <f>J174+Y174+IF(E174=G174-1,MAX(0,R174-J174*G174-SUMIFS($Y$5:$Y$589,$A$5:$A$589,$A174)),0)</f>
        <v/>
      </c>
      <c r="O174" s="18" t="inlineStr">
        <is>
          <t>data/technology_templates.yaml; upgrade_*_budget / *_curve; code: technology_rules.allocate_upgrade_budget</t>
        </is>
      </c>
      <c r="P174" s="67">
        <f>INDEX('个人技术总览'!$O$5:$O$46,MATCH($A174,'个人技术总览'!$A$5:$A$46,0))</f>
        <v/>
      </c>
      <c r="Q174" s="64">
        <f>INDEX('个人技术总览'!$P$5:$P$46,MATCH($A174,'个人技术总览'!$A$5:$A$46,0))</f>
        <v/>
      </c>
      <c r="R174" s="67">
        <f>INDEX('个人技术总览'!$Q$5:$Q$46,MATCH($A174,'个人技术总览'!$A$5:$A$46,0))</f>
        <v/>
      </c>
      <c r="S174" s="64">
        <f>INDEX('个人技术总览'!$R$5:$R$46,MATCH($A174,'个人技术总览'!$A$5:$A$46,0))</f>
        <v/>
      </c>
      <c r="T174" s="68">
        <f>POWER($Q174,$E174)</f>
        <v/>
      </c>
      <c r="U174" s="68">
        <f>SUMIFS($T$5:$T$589,$A$5:$A$589,$A174)</f>
        <v/>
      </c>
      <c r="V174" s="67">
        <f>ROUNDDOWN(MAX(0,$P174-$H174*$G174)*$T174/MAX(1,$U174),0)</f>
        <v/>
      </c>
      <c r="W174" s="68">
        <f>POWER($S174,$E174)</f>
        <v/>
      </c>
      <c r="X174" s="68">
        <f>SUMIFS($W$5:$W$589,$A$5:$A$589,$A174)</f>
        <v/>
      </c>
      <c r="Y174" s="67">
        <f>ROUNDDOWN(MAX(0,$R174-$J174*$G174)*$W174/MAX(1,$X174),0)</f>
        <v/>
      </c>
    </row>
    <row r="175">
      <c r="A175" s="17" t="inlineStr">
        <is>
          <t>scout_art</t>
        </is>
      </c>
      <c r="B175" s="18" t="inlineStr">
        <is>
          <t>侦查术</t>
        </is>
      </c>
      <c r="C175" s="18" t="inlineStr">
        <is>
          <t>基本技术</t>
        </is>
      </c>
      <c r="D175" s="18" t="inlineStr">
        <is>
          <t>—</t>
        </is>
      </c>
      <c r="E175" s="65" t="n">
        <v>170</v>
      </c>
      <c r="F175" s="66">
        <f>E175+1</f>
        <v/>
      </c>
      <c r="G175" s="65">
        <f>INDEX('个人技术总览'!$E$5:$E$46,MATCH($A175,'个人技术总览'!$A$5:$A$46,0))</f>
        <v/>
      </c>
      <c r="H175" s="59">
        <f>INDEX('个人技术总览'!$F$5:$F$46,MATCH($A175,'个人技术总览'!$A$5:$A$46,0))</f>
        <v/>
      </c>
      <c r="I175" s="60">
        <f>INDEX('个人技术总览'!$G$5:$G$46,MATCH($A175,'个人技术总览'!$A$5:$A$46,0))</f>
        <v/>
      </c>
      <c r="J175" s="59">
        <f>INDEX('个人技术总览'!$H$5:$H$46,MATCH($A175,'个人技术总览'!$A$5:$A$46,0))</f>
        <v/>
      </c>
      <c r="K175" s="60">
        <f>INDEX('个人技术总览'!$I$5:$I$46,MATCH($A175,'个人技术总览'!$A$5:$A$46,0))</f>
        <v/>
      </c>
      <c r="L175" s="67">
        <f>H175+V175+IF(E175=G175-1,MAX(0,P175-H175*G175-SUMIFS($V$5:$V$589,$A$5:$A$589,$A175)),0)</f>
        <v/>
      </c>
      <c r="M175" s="61">
        <f>MAX(1,ROUNDDOWN($L175/'参数与公式'!$B$5,0))</f>
        <v/>
      </c>
      <c r="N175" s="67">
        <f>J175+Y175+IF(E175=G175-1,MAX(0,R175-J175*G175-SUMIFS($Y$5:$Y$589,$A$5:$A$589,$A175)),0)</f>
        <v/>
      </c>
      <c r="O175" s="18" t="inlineStr">
        <is>
          <t>data/technology_templates.yaml; upgrade_*_budget / *_curve; code: technology_rules.allocate_upgrade_budget</t>
        </is>
      </c>
      <c r="P175" s="67">
        <f>INDEX('个人技术总览'!$O$5:$O$46,MATCH($A175,'个人技术总览'!$A$5:$A$46,0))</f>
        <v/>
      </c>
      <c r="Q175" s="64">
        <f>INDEX('个人技术总览'!$P$5:$P$46,MATCH($A175,'个人技术总览'!$A$5:$A$46,0))</f>
        <v/>
      </c>
      <c r="R175" s="67">
        <f>INDEX('个人技术总览'!$Q$5:$Q$46,MATCH($A175,'个人技术总览'!$A$5:$A$46,0))</f>
        <v/>
      </c>
      <c r="S175" s="64">
        <f>INDEX('个人技术总览'!$R$5:$R$46,MATCH($A175,'个人技术总览'!$A$5:$A$46,0))</f>
        <v/>
      </c>
      <c r="T175" s="68">
        <f>POWER($Q175,$E175)</f>
        <v/>
      </c>
      <c r="U175" s="68">
        <f>SUMIFS($T$5:$T$589,$A$5:$A$589,$A175)</f>
        <v/>
      </c>
      <c r="V175" s="67">
        <f>ROUNDDOWN(MAX(0,$P175-$H175*$G175)*$T175/MAX(1,$U175),0)</f>
        <v/>
      </c>
      <c r="W175" s="68">
        <f>POWER($S175,$E175)</f>
        <v/>
      </c>
      <c r="X175" s="68">
        <f>SUMIFS($W$5:$W$589,$A$5:$A$589,$A175)</f>
        <v/>
      </c>
      <c r="Y175" s="67">
        <f>ROUNDDOWN(MAX(0,$R175-$J175*$G175)*$W175/MAX(1,$X175),0)</f>
        <v/>
      </c>
    </row>
    <row r="176">
      <c r="A176" s="17" t="inlineStr">
        <is>
          <t>scout_art</t>
        </is>
      </c>
      <c r="B176" s="18" t="inlineStr">
        <is>
          <t>侦查术</t>
        </is>
      </c>
      <c r="C176" s="18" t="inlineStr">
        <is>
          <t>基本技术</t>
        </is>
      </c>
      <c r="D176" s="18" t="inlineStr">
        <is>
          <t>—</t>
        </is>
      </c>
      <c r="E176" s="65" t="n">
        <v>171</v>
      </c>
      <c r="F176" s="66">
        <f>E176+1</f>
        <v/>
      </c>
      <c r="G176" s="65">
        <f>INDEX('个人技术总览'!$E$5:$E$46,MATCH($A176,'个人技术总览'!$A$5:$A$46,0))</f>
        <v/>
      </c>
      <c r="H176" s="59">
        <f>INDEX('个人技术总览'!$F$5:$F$46,MATCH($A176,'个人技术总览'!$A$5:$A$46,0))</f>
        <v/>
      </c>
      <c r="I176" s="60">
        <f>INDEX('个人技术总览'!$G$5:$G$46,MATCH($A176,'个人技术总览'!$A$5:$A$46,0))</f>
        <v/>
      </c>
      <c r="J176" s="59">
        <f>INDEX('个人技术总览'!$H$5:$H$46,MATCH($A176,'个人技术总览'!$A$5:$A$46,0))</f>
        <v/>
      </c>
      <c r="K176" s="60">
        <f>INDEX('个人技术总览'!$I$5:$I$46,MATCH($A176,'个人技术总览'!$A$5:$A$46,0))</f>
        <v/>
      </c>
      <c r="L176" s="67">
        <f>H176+V176+IF(E176=G176-1,MAX(0,P176-H176*G176-SUMIFS($V$5:$V$589,$A$5:$A$589,$A176)),0)</f>
        <v/>
      </c>
      <c r="M176" s="61">
        <f>MAX(1,ROUNDDOWN($L176/'参数与公式'!$B$5,0))</f>
        <v/>
      </c>
      <c r="N176" s="67">
        <f>J176+Y176+IF(E176=G176-1,MAX(0,R176-J176*G176-SUMIFS($Y$5:$Y$589,$A$5:$A$589,$A176)),0)</f>
        <v/>
      </c>
      <c r="O176" s="18" t="inlineStr">
        <is>
          <t>data/technology_templates.yaml; upgrade_*_budget / *_curve; code: technology_rules.allocate_upgrade_budget</t>
        </is>
      </c>
      <c r="P176" s="67">
        <f>INDEX('个人技术总览'!$O$5:$O$46,MATCH($A176,'个人技术总览'!$A$5:$A$46,0))</f>
        <v/>
      </c>
      <c r="Q176" s="64">
        <f>INDEX('个人技术总览'!$P$5:$P$46,MATCH($A176,'个人技术总览'!$A$5:$A$46,0))</f>
        <v/>
      </c>
      <c r="R176" s="67">
        <f>INDEX('个人技术总览'!$Q$5:$Q$46,MATCH($A176,'个人技术总览'!$A$5:$A$46,0))</f>
        <v/>
      </c>
      <c r="S176" s="64">
        <f>INDEX('个人技术总览'!$R$5:$R$46,MATCH($A176,'个人技术总览'!$A$5:$A$46,0))</f>
        <v/>
      </c>
      <c r="T176" s="68">
        <f>POWER($Q176,$E176)</f>
        <v/>
      </c>
      <c r="U176" s="68">
        <f>SUMIFS($T$5:$T$589,$A$5:$A$589,$A176)</f>
        <v/>
      </c>
      <c r="V176" s="67">
        <f>ROUNDDOWN(MAX(0,$P176-$H176*$G176)*$T176/MAX(1,$U176),0)</f>
        <v/>
      </c>
      <c r="W176" s="68">
        <f>POWER($S176,$E176)</f>
        <v/>
      </c>
      <c r="X176" s="68">
        <f>SUMIFS($W$5:$W$589,$A$5:$A$589,$A176)</f>
        <v/>
      </c>
      <c r="Y176" s="67">
        <f>ROUNDDOWN(MAX(0,$R176-$J176*$G176)*$W176/MAX(1,$X176),0)</f>
        <v/>
      </c>
    </row>
    <row r="177">
      <c r="A177" s="17" t="inlineStr">
        <is>
          <t>scout_art</t>
        </is>
      </c>
      <c r="B177" s="18" t="inlineStr">
        <is>
          <t>侦查术</t>
        </is>
      </c>
      <c r="C177" s="18" t="inlineStr">
        <is>
          <t>基本技术</t>
        </is>
      </c>
      <c r="D177" s="18" t="inlineStr">
        <is>
          <t>—</t>
        </is>
      </c>
      <c r="E177" s="65" t="n">
        <v>172</v>
      </c>
      <c r="F177" s="66">
        <f>E177+1</f>
        <v/>
      </c>
      <c r="G177" s="65">
        <f>INDEX('个人技术总览'!$E$5:$E$46,MATCH($A177,'个人技术总览'!$A$5:$A$46,0))</f>
        <v/>
      </c>
      <c r="H177" s="59">
        <f>INDEX('个人技术总览'!$F$5:$F$46,MATCH($A177,'个人技术总览'!$A$5:$A$46,0))</f>
        <v/>
      </c>
      <c r="I177" s="60">
        <f>INDEX('个人技术总览'!$G$5:$G$46,MATCH($A177,'个人技术总览'!$A$5:$A$46,0))</f>
        <v/>
      </c>
      <c r="J177" s="59">
        <f>INDEX('个人技术总览'!$H$5:$H$46,MATCH($A177,'个人技术总览'!$A$5:$A$46,0))</f>
        <v/>
      </c>
      <c r="K177" s="60">
        <f>INDEX('个人技术总览'!$I$5:$I$46,MATCH($A177,'个人技术总览'!$A$5:$A$46,0))</f>
        <v/>
      </c>
      <c r="L177" s="67">
        <f>H177+V177+IF(E177=G177-1,MAX(0,P177-H177*G177-SUMIFS($V$5:$V$589,$A$5:$A$589,$A177)),0)</f>
        <v/>
      </c>
      <c r="M177" s="61">
        <f>MAX(1,ROUNDDOWN($L177/'参数与公式'!$B$5,0))</f>
        <v/>
      </c>
      <c r="N177" s="67">
        <f>J177+Y177+IF(E177=G177-1,MAX(0,R177-J177*G177-SUMIFS($Y$5:$Y$589,$A$5:$A$589,$A177)),0)</f>
        <v/>
      </c>
      <c r="O177" s="18" t="inlineStr">
        <is>
          <t>data/technology_templates.yaml; upgrade_*_budget / *_curve; code: technology_rules.allocate_upgrade_budget</t>
        </is>
      </c>
      <c r="P177" s="67">
        <f>INDEX('个人技术总览'!$O$5:$O$46,MATCH($A177,'个人技术总览'!$A$5:$A$46,0))</f>
        <v/>
      </c>
      <c r="Q177" s="64">
        <f>INDEX('个人技术总览'!$P$5:$P$46,MATCH($A177,'个人技术总览'!$A$5:$A$46,0))</f>
        <v/>
      </c>
      <c r="R177" s="67">
        <f>INDEX('个人技术总览'!$Q$5:$Q$46,MATCH($A177,'个人技术总览'!$A$5:$A$46,0))</f>
        <v/>
      </c>
      <c r="S177" s="64">
        <f>INDEX('个人技术总览'!$R$5:$R$46,MATCH($A177,'个人技术总览'!$A$5:$A$46,0))</f>
        <v/>
      </c>
      <c r="T177" s="68">
        <f>POWER($Q177,$E177)</f>
        <v/>
      </c>
      <c r="U177" s="68">
        <f>SUMIFS($T$5:$T$589,$A$5:$A$589,$A177)</f>
        <v/>
      </c>
      <c r="V177" s="67">
        <f>ROUNDDOWN(MAX(0,$P177-$H177*$G177)*$T177/MAX(1,$U177),0)</f>
        <v/>
      </c>
      <c r="W177" s="68">
        <f>POWER($S177,$E177)</f>
        <v/>
      </c>
      <c r="X177" s="68">
        <f>SUMIFS($W$5:$W$589,$A$5:$A$589,$A177)</f>
        <v/>
      </c>
      <c r="Y177" s="67">
        <f>ROUNDDOWN(MAX(0,$R177-$J177*$G177)*$W177/MAX(1,$X177),0)</f>
        <v/>
      </c>
    </row>
    <row r="178">
      <c r="A178" s="17" t="inlineStr">
        <is>
          <t>scout_art</t>
        </is>
      </c>
      <c r="B178" s="18" t="inlineStr">
        <is>
          <t>侦查术</t>
        </is>
      </c>
      <c r="C178" s="18" t="inlineStr">
        <is>
          <t>基本技术</t>
        </is>
      </c>
      <c r="D178" s="18" t="inlineStr">
        <is>
          <t>—</t>
        </is>
      </c>
      <c r="E178" s="65" t="n">
        <v>173</v>
      </c>
      <c r="F178" s="66">
        <f>E178+1</f>
        <v/>
      </c>
      <c r="G178" s="65">
        <f>INDEX('个人技术总览'!$E$5:$E$46,MATCH($A178,'个人技术总览'!$A$5:$A$46,0))</f>
        <v/>
      </c>
      <c r="H178" s="59">
        <f>INDEX('个人技术总览'!$F$5:$F$46,MATCH($A178,'个人技术总览'!$A$5:$A$46,0))</f>
        <v/>
      </c>
      <c r="I178" s="60">
        <f>INDEX('个人技术总览'!$G$5:$G$46,MATCH($A178,'个人技术总览'!$A$5:$A$46,0))</f>
        <v/>
      </c>
      <c r="J178" s="59">
        <f>INDEX('个人技术总览'!$H$5:$H$46,MATCH($A178,'个人技术总览'!$A$5:$A$46,0))</f>
        <v/>
      </c>
      <c r="K178" s="60">
        <f>INDEX('个人技术总览'!$I$5:$I$46,MATCH($A178,'个人技术总览'!$A$5:$A$46,0))</f>
        <v/>
      </c>
      <c r="L178" s="67">
        <f>H178+V178+IF(E178=G178-1,MAX(0,P178-H178*G178-SUMIFS($V$5:$V$589,$A$5:$A$589,$A178)),0)</f>
        <v/>
      </c>
      <c r="M178" s="61">
        <f>MAX(1,ROUNDDOWN($L178/'参数与公式'!$B$5,0))</f>
        <v/>
      </c>
      <c r="N178" s="67">
        <f>J178+Y178+IF(E178=G178-1,MAX(0,R178-J178*G178-SUMIFS($Y$5:$Y$589,$A$5:$A$589,$A178)),0)</f>
        <v/>
      </c>
      <c r="O178" s="18" t="inlineStr">
        <is>
          <t>data/technology_templates.yaml; upgrade_*_budget / *_curve; code: technology_rules.allocate_upgrade_budget</t>
        </is>
      </c>
      <c r="P178" s="67">
        <f>INDEX('个人技术总览'!$O$5:$O$46,MATCH($A178,'个人技术总览'!$A$5:$A$46,0))</f>
        <v/>
      </c>
      <c r="Q178" s="64">
        <f>INDEX('个人技术总览'!$P$5:$P$46,MATCH($A178,'个人技术总览'!$A$5:$A$46,0))</f>
        <v/>
      </c>
      <c r="R178" s="67">
        <f>INDEX('个人技术总览'!$Q$5:$Q$46,MATCH($A178,'个人技术总览'!$A$5:$A$46,0))</f>
        <v/>
      </c>
      <c r="S178" s="64">
        <f>INDEX('个人技术总览'!$R$5:$R$46,MATCH($A178,'个人技术总览'!$A$5:$A$46,0))</f>
        <v/>
      </c>
      <c r="T178" s="68">
        <f>POWER($Q178,$E178)</f>
        <v/>
      </c>
      <c r="U178" s="68">
        <f>SUMIFS($T$5:$T$589,$A$5:$A$589,$A178)</f>
        <v/>
      </c>
      <c r="V178" s="67">
        <f>ROUNDDOWN(MAX(0,$P178-$H178*$G178)*$T178/MAX(1,$U178),0)</f>
        <v/>
      </c>
      <c r="W178" s="68">
        <f>POWER($S178,$E178)</f>
        <v/>
      </c>
      <c r="X178" s="68">
        <f>SUMIFS($W$5:$W$589,$A$5:$A$589,$A178)</f>
        <v/>
      </c>
      <c r="Y178" s="67">
        <f>ROUNDDOWN(MAX(0,$R178-$J178*$G178)*$W178/MAX(1,$X178),0)</f>
        <v/>
      </c>
    </row>
    <row r="179">
      <c r="A179" s="17" t="inlineStr">
        <is>
          <t>scout_art</t>
        </is>
      </c>
      <c r="B179" s="18" t="inlineStr">
        <is>
          <t>侦查术</t>
        </is>
      </c>
      <c r="C179" s="18" t="inlineStr">
        <is>
          <t>基本技术</t>
        </is>
      </c>
      <c r="D179" s="18" t="inlineStr">
        <is>
          <t>—</t>
        </is>
      </c>
      <c r="E179" s="65" t="n">
        <v>174</v>
      </c>
      <c r="F179" s="66">
        <f>E179+1</f>
        <v/>
      </c>
      <c r="G179" s="65">
        <f>INDEX('个人技术总览'!$E$5:$E$46,MATCH($A179,'个人技术总览'!$A$5:$A$46,0))</f>
        <v/>
      </c>
      <c r="H179" s="59">
        <f>INDEX('个人技术总览'!$F$5:$F$46,MATCH($A179,'个人技术总览'!$A$5:$A$46,0))</f>
        <v/>
      </c>
      <c r="I179" s="60">
        <f>INDEX('个人技术总览'!$G$5:$G$46,MATCH($A179,'个人技术总览'!$A$5:$A$46,0))</f>
        <v/>
      </c>
      <c r="J179" s="59">
        <f>INDEX('个人技术总览'!$H$5:$H$46,MATCH($A179,'个人技术总览'!$A$5:$A$46,0))</f>
        <v/>
      </c>
      <c r="K179" s="60">
        <f>INDEX('个人技术总览'!$I$5:$I$46,MATCH($A179,'个人技术总览'!$A$5:$A$46,0))</f>
        <v/>
      </c>
      <c r="L179" s="67">
        <f>H179+V179+IF(E179=G179-1,MAX(0,P179-H179*G179-SUMIFS($V$5:$V$589,$A$5:$A$589,$A179)),0)</f>
        <v/>
      </c>
      <c r="M179" s="61">
        <f>MAX(1,ROUNDDOWN($L179/'参数与公式'!$B$5,0))</f>
        <v/>
      </c>
      <c r="N179" s="67">
        <f>J179+Y179+IF(E179=G179-1,MAX(0,R179-J179*G179-SUMIFS($Y$5:$Y$589,$A$5:$A$589,$A179)),0)</f>
        <v/>
      </c>
      <c r="O179" s="18" t="inlineStr">
        <is>
          <t>data/technology_templates.yaml; upgrade_*_budget / *_curve; code: technology_rules.allocate_upgrade_budget</t>
        </is>
      </c>
      <c r="P179" s="67">
        <f>INDEX('个人技术总览'!$O$5:$O$46,MATCH($A179,'个人技术总览'!$A$5:$A$46,0))</f>
        <v/>
      </c>
      <c r="Q179" s="64">
        <f>INDEX('个人技术总览'!$P$5:$P$46,MATCH($A179,'个人技术总览'!$A$5:$A$46,0))</f>
        <v/>
      </c>
      <c r="R179" s="67">
        <f>INDEX('个人技术总览'!$Q$5:$Q$46,MATCH($A179,'个人技术总览'!$A$5:$A$46,0))</f>
        <v/>
      </c>
      <c r="S179" s="64">
        <f>INDEX('个人技术总览'!$R$5:$R$46,MATCH($A179,'个人技术总览'!$A$5:$A$46,0))</f>
        <v/>
      </c>
      <c r="T179" s="68">
        <f>POWER($Q179,$E179)</f>
        <v/>
      </c>
      <c r="U179" s="68">
        <f>SUMIFS($T$5:$T$589,$A$5:$A$589,$A179)</f>
        <v/>
      </c>
      <c r="V179" s="67">
        <f>ROUNDDOWN(MAX(0,$P179-$H179*$G179)*$T179/MAX(1,$U179),0)</f>
        <v/>
      </c>
      <c r="W179" s="68">
        <f>POWER($S179,$E179)</f>
        <v/>
      </c>
      <c r="X179" s="68">
        <f>SUMIFS($W$5:$W$589,$A$5:$A$589,$A179)</f>
        <v/>
      </c>
      <c r="Y179" s="67">
        <f>ROUNDDOWN(MAX(0,$R179-$J179*$G179)*$W179/MAX(1,$X179),0)</f>
        <v/>
      </c>
    </row>
    <row r="180">
      <c r="A180" s="17" t="inlineStr">
        <is>
          <t>scout_art</t>
        </is>
      </c>
      <c r="B180" s="18" t="inlineStr">
        <is>
          <t>侦查术</t>
        </is>
      </c>
      <c r="C180" s="18" t="inlineStr">
        <is>
          <t>基本技术</t>
        </is>
      </c>
      <c r="D180" s="18" t="inlineStr">
        <is>
          <t>—</t>
        </is>
      </c>
      <c r="E180" s="65" t="n">
        <v>175</v>
      </c>
      <c r="F180" s="66">
        <f>E180+1</f>
        <v/>
      </c>
      <c r="G180" s="65">
        <f>INDEX('个人技术总览'!$E$5:$E$46,MATCH($A180,'个人技术总览'!$A$5:$A$46,0))</f>
        <v/>
      </c>
      <c r="H180" s="59">
        <f>INDEX('个人技术总览'!$F$5:$F$46,MATCH($A180,'个人技术总览'!$A$5:$A$46,0))</f>
        <v/>
      </c>
      <c r="I180" s="60">
        <f>INDEX('个人技术总览'!$G$5:$G$46,MATCH($A180,'个人技术总览'!$A$5:$A$46,0))</f>
        <v/>
      </c>
      <c r="J180" s="59">
        <f>INDEX('个人技术总览'!$H$5:$H$46,MATCH($A180,'个人技术总览'!$A$5:$A$46,0))</f>
        <v/>
      </c>
      <c r="K180" s="60">
        <f>INDEX('个人技术总览'!$I$5:$I$46,MATCH($A180,'个人技术总览'!$A$5:$A$46,0))</f>
        <v/>
      </c>
      <c r="L180" s="67">
        <f>H180+V180+IF(E180=G180-1,MAX(0,P180-H180*G180-SUMIFS($V$5:$V$589,$A$5:$A$589,$A180)),0)</f>
        <v/>
      </c>
      <c r="M180" s="61">
        <f>MAX(1,ROUNDDOWN($L180/'参数与公式'!$B$5,0))</f>
        <v/>
      </c>
      <c r="N180" s="67">
        <f>J180+Y180+IF(E180=G180-1,MAX(0,R180-J180*G180-SUMIFS($Y$5:$Y$589,$A$5:$A$589,$A180)),0)</f>
        <v/>
      </c>
      <c r="O180" s="18" t="inlineStr">
        <is>
          <t>data/technology_templates.yaml; upgrade_*_budget / *_curve; code: technology_rules.allocate_upgrade_budget</t>
        </is>
      </c>
      <c r="P180" s="67">
        <f>INDEX('个人技术总览'!$O$5:$O$46,MATCH($A180,'个人技术总览'!$A$5:$A$46,0))</f>
        <v/>
      </c>
      <c r="Q180" s="64">
        <f>INDEX('个人技术总览'!$P$5:$P$46,MATCH($A180,'个人技术总览'!$A$5:$A$46,0))</f>
        <v/>
      </c>
      <c r="R180" s="67">
        <f>INDEX('个人技术总览'!$Q$5:$Q$46,MATCH($A180,'个人技术总览'!$A$5:$A$46,0))</f>
        <v/>
      </c>
      <c r="S180" s="64">
        <f>INDEX('个人技术总览'!$R$5:$R$46,MATCH($A180,'个人技术总览'!$A$5:$A$46,0))</f>
        <v/>
      </c>
      <c r="T180" s="68">
        <f>POWER($Q180,$E180)</f>
        <v/>
      </c>
      <c r="U180" s="68">
        <f>SUMIFS($T$5:$T$589,$A$5:$A$589,$A180)</f>
        <v/>
      </c>
      <c r="V180" s="67">
        <f>ROUNDDOWN(MAX(0,$P180-$H180*$G180)*$T180/MAX(1,$U180),0)</f>
        <v/>
      </c>
      <c r="W180" s="68">
        <f>POWER($S180,$E180)</f>
        <v/>
      </c>
      <c r="X180" s="68">
        <f>SUMIFS($W$5:$W$589,$A$5:$A$589,$A180)</f>
        <v/>
      </c>
      <c r="Y180" s="67">
        <f>ROUNDDOWN(MAX(0,$R180-$J180*$G180)*$W180/MAX(1,$X180),0)</f>
        <v/>
      </c>
    </row>
    <row r="181">
      <c r="A181" s="17" t="inlineStr">
        <is>
          <t>scout_art</t>
        </is>
      </c>
      <c r="B181" s="18" t="inlineStr">
        <is>
          <t>侦查术</t>
        </is>
      </c>
      <c r="C181" s="18" t="inlineStr">
        <is>
          <t>基本技术</t>
        </is>
      </c>
      <c r="D181" s="18" t="inlineStr">
        <is>
          <t>—</t>
        </is>
      </c>
      <c r="E181" s="65" t="n">
        <v>176</v>
      </c>
      <c r="F181" s="66">
        <f>E181+1</f>
        <v/>
      </c>
      <c r="G181" s="65">
        <f>INDEX('个人技术总览'!$E$5:$E$46,MATCH($A181,'个人技术总览'!$A$5:$A$46,0))</f>
        <v/>
      </c>
      <c r="H181" s="59">
        <f>INDEX('个人技术总览'!$F$5:$F$46,MATCH($A181,'个人技术总览'!$A$5:$A$46,0))</f>
        <v/>
      </c>
      <c r="I181" s="60">
        <f>INDEX('个人技术总览'!$G$5:$G$46,MATCH($A181,'个人技术总览'!$A$5:$A$46,0))</f>
        <v/>
      </c>
      <c r="J181" s="59">
        <f>INDEX('个人技术总览'!$H$5:$H$46,MATCH($A181,'个人技术总览'!$A$5:$A$46,0))</f>
        <v/>
      </c>
      <c r="K181" s="60">
        <f>INDEX('个人技术总览'!$I$5:$I$46,MATCH($A181,'个人技术总览'!$A$5:$A$46,0))</f>
        <v/>
      </c>
      <c r="L181" s="67">
        <f>H181+V181+IF(E181=G181-1,MAX(0,P181-H181*G181-SUMIFS($V$5:$V$589,$A$5:$A$589,$A181)),0)</f>
        <v/>
      </c>
      <c r="M181" s="61">
        <f>MAX(1,ROUNDDOWN($L181/'参数与公式'!$B$5,0))</f>
        <v/>
      </c>
      <c r="N181" s="67">
        <f>J181+Y181+IF(E181=G181-1,MAX(0,R181-J181*G181-SUMIFS($Y$5:$Y$589,$A$5:$A$589,$A181)),0)</f>
        <v/>
      </c>
      <c r="O181" s="18" t="inlineStr">
        <is>
          <t>data/technology_templates.yaml; upgrade_*_budget / *_curve; code: technology_rules.allocate_upgrade_budget</t>
        </is>
      </c>
      <c r="P181" s="67">
        <f>INDEX('个人技术总览'!$O$5:$O$46,MATCH($A181,'个人技术总览'!$A$5:$A$46,0))</f>
        <v/>
      </c>
      <c r="Q181" s="64">
        <f>INDEX('个人技术总览'!$P$5:$P$46,MATCH($A181,'个人技术总览'!$A$5:$A$46,0))</f>
        <v/>
      </c>
      <c r="R181" s="67">
        <f>INDEX('个人技术总览'!$Q$5:$Q$46,MATCH($A181,'个人技术总览'!$A$5:$A$46,0))</f>
        <v/>
      </c>
      <c r="S181" s="64">
        <f>INDEX('个人技术总览'!$R$5:$R$46,MATCH($A181,'个人技术总览'!$A$5:$A$46,0))</f>
        <v/>
      </c>
      <c r="T181" s="68">
        <f>POWER($Q181,$E181)</f>
        <v/>
      </c>
      <c r="U181" s="68">
        <f>SUMIFS($T$5:$T$589,$A$5:$A$589,$A181)</f>
        <v/>
      </c>
      <c r="V181" s="67">
        <f>ROUNDDOWN(MAX(0,$P181-$H181*$G181)*$T181/MAX(1,$U181),0)</f>
        <v/>
      </c>
      <c r="W181" s="68">
        <f>POWER($S181,$E181)</f>
        <v/>
      </c>
      <c r="X181" s="68">
        <f>SUMIFS($W$5:$W$589,$A$5:$A$589,$A181)</f>
        <v/>
      </c>
      <c r="Y181" s="67">
        <f>ROUNDDOWN(MAX(0,$R181-$J181*$G181)*$W181/MAX(1,$X181),0)</f>
        <v/>
      </c>
    </row>
    <row r="182">
      <c r="A182" s="17" t="inlineStr">
        <is>
          <t>scout_art</t>
        </is>
      </c>
      <c r="B182" s="18" t="inlineStr">
        <is>
          <t>侦查术</t>
        </is>
      </c>
      <c r="C182" s="18" t="inlineStr">
        <is>
          <t>基本技术</t>
        </is>
      </c>
      <c r="D182" s="18" t="inlineStr">
        <is>
          <t>—</t>
        </is>
      </c>
      <c r="E182" s="65" t="n">
        <v>177</v>
      </c>
      <c r="F182" s="66">
        <f>E182+1</f>
        <v/>
      </c>
      <c r="G182" s="65">
        <f>INDEX('个人技术总览'!$E$5:$E$46,MATCH($A182,'个人技术总览'!$A$5:$A$46,0))</f>
        <v/>
      </c>
      <c r="H182" s="59">
        <f>INDEX('个人技术总览'!$F$5:$F$46,MATCH($A182,'个人技术总览'!$A$5:$A$46,0))</f>
        <v/>
      </c>
      <c r="I182" s="60">
        <f>INDEX('个人技术总览'!$G$5:$G$46,MATCH($A182,'个人技术总览'!$A$5:$A$46,0))</f>
        <v/>
      </c>
      <c r="J182" s="59">
        <f>INDEX('个人技术总览'!$H$5:$H$46,MATCH($A182,'个人技术总览'!$A$5:$A$46,0))</f>
        <v/>
      </c>
      <c r="K182" s="60">
        <f>INDEX('个人技术总览'!$I$5:$I$46,MATCH($A182,'个人技术总览'!$A$5:$A$46,0))</f>
        <v/>
      </c>
      <c r="L182" s="67">
        <f>H182+V182+IF(E182=G182-1,MAX(0,P182-H182*G182-SUMIFS($V$5:$V$589,$A$5:$A$589,$A182)),0)</f>
        <v/>
      </c>
      <c r="M182" s="61">
        <f>MAX(1,ROUNDDOWN($L182/'参数与公式'!$B$5,0))</f>
        <v/>
      </c>
      <c r="N182" s="67">
        <f>J182+Y182+IF(E182=G182-1,MAX(0,R182-J182*G182-SUMIFS($Y$5:$Y$589,$A$5:$A$589,$A182)),0)</f>
        <v/>
      </c>
      <c r="O182" s="18" t="inlineStr">
        <is>
          <t>data/technology_templates.yaml; upgrade_*_budget / *_curve; code: technology_rules.allocate_upgrade_budget</t>
        </is>
      </c>
      <c r="P182" s="67">
        <f>INDEX('个人技术总览'!$O$5:$O$46,MATCH($A182,'个人技术总览'!$A$5:$A$46,0))</f>
        <v/>
      </c>
      <c r="Q182" s="64">
        <f>INDEX('个人技术总览'!$P$5:$P$46,MATCH($A182,'个人技术总览'!$A$5:$A$46,0))</f>
        <v/>
      </c>
      <c r="R182" s="67">
        <f>INDEX('个人技术总览'!$Q$5:$Q$46,MATCH($A182,'个人技术总览'!$A$5:$A$46,0))</f>
        <v/>
      </c>
      <c r="S182" s="64">
        <f>INDEX('个人技术总览'!$R$5:$R$46,MATCH($A182,'个人技术总览'!$A$5:$A$46,0))</f>
        <v/>
      </c>
      <c r="T182" s="68">
        <f>POWER($Q182,$E182)</f>
        <v/>
      </c>
      <c r="U182" s="68">
        <f>SUMIFS($T$5:$T$589,$A$5:$A$589,$A182)</f>
        <v/>
      </c>
      <c r="V182" s="67">
        <f>ROUNDDOWN(MAX(0,$P182-$H182*$G182)*$T182/MAX(1,$U182),0)</f>
        <v/>
      </c>
      <c r="W182" s="68">
        <f>POWER($S182,$E182)</f>
        <v/>
      </c>
      <c r="X182" s="68">
        <f>SUMIFS($W$5:$W$589,$A$5:$A$589,$A182)</f>
        <v/>
      </c>
      <c r="Y182" s="67">
        <f>ROUNDDOWN(MAX(0,$R182-$J182*$G182)*$W182/MAX(1,$X182),0)</f>
        <v/>
      </c>
    </row>
    <row r="183">
      <c r="A183" s="17" t="inlineStr">
        <is>
          <t>scout_art</t>
        </is>
      </c>
      <c r="B183" s="18" t="inlineStr">
        <is>
          <t>侦查术</t>
        </is>
      </c>
      <c r="C183" s="18" t="inlineStr">
        <is>
          <t>基本技术</t>
        </is>
      </c>
      <c r="D183" s="18" t="inlineStr">
        <is>
          <t>—</t>
        </is>
      </c>
      <c r="E183" s="65" t="n">
        <v>178</v>
      </c>
      <c r="F183" s="66">
        <f>E183+1</f>
        <v/>
      </c>
      <c r="G183" s="65">
        <f>INDEX('个人技术总览'!$E$5:$E$46,MATCH($A183,'个人技术总览'!$A$5:$A$46,0))</f>
        <v/>
      </c>
      <c r="H183" s="59">
        <f>INDEX('个人技术总览'!$F$5:$F$46,MATCH($A183,'个人技术总览'!$A$5:$A$46,0))</f>
        <v/>
      </c>
      <c r="I183" s="60">
        <f>INDEX('个人技术总览'!$G$5:$G$46,MATCH($A183,'个人技术总览'!$A$5:$A$46,0))</f>
        <v/>
      </c>
      <c r="J183" s="59">
        <f>INDEX('个人技术总览'!$H$5:$H$46,MATCH($A183,'个人技术总览'!$A$5:$A$46,0))</f>
        <v/>
      </c>
      <c r="K183" s="60">
        <f>INDEX('个人技术总览'!$I$5:$I$46,MATCH($A183,'个人技术总览'!$A$5:$A$46,0))</f>
        <v/>
      </c>
      <c r="L183" s="67">
        <f>H183+V183+IF(E183=G183-1,MAX(0,P183-H183*G183-SUMIFS($V$5:$V$589,$A$5:$A$589,$A183)),0)</f>
        <v/>
      </c>
      <c r="M183" s="61">
        <f>MAX(1,ROUNDDOWN($L183/'参数与公式'!$B$5,0))</f>
        <v/>
      </c>
      <c r="N183" s="67">
        <f>J183+Y183+IF(E183=G183-1,MAX(0,R183-J183*G183-SUMIFS($Y$5:$Y$589,$A$5:$A$589,$A183)),0)</f>
        <v/>
      </c>
      <c r="O183" s="18" t="inlineStr">
        <is>
          <t>data/technology_templates.yaml; upgrade_*_budget / *_curve; code: technology_rules.allocate_upgrade_budget</t>
        </is>
      </c>
      <c r="P183" s="67">
        <f>INDEX('个人技术总览'!$O$5:$O$46,MATCH($A183,'个人技术总览'!$A$5:$A$46,0))</f>
        <v/>
      </c>
      <c r="Q183" s="64">
        <f>INDEX('个人技术总览'!$P$5:$P$46,MATCH($A183,'个人技术总览'!$A$5:$A$46,0))</f>
        <v/>
      </c>
      <c r="R183" s="67">
        <f>INDEX('个人技术总览'!$Q$5:$Q$46,MATCH($A183,'个人技术总览'!$A$5:$A$46,0))</f>
        <v/>
      </c>
      <c r="S183" s="64">
        <f>INDEX('个人技术总览'!$R$5:$R$46,MATCH($A183,'个人技术总览'!$A$5:$A$46,0))</f>
        <v/>
      </c>
      <c r="T183" s="68">
        <f>POWER($Q183,$E183)</f>
        <v/>
      </c>
      <c r="U183" s="68">
        <f>SUMIFS($T$5:$T$589,$A$5:$A$589,$A183)</f>
        <v/>
      </c>
      <c r="V183" s="67">
        <f>ROUNDDOWN(MAX(0,$P183-$H183*$G183)*$T183/MAX(1,$U183),0)</f>
        <v/>
      </c>
      <c r="W183" s="68">
        <f>POWER($S183,$E183)</f>
        <v/>
      </c>
      <c r="X183" s="68">
        <f>SUMIFS($W$5:$W$589,$A$5:$A$589,$A183)</f>
        <v/>
      </c>
      <c r="Y183" s="67">
        <f>ROUNDDOWN(MAX(0,$R183-$J183*$G183)*$W183/MAX(1,$X183),0)</f>
        <v/>
      </c>
    </row>
    <row r="184">
      <c r="A184" s="17" t="inlineStr">
        <is>
          <t>scout_art</t>
        </is>
      </c>
      <c r="B184" s="18" t="inlineStr">
        <is>
          <t>侦查术</t>
        </is>
      </c>
      <c r="C184" s="18" t="inlineStr">
        <is>
          <t>基本技术</t>
        </is>
      </c>
      <c r="D184" s="18" t="inlineStr">
        <is>
          <t>—</t>
        </is>
      </c>
      <c r="E184" s="65" t="n">
        <v>179</v>
      </c>
      <c r="F184" s="66">
        <f>E184+1</f>
        <v/>
      </c>
      <c r="G184" s="65">
        <f>INDEX('个人技术总览'!$E$5:$E$46,MATCH($A184,'个人技术总览'!$A$5:$A$46,0))</f>
        <v/>
      </c>
      <c r="H184" s="59">
        <f>INDEX('个人技术总览'!$F$5:$F$46,MATCH($A184,'个人技术总览'!$A$5:$A$46,0))</f>
        <v/>
      </c>
      <c r="I184" s="60">
        <f>INDEX('个人技术总览'!$G$5:$G$46,MATCH($A184,'个人技术总览'!$A$5:$A$46,0))</f>
        <v/>
      </c>
      <c r="J184" s="59">
        <f>INDEX('个人技术总览'!$H$5:$H$46,MATCH($A184,'个人技术总览'!$A$5:$A$46,0))</f>
        <v/>
      </c>
      <c r="K184" s="60">
        <f>INDEX('个人技术总览'!$I$5:$I$46,MATCH($A184,'个人技术总览'!$A$5:$A$46,0))</f>
        <v/>
      </c>
      <c r="L184" s="67">
        <f>H184+V184+IF(E184=G184-1,MAX(0,P184-H184*G184-SUMIFS($V$5:$V$589,$A$5:$A$589,$A184)),0)</f>
        <v/>
      </c>
      <c r="M184" s="61">
        <f>MAX(1,ROUNDDOWN($L184/'参数与公式'!$B$5,0))</f>
        <v/>
      </c>
      <c r="N184" s="67">
        <f>J184+Y184+IF(E184=G184-1,MAX(0,R184-J184*G184-SUMIFS($Y$5:$Y$589,$A$5:$A$589,$A184)),0)</f>
        <v/>
      </c>
      <c r="O184" s="18" t="inlineStr">
        <is>
          <t>data/technology_templates.yaml; upgrade_*_budget / *_curve; code: technology_rules.allocate_upgrade_budget</t>
        </is>
      </c>
      <c r="P184" s="67">
        <f>INDEX('个人技术总览'!$O$5:$O$46,MATCH($A184,'个人技术总览'!$A$5:$A$46,0))</f>
        <v/>
      </c>
      <c r="Q184" s="64">
        <f>INDEX('个人技术总览'!$P$5:$P$46,MATCH($A184,'个人技术总览'!$A$5:$A$46,0))</f>
        <v/>
      </c>
      <c r="R184" s="67">
        <f>INDEX('个人技术总览'!$Q$5:$Q$46,MATCH($A184,'个人技术总览'!$A$5:$A$46,0))</f>
        <v/>
      </c>
      <c r="S184" s="64">
        <f>INDEX('个人技术总览'!$R$5:$R$46,MATCH($A184,'个人技术总览'!$A$5:$A$46,0))</f>
        <v/>
      </c>
      <c r="T184" s="68">
        <f>POWER($Q184,$E184)</f>
        <v/>
      </c>
      <c r="U184" s="68">
        <f>SUMIFS($T$5:$T$589,$A$5:$A$589,$A184)</f>
        <v/>
      </c>
      <c r="V184" s="67">
        <f>ROUNDDOWN(MAX(0,$P184-$H184*$G184)*$T184/MAX(1,$U184),0)</f>
        <v/>
      </c>
      <c r="W184" s="68">
        <f>POWER($S184,$E184)</f>
        <v/>
      </c>
      <c r="X184" s="68">
        <f>SUMIFS($W$5:$W$589,$A$5:$A$589,$A184)</f>
        <v/>
      </c>
      <c r="Y184" s="67">
        <f>ROUNDDOWN(MAX(0,$R184-$J184*$G184)*$W184/MAX(1,$X184),0)</f>
        <v/>
      </c>
    </row>
    <row r="185">
      <c r="A185" s="17" t="inlineStr">
        <is>
          <t>scout_art</t>
        </is>
      </c>
      <c r="B185" s="18" t="inlineStr">
        <is>
          <t>侦查术</t>
        </is>
      </c>
      <c r="C185" s="18" t="inlineStr">
        <is>
          <t>基本技术</t>
        </is>
      </c>
      <c r="D185" s="18" t="inlineStr">
        <is>
          <t>—</t>
        </is>
      </c>
      <c r="E185" s="65" t="n">
        <v>180</v>
      </c>
      <c r="F185" s="66">
        <f>E185+1</f>
        <v/>
      </c>
      <c r="G185" s="65">
        <f>INDEX('个人技术总览'!$E$5:$E$46,MATCH($A185,'个人技术总览'!$A$5:$A$46,0))</f>
        <v/>
      </c>
      <c r="H185" s="59">
        <f>INDEX('个人技术总览'!$F$5:$F$46,MATCH($A185,'个人技术总览'!$A$5:$A$46,0))</f>
        <v/>
      </c>
      <c r="I185" s="60">
        <f>INDEX('个人技术总览'!$G$5:$G$46,MATCH($A185,'个人技术总览'!$A$5:$A$46,0))</f>
        <v/>
      </c>
      <c r="J185" s="59">
        <f>INDEX('个人技术总览'!$H$5:$H$46,MATCH($A185,'个人技术总览'!$A$5:$A$46,0))</f>
        <v/>
      </c>
      <c r="K185" s="60">
        <f>INDEX('个人技术总览'!$I$5:$I$46,MATCH($A185,'个人技术总览'!$A$5:$A$46,0))</f>
        <v/>
      </c>
      <c r="L185" s="67">
        <f>H185+V185+IF(E185=G185-1,MAX(0,P185-H185*G185-SUMIFS($V$5:$V$589,$A$5:$A$589,$A185)),0)</f>
        <v/>
      </c>
      <c r="M185" s="61">
        <f>MAX(1,ROUNDDOWN($L185/'参数与公式'!$B$5,0))</f>
        <v/>
      </c>
      <c r="N185" s="67">
        <f>J185+Y185+IF(E185=G185-1,MAX(0,R185-J185*G185-SUMIFS($Y$5:$Y$589,$A$5:$A$589,$A185)),0)</f>
        <v/>
      </c>
      <c r="O185" s="18" t="inlineStr">
        <is>
          <t>data/technology_templates.yaml; upgrade_*_budget / *_curve; code: technology_rules.allocate_upgrade_budget</t>
        </is>
      </c>
      <c r="P185" s="67">
        <f>INDEX('个人技术总览'!$O$5:$O$46,MATCH($A185,'个人技术总览'!$A$5:$A$46,0))</f>
        <v/>
      </c>
      <c r="Q185" s="64">
        <f>INDEX('个人技术总览'!$P$5:$P$46,MATCH($A185,'个人技术总览'!$A$5:$A$46,0))</f>
        <v/>
      </c>
      <c r="R185" s="67">
        <f>INDEX('个人技术总览'!$Q$5:$Q$46,MATCH($A185,'个人技术总览'!$A$5:$A$46,0))</f>
        <v/>
      </c>
      <c r="S185" s="64">
        <f>INDEX('个人技术总览'!$R$5:$R$46,MATCH($A185,'个人技术总览'!$A$5:$A$46,0))</f>
        <v/>
      </c>
      <c r="T185" s="68">
        <f>POWER($Q185,$E185)</f>
        <v/>
      </c>
      <c r="U185" s="68">
        <f>SUMIFS($T$5:$T$589,$A$5:$A$589,$A185)</f>
        <v/>
      </c>
      <c r="V185" s="67">
        <f>ROUNDDOWN(MAX(0,$P185-$H185*$G185)*$T185/MAX(1,$U185),0)</f>
        <v/>
      </c>
      <c r="W185" s="68">
        <f>POWER($S185,$E185)</f>
        <v/>
      </c>
      <c r="X185" s="68">
        <f>SUMIFS($W$5:$W$589,$A$5:$A$589,$A185)</f>
        <v/>
      </c>
      <c r="Y185" s="67">
        <f>ROUNDDOWN(MAX(0,$R185-$J185*$G185)*$W185/MAX(1,$X185),0)</f>
        <v/>
      </c>
    </row>
    <row r="186">
      <c r="A186" s="17" t="inlineStr">
        <is>
          <t>scout_art</t>
        </is>
      </c>
      <c r="B186" s="18" t="inlineStr">
        <is>
          <t>侦查术</t>
        </is>
      </c>
      <c r="C186" s="18" t="inlineStr">
        <is>
          <t>基本技术</t>
        </is>
      </c>
      <c r="D186" s="18" t="inlineStr">
        <is>
          <t>—</t>
        </is>
      </c>
      <c r="E186" s="65" t="n">
        <v>181</v>
      </c>
      <c r="F186" s="66">
        <f>E186+1</f>
        <v/>
      </c>
      <c r="G186" s="65">
        <f>INDEX('个人技术总览'!$E$5:$E$46,MATCH($A186,'个人技术总览'!$A$5:$A$46,0))</f>
        <v/>
      </c>
      <c r="H186" s="59">
        <f>INDEX('个人技术总览'!$F$5:$F$46,MATCH($A186,'个人技术总览'!$A$5:$A$46,0))</f>
        <v/>
      </c>
      <c r="I186" s="60">
        <f>INDEX('个人技术总览'!$G$5:$G$46,MATCH($A186,'个人技术总览'!$A$5:$A$46,0))</f>
        <v/>
      </c>
      <c r="J186" s="59">
        <f>INDEX('个人技术总览'!$H$5:$H$46,MATCH($A186,'个人技术总览'!$A$5:$A$46,0))</f>
        <v/>
      </c>
      <c r="K186" s="60">
        <f>INDEX('个人技术总览'!$I$5:$I$46,MATCH($A186,'个人技术总览'!$A$5:$A$46,0))</f>
        <v/>
      </c>
      <c r="L186" s="67">
        <f>H186+V186+IF(E186=G186-1,MAX(0,P186-H186*G186-SUMIFS($V$5:$V$589,$A$5:$A$589,$A186)),0)</f>
        <v/>
      </c>
      <c r="M186" s="61">
        <f>MAX(1,ROUNDDOWN($L186/'参数与公式'!$B$5,0))</f>
        <v/>
      </c>
      <c r="N186" s="67">
        <f>J186+Y186+IF(E186=G186-1,MAX(0,R186-J186*G186-SUMIFS($Y$5:$Y$589,$A$5:$A$589,$A186)),0)</f>
        <v/>
      </c>
      <c r="O186" s="18" t="inlineStr">
        <is>
          <t>data/technology_templates.yaml; upgrade_*_budget / *_curve; code: technology_rules.allocate_upgrade_budget</t>
        </is>
      </c>
      <c r="P186" s="67">
        <f>INDEX('个人技术总览'!$O$5:$O$46,MATCH($A186,'个人技术总览'!$A$5:$A$46,0))</f>
        <v/>
      </c>
      <c r="Q186" s="64">
        <f>INDEX('个人技术总览'!$P$5:$P$46,MATCH($A186,'个人技术总览'!$A$5:$A$46,0))</f>
        <v/>
      </c>
      <c r="R186" s="67">
        <f>INDEX('个人技术总览'!$Q$5:$Q$46,MATCH($A186,'个人技术总览'!$A$5:$A$46,0))</f>
        <v/>
      </c>
      <c r="S186" s="64">
        <f>INDEX('个人技术总览'!$R$5:$R$46,MATCH($A186,'个人技术总览'!$A$5:$A$46,0))</f>
        <v/>
      </c>
      <c r="T186" s="68">
        <f>POWER($Q186,$E186)</f>
        <v/>
      </c>
      <c r="U186" s="68">
        <f>SUMIFS($T$5:$T$589,$A$5:$A$589,$A186)</f>
        <v/>
      </c>
      <c r="V186" s="67">
        <f>ROUNDDOWN(MAX(0,$P186-$H186*$G186)*$T186/MAX(1,$U186),0)</f>
        <v/>
      </c>
      <c r="W186" s="68">
        <f>POWER($S186,$E186)</f>
        <v/>
      </c>
      <c r="X186" s="68">
        <f>SUMIFS($W$5:$W$589,$A$5:$A$589,$A186)</f>
        <v/>
      </c>
      <c r="Y186" s="67">
        <f>ROUNDDOWN(MAX(0,$R186-$J186*$G186)*$W186/MAX(1,$X186),0)</f>
        <v/>
      </c>
    </row>
    <row r="187">
      <c r="A187" s="17" t="inlineStr">
        <is>
          <t>scout_art</t>
        </is>
      </c>
      <c r="B187" s="18" t="inlineStr">
        <is>
          <t>侦查术</t>
        </is>
      </c>
      <c r="C187" s="18" t="inlineStr">
        <is>
          <t>基本技术</t>
        </is>
      </c>
      <c r="D187" s="18" t="inlineStr">
        <is>
          <t>—</t>
        </is>
      </c>
      <c r="E187" s="65" t="n">
        <v>182</v>
      </c>
      <c r="F187" s="66">
        <f>E187+1</f>
        <v/>
      </c>
      <c r="G187" s="65">
        <f>INDEX('个人技术总览'!$E$5:$E$46,MATCH($A187,'个人技术总览'!$A$5:$A$46,0))</f>
        <v/>
      </c>
      <c r="H187" s="59">
        <f>INDEX('个人技术总览'!$F$5:$F$46,MATCH($A187,'个人技术总览'!$A$5:$A$46,0))</f>
        <v/>
      </c>
      <c r="I187" s="60">
        <f>INDEX('个人技术总览'!$G$5:$G$46,MATCH($A187,'个人技术总览'!$A$5:$A$46,0))</f>
        <v/>
      </c>
      <c r="J187" s="59">
        <f>INDEX('个人技术总览'!$H$5:$H$46,MATCH($A187,'个人技术总览'!$A$5:$A$46,0))</f>
        <v/>
      </c>
      <c r="K187" s="60">
        <f>INDEX('个人技术总览'!$I$5:$I$46,MATCH($A187,'个人技术总览'!$A$5:$A$46,0))</f>
        <v/>
      </c>
      <c r="L187" s="67">
        <f>H187+V187+IF(E187=G187-1,MAX(0,P187-H187*G187-SUMIFS($V$5:$V$589,$A$5:$A$589,$A187)),0)</f>
        <v/>
      </c>
      <c r="M187" s="61">
        <f>MAX(1,ROUNDDOWN($L187/'参数与公式'!$B$5,0))</f>
        <v/>
      </c>
      <c r="N187" s="67">
        <f>J187+Y187+IF(E187=G187-1,MAX(0,R187-J187*G187-SUMIFS($Y$5:$Y$589,$A$5:$A$589,$A187)),0)</f>
        <v/>
      </c>
      <c r="O187" s="18" t="inlineStr">
        <is>
          <t>data/technology_templates.yaml; upgrade_*_budget / *_curve; code: technology_rules.allocate_upgrade_budget</t>
        </is>
      </c>
      <c r="P187" s="67">
        <f>INDEX('个人技术总览'!$O$5:$O$46,MATCH($A187,'个人技术总览'!$A$5:$A$46,0))</f>
        <v/>
      </c>
      <c r="Q187" s="64">
        <f>INDEX('个人技术总览'!$P$5:$P$46,MATCH($A187,'个人技术总览'!$A$5:$A$46,0))</f>
        <v/>
      </c>
      <c r="R187" s="67">
        <f>INDEX('个人技术总览'!$Q$5:$Q$46,MATCH($A187,'个人技术总览'!$A$5:$A$46,0))</f>
        <v/>
      </c>
      <c r="S187" s="64">
        <f>INDEX('个人技术总览'!$R$5:$R$46,MATCH($A187,'个人技术总览'!$A$5:$A$46,0))</f>
        <v/>
      </c>
      <c r="T187" s="68">
        <f>POWER($Q187,$E187)</f>
        <v/>
      </c>
      <c r="U187" s="68">
        <f>SUMIFS($T$5:$T$589,$A$5:$A$589,$A187)</f>
        <v/>
      </c>
      <c r="V187" s="67">
        <f>ROUNDDOWN(MAX(0,$P187-$H187*$G187)*$T187/MAX(1,$U187),0)</f>
        <v/>
      </c>
      <c r="W187" s="68">
        <f>POWER($S187,$E187)</f>
        <v/>
      </c>
      <c r="X187" s="68">
        <f>SUMIFS($W$5:$W$589,$A$5:$A$589,$A187)</f>
        <v/>
      </c>
      <c r="Y187" s="67">
        <f>ROUNDDOWN(MAX(0,$R187-$J187*$G187)*$W187/MAX(1,$X187),0)</f>
        <v/>
      </c>
    </row>
    <row r="188">
      <c r="A188" s="17" t="inlineStr">
        <is>
          <t>scout_art</t>
        </is>
      </c>
      <c r="B188" s="18" t="inlineStr">
        <is>
          <t>侦查术</t>
        </is>
      </c>
      <c r="C188" s="18" t="inlineStr">
        <is>
          <t>基本技术</t>
        </is>
      </c>
      <c r="D188" s="18" t="inlineStr">
        <is>
          <t>—</t>
        </is>
      </c>
      <c r="E188" s="65" t="n">
        <v>183</v>
      </c>
      <c r="F188" s="66">
        <f>E188+1</f>
        <v/>
      </c>
      <c r="G188" s="65">
        <f>INDEX('个人技术总览'!$E$5:$E$46,MATCH($A188,'个人技术总览'!$A$5:$A$46,0))</f>
        <v/>
      </c>
      <c r="H188" s="59">
        <f>INDEX('个人技术总览'!$F$5:$F$46,MATCH($A188,'个人技术总览'!$A$5:$A$46,0))</f>
        <v/>
      </c>
      <c r="I188" s="60">
        <f>INDEX('个人技术总览'!$G$5:$G$46,MATCH($A188,'个人技术总览'!$A$5:$A$46,0))</f>
        <v/>
      </c>
      <c r="J188" s="59">
        <f>INDEX('个人技术总览'!$H$5:$H$46,MATCH($A188,'个人技术总览'!$A$5:$A$46,0))</f>
        <v/>
      </c>
      <c r="K188" s="60">
        <f>INDEX('个人技术总览'!$I$5:$I$46,MATCH($A188,'个人技术总览'!$A$5:$A$46,0))</f>
        <v/>
      </c>
      <c r="L188" s="67">
        <f>H188+V188+IF(E188=G188-1,MAX(0,P188-H188*G188-SUMIFS($V$5:$V$589,$A$5:$A$589,$A188)),0)</f>
        <v/>
      </c>
      <c r="M188" s="61">
        <f>MAX(1,ROUNDDOWN($L188/'参数与公式'!$B$5,0))</f>
        <v/>
      </c>
      <c r="N188" s="67">
        <f>J188+Y188+IF(E188=G188-1,MAX(0,R188-J188*G188-SUMIFS($Y$5:$Y$589,$A$5:$A$589,$A188)),0)</f>
        <v/>
      </c>
      <c r="O188" s="18" t="inlineStr">
        <is>
          <t>data/technology_templates.yaml; upgrade_*_budget / *_curve; code: technology_rules.allocate_upgrade_budget</t>
        </is>
      </c>
      <c r="P188" s="67">
        <f>INDEX('个人技术总览'!$O$5:$O$46,MATCH($A188,'个人技术总览'!$A$5:$A$46,0))</f>
        <v/>
      </c>
      <c r="Q188" s="64">
        <f>INDEX('个人技术总览'!$P$5:$P$46,MATCH($A188,'个人技术总览'!$A$5:$A$46,0))</f>
        <v/>
      </c>
      <c r="R188" s="67">
        <f>INDEX('个人技术总览'!$Q$5:$Q$46,MATCH($A188,'个人技术总览'!$A$5:$A$46,0))</f>
        <v/>
      </c>
      <c r="S188" s="64">
        <f>INDEX('个人技术总览'!$R$5:$R$46,MATCH($A188,'个人技术总览'!$A$5:$A$46,0))</f>
        <v/>
      </c>
      <c r="T188" s="68">
        <f>POWER($Q188,$E188)</f>
        <v/>
      </c>
      <c r="U188" s="68">
        <f>SUMIFS($T$5:$T$589,$A$5:$A$589,$A188)</f>
        <v/>
      </c>
      <c r="V188" s="67">
        <f>ROUNDDOWN(MAX(0,$P188-$H188*$G188)*$T188/MAX(1,$U188),0)</f>
        <v/>
      </c>
      <c r="W188" s="68">
        <f>POWER($S188,$E188)</f>
        <v/>
      </c>
      <c r="X188" s="68">
        <f>SUMIFS($W$5:$W$589,$A$5:$A$589,$A188)</f>
        <v/>
      </c>
      <c r="Y188" s="67">
        <f>ROUNDDOWN(MAX(0,$R188-$J188*$G188)*$W188/MAX(1,$X188),0)</f>
        <v/>
      </c>
    </row>
    <row r="189">
      <c r="A189" s="17" t="inlineStr">
        <is>
          <t>scout_art</t>
        </is>
      </c>
      <c r="B189" s="18" t="inlineStr">
        <is>
          <t>侦查术</t>
        </is>
      </c>
      <c r="C189" s="18" t="inlineStr">
        <is>
          <t>基本技术</t>
        </is>
      </c>
      <c r="D189" s="18" t="inlineStr">
        <is>
          <t>—</t>
        </is>
      </c>
      <c r="E189" s="65" t="n">
        <v>184</v>
      </c>
      <c r="F189" s="66">
        <f>E189+1</f>
        <v/>
      </c>
      <c r="G189" s="65">
        <f>INDEX('个人技术总览'!$E$5:$E$46,MATCH($A189,'个人技术总览'!$A$5:$A$46,0))</f>
        <v/>
      </c>
      <c r="H189" s="59">
        <f>INDEX('个人技术总览'!$F$5:$F$46,MATCH($A189,'个人技术总览'!$A$5:$A$46,0))</f>
        <v/>
      </c>
      <c r="I189" s="60">
        <f>INDEX('个人技术总览'!$G$5:$G$46,MATCH($A189,'个人技术总览'!$A$5:$A$46,0))</f>
        <v/>
      </c>
      <c r="J189" s="59">
        <f>INDEX('个人技术总览'!$H$5:$H$46,MATCH($A189,'个人技术总览'!$A$5:$A$46,0))</f>
        <v/>
      </c>
      <c r="K189" s="60">
        <f>INDEX('个人技术总览'!$I$5:$I$46,MATCH($A189,'个人技术总览'!$A$5:$A$46,0))</f>
        <v/>
      </c>
      <c r="L189" s="67">
        <f>H189+V189+IF(E189=G189-1,MAX(0,P189-H189*G189-SUMIFS($V$5:$V$589,$A$5:$A$589,$A189)),0)</f>
        <v/>
      </c>
      <c r="M189" s="61">
        <f>MAX(1,ROUNDDOWN($L189/'参数与公式'!$B$5,0))</f>
        <v/>
      </c>
      <c r="N189" s="67">
        <f>J189+Y189+IF(E189=G189-1,MAX(0,R189-J189*G189-SUMIFS($Y$5:$Y$589,$A$5:$A$589,$A189)),0)</f>
        <v/>
      </c>
      <c r="O189" s="18" t="inlineStr">
        <is>
          <t>data/technology_templates.yaml; upgrade_*_budget / *_curve; code: technology_rules.allocate_upgrade_budget</t>
        </is>
      </c>
      <c r="P189" s="67">
        <f>INDEX('个人技术总览'!$O$5:$O$46,MATCH($A189,'个人技术总览'!$A$5:$A$46,0))</f>
        <v/>
      </c>
      <c r="Q189" s="64">
        <f>INDEX('个人技术总览'!$P$5:$P$46,MATCH($A189,'个人技术总览'!$A$5:$A$46,0))</f>
        <v/>
      </c>
      <c r="R189" s="67">
        <f>INDEX('个人技术总览'!$Q$5:$Q$46,MATCH($A189,'个人技术总览'!$A$5:$A$46,0))</f>
        <v/>
      </c>
      <c r="S189" s="64">
        <f>INDEX('个人技术总览'!$R$5:$R$46,MATCH($A189,'个人技术总览'!$A$5:$A$46,0))</f>
        <v/>
      </c>
      <c r="T189" s="68">
        <f>POWER($Q189,$E189)</f>
        <v/>
      </c>
      <c r="U189" s="68">
        <f>SUMIFS($T$5:$T$589,$A$5:$A$589,$A189)</f>
        <v/>
      </c>
      <c r="V189" s="67">
        <f>ROUNDDOWN(MAX(0,$P189-$H189*$G189)*$T189/MAX(1,$U189),0)</f>
        <v/>
      </c>
      <c r="W189" s="68">
        <f>POWER($S189,$E189)</f>
        <v/>
      </c>
      <c r="X189" s="68">
        <f>SUMIFS($W$5:$W$589,$A$5:$A$589,$A189)</f>
        <v/>
      </c>
      <c r="Y189" s="67">
        <f>ROUNDDOWN(MAX(0,$R189-$J189*$G189)*$W189/MAX(1,$X189),0)</f>
        <v/>
      </c>
    </row>
    <row r="190">
      <c r="A190" s="17" t="inlineStr">
        <is>
          <t>scout_art</t>
        </is>
      </c>
      <c r="B190" s="18" t="inlineStr">
        <is>
          <t>侦查术</t>
        </is>
      </c>
      <c r="C190" s="18" t="inlineStr">
        <is>
          <t>基本技术</t>
        </is>
      </c>
      <c r="D190" s="18" t="inlineStr">
        <is>
          <t>—</t>
        </is>
      </c>
      <c r="E190" s="65" t="n">
        <v>185</v>
      </c>
      <c r="F190" s="66">
        <f>E190+1</f>
        <v/>
      </c>
      <c r="G190" s="65">
        <f>INDEX('个人技术总览'!$E$5:$E$46,MATCH($A190,'个人技术总览'!$A$5:$A$46,0))</f>
        <v/>
      </c>
      <c r="H190" s="59">
        <f>INDEX('个人技术总览'!$F$5:$F$46,MATCH($A190,'个人技术总览'!$A$5:$A$46,0))</f>
        <v/>
      </c>
      <c r="I190" s="60">
        <f>INDEX('个人技术总览'!$G$5:$G$46,MATCH($A190,'个人技术总览'!$A$5:$A$46,0))</f>
        <v/>
      </c>
      <c r="J190" s="59">
        <f>INDEX('个人技术总览'!$H$5:$H$46,MATCH($A190,'个人技术总览'!$A$5:$A$46,0))</f>
        <v/>
      </c>
      <c r="K190" s="60">
        <f>INDEX('个人技术总览'!$I$5:$I$46,MATCH($A190,'个人技术总览'!$A$5:$A$46,0))</f>
        <v/>
      </c>
      <c r="L190" s="67">
        <f>H190+V190+IF(E190=G190-1,MAX(0,P190-H190*G190-SUMIFS($V$5:$V$589,$A$5:$A$589,$A190)),0)</f>
        <v/>
      </c>
      <c r="M190" s="61">
        <f>MAX(1,ROUNDDOWN($L190/'参数与公式'!$B$5,0))</f>
        <v/>
      </c>
      <c r="N190" s="67">
        <f>J190+Y190+IF(E190=G190-1,MAX(0,R190-J190*G190-SUMIFS($Y$5:$Y$589,$A$5:$A$589,$A190)),0)</f>
        <v/>
      </c>
      <c r="O190" s="18" t="inlineStr">
        <is>
          <t>data/technology_templates.yaml; upgrade_*_budget / *_curve; code: technology_rules.allocate_upgrade_budget</t>
        </is>
      </c>
      <c r="P190" s="67">
        <f>INDEX('个人技术总览'!$O$5:$O$46,MATCH($A190,'个人技术总览'!$A$5:$A$46,0))</f>
        <v/>
      </c>
      <c r="Q190" s="64">
        <f>INDEX('个人技术总览'!$P$5:$P$46,MATCH($A190,'个人技术总览'!$A$5:$A$46,0))</f>
        <v/>
      </c>
      <c r="R190" s="67">
        <f>INDEX('个人技术总览'!$Q$5:$Q$46,MATCH($A190,'个人技术总览'!$A$5:$A$46,0))</f>
        <v/>
      </c>
      <c r="S190" s="64">
        <f>INDEX('个人技术总览'!$R$5:$R$46,MATCH($A190,'个人技术总览'!$A$5:$A$46,0))</f>
        <v/>
      </c>
      <c r="T190" s="68">
        <f>POWER($Q190,$E190)</f>
        <v/>
      </c>
      <c r="U190" s="68">
        <f>SUMIFS($T$5:$T$589,$A$5:$A$589,$A190)</f>
        <v/>
      </c>
      <c r="V190" s="67">
        <f>ROUNDDOWN(MAX(0,$P190-$H190*$G190)*$T190/MAX(1,$U190),0)</f>
        <v/>
      </c>
      <c r="W190" s="68">
        <f>POWER($S190,$E190)</f>
        <v/>
      </c>
      <c r="X190" s="68">
        <f>SUMIFS($W$5:$W$589,$A$5:$A$589,$A190)</f>
        <v/>
      </c>
      <c r="Y190" s="67">
        <f>ROUNDDOWN(MAX(0,$R190-$J190*$G190)*$W190/MAX(1,$X190),0)</f>
        <v/>
      </c>
    </row>
    <row r="191">
      <c r="A191" s="17" t="inlineStr">
        <is>
          <t>scout_art</t>
        </is>
      </c>
      <c r="B191" s="18" t="inlineStr">
        <is>
          <t>侦查术</t>
        </is>
      </c>
      <c r="C191" s="18" t="inlineStr">
        <is>
          <t>基本技术</t>
        </is>
      </c>
      <c r="D191" s="18" t="inlineStr">
        <is>
          <t>—</t>
        </is>
      </c>
      <c r="E191" s="65" t="n">
        <v>186</v>
      </c>
      <c r="F191" s="66">
        <f>E191+1</f>
        <v/>
      </c>
      <c r="G191" s="65">
        <f>INDEX('个人技术总览'!$E$5:$E$46,MATCH($A191,'个人技术总览'!$A$5:$A$46,0))</f>
        <v/>
      </c>
      <c r="H191" s="59">
        <f>INDEX('个人技术总览'!$F$5:$F$46,MATCH($A191,'个人技术总览'!$A$5:$A$46,0))</f>
        <v/>
      </c>
      <c r="I191" s="60">
        <f>INDEX('个人技术总览'!$G$5:$G$46,MATCH($A191,'个人技术总览'!$A$5:$A$46,0))</f>
        <v/>
      </c>
      <c r="J191" s="59">
        <f>INDEX('个人技术总览'!$H$5:$H$46,MATCH($A191,'个人技术总览'!$A$5:$A$46,0))</f>
        <v/>
      </c>
      <c r="K191" s="60">
        <f>INDEX('个人技术总览'!$I$5:$I$46,MATCH($A191,'个人技术总览'!$A$5:$A$46,0))</f>
        <v/>
      </c>
      <c r="L191" s="67">
        <f>H191+V191+IF(E191=G191-1,MAX(0,P191-H191*G191-SUMIFS($V$5:$V$589,$A$5:$A$589,$A191)),0)</f>
        <v/>
      </c>
      <c r="M191" s="61">
        <f>MAX(1,ROUNDDOWN($L191/'参数与公式'!$B$5,0))</f>
        <v/>
      </c>
      <c r="N191" s="67">
        <f>J191+Y191+IF(E191=G191-1,MAX(0,R191-J191*G191-SUMIFS($Y$5:$Y$589,$A$5:$A$589,$A191)),0)</f>
        <v/>
      </c>
      <c r="O191" s="18" t="inlineStr">
        <is>
          <t>data/technology_templates.yaml; upgrade_*_budget / *_curve; code: technology_rules.allocate_upgrade_budget</t>
        </is>
      </c>
      <c r="P191" s="67">
        <f>INDEX('个人技术总览'!$O$5:$O$46,MATCH($A191,'个人技术总览'!$A$5:$A$46,0))</f>
        <v/>
      </c>
      <c r="Q191" s="64">
        <f>INDEX('个人技术总览'!$P$5:$P$46,MATCH($A191,'个人技术总览'!$A$5:$A$46,0))</f>
        <v/>
      </c>
      <c r="R191" s="67">
        <f>INDEX('个人技术总览'!$Q$5:$Q$46,MATCH($A191,'个人技术总览'!$A$5:$A$46,0))</f>
        <v/>
      </c>
      <c r="S191" s="64">
        <f>INDEX('个人技术总览'!$R$5:$R$46,MATCH($A191,'个人技术总览'!$A$5:$A$46,0))</f>
        <v/>
      </c>
      <c r="T191" s="68">
        <f>POWER($Q191,$E191)</f>
        <v/>
      </c>
      <c r="U191" s="68">
        <f>SUMIFS($T$5:$T$589,$A$5:$A$589,$A191)</f>
        <v/>
      </c>
      <c r="V191" s="67">
        <f>ROUNDDOWN(MAX(0,$P191-$H191*$G191)*$T191/MAX(1,$U191),0)</f>
        <v/>
      </c>
      <c r="W191" s="68">
        <f>POWER($S191,$E191)</f>
        <v/>
      </c>
      <c r="X191" s="68">
        <f>SUMIFS($W$5:$W$589,$A$5:$A$589,$A191)</f>
        <v/>
      </c>
      <c r="Y191" s="67">
        <f>ROUNDDOWN(MAX(0,$R191-$J191*$G191)*$W191/MAX(1,$X191),0)</f>
        <v/>
      </c>
    </row>
    <row r="192">
      <c r="A192" s="17" t="inlineStr">
        <is>
          <t>scout_art</t>
        </is>
      </c>
      <c r="B192" s="18" t="inlineStr">
        <is>
          <t>侦查术</t>
        </is>
      </c>
      <c r="C192" s="18" t="inlineStr">
        <is>
          <t>基本技术</t>
        </is>
      </c>
      <c r="D192" s="18" t="inlineStr">
        <is>
          <t>—</t>
        </is>
      </c>
      <c r="E192" s="65" t="n">
        <v>187</v>
      </c>
      <c r="F192" s="66">
        <f>E192+1</f>
        <v/>
      </c>
      <c r="G192" s="65">
        <f>INDEX('个人技术总览'!$E$5:$E$46,MATCH($A192,'个人技术总览'!$A$5:$A$46,0))</f>
        <v/>
      </c>
      <c r="H192" s="59">
        <f>INDEX('个人技术总览'!$F$5:$F$46,MATCH($A192,'个人技术总览'!$A$5:$A$46,0))</f>
        <v/>
      </c>
      <c r="I192" s="60">
        <f>INDEX('个人技术总览'!$G$5:$G$46,MATCH($A192,'个人技术总览'!$A$5:$A$46,0))</f>
        <v/>
      </c>
      <c r="J192" s="59">
        <f>INDEX('个人技术总览'!$H$5:$H$46,MATCH($A192,'个人技术总览'!$A$5:$A$46,0))</f>
        <v/>
      </c>
      <c r="K192" s="60">
        <f>INDEX('个人技术总览'!$I$5:$I$46,MATCH($A192,'个人技术总览'!$A$5:$A$46,0))</f>
        <v/>
      </c>
      <c r="L192" s="67">
        <f>H192+V192+IF(E192=G192-1,MAX(0,P192-H192*G192-SUMIFS($V$5:$V$589,$A$5:$A$589,$A192)),0)</f>
        <v/>
      </c>
      <c r="M192" s="61">
        <f>MAX(1,ROUNDDOWN($L192/'参数与公式'!$B$5,0))</f>
        <v/>
      </c>
      <c r="N192" s="67">
        <f>J192+Y192+IF(E192=G192-1,MAX(0,R192-J192*G192-SUMIFS($Y$5:$Y$589,$A$5:$A$589,$A192)),0)</f>
        <v/>
      </c>
      <c r="O192" s="18" t="inlineStr">
        <is>
          <t>data/technology_templates.yaml; upgrade_*_budget / *_curve; code: technology_rules.allocate_upgrade_budget</t>
        </is>
      </c>
      <c r="P192" s="67">
        <f>INDEX('个人技术总览'!$O$5:$O$46,MATCH($A192,'个人技术总览'!$A$5:$A$46,0))</f>
        <v/>
      </c>
      <c r="Q192" s="64">
        <f>INDEX('个人技术总览'!$P$5:$P$46,MATCH($A192,'个人技术总览'!$A$5:$A$46,0))</f>
        <v/>
      </c>
      <c r="R192" s="67">
        <f>INDEX('个人技术总览'!$Q$5:$Q$46,MATCH($A192,'个人技术总览'!$A$5:$A$46,0))</f>
        <v/>
      </c>
      <c r="S192" s="64">
        <f>INDEX('个人技术总览'!$R$5:$R$46,MATCH($A192,'个人技术总览'!$A$5:$A$46,0))</f>
        <v/>
      </c>
      <c r="T192" s="68">
        <f>POWER($Q192,$E192)</f>
        <v/>
      </c>
      <c r="U192" s="68">
        <f>SUMIFS($T$5:$T$589,$A$5:$A$589,$A192)</f>
        <v/>
      </c>
      <c r="V192" s="67">
        <f>ROUNDDOWN(MAX(0,$P192-$H192*$G192)*$T192/MAX(1,$U192),0)</f>
        <v/>
      </c>
      <c r="W192" s="68">
        <f>POWER($S192,$E192)</f>
        <v/>
      </c>
      <c r="X192" s="68">
        <f>SUMIFS($W$5:$W$589,$A$5:$A$589,$A192)</f>
        <v/>
      </c>
      <c r="Y192" s="67">
        <f>ROUNDDOWN(MAX(0,$R192-$J192*$G192)*$W192/MAX(1,$X192),0)</f>
        <v/>
      </c>
    </row>
    <row r="193">
      <c r="A193" s="17" t="inlineStr">
        <is>
          <t>scout_art</t>
        </is>
      </c>
      <c r="B193" s="18" t="inlineStr">
        <is>
          <t>侦查术</t>
        </is>
      </c>
      <c r="C193" s="18" t="inlineStr">
        <is>
          <t>基本技术</t>
        </is>
      </c>
      <c r="D193" s="18" t="inlineStr">
        <is>
          <t>—</t>
        </is>
      </c>
      <c r="E193" s="65" t="n">
        <v>188</v>
      </c>
      <c r="F193" s="66">
        <f>E193+1</f>
        <v/>
      </c>
      <c r="G193" s="65">
        <f>INDEX('个人技术总览'!$E$5:$E$46,MATCH($A193,'个人技术总览'!$A$5:$A$46,0))</f>
        <v/>
      </c>
      <c r="H193" s="59">
        <f>INDEX('个人技术总览'!$F$5:$F$46,MATCH($A193,'个人技术总览'!$A$5:$A$46,0))</f>
        <v/>
      </c>
      <c r="I193" s="60">
        <f>INDEX('个人技术总览'!$G$5:$G$46,MATCH($A193,'个人技术总览'!$A$5:$A$46,0))</f>
        <v/>
      </c>
      <c r="J193" s="59">
        <f>INDEX('个人技术总览'!$H$5:$H$46,MATCH($A193,'个人技术总览'!$A$5:$A$46,0))</f>
        <v/>
      </c>
      <c r="K193" s="60">
        <f>INDEX('个人技术总览'!$I$5:$I$46,MATCH($A193,'个人技术总览'!$A$5:$A$46,0))</f>
        <v/>
      </c>
      <c r="L193" s="67">
        <f>H193+V193+IF(E193=G193-1,MAX(0,P193-H193*G193-SUMIFS($V$5:$V$589,$A$5:$A$589,$A193)),0)</f>
        <v/>
      </c>
      <c r="M193" s="61">
        <f>MAX(1,ROUNDDOWN($L193/'参数与公式'!$B$5,0))</f>
        <v/>
      </c>
      <c r="N193" s="67">
        <f>J193+Y193+IF(E193=G193-1,MAX(0,R193-J193*G193-SUMIFS($Y$5:$Y$589,$A$5:$A$589,$A193)),0)</f>
        <v/>
      </c>
      <c r="O193" s="18" t="inlineStr">
        <is>
          <t>data/technology_templates.yaml; upgrade_*_budget / *_curve; code: technology_rules.allocate_upgrade_budget</t>
        </is>
      </c>
      <c r="P193" s="67">
        <f>INDEX('个人技术总览'!$O$5:$O$46,MATCH($A193,'个人技术总览'!$A$5:$A$46,0))</f>
        <v/>
      </c>
      <c r="Q193" s="64">
        <f>INDEX('个人技术总览'!$P$5:$P$46,MATCH($A193,'个人技术总览'!$A$5:$A$46,0))</f>
        <v/>
      </c>
      <c r="R193" s="67">
        <f>INDEX('个人技术总览'!$Q$5:$Q$46,MATCH($A193,'个人技术总览'!$A$5:$A$46,0))</f>
        <v/>
      </c>
      <c r="S193" s="64">
        <f>INDEX('个人技术总览'!$R$5:$R$46,MATCH($A193,'个人技术总览'!$A$5:$A$46,0))</f>
        <v/>
      </c>
      <c r="T193" s="68">
        <f>POWER($Q193,$E193)</f>
        <v/>
      </c>
      <c r="U193" s="68">
        <f>SUMIFS($T$5:$T$589,$A$5:$A$589,$A193)</f>
        <v/>
      </c>
      <c r="V193" s="67">
        <f>ROUNDDOWN(MAX(0,$P193-$H193*$G193)*$T193/MAX(1,$U193),0)</f>
        <v/>
      </c>
      <c r="W193" s="68">
        <f>POWER($S193,$E193)</f>
        <v/>
      </c>
      <c r="X193" s="68">
        <f>SUMIFS($W$5:$W$589,$A$5:$A$589,$A193)</f>
        <v/>
      </c>
      <c r="Y193" s="67">
        <f>ROUNDDOWN(MAX(0,$R193-$J193*$G193)*$W193/MAX(1,$X193),0)</f>
        <v/>
      </c>
    </row>
    <row r="194">
      <c r="A194" s="17" t="inlineStr">
        <is>
          <t>scout_art</t>
        </is>
      </c>
      <c r="B194" s="18" t="inlineStr">
        <is>
          <t>侦查术</t>
        </is>
      </c>
      <c r="C194" s="18" t="inlineStr">
        <is>
          <t>基本技术</t>
        </is>
      </c>
      <c r="D194" s="18" t="inlineStr">
        <is>
          <t>—</t>
        </is>
      </c>
      <c r="E194" s="65" t="n">
        <v>189</v>
      </c>
      <c r="F194" s="66">
        <f>E194+1</f>
        <v/>
      </c>
      <c r="G194" s="65">
        <f>INDEX('个人技术总览'!$E$5:$E$46,MATCH($A194,'个人技术总览'!$A$5:$A$46,0))</f>
        <v/>
      </c>
      <c r="H194" s="59">
        <f>INDEX('个人技术总览'!$F$5:$F$46,MATCH($A194,'个人技术总览'!$A$5:$A$46,0))</f>
        <v/>
      </c>
      <c r="I194" s="60">
        <f>INDEX('个人技术总览'!$G$5:$G$46,MATCH($A194,'个人技术总览'!$A$5:$A$46,0))</f>
        <v/>
      </c>
      <c r="J194" s="59">
        <f>INDEX('个人技术总览'!$H$5:$H$46,MATCH($A194,'个人技术总览'!$A$5:$A$46,0))</f>
        <v/>
      </c>
      <c r="K194" s="60">
        <f>INDEX('个人技术总览'!$I$5:$I$46,MATCH($A194,'个人技术总览'!$A$5:$A$46,0))</f>
        <v/>
      </c>
      <c r="L194" s="67">
        <f>H194+V194+IF(E194=G194-1,MAX(0,P194-H194*G194-SUMIFS($V$5:$V$589,$A$5:$A$589,$A194)),0)</f>
        <v/>
      </c>
      <c r="M194" s="61">
        <f>MAX(1,ROUNDDOWN($L194/'参数与公式'!$B$5,0))</f>
        <v/>
      </c>
      <c r="N194" s="67">
        <f>J194+Y194+IF(E194=G194-1,MAX(0,R194-J194*G194-SUMIFS($Y$5:$Y$589,$A$5:$A$589,$A194)),0)</f>
        <v/>
      </c>
      <c r="O194" s="18" t="inlineStr">
        <is>
          <t>data/technology_templates.yaml; upgrade_*_budget / *_curve; code: technology_rules.allocate_upgrade_budget</t>
        </is>
      </c>
      <c r="P194" s="67">
        <f>INDEX('个人技术总览'!$O$5:$O$46,MATCH($A194,'个人技术总览'!$A$5:$A$46,0))</f>
        <v/>
      </c>
      <c r="Q194" s="64">
        <f>INDEX('个人技术总览'!$P$5:$P$46,MATCH($A194,'个人技术总览'!$A$5:$A$46,0))</f>
        <v/>
      </c>
      <c r="R194" s="67">
        <f>INDEX('个人技术总览'!$Q$5:$Q$46,MATCH($A194,'个人技术总览'!$A$5:$A$46,0))</f>
        <v/>
      </c>
      <c r="S194" s="64">
        <f>INDEX('个人技术总览'!$R$5:$R$46,MATCH($A194,'个人技术总览'!$A$5:$A$46,0))</f>
        <v/>
      </c>
      <c r="T194" s="68">
        <f>POWER($Q194,$E194)</f>
        <v/>
      </c>
      <c r="U194" s="68">
        <f>SUMIFS($T$5:$T$589,$A$5:$A$589,$A194)</f>
        <v/>
      </c>
      <c r="V194" s="67">
        <f>ROUNDDOWN(MAX(0,$P194-$H194*$G194)*$T194/MAX(1,$U194),0)</f>
        <v/>
      </c>
      <c r="W194" s="68">
        <f>POWER($S194,$E194)</f>
        <v/>
      </c>
      <c r="X194" s="68">
        <f>SUMIFS($W$5:$W$589,$A$5:$A$589,$A194)</f>
        <v/>
      </c>
      <c r="Y194" s="67">
        <f>ROUNDDOWN(MAX(0,$R194-$J194*$G194)*$W194/MAX(1,$X194),0)</f>
        <v/>
      </c>
    </row>
    <row r="195">
      <c r="A195" s="17" t="inlineStr">
        <is>
          <t>scout_art</t>
        </is>
      </c>
      <c r="B195" s="18" t="inlineStr">
        <is>
          <t>侦查术</t>
        </is>
      </c>
      <c r="C195" s="18" t="inlineStr">
        <is>
          <t>基本技术</t>
        </is>
      </c>
      <c r="D195" s="18" t="inlineStr">
        <is>
          <t>—</t>
        </is>
      </c>
      <c r="E195" s="65" t="n">
        <v>190</v>
      </c>
      <c r="F195" s="66">
        <f>E195+1</f>
        <v/>
      </c>
      <c r="G195" s="65">
        <f>INDEX('个人技术总览'!$E$5:$E$46,MATCH($A195,'个人技术总览'!$A$5:$A$46,0))</f>
        <v/>
      </c>
      <c r="H195" s="59">
        <f>INDEX('个人技术总览'!$F$5:$F$46,MATCH($A195,'个人技术总览'!$A$5:$A$46,0))</f>
        <v/>
      </c>
      <c r="I195" s="60">
        <f>INDEX('个人技术总览'!$G$5:$G$46,MATCH($A195,'个人技术总览'!$A$5:$A$46,0))</f>
        <v/>
      </c>
      <c r="J195" s="59">
        <f>INDEX('个人技术总览'!$H$5:$H$46,MATCH($A195,'个人技术总览'!$A$5:$A$46,0))</f>
        <v/>
      </c>
      <c r="K195" s="60">
        <f>INDEX('个人技术总览'!$I$5:$I$46,MATCH($A195,'个人技术总览'!$A$5:$A$46,0))</f>
        <v/>
      </c>
      <c r="L195" s="67">
        <f>H195+V195+IF(E195=G195-1,MAX(0,P195-H195*G195-SUMIFS($V$5:$V$589,$A$5:$A$589,$A195)),0)</f>
        <v/>
      </c>
      <c r="M195" s="61">
        <f>MAX(1,ROUNDDOWN($L195/'参数与公式'!$B$5,0))</f>
        <v/>
      </c>
      <c r="N195" s="67">
        <f>J195+Y195+IF(E195=G195-1,MAX(0,R195-J195*G195-SUMIFS($Y$5:$Y$589,$A$5:$A$589,$A195)),0)</f>
        <v/>
      </c>
      <c r="O195" s="18" t="inlineStr">
        <is>
          <t>data/technology_templates.yaml; upgrade_*_budget / *_curve; code: technology_rules.allocate_upgrade_budget</t>
        </is>
      </c>
      <c r="P195" s="67">
        <f>INDEX('个人技术总览'!$O$5:$O$46,MATCH($A195,'个人技术总览'!$A$5:$A$46,0))</f>
        <v/>
      </c>
      <c r="Q195" s="64">
        <f>INDEX('个人技术总览'!$P$5:$P$46,MATCH($A195,'个人技术总览'!$A$5:$A$46,0))</f>
        <v/>
      </c>
      <c r="R195" s="67">
        <f>INDEX('个人技术总览'!$Q$5:$Q$46,MATCH($A195,'个人技术总览'!$A$5:$A$46,0))</f>
        <v/>
      </c>
      <c r="S195" s="64">
        <f>INDEX('个人技术总览'!$R$5:$R$46,MATCH($A195,'个人技术总览'!$A$5:$A$46,0))</f>
        <v/>
      </c>
      <c r="T195" s="68">
        <f>POWER($Q195,$E195)</f>
        <v/>
      </c>
      <c r="U195" s="68">
        <f>SUMIFS($T$5:$T$589,$A$5:$A$589,$A195)</f>
        <v/>
      </c>
      <c r="V195" s="67">
        <f>ROUNDDOWN(MAX(0,$P195-$H195*$G195)*$T195/MAX(1,$U195),0)</f>
        <v/>
      </c>
      <c r="W195" s="68">
        <f>POWER($S195,$E195)</f>
        <v/>
      </c>
      <c r="X195" s="68">
        <f>SUMIFS($W$5:$W$589,$A$5:$A$589,$A195)</f>
        <v/>
      </c>
      <c r="Y195" s="67">
        <f>ROUNDDOWN(MAX(0,$R195-$J195*$G195)*$W195/MAX(1,$X195),0)</f>
        <v/>
      </c>
    </row>
    <row r="196">
      <c r="A196" s="17" t="inlineStr">
        <is>
          <t>scout_art</t>
        </is>
      </c>
      <c r="B196" s="18" t="inlineStr">
        <is>
          <t>侦查术</t>
        </is>
      </c>
      <c r="C196" s="18" t="inlineStr">
        <is>
          <t>基本技术</t>
        </is>
      </c>
      <c r="D196" s="18" t="inlineStr">
        <is>
          <t>—</t>
        </is>
      </c>
      <c r="E196" s="65" t="n">
        <v>191</v>
      </c>
      <c r="F196" s="66">
        <f>E196+1</f>
        <v/>
      </c>
      <c r="G196" s="65">
        <f>INDEX('个人技术总览'!$E$5:$E$46,MATCH($A196,'个人技术总览'!$A$5:$A$46,0))</f>
        <v/>
      </c>
      <c r="H196" s="59">
        <f>INDEX('个人技术总览'!$F$5:$F$46,MATCH($A196,'个人技术总览'!$A$5:$A$46,0))</f>
        <v/>
      </c>
      <c r="I196" s="60">
        <f>INDEX('个人技术总览'!$G$5:$G$46,MATCH($A196,'个人技术总览'!$A$5:$A$46,0))</f>
        <v/>
      </c>
      <c r="J196" s="59">
        <f>INDEX('个人技术总览'!$H$5:$H$46,MATCH($A196,'个人技术总览'!$A$5:$A$46,0))</f>
        <v/>
      </c>
      <c r="K196" s="60">
        <f>INDEX('个人技术总览'!$I$5:$I$46,MATCH($A196,'个人技术总览'!$A$5:$A$46,0))</f>
        <v/>
      </c>
      <c r="L196" s="67">
        <f>H196+V196+IF(E196=G196-1,MAX(0,P196-H196*G196-SUMIFS($V$5:$V$589,$A$5:$A$589,$A196)),0)</f>
        <v/>
      </c>
      <c r="M196" s="61">
        <f>MAX(1,ROUNDDOWN($L196/'参数与公式'!$B$5,0))</f>
        <v/>
      </c>
      <c r="N196" s="67">
        <f>J196+Y196+IF(E196=G196-1,MAX(0,R196-J196*G196-SUMIFS($Y$5:$Y$589,$A$5:$A$589,$A196)),0)</f>
        <v/>
      </c>
      <c r="O196" s="18" t="inlineStr">
        <is>
          <t>data/technology_templates.yaml; upgrade_*_budget / *_curve; code: technology_rules.allocate_upgrade_budget</t>
        </is>
      </c>
      <c r="P196" s="67">
        <f>INDEX('个人技术总览'!$O$5:$O$46,MATCH($A196,'个人技术总览'!$A$5:$A$46,0))</f>
        <v/>
      </c>
      <c r="Q196" s="64">
        <f>INDEX('个人技术总览'!$P$5:$P$46,MATCH($A196,'个人技术总览'!$A$5:$A$46,0))</f>
        <v/>
      </c>
      <c r="R196" s="67">
        <f>INDEX('个人技术总览'!$Q$5:$Q$46,MATCH($A196,'个人技术总览'!$A$5:$A$46,0))</f>
        <v/>
      </c>
      <c r="S196" s="64">
        <f>INDEX('个人技术总览'!$R$5:$R$46,MATCH($A196,'个人技术总览'!$A$5:$A$46,0))</f>
        <v/>
      </c>
      <c r="T196" s="68">
        <f>POWER($Q196,$E196)</f>
        <v/>
      </c>
      <c r="U196" s="68">
        <f>SUMIFS($T$5:$T$589,$A$5:$A$589,$A196)</f>
        <v/>
      </c>
      <c r="V196" s="67">
        <f>ROUNDDOWN(MAX(0,$P196-$H196*$G196)*$T196/MAX(1,$U196),0)</f>
        <v/>
      </c>
      <c r="W196" s="68">
        <f>POWER($S196,$E196)</f>
        <v/>
      </c>
      <c r="X196" s="68">
        <f>SUMIFS($W$5:$W$589,$A$5:$A$589,$A196)</f>
        <v/>
      </c>
      <c r="Y196" s="67">
        <f>ROUNDDOWN(MAX(0,$R196-$J196*$G196)*$W196/MAX(1,$X196),0)</f>
        <v/>
      </c>
    </row>
    <row r="197">
      <c r="A197" s="17" t="inlineStr">
        <is>
          <t>scout_art</t>
        </is>
      </c>
      <c r="B197" s="18" t="inlineStr">
        <is>
          <t>侦查术</t>
        </is>
      </c>
      <c r="C197" s="18" t="inlineStr">
        <is>
          <t>基本技术</t>
        </is>
      </c>
      <c r="D197" s="18" t="inlineStr">
        <is>
          <t>—</t>
        </is>
      </c>
      <c r="E197" s="65" t="n">
        <v>192</v>
      </c>
      <c r="F197" s="66">
        <f>E197+1</f>
        <v/>
      </c>
      <c r="G197" s="65">
        <f>INDEX('个人技术总览'!$E$5:$E$46,MATCH($A197,'个人技术总览'!$A$5:$A$46,0))</f>
        <v/>
      </c>
      <c r="H197" s="59">
        <f>INDEX('个人技术总览'!$F$5:$F$46,MATCH($A197,'个人技术总览'!$A$5:$A$46,0))</f>
        <v/>
      </c>
      <c r="I197" s="60">
        <f>INDEX('个人技术总览'!$G$5:$G$46,MATCH($A197,'个人技术总览'!$A$5:$A$46,0))</f>
        <v/>
      </c>
      <c r="J197" s="59">
        <f>INDEX('个人技术总览'!$H$5:$H$46,MATCH($A197,'个人技术总览'!$A$5:$A$46,0))</f>
        <v/>
      </c>
      <c r="K197" s="60">
        <f>INDEX('个人技术总览'!$I$5:$I$46,MATCH($A197,'个人技术总览'!$A$5:$A$46,0))</f>
        <v/>
      </c>
      <c r="L197" s="67">
        <f>H197+V197+IF(E197=G197-1,MAX(0,P197-H197*G197-SUMIFS($V$5:$V$589,$A$5:$A$589,$A197)),0)</f>
        <v/>
      </c>
      <c r="M197" s="61">
        <f>MAX(1,ROUNDDOWN($L197/'参数与公式'!$B$5,0))</f>
        <v/>
      </c>
      <c r="N197" s="67">
        <f>J197+Y197+IF(E197=G197-1,MAX(0,R197-J197*G197-SUMIFS($Y$5:$Y$589,$A$5:$A$589,$A197)),0)</f>
        <v/>
      </c>
      <c r="O197" s="18" t="inlineStr">
        <is>
          <t>data/technology_templates.yaml; upgrade_*_budget / *_curve; code: technology_rules.allocate_upgrade_budget</t>
        </is>
      </c>
      <c r="P197" s="67">
        <f>INDEX('个人技术总览'!$O$5:$O$46,MATCH($A197,'个人技术总览'!$A$5:$A$46,0))</f>
        <v/>
      </c>
      <c r="Q197" s="64">
        <f>INDEX('个人技术总览'!$P$5:$P$46,MATCH($A197,'个人技术总览'!$A$5:$A$46,0))</f>
        <v/>
      </c>
      <c r="R197" s="67">
        <f>INDEX('个人技术总览'!$Q$5:$Q$46,MATCH($A197,'个人技术总览'!$A$5:$A$46,0))</f>
        <v/>
      </c>
      <c r="S197" s="64">
        <f>INDEX('个人技术总览'!$R$5:$R$46,MATCH($A197,'个人技术总览'!$A$5:$A$46,0))</f>
        <v/>
      </c>
      <c r="T197" s="68">
        <f>POWER($Q197,$E197)</f>
        <v/>
      </c>
      <c r="U197" s="68">
        <f>SUMIFS($T$5:$T$589,$A$5:$A$589,$A197)</f>
        <v/>
      </c>
      <c r="V197" s="67">
        <f>ROUNDDOWN(MAX(0,$P197-$H197*$G197)*$T197/MAX(1,$U197),0)</f>
        <v/>
      </c>
      <c r="W197" s="68">
        <f>POWER($S197,$E197)</f>
        <v/>
      </c>
      <c r="X197" s="68">
        <f>SUMIFS($W$5:$W$589,$A$5:$A$589,$A197)</f>
        <v/>
      </c>
      <c r="Y197" s="67">
        <f>ROUNDDOWN(MAX(0,$R197-$J197*$G197)*$W197/MAX(1,$X197),0)</f>
        <v/>
      </c>
    </row>
    <row r="198">
      <c r="A198" s="17" t="inlineStr">
        <is>
          <t>scout_art</t>
        </is>
      </c>
      <c r="B198" s="18" t="inlineStr">
        <is>
          <t>侦查术</t>
        </is>
      </c>
      <c r="C198" s="18" t="inlineStr">
        <is>
          <t>基本技术</t>
        </is>
      </c>
      <c r="D198" s="18" t="inlineStr">
        <is>
          <t>—</t>
        </is>
      </c>
      <c r="E198" s="65" t="n">
        <v>193</v>
      </c>
      <c r="F198" s="66">
        <f>E198+1</f>
        <v/>
      </c>
      <c r="G198" s="65">
        <f>INDEX('个人技术总览'!$E$5:$E$46,MATCH($A198,'个人技术总览'!$A$5:$A$46,0))</f>
        <v/>
      </c>
      <c r="H198" s="59">
        <f>INDEX('个人技术总览'!$F$5:$F$46,MATCH($A198,'个人技术总览'!$A$5:$A$46,0))</f>
        <v/>
      </c>
      <c r="I198" s="60">
        <f>INDEX('个人技术总览'!$G$5:$G$46,MATCH($A198,'个人技术总览'!$A$5:$A$46,0))</f>
        <v/>
      </c>
      <c r="J198" s="59">
        <f>INDEX('个人技术总览'!$H$5:$H$46,MATCH($A198,'个人技术总览'!$A$5:$A$46,0))</f>
        <v/>
      </c>
      <c r="K198" s="60">
        <f>INDEX('个人技术总览'!$I$5:$I$46,MATCH($A198,'个人技术总览'!$A$5:$A$46,0))</f>
        <v/>
      </c>
      <c r="L198" s="67">
        <f>H198+V198+IF(E198=G198-1,MAX(0,P198-H198*G198-SUMIFS($V$5:$V$589,$A$5:$A$589,$A198)),0)</f>
        <v/>
      </c>
      <c r="M198" s="61">
        <f>MAX(1,ROUNDDOWN($L198/'参数与公式'!$B$5,0))</f>
        <v/>
      </c>
      <c r="N198" s="67">
        <f>J198+Y198+IF(E198=G198-1,MAX(0,R198-J198*G198-SUMIFS($Y$5:$Y$589,$A$5:$A$589,$A198)),0)</f>
        <v/>
      </c>
      <c r="O198" s="18" t="inlineStr">
        <is>
          <t>data/technology_templates.yaml; upgrade_*_budget / *_curve; code: technology_rules.allocate_upgrade_budget</t>
        </is>
      </c>
      <c r="P198" s="67">
        <f>INDEX('个人技术总览'!$O$5:$O$46,MATCH($A198,'个人技术总览'!$A$5:$A$46,0))</f>
        <v/>
      </c>
      <c r="Q198" s="64">
        <f>INDEX('个人技术总览'!$P$5:$P$46,MATCH($A198,'个人技术总览'!$A$5:$A$46,0))</f>
        <v/>
      </c>
      <c r="R198" s="67">
        <f>INDEX('个人技术总览'!$Q$5:$Q$46,MATCH($A198,'个人技术总览'!$A$5:$A$46,0))</f>
        <v/>
      </c>
      <c r="S198" s="64">
        <f>INDEX('个人技术总览'!$R$5:$R$46,MATCH($A198,'个人技术总览'!$A$5:$A$46,0))</f>
        <v/>
      </c>
      <c r="T198" s="68">
        <f>POWER($Q198,$E198)</f>
        <v/>
      </c>
      <c r="U198" s="68">
        <f>SUMIFS($T$5:$T$589,$A$5:$A$589,$A198)</f>
        <v/>
      </c>
      <c r="V198" s="67">
        <f>ROUNDDOWN(MAX(0,$P198-$H198*$G198)*$T198/MAX(1,$U198),0)</f>
        <v/>
      </c>
      <c r="W198" s="68">
        <f>POWER($S198,$E198)</f>
        <v/>
      </c>
      <c r="X198" s="68">
        <f>SUMIFS($W$5:$W$589,$A$5:$A$589,$A198)</f>
        <v/>
      </c>
      <c r="Y198" s="67">
        <f>ROUNDDOWN(MAX(0,$R198-$J198*$G198)*$W198/MAX(1,$X198),0)</f>
        <v/>
      </c>
    </row>
    <row r="199">
      <c r="A199" s="17" t="inlineStr">
        <is>
          <t>scout_art</t>
        </is>
      </c>
      <c r="B199" s="18" t="inlineStr">
        <is>
          <t>侦查术</t>
        </is>
      </c>
      <c r="C199" s="18" t="inlineStr">
        <is>
          <t>基本技术</t>
        </is>
      </c>
      <c r="D199" s="18" t="inlineStr">
        <is>
          <t>—</t>
        </is>
      </c>
      <c r="E199" s="65" t="n">
        <v>194</v>
      </c>
      <c r="F199" s="66">
        <f>E199+1</f>
        <v/>
      </c>
      <c r="G199" s="65">
        <f>INDEX('个人技术总览'!$E$5:$E$46,MATCH($A199,'个人技术总览'!$A$5:$A$46,0))</f>
        <v/>
      </c>
      <c r="H199" s="59">
        <f>INDEX('个人技术总览'!$F$5:$F$46,MATCH($A199,'个人技术总览'!$A$5:$A$46,0))</f>
        <v/>
      </c>
      <c r="I199" s="60">
        <f>INDEX('个人技术总览'!$G$5:$G$46,MATCH($A199,'个人技术总览'!$A$5:$A$46,0))</f>
        <v/>
      </c>
      <c r="J199" s="59">
        <f>INDEX('个人技术总览'!$H$5:$H$46,MATCH($A199,'个人技术总览'!$A$5:$A$46,0))</f>
        <v/>
      </c>
      <c r="K199" s="60">
        <f>INDEX('个人技术总览'!$I$5:$I$46,MATCH($A199,'个人技术总览'!$A$5:$A$46,0))</f>
        <v/>
      </c>
      <c r="L199" s="67">
        <f>H199+V199+IF(E199=G199-1,MAX(0,P199-H199*G199-SUMIFS($V$5:$V$589,$A$5:$A$589,$A199)),0)</f>
        <v/>
      </c>
      <c r="M199" s="61">
        <f>MAX(1,ROUNDDOWN($L199/'参数与公式'!$B$5,0))</f>
        <v/>
      </c>
      <c r="N199" s="67">
        <f>J199+Y199+IF(E199=G199-1,MAX(0,R199-J199*G199-SUMIFS($Y$5:$Y$589,$A$5:$A$589,$A199)),0)</f>
        <v/>
      </c>
      <c r="O199" s="18" t="inlineStr">
        <is>
          <t>data/technology_templates.yaml; upgrade_*_budget / *_curve; code: technology_rules.allocate_upgrade_budget</t>
        </is>
      </c>
      <c r="P199" s="67">
        <f>INDEX('个人技术总览'!$O$5:$O$46,MATCH($A199,'个人技术总览'!$A$5:$A$46,0))</f>
        <v/>
      </c>
      <c r="Q199" s="64">
        <f>INDEX('个人技术总览'!$P$5:$P$46,MATCH($A199,'个人技术总览'!$A$5:$A$46,0))</f>
        <v/>
      </c>
      <c r="R199" s="67">
        <f>INDEX('个人技术总览'!$Q$5:$Q$46,MATCH($A199,'个人技术总览'!$A$5:$A$46,0))</f>
        <v/>
      </c>
      <c r="S199" s="64">
        <f>INDEX('个人技术总览'!$R$5:$R$46,MATCH($A199,'个人技术总览'!$A$5:$A$46,0))</f>
        <v/>
      </c>
      <c r="T199" s="68">
        <f>POWER($Q199,$E199)</f>
        <v/>
      </c>
      <c r="U199" s="68">
        <f>SUMIFS($T$5:$T$589,$A$5:$A$589,$A199)</f>
        <v/>
      </c>
      <c r="V199" s="67">
        <f>ROUNDDOWN(MAX(0,$P199-$H199*$G199)*$T199/MAX(1,$U199),0)</f>
        <v/>
      </c>
      <c r="W199" s="68">
        <f>POWER($S199,$E199)</f>
        <v/>
      </c>
      <c r="X199" s="68">
        <f>SUMIFS($W$5:$W$589,$A$5:$A$589,$A199)</f>
        <v/>
      </c>
      <c r="Y199" s="67">
        <f>ROUNDDOWN(MAX(0,$R199-$J199*$G199)*$W199/MAX(1,$X199),0)</f>
        <v/>
      </c>
    </row>
    <row r="200">
      <c r="A200" s="17" t="inlineStr">
        <is>
          <t>scout_art</t>
        </is>
      </c>
      <c r="B200" s="18" t="inlineStr">
        <is>
          <t>侦查术</t>
        </is>
      </c>
      <c r="C200" s="18" t="inlineStr">
        <is>
          <t>基本技术</t>
        </is>
      </c>
      <c r="D200" s="18" t="inlineStr">
        <is>
          <t>—</t>
        </is>
      </c>
      <c r="E200" s="65" t="n">
        <v>195</v>
      </c>
      <c r="F200" s="66">
        <f>E200+1</f>
        <v/>
      </c>
      <c r="G200" s="65">
        <f>INDEX('个人技术总览'!$E$5:$E$46,MATCH($A200,'个人技术总览'!$A$5:$A$46,0))</f>
        <v/>
      </c>
      <c r="H200" s="59">
        <f>INDEX('个人技术总览'!$F$5:$F$46,MATCH($A200,'个人技术总览'!$A$5:$A$46,0))</f>
        <v/>
      </c>
      <c r="I200" s="60">
        <f>INDEX('个人技术总览'!$G$5:$G$46,MATCH($A200,'个人技术总览'!$A$5:$A$46,0))</f>
        <v/>
      </c>
      <c r="J200" s="59">
        <f>INDEX('个人技术总览'!$H$5:$H$46,MATCH($A200,'个人技术总览'!$A$5:$A$46,0))</f>
        <v/>
      </c>
      <c r="K200" s="60">
        <f>INDEX('个人技术总览'!$I$5:$I$46,MATCH($A200,'个人技术总览'!$A$5:$A$46,0))</f>
        <v/>
      </c>
      <c r="L200" s="67">
        <f>H200+V200+IF(E200=G200-1,MAX(0,P200-H200*G200-SUMIFS($V$5:$V$589,$A$5:$A$589,$A200)),0)</f>
        <v/>
      </c>
      <c r="M200" s="61">
        <f>MAX(1,ROUNDDOWN($L200/'参数与公式'!$B$5,0))</f>
        <v/>
      </c>
      <c r="N200" s="67">
        <f>J200+Y200+IF(E200=G200-1,MAX(0,R200-J200*G200-SUMIFS($Y$5:$Y$589,$A$5:$A$589,$A200)),0)</f>
        <v/>
      </c>
      <c r="O200" s="18" t="inlineStr">
        <is>
          <t>data/technology_templates.yaml; upgrade_*_budget / *_curve; code: technology_rules.allocate_upgrade_budget</t>
        </is>
      </c>
      <c r="P200" s="67">
        <f>INDEX('个人技术总览'!$O$5:$O$46,MATCH($A200,'个人技术总览'!$A$5:$A$46,0))</f>
        <v/>
      </c>
      <c r="Q200" s="64">
        <f>INDEX('个人技术总览'!$P$5:$P$46,MATCH($A200,'个人技术总览'!$A$5:$A$46,0))</f>
        <v/>
      </c>
      <c r="R200" s="67">
        <f>INDEX('个人技术总览'!$Q$5:$Q$46,MATCH($A200,'个人技术总览'!$A$5:$A$46,0))</f>
        <v/>
      </c>
      <c r="S200" s="64">
        <f>INDEX('个人技术总览'!$R$5:$R$46,MATCH($A200,'个人技术总览'!$A$5:$A$46,0))</f>
        <v/>
      </c>
      <c r="T200" s="68">
        <f>POWER($Q200,$E200)</f>
        <v/>
      </c>
      <c r="U200" s="68">
        <f>SUMIFS($T$5:$T$589,$A$5:$A$589,$A200)</f>
        <v/>
      </c>
      <c r="V200" s="67">
        <f>ROUNDDOWN(MAX(0,$P200-$H200*$G200)*$T200/MAX(1,$U200),0)</f>
        <v/>
      </c>
      <c r="W200" s="68">
        <f>POWER($S200,$E200)</f>
        <v/>
      </c>
      <c r="X200" s="68">
        <f>SUMIFS($W$5:$W$589,$A$5:$A$589,$A200)</f>
        <v/>
      </c>
      <c r="Y200" s="67">
        <f>ROUNDDOWN(MAX(0,$R200-$J200*$G200)*$W200/MAX(1,$X200),0)</f>
        <v/>
      </c>
    </row>
    <row r="201">
      <c r="A201" s="17" t="inlineStr">
        <is>
          <t>scout_art</t>
        </is>
      </c>
      <c r="B201" s="18" t="inlineStr">
        <is>
          <t>侦查术</t>
        </is>
      </c>
      <c r="C201" s="18" t="inlineStr">
        <is>
          <t>基本技术</t>
        </is>
      </c>
      <c r="D201" s="18" t="inlineStr">
        <is>
          <t>—</t>
        </is>
      </c>
      <c r="E201" s="65" t="n">
        <v>196</v>
      </c>
      <c r="F201" s="66">
        <f>E201+1</f>
        <v/>
      </c>
      <c r="G201" s="65">
        <f>INDEX('个人技术总览'!$E$5:$E$46,MATCH($A201,'个人技术总览'!$A$5:$A$46,0))</f>
        <v/>
      </c>
      <c r="H201" s="59">
        <f>INDEX('个人技术总览'!$F$5:$F$46,MATCH($A201,'个人技术总览'!$A$5:$A$46,0))</f>
        <v/>
      </c>
      <c r="I201" s="60">
        <f>INDEX('个人技术总览'!$G$5:$G$46,MATCH($A201,'个人技术总览'!$A$5:$A$46,0))</f>
        <v/>
      </c>
      <c r="J201" s="59">
        <f>INDEX('个人技术总览'!$H$5:$H$46,MATCH($A201,'个人技术总览'!$A$5:$A$46,0))</f>
        <v/>
      </c>
      <c r="K201" s="60">
        <f>INDEX('个人技术总览'!$I$5:$I$46,MATCH($A201,'个人技术总览'!$A$5:$A$46,0))</f>
        <v/>
      </c>
      <c r="L201" s="67">
        <f>H201+V201+IF(E201=G201-1,MAX(0,P201-H201*G201-SUMIFS($V$5:$V$589,$A$5:$A$589,$A201)),0)</f>
        <v/>
      </c>
      <c r="M201" s="61">
        <f>MAX(1,ROUNDDOWN($L201/'参数与公式'!$B$5,0))</f>
        <v/>
      </c>
      <c r="N201" s="67">
        <f>J201+Y201+IF(E201=G201-1,MAX(0,R201-J201*G201-SUMIFS($Y$5:$Y$589,$A$5:$A$589,$A201)),0)</f>
        <v/>
      </c>
      <c r="O201" s="18" t="inlineStr">
        <is>
          <t>data/technology_templates.yaml; upgrade_*_budget / *_curve; code: technology_rules.allocate_upgrade_budget</t>
        </is>
      </c>
      <c r="P201" s="67">
        <f>INDEX('个人技术总览'!$O$5:$O$46,MATCH($A201,'个人技术总览'!$A$5:$A$46,0))</f>
        <v/>
      </c>
      <c r="Q201" s="64">
        <f>INDEX('个人技术总览'!$P$5:$P$46,MATCH($A201,'个人技术总览'!$A$5:$A$46,0))</f>
        <v/>
      </c>
      <c r="R201" s="67">
        <f>INDEX('个人技术总览'!$Q$5:$Q$46,MATCH($A201,'个人技术总览'!$A$5:$A$46,0))</f>
        <v/>
      </c>
      <c r="S201" s="64">
        <f>INDEX('个人技术总览'!$R$5:$R$46,MATCH($A201,'个人技术总览'!$A$5:$A$46,0))</f>
        <v/>
      </c>
      <c r="T201" s="68">
        <f>POWER($Q201,$E201)</f>
        <v/>
      </c>
      <c r="U201" s="68">
        <f>SUMIFS($T$5:$T$589,$A$5:$A$589,$A201)</f>
        <v/>
      </c>
      <c r="V201" s="67">
        <f>ROUNDDOWN(MAX(0,$P201-$H201*$G201)*$T201/MAX(1,$U201),0)</f>
        <v/>
      </c>
      <c r="W201" s="68">
        <f>POWER($S201,$E201)</f>
        <v/>
      </c>
      <c r="X201" s="68">
        <f>SUMIFS($W$5:$W$589,$A$5:$A$589,$A201)</f>
        <v/>
      </c>
      <c r="Y201" s="67">
        <f>ROUNDDOWN(MAX(0,$R201-$J201*$G201)*$W201/MAX(1,$X201),0)</f>
        <v/>
      </c>
    </row>
    <row r="202">
      <c r="A202" s="17" t="inlineStr">
        <is>
          <t>scout_art</t>
        </is>
      </c>
      <c r="B202" s="18" t="inlineStr">
        <is>
          <t>侦查术</t>
        </is>
      </c>
      <c r="C202" s="18" t="inlineStr">
        <is>
          <t>基本技术</t>
        </is>
      </c>
      <c r="D202" s="18" t="inlineStr">
        <is>
          <t>—</t>
        </is>
      </c>
      <c r="E202" s="65" t="n">
        <v>197</v>
      </c>
      <c r="F202" s="66">
        <f>E202+1</f>
        <v/>
      </c>
      <c r="G202" s="65">
        <f>INDEX('个人技术总览'!$E$5:$E$46,MATCH($A202,'个人技术总览'!$A$5:$A$46,0))</f>
        <v/>
      </c>
      <c r="H202" s="59">
        <f>INDEX('个人技术总览'!$F$5:$F$46,MATCH($A202,'个人技术总览'!$A$5:$A$46,0))</f>
        <v/>
      </c>
      <c r="I202" s="60">
        <f>INDEX('个人技术总览'!$G$5:$G$46,MATCH($A202,'个人技术总览'!$A$5:$A$46,0))</f>
        <v/>
      </c>
      <c r="J202" s="59">
        <f>INDEX('个人技术总览'!$H$5:$H$46,MATCH($A202,'个人技术总览'!$A$5:$A$46,0))</f>
        <v/>
      </c>
      <c r="K202" s="60">
        <f>INDEX('个人技术总览'!$I$5:$I$46,MATCH($A202,'个人技术总览'!$A$5:$A$46,0))</f>
        <v/>
      </c>
      <c r="L202" s="67">
        <f>H202+V202+IF(E202=G202-1,MAX(0,P202-H202*G202-SUMIFS($V$5:$V$589,$A$5:$A$589,$A202)),0)</f>
        <v/>
      </c>
      <c r="M202" s="61">
        <f>MAX(1,ROUNDDOWN($L202/'参数与公式'!$B$5,0))</f>
        <v/>
      </c>
      <c r="N202" s="67">
        <f>J202+Y202+IF(E202=G202-1,MAX(0,R202-J202*G202-SUMIFS($Y$5:$Y$589,$A$5:$A$589,$A202)),0)</f>
        <v/>
      </c>
      <c r="O202" s="18" t="inlineStr">
        <is>
          <t>data/technology_templates.yaml; upgrade_*_budget / *_curve; code: technology_rules.allocate_upgrade_budget</t>
        </is>
      </c>
      <c r="P202" s="67">
        <f>INDEX('个人技术总览'!$O$5:$O$46,MATCH($A202,'个人技术总览'!$A$5:$A$46,0))</f>
        <v/>
      </c>
      <c r="Q202" s="64">
        <f>INDEX('个人技术总览'!$P$5:$P$46,MATCH($A202,'个人技术总览'!$A$5:$A$46,0))</f>
        <v/>
      </c>
      <c r="R202" s="67">
        <f>INDEX('个人技术总览'!$Q$5:$Q$46,MATCH($A202,'个人技术总览'!$A$5:$A$46,0))</f>
        <v/>
      </c>
      <c r="S202" s="64">
        <f>INDEX('个人技术总览'!$R$5:$R$46,MATCH($A202,'个人技术总览'!$A$5:$A$46,0))</f>
        <v/>
      </c>
      <c r="T202" s="68">
        <f>POWER($Q202,$E202)</f>
        <v/>
      </c>
      <c r="U202" s="68">
        <f>SUMIFS($T$5:$T$589,$A$5:$A$589,$A202)</f>
        <v/>
      </c>
      <c r="V202" s="67">
        <f>ROUNDDOWN(MAX(0,$P202-$H202*$G202)*$T202/MAX(1,$U202),0)</f>
        <v/>
      </c>
      <c r="W202" s="68">
        <f>POWER($S202,$E202)</f>
        <v/>
      </c>
      <c r="X202" s="68">
        <f>SUMIFS($W$5:$W$589,$A$5:$A$589,$A202)</f>
        <v/>
      </c>
      <c r="Y202" s="67">
        <f>ROUNDDOWN(MAX(0,$R202-$J202*$G202)*$W202/MAX(1,$X202),0)</f>
        <v/>
      </c>
    </row>
    <row r="203">
      <c r="A203" s="17" t="inlineStr">
        <is>
          <t>scout_art</t>
        </is>
      </c>
      <c r="B203" s="18" t="inlineStr">
        <is>
          <t>侦查术</t>
        </is>
      </c>
      <c r="C203" s="18" t="inlineStr">
        <is>
          <t>基本技术</t>
        </is>
      </c>
      <c r="D203" s="18" t="inlineStr">
        <is>
          <t>—</t>
        </is>
      </c>
      <c r="E203" s="65" t="n">
        <v>198</v>
      </c>
      <c r="F203" s="66">
        <f>E203+1</f>
        <v/>
      </c>
      <c r="G203" s="65">
        <f>INDEX('个人技术总览'!$E$5:$E$46,MATCH($A203,'个人技术总览'!$A$5:$A$46,0))</f>
        <v/>
      </c>
      <c r="H203" s="59">
        <f>INDEX('个人技术总览'!$F$5:$F$46,MATCH($A203,'个人技术总览'!$A$5:$A$46,0))</f>
        <v/>
      </c>
      <c r="I203" s="60">
        <f>INDEX('个人技术总览'!$G$5:$G$46,MATCH($A203,'个人技术总览'!$A$5:$A$46,0))</f>
        <v/>
      </c>
      <c r="J203" s="59">
        <f>INDEX('个人技术总览'!$H$5:$H$46,MATCH($A203,'个人技术总览'!$A$5:$A$46,0))</f>
        <v/>
      </c>
      <c r="K203" s="60">
        <f>INDEX('个人技术总览'!$I$5:$I$46,MATCH($A203,'个人技术总览'!$A$5:$A$46,0))</f>
        <v/>
      </c>
      <c r="L203" s="67">
        <f>H203+V203+IF(E203=G203-1,MAX(0,P203-H203*G203-SUMIFS($V$5:$V$589,$A$5:$A$589,$A203)),0)</f>
        <v/>
      </c>
      <c r="M203" s="61">
        <f>MAX(1,ROUNDDOWN($L203/'参数与公式'!$B$5,0))</f>
        <v/>
      </c>
      <c r="N203" s="67">
        <f>J203+Y203+IF(E203=G203-1,MAX(0,R203-J203*G203-SUMIFS($Y$5:$Y$589,$A$5:$A$589,$A203)),0)</f>
        <v/>
      </c>
      <c r="O203" s="18" t="inlineStr">
        <is>
          <t>data/technology_templates.yaml; upgrade_*_budget / *_curve; code: technology_rules.allocate_upgrade_budget</t>
        </is>
      </c>
      <c r="P203" s="67">
        <f>INDEX('个人技术总览'!$O$5:$O$46,MATCH($A203,'个人技术总览'!$A$5:$A$46,0))</f>
        <v/>
      </c>
      <c r="Q203" s="64">
        <f>INDEX('个人技术总览'!$P$5:$P$46,MATCH($A203,'个人技术总览'!$A$5:$A$46,0))</f>
        <v/>
      </c>
      <c r="R203" s="67">
        <f>INDEX('个人技术总览'!$Q$5:$Q$46,MATCH($A203,'个人技术总览'!$A$5:$A$46,0))</f>
        <v/>
      </c>
      <c r="S203" s="64">
        <f>INDEX('个人技术总览'!$R$5:$R$46,MATCH($A203,'个人技术总览'!$A$5:$A$46,0))</f>
        <v/>
      </c>
      <c r="T203" s="68">
        <f>POWER($Q203,$E203)</f>
        <v/>
      </c>
      <c r="U203" s="68">
        <f>SUMIFS($T$5:$T$589,$A$5:$A$589,$A203)</f>
        <v/>
      </c>
      <c r="V203" s="67">
        <f>ROUNDDOWN(MAX(0,$P203-$H203*$G203)*$T203/MAX(1,$U203),0)</f>
        <v/>
      </c>
      <c r="W203" s="68">
        <f>POWER($S203,$E203)</f>
        <v/>
      </c>
      <c r="X203" s="68">
        <f>SUMIFS($W$5:$W$589,$A$5:$A$589,$A203)</f>
        <v/>
      </c>
      <c r="Y203" s="67">
        <f>ROUNDDOWN(MAX(0,$R203-$J203*$G203)*$W203/MAX(1,$X203),0)</f>
        <v/>
      </c>
    </row>
    <row r="204">
      <c r="A204" s="17" t="inlineStr">
        <is>
          <t>scout_art</t>
        </is>
      </c>
      <c r="B204" s="18" t="inlineStr">
        <is>
          <t>侦查术</t>
        </is>
      </c>
      <c r="C204" s="18" t="inlineStr">
        <is>
          <t>基本技术</t>
        </is>
      </c>
      <c r="D204" s="18" t="inlineStr">
        <is>
          <t>—</t>
        </is>
      </c>
      <c r="E204" s="65" t="n">
        <v>199</v>
      </c>
      <c r="F204" s="66">
        <f>E204+1</f>
        <v/>
      </c>
      <c r="G204" s="65">
        <f>INDEX('个人技术总览'!$E$5:$E$46,MATCH($A204,'个人技术总览'!$A$5:$A$46,0))</f>
        <v/>
      </c>
      <c r="H204" s="59">
        <f>INDEX('个人技术总览'!$F$5:$F$46,MATCH($A204,'个人技术总览'!$A$5:$A$46,0))</f>
        <v/>
      </c>
      <c r="I204" s="60">
        <f>INDEX('个人技术总览'!$G$5:$G$46,MATCH($A204,'个人技术总览'!$A$5:$A$46,0))</f>
        <v/>
      </c>
      <c r="J204" s="59">
        <f>INDEX('个人技术总览'!$H$5:$H$46,MATCH($A204,'个人技术总览'!$A$5:$A$46,0))</f>
        <v/>
      </c>
      <c r="K204" s="60">
        <f>INDEX('个人技术总览'!$I$5:$I$46,MATCH($A204,'个人技术总览'!$A$5:$A$46,0))</f>
        <v/>
      </c>
      <c r="L204" s="67">
        <f>H204+V204+IF(E204=G204-1,MAX(0,P204-H204*G204-SUMIFS($V$5:$V$589,$A$5:$A$589,$A204)),0)</f>
        <v/>
      </c>
      <c r="M204" s="61">
        <f>MAX(1,ROUNDDOWN($L204/'参数与公式'!$B$5,0))</f>
        <v/>
      </c>
      <c r="N204" s="67">
        <f>J204+Y204+IF(E204=G204-1,MAX(0,R204-J204*G204-SUMIFS($Y$5:$Y$589,$A$5:$A$589,$A204)),0)</f>
        <v/>
      </c>
      <c r="O204" s="18" t="inlineStr">
        <is>
          <t>data/technology_templates.yaml; upgrade_*_budget / *_curve; code: technology_rules.allocate_upgrade_budget</t>
        </is>
      </c>
      <c r="P204" s="67">
        <f>INDEX('个人技术总览'!$O$5:$O$46,MATCH($A204,'个人技术总览'!$A$5:$A$46,0))</f>
        <v/>
      </c>
      <c r="Q204" s="64">
        <f>INDEX('个人技术总览'!$P$5:$P$46,MATCH($A204,'个人技术总览'!$A$5:$A$46,0))</f>
        <v/>
      </c>
      <c r="R204" s="67">
        <f>INDEX('个人技术总览'!$Q$5:$Q$46,MATCH($A204,'个人技术总览'!$A$5:$A$46,0))</f>
        <v/>
      </c>
      <c r="S204" s="64">
        <f>INDEX('个人技术总览'!$R$5:$R$46,MATCH($A204,'个人技术总览'!$A$5:$A$46,0))</f>
        <v/>
      </c>
      <c r="T204" s="68">
        <f>POWER($Q204,$E204)</f>
        <v/>
      </c>
      <c r="U204" s="68">
        <f>SUMIFS($T$5:$T$589,$A$5:$A$589,$A204)</f>
        <v/>
      </c>
      <c r="V204" s="67">
        <f>ROUNDDOWN(MAX(0,$P204-$H204*$G204)*$T204/MAX(1,$U204),0)</f>
        <v/>
      </c>
      <c r="W204" s="68">
        <f>POWER($S204,$E204)</f>
        <v/>
      </c>
      <c r="X204" s="68">
        <f>SUMIFS($W$5:$W$589,$A$5:$A$589,$A204)</f>
        <v/>
      </c>
      <c r="Y204" s="67">
        <f>ROUNDDOWN(MAX(0,$R204-$J204*$G204)*$W204/MAX(1,$X204),0)</f>
        <v/>
      </c>
    </row>
    <row r="205">
      <c r="A205" s="17" t="inlineStr">
        <is>
          <t>march_art</t>
        </is>
      </c>
      <c r="B205" s="18" t="inlineStr">
        <is>
          <t>行军术</t>
        </is>
      </c>
      <c r="C205" s="18" t="inlineStr">
        <is>
          <t>基本技术</t>
        </is>
      </c>
      <c r="D205" s="18" t="inlineStr">
        <is>
          <t>—</t>
        </is>
      </c>
      <c r="E205" s="65" t="n">
        <v>0</v>
      </c>
      <c r="F205" s="66">
        <f>E205+1</f>
        <v/>
      </c>
      <c r="G205" s="65">
        <f>INDEX('个人技术总览'!$E$5:$E$46,MATCH($A205,'个人技术总览'!$A$5:$A$46,0))</f>
        <v/>
      </c>
      <c r="H205" s="59">
        <f>INDEX('个人技术总览'!$F$5:$F$46,MATCH($A205,'个人技术总览'!$A$5:$A$46,0))</f>
        <v/>
      </c>
      <c r="I205" s="60">
        <f>INDEX('个人技术总览'!$G$5:$G$46,MATCH($A205,'个人技术总览'!$A$5:$A$46,0))</f>
        <v/>
      </c>
      <c r="J205" s="59">
        <f>INDEX('个人技术总览'!$H$5:$H$46,MATCH($A205,'个人技术总览'!$A$5:$A$46,0))</f>
        <v/>
      </c>
      <c r="K205" s="60">
        <f>INDEX('个人技术总览'!$I$5:$I$46,MATCH($A205,'个人技术总览'!$A$5:$A$46,0))</f>
        <v/>
      </c>
      <c r="L205" s="67">
        <f>H205+V205+IF(E205=G205-1,MAX(0,P205-H205*G205-SUMIFS($V$5:$V$589,$A$5:$A$589,$A205)),0)</f>
        <v/>
      </c>
      <c r="M205" s="61">
        <f>MAX(1,ROUNDDOWN($L205/'参数与公式'!$B$5,0))</f>
        <v/>
      </c>
      <c r="N205" s="67">
        <f>J205+Y205+IF(E205=G205-1,MAX(0,R205-J205*G205-SUMIFS($Y$5:$Y$589,$A$5:$A$589,$A205)),0)</f>
        <v/>
      </c>
      <c r="O205" s="18" t="inlineStr">
        <is>
          <t>data/technology_templates.yaml; upgrade_*_budget / *_curve; code: technology_rules.allocate_upgrade_budget</t>
        </is>
      </c>
      <c r="P205" s="67">
        <f>INDEX('个人技术总览'!$O$5:$O$46,MATCH($A205,'个人技术总览'!$A$5:$A$46,0))</f>
        <v/>
      </c>
      <c r="Q205" s="64">
        <f>INDEX('个人技术总览'!$P$5:$P$46,MATCH($A205,'个人技术总览'!$A$5:$A$46,0))</f>
        <v/>
      </c>
      <c r="R205" s="67">
        <f>INDEX('个人技术总览'!$Q$5:$Q$46,MATCH($A205,'个人技术总览'!$A$5:$A$46,0))</f>
        <v/>
      </c>
      <c r="S205" s="64">
        <f>INDEX('个人技术总览'!$R$5:$R$46,MATCH($A205,'个人技术总览'!$A$5:$A$46,0))</f>
        <v/>
      </c>
      <c r="T205" s="68">
        <f>POWER($Q205,$E205)</f>
        <v/>
      </c>
      <c r="U205" s="68">
        <f>SUMIFS($T$5:$T$589,$A$5:$A$589,$A205)</f>
        <v/>
      </c>
      <c r="V205" s="67">
        <f>ROUNDDOWN(MAX(0,$P205-$H205*$G205)*$T205/MAX(1,$U205),0)</f>
        <v/>
      </c>
      <c r="W205" s="68">
        <f>POWER($S205,$E205)</f>
        <v/>
      </c>
      <c r="X205" s="68">
        <f>SUMIFS($W$5:$W$589,$A$5:$A$589,$A205)</f>
        <v/>
      </c>
      <c r="Y205" s="67">
        <f>ROUNDDOWN(MAX(0,$R205-$J205*$G205)*$W205/MAX(1,$X205),0)</f>
        <v/>
      </c>
    </row>
    <row r="206">
      <c r="A206" s="17" t="inlineStr">
        <is>
          <t>march_art</t>
        </is>
      </c>
      <c r="B206" s="18" t="inlineStr">
        <is>
          <t>行军术</t>
        </is>
      </c>
      <c r="C206" s="18" t="inlineStr">
        <is>
          <t>基本技术</t>
        </is>
      </c>
      <c r="D206" s="18" t="inlineStr">
        <is>
          <t>—</t>
        </is>
      </c>
      <c r="E206" s="65" t="n">
        <v>1</v>
      </c>
      <c r="F206" s="66">
        <f>E206+1</f>
        <v/>
      </c>
      <c r="G206" s="65">
        <f>INDEX('个人技术总览'!$E$5:$E$46,MATCH($A206,'个人技术总览'!$A$5:$A$46,0))</f>
        <v/>
      </c>
      <c r="H206" s="59">
        <f>INDEX('个人技术总览'!$F$5:$F$46,MATCH($A206,'个人技术总览'!$A$5:$A$46,0))</f>
        <v/>
      </c>
      <c r="I206" s="60">
        <f>INDEX('个人技术总览'!$G$5:$G$46,MATCH($A206,'个人技术总览'!$A$5:$A$46,0))</f>
        <v/>
      </c>
      <c r="J206" s="59">
        <f>INDEX('个人技术总览'!$H$5:$H$46,MATCH($A206,'个人技术总览'!$A$5:$A$46,0))</f>
        <v/>
      </c>
      <c r="K206" s="60">
        <f>INDEX('个人技术总览'!$I$5:$I$46,MATCH($A206,'个人技术总览'!$A$5:$A$46,0))</f>
        <v/>
      </c>
      <c r="L206" s="67">
        <f>H206+V206+IF(E206=G206-1,MAX(0,P206-H206*G206-SUMIFS($V$5:$V$589,$A$5:$A$589,$A206)),0)</f>
        <v/>
      </c>
      <c r="M206" s="61">
        <f>MAX(1,ROUNDDOWN($L206/'参数与公式'!$B$5,0))</f>
        <v/>
      </c>
      <c r="N206" s="67">
        <f>J206+Y206+IF(E206=G206-1,MAX(0,R206-J206*G206-SUMIFS($Y$5:$Y$589,$A$5:$A$589,$A206)),0)</f>
        <v/>
      </c>
      <c r="O206" s="18" t="inlineStr">
        <is>
          <t>data/technology_templates.yaml; upgrade_*_budget / *_curve; code: technology_rules.allocate_upgrade_budget</t>
        </is>
      </c>
      <c r="P206" s="67">
        <f>INDEX('个人技术总览'!$O$5:$O$46,MATCH($A206,'个人技术总览'!$A$5:$A$46,0))</f>
        <v/>
      </c>
      <c r="Q206" s="64">
        <f>INDEX('个人技术总览'!$P$5:$P$46,MATCH($A206,'个人技术总览'!$A$5:$A$46,0))</f>
        <v/>
      </c>
      <c r="R206" s="67">
        <f>INDEX('个人技术总览'!$Q$5:$Q$46,MATCH($A206,'个人技术总览'!$A$5:$A$46,0))</f>
        <v/>
      </c>
      <c r="S206" s="64">
        <f>INDEX('个人技术总览'!$R$5:$R$46,MATCH($A206,'个人技术总览'!$A$5:$A$46,0))</f>
        <v/>
      </c>
      <c r="T206" s="68">
        <f>POWER($Q206,$E206)</f>
        <v/>
      </c>
      <c r="U206" s="68">
        <f>SUMIFS($T$5:$T$589,$A$5:$A$589,$A206)</f>
        <v/>
      </c>
      <c r="V206" s="67">
        <f>ROUNDDOWN(MAX(0,$P206-$H206*$G206)*$T206/MAX(1,$U206),0)</f>
        <v/>
      </c>
      <c r="W206" s="68">
        <f>POWER($S206,$E206)</f>
        <v/>
      </c>
      <c r="X206" s="68">
        <f>SUMIFS($W$5:$W$589,$A$5:$A$589,$A206)</f>
        <v/>
      </c>
      <c r="Y206" s="67">
        <f>ROUNDDOWN(MAX(0,$R206-$J206*$G206)*$W206/MAX(1,$X206),0)</f>
        <v/>
      </c>
    </row>
    <row r="207">
      <c r="A207" s="17" t="inlineStr">
        <is>
          <t>march_art</t>
        </is>
      </c>
      <c r="B207" s="18" t="inlineStr">
        <is>
          <t>行军术</t>
        </is>
      </c>
      <c r="C207" s="18" t="inlineStr">
        <is>
          <t>基本技术</t>
        </is>
      </c>
      <c r="D207" s="18" t="inlineStr">
        <is>
          <t>—</t>
        </is>
      </c>
      <c r="E207" s="65" t="n">
        <v>2</v>
      </c>
      <c r="F207" s="66">
        <f>E207+1</f>
        <v/>
      </c>
      <c r="G207" s="65">
        <f>INDEX('个人技术总览'!$E$5:$E$46,MATCH($A207,'个人技术总览'!$A$5:$A$46,0))</f>
        <v/>
      </c>
      <c r="H207" s="59">
        <f>INDEX('个人技术总览'!$F$5:$F$46,MATCH($A207,'个人技术总览'!$A$5:$A$46,0))</f>
        <v/>
      </c>
      <c r="I207" s="60">
        <f>INDEX('个人技术总览'!$G$5:$G$46,MATCH($A207,'个人技术总览'!$A$5:$A$46,0))</f>
        <v/>
      </c>
      <c r="J207" s="59">
        <f>INDEX('个人技术总览'!$H$5:$H$46,MATCH($A207,'个人技术总览'!$A$5:$A$46,0))</f>
        <v/>
      </c>
      <c r="K207" s="60">
        <f>INDEX('个人技术总览'!$I$5:$I$46,MATCH($A207,'个人技术总览'!$A$5:$A$46,0))</f>
        <v/>
      </c>
      <c r="L207" s="67">
        <f>H207+V207+IF(E207=G207-1,MAX(0,P207-H207*G207-SUMIFS($V$5:$V$589,$A$5:$A$589,$A207)),0)</f>
        <v/>
      </c>
      <c r="M207" s="61">
        <f>MAX(1,ROUNDDOWN($L207/'参数与公式'!$B$5,0))</f>
        <v/>
      </c>
      <c r="N207" s="67">
        <f>J207+Y207+IF(E207=G207-1,MAX(0,R207-J207*G207-SUMIFS($Y$5:$Y$589,$A$5:$A$589,$A207)),0)</f>
        <v/>
      </c>
      <c r="O207" s="18" t="inlineStr">
        <is>
          <t>data/technology_templates.yaml; upgrade_*_budget / *_curve; code: technology_rules.allocate_upgrade_budget</t>
        </is>
      </c>
      <c r="P207" s="67">
        <f>INDEX('个人技术总览'!$O$5:$O$46,MATCH($A207,'个人技术总览'!$A$5:$A$46,0))</f>
        <v/>
      </c>
      <c r="Q207" s="64">
        <f>INDEX('个人技术总览'!$P$5:$P$46,MATCH($A207,'个人技术总览'!$A$5:$A$46,0))</f>
        <v/>
      </c>
      <c r="R207" s="67">
        <f>INDEX('个人技术总览'!$Q$5:$Q$46,MATCH($A207,'个人技术总览'!$A$5:$A$46,0))</f>
        <v/>
      </c>
      <c r="S207" s="64">
        <f>INDEX('个人技术总览'!$R$5:$R$46,MATCH($A207,'个人技术总览'!$A$5:$A$46,0))</f>
        <v/>
      </c>
      <c r="T207" s="68">
        <f>POWER($Q207,$E207)</f>
        <v/>
      </c>
      <c r="U207" s="68">
        <f>SUMIFS($T$5:$T$589,$A$5:$A$589,$A207)</f>
        <v/>
      </c>
      <c r="V207" s="67">
        <f>ROUNDDOWN(MAX(0,$P207-$H207*$G207)*$T207/MAX(1,$U207),0)</f>
        <v/>
      </c>
      <c r="W207" s="68">
        <f>POWER($S207,$E207)</f>
        <v/>
      </c>
      <c r="X207" s="68">
        <f>SUMIFS($W$5:$W$589,$A$5:$A$589,$A207)</f>
        <v/>
      </c>
      <c r="Y207" s="67">
        <f>ROUNDDOWN(MAX(0,$R207-$J207*$G207)*$W207/MAX(1,$X207),0)</f>
        <v/>
      </c>
    </row>
    <row r="208">
      <c r="A208" s="17" t="inlineStr">
        <is>
          <t>march_art</t>
        </is>
      </c>
      <c r="B208" s="18" t="inlineStr">
        <is>
          <t>行军术</t>
        </is>
      </c>
      <c r="C208" s="18" t="inlineStr">
        <is>
          <t>基本技术</t>
        </is>
      </c>
      <c r="D208" s="18" t="inlineStr">
        <is>
          <t>—</t>
        </is>
      </c>
      <c r="E208" s="65" t="n">
        <v>3</v>
      </c>
      <c r="F208" s="66">
        <f>E208+1</f>
        <v/>
      </c>
      <c r="G208" s="65">
        <f>INDEX('个人技术总览'!$E$5:$E$46,MATCH($A208,'个人技术总览'!$A$5:$A$46,0))</f>
        <v/>
      </c>
      <c r="H208" s="59">
        <f>INDEX('个人技术总览'!$F$5:$F$46,MATCH($A208,'个人技术总览'!$A$5:$A$46,0))</f>
        <v/>
      </c>
      <c r="I208" s="60">
        <f>INDEX('个人技术总览'!$G$5:$G$46,MATCH($A208,'个人技术总览'!$A$5:$A$46,0))</f>
        <v/>
      </c>
      <c r="J208" s="59">
        <f>INDEX('个人技术总览'!$H$5:$H$46,MATCH($A208,'个人技术总览'!$A$5:$A$46,0))</f>
        <v/>
      </c>
      <c r="K208" s="60">
        <f>INDEX('个人技术总览'!$I$5:$I$46,MATCH($A208,'个人技术总览'!$A$5:$A$46,0))</f>
        <v/>
      </c>
      <c r="L208" s="67">
        <f>H208+V208+IF(E208=G208-1,MAX(0,P208-H208*G208-SUMIFS($V$5:$V$589,$A$5:$A$589,$A208)),0)</f>
        <v/>
      </c>
      <c r="M208" s="61">
        <f>MAX(1,ROUNDDOWN($L208/'参数与公式'!$B$5,0))</f>
        <v/>
      </c>
      <c r="N208" s="67">
        <f>J208+Y208+IF(E208=G208-1,MAX(0,R208-J208*G208-SUMIFS($Y$5:$Y$589,$A$5:$A$589,$A208)),0)</f>
        <v/>
      </c>
      <c r="O208" s="18" t="inlineStr">
        <is>
          <t>data/technology_templates.yaml; upgrade_*_budget / *_curve; code: technology_rules.allocate_upgrade_budget</t>
        </is>
      </c>
      <c r="P208" s="67">
        <f>INDEX('个人技术总览'!$O$5:$O$46,MATCH($A208,'个人技术总览'!$A$5:$A$46,0))</f>
        <v/>
      </c>
      <c r="Q208" s="64">
        <f>INDEX('个人技术总览'!$P$5:$P$46,MATCH($A208,'个人技术总览'!$A$5:$A$46,0))</f>
        <v/>
      </c>
      <c r="R208" s="67">
        <f>INDEX('个人技术总览'!$Q$5:$Q$46,MATCH($A208,'个人技术总览'!$A$5:$A$46,0))</f>
        <v/>
      </c>
      <c r="S208" s="64">
        <f>INDEX('个人技术总览'!$R$5:$R$46,MATCH($A208,'个人技术总览'!$A$5:$A$46,0))</f>
        <v/>
      </c>
      <c r="T208" s="68">
        <f>POWER($Q208,$E208)</f>
        <v/>
      </c>
      <c r="U208" s="68">
        <f>SUMIFS($T$5:$T$589,$A$5:$A$589,$A208)</f>
        <v/>
      </c>
      <c r="V208" s="67">
        <f>ROUNDDOWN(MAX(0,$P208-$H208*$G208)*$T208/MAX(1,$U208),0)</f>
        <v/>
      </c>
      <c r="W208" s="68">
        <f>POWER($S208,$E208)</f>
        <v/>
      </c>
      <c r="X208" s="68">
        <f>SUMIFS($W$5:$W$589,$A$5:$A$589,$A208)</f>
        <v/>
      </c>
      <c r="Y208" s="67">
        <f>ROUNDDOWN(MAX(0,$R208-$J208*$G208)*$W208/MAX(1,$X208),0)</f>
        <v/>
      </c>
    </row>
    <row r="209">
      <c r="A209" s="17" t="inlineStr">
        <is>
          <t>march_art</t>
        </is>
      </c>
      <c r="B209" s="18" t="inlineStr">
        <is>
          <t>行军术</t>
        </is>
      </c>
      <c r="C209" s="18" t="inlineStr">
        <is>
          <t>基本技术</t>
        </is>
      </c>
      <c r="D209" s="18" t="inlineStr">
        <is>
          <t>—</t>
        </is>
      </c>
      <c r="E209" s="65" t="n">
        <v>4</v>
      </c>
      <c r="F209" s="66">
        <f>E209+1</f>
        <v/>
      </c>
      <c r="G209" s="65">
        <f>INDEX('个人技术总览'!$E$5:$E$46,MATCH($A209,'个人技术总览'!$A$5:$A$46,0))</f>
        <v/>
      </c>
      <c r="H209" s="59">
        <f>INDEX('个人技术总览'!$F$5:$F$46,MATCH($A209,'个人技术总览'!$A$5:$A$46,0))</f>
        <v/>
      </c>
      <c r="I209" s="60">
        <f>INDEX('个人技术总览'!$G$5:$G$46,MATCH($A209,'个人技术总览'!$A$5:$A$46,0))</f>
        <v/>
      </c>
      <c r="J209" s="59">
        <f>INDEX('个人技术总览'!$H$5:$H$46,MATCH($A209,'个人技术总览'!$A$5:$A$46,0))</f>
        <v/>
      </c>
      <c r="K209" s="60">
        <f>INDEX('个人技术总览'!$I$5:$I$46,MATCH($A209,'个人技术总览'!$A$5:$A$46,0))</f>
        <v/>
      </c>
      <c r="L209" s="67">
        <f>H209+V209+IF(E209=G209-1,MAX(0,P209-H209*G209-SUMIFS($V$5:$V$589,$A$5:$A$589,$A209)),0)</f>
        <v/>
      </c>
      <c r="M209" s="61">
        <f>MAX(1,ROUNDDOWN($L209/'参数与公式'!$B$5,0))</f>
        <v/>
      </c>
      <c r="N209" s="67">
        <f>J209+Y209+IF(E209=G209-1,MAX(0,R209-J209*G209-SUMIFS($Y$5:$Y$589,$A$5:$A$589,$A209)),0)</f>
        <v/>
      </c>
      <c r="O209" s="18" t="inlineStr">
        <is>
          <t>data/technology_templates.yaml; upgrade_*_budget / *_curve; code: technology_rules.allocate_upgrade_budget</t>
        </is>
      </c>
      <c r="P209" s="67">
        <f>INDEX('个人技术总览'!$O$5:$O$46,MATCH($A209,'个人技术总览'!$A$5:$A$46,0))</f>
        <v/>
      </c>
      <c r="Q209" s="64">
        <f>INDEX('个人技术总览'!$P$5:$P$46,MATCH($A209,'个人技术总览'!$A$5:$A$46,0))</f>
        <v/>
      </c>
      <c r="R209" s="67">
        <f>INDEX('个人技术总览'!$Q$5:$Q$46,MATCH($A209,'个人技术总览'!$A$5:$A$46,0))</f>
        <v/>
      </c>
      <c r="S209" s="64">
        <f>INDEX('个人技术总览'!$R$5:$R$46,MATCH($A209,'个人技术总览'!$A$5:$A$46,0))</f>
        <v/>
      </c>
      <c r="T209" s="68">
        <f>POWER($Q209,$E209)</f>
        <v/>
      </c>
      <c r="U209" s="68">
        <f>SUMIFS($T$5:$T$589,$A$5:$A$589,$A209)</f>
        <v/>
      </c>
      <c r="V209" s="67">
        <f>ROUNDDOWN(MAX(0,$P209-$H209*$G209)*$T209/MAX(1,$U209),0)</f>
        <v/>
      </c>
      <c r="W209" s="68">
        <f>POWER($S209,$E209)</f>
        <v/>
      </c>
      <c r="X209" s="68">
        <f>SUMIFS($W$5:$W$589,$A$5:$A$589,$A209)</f>
        <v/>
      </c>
      <c r="Y209" s="67">
        <f>ROUNDDOWN(MAX(0,$R209-$J209*$G209)*$W209/MAX(1,$X209),0)</f>
        <v/>
      </c>
    </row>
    <row r="210">
      <c r="A210" s="17" t="inlineStr">
        <is>
          <t>march_art</t>
        </is>
      </c>
      <c r="B210" s="18" t="inlineStr">
        <is>
          <t>行军术</t>
        </is>
      </c>
      <c r="C210" s="18" t="inlineStr">
        <is>
          <t>基本技术</t>
        </is>
      </c>
      <c r="D210" s="18" t="inlineStr">
        <is>
          <t>—</t>
        </is>
      </c>
      <c r="E210" s="65" t="n">
        <v>5</v>
      </c>
      <c r="F210" s="66">
        <f>E210+1</f>
        <v/>
      </c>
      <c r="G210" s="65">
        <f>INDEX('个人技术总览'!$E$5:$E$46,MATCH($A210,'个人技术总览'!$A$5:$A$46,0))</f>
        <v/>
      </c>
      <c r="H210" s="59">
        <f>INDEX('个人技术总览'!$F$5:$F$46,MATCH($A210,'个人技术总览'!$A$5:$A$46,0))</f>
        <v/>
      </c>
      <c r="I210" s="60">
        <f>INDEX('个人技术总览'!$G$5:$G$46,MATCH($A210,'个人技术总览'!$A$5:$A$46,0))</f>
        <v/>
      </c>
      <c r="J210" s="59">
        <f>INDEX('个人技术总览'!$H$5:$H$46,MATCH($A210,'个人技术总览'!$A$5:$A$46,0))</f>
        <v/>
      </c>
      <c r="K210" s="60">
        <f>INDEX('个人技术总览'!$I$5:$I$46,MATCH($A210,'个人技术总览'!$A$5:$A$46,0))</f>
        <v/>
      </c>
      <c r="L210" s="67">
        <f>H210+V210+IF(E210=G210-1,MAX(0,P210-H210*G210-SUMIFS($V$5:$V$589,$A$5:$A$589,$A210)),0)</f>
        <v/>
      </c>
      <c r="M210" s="61">
        <f>MAX(1,ROUNDDOWN($L210/'参数与公式'!$B$5,0))</f>
        <v/>
      </c>
      <c r="N210" s="67">
        <f>J210+Y210+IF(E210=G210-1,MAX(0,R210-J210*G210-SUMIFS($Y$5:$Y$589,$A$5:$A$589,$A210)),0)</f>
        <v/>
      </c>
      <c r="O210" s="18" t="inlineStr">
        <is>
          <t>data/technology_templates.yaml; upgrade_*_budget / *_curve; code: technology_rules.allocate_upgrade_budget</t>
        </is>
      </c>
      <c r="P210" s="67">
        <f>INDEX('个人技术总览'!$O$5:$O$46,MATCH($A210,'个人技术总览'!$A$5:$A$46,0))</f>
        <v/>
      </c>
      <c r="Q210" s="64">
        <f>INDEX('个人技术总览'!$P$5:$P$46,MATCH($A210,'个人技术总览'!$A$5:$A$46,0))</f>
        <v/>
      </c>
      <c r="R210" s="67">
        <f>INDEX('个人技术总览'!$Q$5:$Q$46,MATCH($A210,'个人技术总览'!$A$5:$A$46,0))</f>
        <v/>
      </c>
      <c r="S210" s="64">
        <f>INDEX('个人技术总览'!$R$5:$R$46,MATCH($A210,'个人技术总览'!$A$5:$A$46,0))</f>
        <v/>
      </c>
      <c r="T210" s="68">
        <f>POWER($Q210,$E210)</f>
        <v/>
      </c>
      <c r="U210" s="68">
        <f>SUMIFS($T$5:$T$589,$A$5:$A$589,$A210)</f>
        <v/>
      </c>
      <c r="V210" s="67">
        <f>ROUNDDOWN(MAX(0,$P210-$H210*$G210)*$T210/MAX(1,$U210),0)</f>
        <v/>
      </c>
      <c r="W210" s="68">
        <f>POWER($S210,$E210)</f>
        <v/>
      </c>
      <c r="X210" s="68">
        <f>SUMIFS($W$5:$W$589,$A$5:$A$589,$A210)</f>
        <v/>
      </c>
      <c r="Y210" s="67">
        <f>ROUNDDOWN(MAX(0,$R210-$J210*$G210)*$W210/MAX(1,$X210),0)</f>
        <v/>
      </c>
    </row>
    <row r="211">
      <c r="A211" s="17" t="inlineStr">
        <is>
          <t>march_art</t>
        </is>
      </c>
      <c r="B211" s="18" t="inlineStr">
        <is>
          <t>行军术</t>
        </is>
      </c>
      <c r="C211" s="18" t="inlineStr">
        <is>
          <t>基本技术</t>
        </is>
      </c>
      <c r="D211" s="18" t="inlineStr">
        <is>
          <t>—</t>
        </is>
      </c>
      <c r="E211" s="65" t="n">
        <v>6</v>
      </c>
      <c r="F211" s="66">
        <f>E211+1</f>
        <v/>
      </c>
      <c r="G211" s="65">
        <f>INDEX('个人技术总览'!$E$5:$E$46,MATCH($A211,'个人技术总览'!$A$5:$A$46,0))</f>
        <v/>
      </c>
      <c r="H211" s="59">
        <f>INDEX('个人技术总览'!$F$5:$F$46,MATCH($A211,'个人技术总览'!$A$5:$A$46,0))</f>
        <v/>
      </c>
      <c r="I211" s="60">
        <f>INDEX('个人技术总览'!$G$5:$G$46,MATCH($A211,'个人技术总览'!$A$5:$A$46,0))</f>
        <v/>
      </c>
      <c r="J211" s="59">
        <f>INDEX('个人技术总览'!$H$5:$H$46,MATCH($A211,'个人技术总览'!$A$5:$A$46,0))</f>
        <v/>
      </c>
      <c r="K211" s="60">
        <f>INDEX('个人技术总览'!$I$5:$I$46,MATCH($A211,'个人技术总览'!$A$5:$A$46,0))</f>
        <v/>
      </c>
      <c r="L211" s="67">
        <f>H211+V211+IF(E211=G211-1,MAX(0,P211-H211*G211-SUMIFS($V$5:$V$589,$A$5:$A$589,$A211)),0)</f>
        <v/>
      </c>
      <c r="M211" s="61">
        <f>MAX(1,ROUNDDOWN($L211/'参数与公式'!$B$5,0))</f>
        <v/>
      </c>
      <c r="N211" s="67">
        <f>J211+Y211+IF(E211=G211-1,MAX(0,R211-J211*G211-SUMIFS($Y$5:$Y$589,$A$5:$A$589,$A211)),0)</f>
        <v/>
      </c>
      <c r="O211" s="18" t="inlineStr">
        <is>
          <t>data/technology_templates.yaml; upgrade_*_budget / *_curve; code: technology_rules.allocate_upgrade_budget</t>
        </is>
      </c>
      <c r="P211" s="67">
        <f>INDEX('个人技术总览'!$O$5:$O$46,MATCH($A211,'个人技术总览'!$A$5:$A$46,0))</f>
        <v/>
      </c>
      <c r="Q211" s="64">
        <f>INDEX('个人技术总览'!$P$5:$P$46,MATCH($A211,'个人技术总览'!$A$5:$A$46,0))</f>
        <v/>
      </c>
      <c r="R211" s="67">
        <f>INDEX('个人技术总览'!$Q$5:$Q$46,MATCH($A211,'个人技术总览'!$A$5:$A$46,0))</f>
        <v/>
      </c>
      <c r="S211" s="64">
        <f>INDEX('个人技术总览'!$R$5:$R$46,MATCH($A211,'个人技术总览'!$A$5:$A$46,0))</f>
        <v/>
      </c>
      <c r="T211" s="68">
        <f>POWER($Q211,$E211)</f>
        <v/>
      </c>
      <c r="U211" s="68">
        <f>SUMIFS($T$5:$T$589,$A$5:$A$589,$A211)</f>
        <v/>
      </c>
      <c r="V211" s="67">
        <f>ROUNDDOWN(MAX(0,$P211-$H211*$G211)*$T211/MAX(1,$U211),0)</f>
        <v/>
      </c>
      <c r="W211" s="68">
        <f>POWER($S211,$E211)</f>
        <v/>
      </c>
      <c r="X211" s="68">
        <f>SUMIFS($W$5:$W$589,$A$5:$A$589,$A211)</f>
        <v/>
      </c>
      <c r="Y211" s="67">
        <f>ROUNDDOWN(MAX(0,$R211-$J211*$G211)*$W211/MAX(1,$X211),0)</f>
        <v/>
      </c>
    </row>
    <row r="212">
      <c r="A212" s="17" t="inlineStr">
        <is>
          <t>march_art</t>
        </is>
      </c>
      <c r="B212" s="18" t="inlineStr">
        <is>
          <t>行军术</t>
        </is>
      </c>
      <c r="C212" s="18" t="inlineStr">
        <is>
          <t>基本技术</t>
        </is>
      </c>
      <c r="D212" s="18" t="inlineStr">
        <is>
          <t>—</t>
        </is>
      </c>
      <c r="E212" s="65" t="n">
        <v>7</v>
      </c>
      <c r="F212" s="66">
        <f>E212+1</f>
        <v/>
      </c>
      <c r="G212" s="65">
        <f>INDEX('个人技术总览'!$E$5:$E$46,MATCH($A212,'个人技术总览'!$A$5:$A$46,0))</f>
        <v/>
      </c>
      <c r="H212" s="59">
        <f>INDEX('个人技术总览'!$F$5:$F$46,MATCH($A212,'个人技术总览'!$A$5:$A$46,0))</f>
        <v/>
      </c>
      <c r="I212" s="60">
        <f>INDEX('个人技术总览'!$G$5:$G$46,MATCH($A212,'个人技术总览'!$A$5:$A$46,0))</f>
        <v/>
      </c>
      <c r="J212" s="59">
        <f>INDEX('个人技术总览'!$H$5:$H$46,MATCH($A212,'个人技术总览'!$A$5:$A$46,0))</f>
        <v/>
      </c>
      <c r="K212" s="60">
        <f>INDEX('个人技术总览'!$I$5:$I$46,MATCH($A212,'个人技术总览'!$A$5:$A$46,0))</f>
        <v/>
      </c>
      <c r="L212" s="67">
        <f>H212+V212+IF(E212=G212-1,MAX(0,P212-H212*G212-SUMIFS($V$5:$V$589,$A$5:$A$589,$A212)),0)</f>
        <v/>
      </c>
      <c r="M212" s="61">
        <f>MAX(1,ROUNDDOWN($L212/'参数与公式'!$B$5,0))</f>
        <v/>
      </c>
      <c r="N212" s="67">
        <f>J212+Y212+IF(E212=G212-1,MAX(0,R212-J212*G212-SUMIFS($Y$5:$Y$589,$A$5:$A$589,$A212)),0)</f>
        <v/>
      </c>
      <c r="O212" s="18" t="inlineStr">
        <is>
          <t>data/technology_templates.yaml; upgrade_*_budget / *_curve; code: technology_rules.allocate_upgrade_budget</t>
        </is>
      </c>
      <c r="P212" s="67">
        <f>INDEX('个人技术总览'!$O$5:$O$46,MATCH($A212,'个人技术总览'!$A$5:$A$46,0))</f>
        <v/>
      </c>
      <c r="Q212" s="64">
        <f>INDEX('个人技术总览'!$P$5:$P$46,MATCH($A212,'个人技术总览'!$A$5:$A$46,0))</f>
        <v/>
      </c>
      <c r="R212" s="67">
        <f>INDEX('个人技术总览'!$Q$5:$Q$46,MATCH($A212,'个人技术总览'!$A$5:$A$46,0))</f>
        <v/>
      </c>
      <c r="S212" s="64">
        <f>INDEX('个人技术总览'!$R$5:$R$46,MATCH($A212,'个人技术总览'!$A$5:$A$46,0))</f>
        <v/>
      </c>
      <c r="T212" s="68">
        <f>POWER($Q212,$E212)</f>
        <v/>
      </c>
      <c r="U212" s="68">
        <f>SUMIFS($T$5:$T$589,$A$5:$A$589,$A212)</f>
        <v/>
      </c>
      <c r="V212" s="67">
        <f>ROUNDDOWN(MAX(0,$P212-$H212*$G212)*$T212/MAX(1,$U212),0)</f>
        <v/>
      </c>
      <c r="W212" s="68">
        <f>POWER($S212,$E212)</f>
        <v/>
      </c>
      <c r="X212" s="68">
        <f>SUMIFS($W$5:$W$589,$A$5:$A$589,$A212)</f>
        <v/>
      </c>
      <c r="Y212" s="67">
        <f>ROUNDDOWN(MAX(0,$R212-$J212*$G212)*$W212/MAX(1,$X212),0)</f>
        <v/>
      </c>
    </row>
    <row r="213">
      <c r="A213" s="17" t="inlineStr">
        <is>
          <t>march_art</t>
        </is>
      </c>
      <c r="B213" s="18" t="inlineStr">
        <is>
          <t>行军术</t>
        </is>
      </c>
      <c r="C213" s="18" t="inlineStr">
        <is>
          <t>基本技术</t>
        </is>
      </c>
      <c r="D213" s="18" t="inlineStr">
        <is>
          <t>—</t>
        </is>
      </c>
      <c r="E213" s="65" t="n">
        <v>8</v>
      </c>
      <c r="F213" s="66">
        <f>E213+1</f>
        <v/>
      </c>
      <c r="G213" s="65">
        <f>INDEX('个人技术总览'!$E$5:$E$46,MATCH($A213,'个人技术总览'!$A$5:$A$46,0))</f>
        <v/>
      </c>
      <c r="H213" s="59">
        <f>INDEX('个人技术总览'!$F$5:$F$46,MATCH($A213,'个人技术总览'!$A$5:$A$46,0))</f>
        <v/>
      </c>
      <c r="I213" s="60">
        <f>INDEX('个人技术总览'!$G$5:$G$46,MATCH($A213,'个人技术总览'!$A$5:$A$46,0))</f>
        <v/>
      </c>
      <c r="J213" s="59">
        <f>INDEX('个人技术总览'!$H$5:$H$46,MATCH($A213,'个人技术总览'!$A$5:$A$46,0))</f>
        <v/>
      </c>
      <c r="K213" s="60">
        <f>INDEX('个人技术总览'!$I$5:$I$46,MATCH($A213,'个人技术总览'!$A$5:$A$46,0))</f>
        <v/>
      </c>
      <c r="L213" s="67">
        <f>H213+V213+IF(E213=G213-1,MAX(0,P213-H213*G213-SUMIFS($V$5:$V$589,$A$5:$A$589,$A213)),0)</f>
        <v/>
      </c>
      <c r="M213" s="61">
        <f>MAX(1,ROUNDDOWN($L213/'参数与公式'!$B$5,0))</f>
        <v/>
      </c>
      <c r="N213" s="67">
        <f>J213+Y213+IF(E213=G213-1,MAX(0,R213-J213*G213-SUMIFS($Y$5:$Y$589,$A$5:$A$589,$A213)),0)</f>
        <v/>
      </c>
      <c r="O213" s="18" t="inlineStr">
        <is>
          <t>data/technology_templates.yaml; upgrade_*_budget / *_curve; code: technology_rules.allocate_upgrade_budget</t>
        </is>
      </c>
      <c r="P213" s="67">
        <f>INDEX('个人技术总览'!$O$5:$O$46,MATCH($A213,'个人技术总览'!$A$5:$A$46,0))</f>
        <v/>
      </c>
      <c r="Q213" s="64">
        <f>INDEX('个人技术总览'!$P$5:$P$46,MATCH($A213,'个人技术总览'!$A$5:$A$46,0))</f>
        <v/>
      </c>
      <c r="R213" s="67">
        <f>INDEX('个人技术总览'!$Q$5:$Q$46,MATCH($A213,'个人技术总览'!$A$5:$A$46,0))</f>
        <v/>
      </c>
      <c r="S213" s="64">
        <f>INDEX('个人技术总览'!$R$5:$R$46,MATCH($A213,'个人技术总览'!$A$5:$A$46,0))</f>
        <v/>
      </c>
      <c r="T213" s="68">
        <f>POWER($Q213,$E213)</f>
        <v/>
      </c>
      <c r="U213" s="68">
        <f>SUMIFS($T$5:$T$589,$A$5:$A$589,$A213)</f>
        <v/>
      </c>
      <c r="V213" s="67">
        <f>ROUNDDOWN(MAX(0,$P213-$H213*$G213)*$T213/MAX(1,$U213),0)</f>
        <v/>
      </c>
      <c r="W213" s="68">
        <f>POWER($S213,$E213)</f>
        <v/>
      </c>
      <c r="X213" s="68">
        <f>SUMIFS($W$5:$W$589,$A$5:$A$589,$A213)</f>
        <v/>
      </c>
      <c r="Y213" s="67">
        <f>ROUNDDOWN(MAX(0,$R213-$J213*$G213)*$W213/MAX(1,$X213),0)</f>
        <v/>
      </c>
    </row>
    <row r="214">
      <c r="A214" s="17" t="inlineStr">
        <is>
          <t>march_art</t>
        </is>
      </c>
      <c r="B214" s="18" t="inlineStr">
        <is>
          <t>行军术</t>
        </is>
      </c>
      <c r="C214" s="18" t="inlineStr">
        <is>
          <t>基本技术</t>
        </is>
      </c>
      <c r="D214" s="18" t="inlineStr">
        <is>
          <t>—</t>
        </is>
      </c>
      <c r="E214" s="65" t="n">
        <v>9</v>
      </c>
      <c r="F214" s="66">
        <f>E214+1</f>
        <v/>
      </c>
      <c r="G214" s="65">
        <f>INDEX('个人技术总览'!$E$5:$E$46,MATCH($A214,'个人技术总览'!$A$5:$A$46,0))</f>
        <v/>
      </c>
      <c r="H214" s="59">
        <f>INDEX('个人技术总览'!$F$5:$F$46,MATCH($A214,'个人技术总览'!$A$5:$A$46,0))</f>
        <v/>
      </c>
      <c r="I214" s="60">
        <f>INDEX('个人技术总览'!$G$5:$G$46,MATCH($A214,'个人技术总览'!$A$5:$A$46,0))</f>
        <v/>
      </c>
      <c r="J214" s="59">
        <f>INDEX('个人技术总览'!$H$5:$H$46,MATCH($A214,'个人技术总览'!$A$5:$A$46,0))</f>
        <v/>
      </c>
      <c r="K214" s="60">
        <f>INDEX('个人技术总览'!$I$5:$I$46,MATCH($A214,'个人技术总览'!$A$5:$A$46,0))</f>
        <v/>
      </c>
      <c r="L214" s="67">
        <f>H214+V214+IF(E214=G214-1,MAX(0,P214-H214*G214-SUMIFS($V$5:$V$589,$A$5:$A$589,$A214)),0)</f>
        <v/>
      </c>
      <c r="M214" s="61">
        <f>MAX(1,ROUNDDOWN($L214/'参数与公式'!$B$5,0))</f>
        <v/>
      </c>
      <c r="N214" s="67">
        <f>J214+Y214+IF(E214=G214-1,MAX(0,R214-J214*G214-SUMIFS($Y$5:$Y$589,$A$5:$A$589,$A214)),0)</f>
        <v/>
      </c>
      <c r="O214" s="18" t="inlineStr">
        <is>
          <t>data/technology_templates.yaml; upgrade_*_budget / *_curve; code: technology_rules.allocate_upgrade_budget</t>
        </is>
      </c>
      <c r="P214" s="67">
        <f>INDEX('个人技术总览'!$O$5:$O$46,MATCH($A214,'个人技术总览'!$A$5:$A$46,0))</f>
        <v/>
      </c>
      <c r="Q214" s="64">
        <f>INDEX('个人技术总览'!$P$5:$P$46,MATCH($A214,'个人技术总览'!$A$5:$A$46,0))</f>
        <v/>
      </c>
      <c r="R214" s="67">
        <f>INDEX('个人技术总览'!$Q$5:$Q$46,MATCH($A214,'个人技术总览'!$A$5:$A$46,0))</f>
        <v/>
      </c>
      <c r="S214" s="64">
        <f>INDEX('个人技术总览'!$R$5:$R$46,MATCH($A214,'个人技术总览'!$A$5:$A$46,0))</f>
        <v/>
      </c>
      <c r="T214" s="68">
        <f>POWER($Q214,$E214)</f>
        <v/>
      </c>
      <c r="U214" s="68">
        <f>SUMIFS($T$5:$T$589,$A$5:$A$589,$A214)</f>
        <v/>
      </c>
      <c r="V214" s="67">
        <f>ROUNDDOWN(MAX(0,$P214-$H214*$G214)*$T214/MAX(1,$U214),0)</f>
        <v/>
      </c>
      <c r="W214" s="68">
        <f>POWER($S214,$E214)</f>
        <v/>
      </c>
      <c r="X214" s="68">
        <f>SUMIFS($W$5:$W$589,$A$5:$A$589,$A214)</f>
        <v/>
      </c>
      <c r="Y214" s="67">
        <f>ROUNDDOWN(MAX(0,$R214-$J214*$G214)*$W214/MAX(1,$X214),0)</f>
        <v/>
      </c>
    </row>
    <row r="215">
      <c r="A215" s="17" t="inlineStr">
        <is>
          <t>architecture</t>
        </is>
      </c>
      <c r="B215" s="18" t="inlineStr">
        <is>
          <t>建筑学</t>
        </is>
      </c>
      <c r="C215" s="18" t="inlineStr">
        <is>
          <t>基本技术</t>
        </is>
      </c>
      <c r="D215" s="18" t="inlineStr">
        <is>
          <t>—</t>
        </is>
      </c>
      <c r="E215" s="65" t="n">
        <v>0</v>
      </c>
      <c r="F215" s="66">
        <f>E215+1</f>
        <v/>
      </c>
      <c r="G215" s="65">
        <f>INDEX('个人技术总览'!$E$5:$E$46,MATCH($A215,'个人技术总览'!$A$5:$A$46,0))</f>
        <v/>
      </c>
      <c r="H215" s="59">
        <f>INDEX('个人技术总览'!$F$5:$F$46,MATCH($A215,'个人技术总览'!$A$5:$A$46,0))</f>
        <v/>
      </c>
      <c r="I215" s="60">
        <f>INDEX('个人技术总览'!$G$5:$G$46,MATCH($A215,'个人技术总览'!$A$5:$A$46,0))</f>
        <v/>
      </c>
      <c r="J215" s="59">
        <f>INDEX('个人技术总览'!$H$5:$H$46,MATCH($A215,'个人技术总览'!$A$5:$A$46,0))</f>
        <v/>
      </c>
      <c r="K215" s="60">
        <f>INDEX('个人技术总览'!$I$5:$I$46,MATCH($A215,'个人技术总览'!$A$5:$A$46,0))</f>
        <v/>
      </c>
      <c r="L215" s="67">
        <f>H215+V215+IF(E215=G215-1,MAX(0,P215-H215*G215-SUMIFS($V$5:$V$589,$A$5:$A$589,$A215)),0)</f>
        <v/>
      </c>
      <c r="M215" s="61">
        <f>MAX(1,ROUNDDOWN($L215/'参数与公式'!$B$5,0))</f>
        <v/>
      </c>
      <c r="N215" s="67">
        <f>J215+Y215+IF(E215=G215-1,MAX(0,R215-J215*G215-SUMIFS($Y$5:$Y$589,$A$5:$A$589,$A215)),0)</f>
        <v/>
      </c>
      <c r="O215" s="18" t="inlineStr">
        <is>
          <t>data/technology_templates.yaml; upgrade_*_budget / *_curve; code: technology_rules.allocate_upgrade_budget</t>
        </is>
      </c>
      <c r="P215" s="67">
        <f>INDEX('个人技术总览'!$O$5:$O$46,MATCH($A215,'个人技术总览'!$A$5:$A$46,0))</f>
        <v/>
      </c>
      <c r="Q215" s="64">
        <f>INDEX('个人技术总览'!$P$5:$P$46,MATCH($A215,'个人技术总览'!$A$5:$A$46,0))</f>
        <v/>
      </c>
      <c r="R215" s="67">
        <f>INDEX('个人技术总览'!$Q$5:$Q$46,MATCH($A215,'个人技术总览'!$A$5:$A$46,0))</f>
        <v/>
      </c>
      <c r="S215" s="64">
        <f>INDEX('个人技术总览'!$R$5:$R$46,MATCH($A215,'个人技术总览'!$A$5:$A$46,0))</f>
        <v/>
      </c>
      <c r="T215" s="68">
        <f>POWER($Q215,$E215)</f>
        <v/>
      </c>
      <c r="U215" s="68">
        <f>SUMIFS($T$5:$T$589,$A$5:$A$589,$A215)</f>
        <v/>
      </c>
      <c r="V215" s="67">
        <f>ROUNDDOWN(MAX(0,$P215-$H215*$G215)*$T215/MAX(1,$U215),0)</f>
        <v/>
      </c>
      <c r="W215" s="68">
        <f>POWER($S215,$E215)</f>
        <v/>
      </c>
      <c r="X215" s="68">
        <f>SUMIFS($W$5:$W$589,$A$5:$A$589,$A215)</f>
        <v/>
      </c>
      <c r="Y215" s="67">
        <f>ROUNDDOWN(MAX(0,$R215-$J215*$G215)*$W215/MAX(1,$X215),0)</f>
        <v/>
      </c>
    </row>
    <row r="216">
      <c r="A216" s="17" t="inlineStr">
        <is>
          <t>architecture</t>
        </is>
      </c>
      <c r="B216" s="18" t="inlineStr">
        <is>
          <t>建筑学</t>
        </is>
      </c>
      <c r="C216" s="18" t="inlineStr">
        <is>
          <t>基本技术</t>
        </is>
      </c>
      <c r="D216" s="18" t="inlineStr">
        <is>
          <t>—</t>
        </is>
      </c>
      <c r="E216" s="65" t="n">
        <v>1</v>
      </c>
      <c r="F216" s="66">
        <f>E216+1</f>
        <v/>
      </c>
      <c r="G216" s="65">
        <f>INDEX('个人技术总览'!$E$5:$E$46,MATCH($A216,'个人技术总览'!$A$5:$A$46,0))</f>
        <v/>
      </c>
      <c r="H216" s="59">
        <f>INDEX('个人技术总览'!$F$5:$F$46,MATCH($A216,'个人技术总览'!$A$5:$A$46,0))</f>
        <v/>
      </c>
      <c r="I216" s="60">
        <f>INDEX('个人技术总览'!$G$5:$G$46,MATCH($A216,'个人技术总览'!$A$5:$A$46,0))</f>
        <v/>
      </c>
      <c r="J216" s="59">
        <f>INDEX('个人技术总览'!$H$5:$H$46,MATCH($A216,'个人技术总览'!$A$5:$A$46,0))</f>
        <v/>
      </c>
      <c r="K216" s="60">
        <f>INDEX('个人技术总览'!$I$5:$I$46,MATCH($A216,'个人技术总览'!$A$5:$A$46,0))</f>
        <v/>
      </c>
      <c r="L216" s="67">
        <f>H216+V216+IF(E216=G216-1,MAX(0,P216-H216*G216-SUMIFS($V$5:$V$589,$A$5:$A$589,$A216)),0)</f>
        <v/>
      </c>
      <c r="M216" s="61">
        <f>MAX(1,ROUNDDOWN($L216/'参数与公式'!$B$5,0))</f>
        <v/>
      </c>
      <c r="N216" s="67">
        <f>J216+Y216+IF(E216=G216-1,MAX(0,R216-J216*G216-SUMIFS($Y$5:$Y$589,$A$5:$A$589,$A216)),0)</f>
        <v/>
      </c>
      <c r="O216" s="18" t="inlineStr">
        <is>
          <t>data/technology_templates.yaml; upgrade_*_budget / *_curve; code: technology_rules.allocate_upgrade_budget</t>
        </is>
      </c>
      <c r="P216" s="67">
        <f>INDEX('个人技术总览'!$O$5:$O$46,MATCH($A216,'个人技术总览'!$A$5:$A$46,0))</f>
        <v/>
      </c>
      <c r="Q216" s="64">
        <f>INDEX('个人技术总览'!$P$5:$P$46,MATCH($A216,'个人技术总览'!$A$5:$A$46,0))</f>
        <v/>
      </c>
      <c r="R216" s="67">
        <f>INDEX('个人技术总览'!$Q$5:$Q$46,MATCH($A216,'个人技术总览'!$A$5:$A$46,0))</f>
        <v/>
      </c>
      <c r="S216" s="64">
        <f>INDEX('个人技术总览'!$R$5:$R$46,MATCH($A216,'个人技术总览'!$A$5:$A$46,0))</f>
        <v/>
      </c>
      <c r="T216" s="68">
        <f>POWER($Q216,$E216)</f>
        <v/>
      </c>
      <c r="U216" s="68">
        <f>SUMIFS($T$5:$T$589,$A$5:$A$589,$A216)</f>
        <v/>
      </c>
      <c r="V216" s="67">
        <f>ROUNDDOWN(MAX(0,$P216-$H216*$G216)*$T216/MAX(1,$U216),0)</f>
        <v/>
      </c>
      <c r="W216" s="68">
        <f>POWER($S216,$E216)</f>
        <v/>
      </c>
      <c r="X216" s="68">
        <f>SUMIFS($W$5:$W$589,$A$5:$A$589,$A216)</f>
        <v/>
      </c>
      <c r="Y216" s="67">
        <f>ROUNDDOWN(MAX(0,$R216-$J216*$G216)*$W216/MAX(1,$X216),0)</f>
        <v/>
      </c>
    </row>
    <row r="217">
      <c r="A217" s="17" t="inlineStr">
        <is>
          <t>architecture</t>
        </is>
      </c>
      <c r="B217" s="18" t="inlineStr">
        <is>
          <t>建筑学</t>
        </is>
      </c>
      <c r="C217" s="18" t="inlineStr">
        <is>
          <t>基本技术</t>
        </is>
      </c>
      <c r="D217" s="18" t="inlineStr">
        <is>
          <t>—</t>
        </is>
      </c>
      <c r="E217" s="65" t="n">
        <v>2</v>
      </c>
      <c r="F217" s="66">
        <f>E217+1</f>
        <v/>
      </c>
      <c r="G217" s="65">
        <f>INDEX('个人技术总览'!$E$5:$E$46,MATCH($A217,'个人技术总览'!$A$5:$A$46,0))</f>
        <v/>
      </c>
      <c r="H217" s="59">
        <f>INDEX('个人技术总览'!$F$5:$F$46,MATCH($A217,'个人技术总览'!$A$5:$A$46,0))</f>
        <v/>
      </c>
      <c r="I217" s="60">
        <f>INDEX('个人技术总览'!$G$5:$G$46,MATCH($A217,'个人技术总览'!$A$5:$A$46,0))</f>
        <v/>
      </c>
      <c r="J217" s="59">
        <f>INDEX('个人技术总览'!$H$5:$H$46,MATCH($A217,'个人技术总览'!$A$5:$A$46,0))</f>
        <v/>
      </c>
      <c r="K217" s="60">
        <f>INDEX('个人技术总览'!$I$5:$I$46,MATCH($A217,'个人技术总览'!$A$5:$A$46,0))</f>
        <v/>
      </c>
      <c r="L217" s="67">
        <f>H217+V217+IF(E217=G217-1,MAX(0,P217-H217*G217-SUMIFS($V$5:$V$589,$A$5:$A$589,$A217)),0)</f>
        <v/>
      </c>
      <c r="M217" s="61">
        <f>MAX(1,ROUNDDOWN($L217/'参数与公式'!$B$5,0))</f>
        <v/>
      </c>
      <c r="N217" s="67">
        <f>J217+Y217+IF(E217=G217-1,MAX(0,R217-J217*G217-SUMIFS($Y$5:$Y$589,$A$5:$A$589,$A217)),0)</f>
        <v/>
      </c>
      <c r="O217" s="18" t="inlineStr">
        <is>
          <t>data/technology_templates.yaml; upgrade_*_budget / *_curve; code: technology_rules.allocate_upgrade_budget</t>
        </is>
      </c>
      <c r="P217" s="67">
        <f>INDEX('个人技术总览'!$O$5:$O$46,MATCH($A217,'个人技术总览'!$A$5:$A$46,0))</f>
        <v/>
      </c>
      <c r="Q217" s="64">
        <f>INDEX('个人技术总览'!$P$5:$P$46,MATCH($A217,'个人技术总览'!$A$5:$A$46,0))</f>
        <v/>
      </c>
      <c r="R217" s="67">
        <f>INDEX('个人技术总览'!$Q$5:$Q$46,MATCH($A217,'个人技术总览'!$A$5:$A$46,0))</f>
        <v/>
      </c>
      <c r="S217" s="64">
        <f>INDEX('个人技术总览'!$R$5:$R$46,MATCH($A217,'个人技术总览'!$A$5:$A$46,0))</f>
        <v/>
      </c>
      <c r="T217" s="68">
        <f>POWER($Q217,$E217)</f>
        <v/>
      </c>
      <c r="U217" s="68">
        <f>SUMIFS($T$5:$T$589,$A$5:$A$589,$A217)</f>
        <v/>
      </c>
      <c r="V217" s="67">
        <f>ROUNDDOWN(MAX(0,$P217-$H217*$G217)*$T217/MAX(1,$U217),0)</f>
        <v/>
      </c>
      <c r="W217" s="68">
        <f>POWER($S217,$E217)</f>
        <v/>
      </c>
      <c r="X217" s="68">
        <f>SUMIFS($W$5:$W$589,$A$5:$A$589,$A217)</f>
        <v/>
      </c>
      <c r="Y217" s="67">
        <f>ROUNDDOWN(MAX(0,$R217-$J217*$G217)*$W217/MAX(1,$X217),0)</f>
        <v/>
      </c>
    </row>
    <row r="218">
      <c r="A218" s="17" t="inlineStr">
        <is>
          <t>architecture</t>
        </is>
      </c>
      <c r="B218" s="18" t="inlineStr">
        <is>
          <t>建筑学</t>
        </is>
      </c>
      <c r="C218" s="18" t="inlineStr">
        <is>
          <t>基本技术</t>
        </is>
      </c>
      <c r="D218" s="18" t="inlineStr">
        <is>
          <t>—</t>
        </is>
      </c>
      <c r="E218" s="65" t="n">
        <v>3</v>
      </c>
      <c r="F218" s="66">
        <f>E218+1</f>
        <v/>
      </c>
      <c r="G218" s="65">
        <f>INDEX('个人技术总览'!$E$5:$E$46,MATCH($A218,'个人技术总览'!$A$5:$A$46,0))</f>
        <v/>
      </c>
      <c r="H218" s="59">
        <f>INDEX('个人技术总览'!$F$5:$F$46,MATCH($A218,'个人技术总览'!$A$5:$A$46,0))</f>
        <v/>
      </c>
      <c r="I218" s="60">
        <f>INDEX('个人技术总览'!$G$5:$G$46,MATCH($A218,'个人技术总览'!$A$5:$A$46,0))</f>
        <v/>
      </c>
      <c r="J218" s="59">
        <f>INDEX('个人技术总览'!$H$5:$H$46,MATCH($A218,'个人技术总览'!$A$5:$A$46,0))</f>
        <v/>
      </c>
      <c r="K218" s="60">
        <f>INDEX('个人技术总览'!$I$5:$I$46,MATCH($A218,'个人技术总览'!$A$5:$A$46,0))</f>
        <v/>
      </c>
      <c r="L218" s="67">
        <f>H218+V218+IF(E218=G218-1,MAX(0,P218-H218*G218-SUMIFS($V$5:$V$589,$A$5:$A$589,$A218)),0)</f>
        <v/>
      </c>
      <c r="M218" s="61">
        <f>MAX(1,ROUNDDOWN($L218/'参数与公式'!$B$5,0))</f>
        <v/>
      </c>
      <c r="N218" s="67">
        <f>J218+Y218+IF(E218=G218-1,MAX(0,R218-J218*G218-SUMIFS($Y$5:$Y$589,$A$5:$A$589,$A218)),0)</f>
        <v/>
      </c>
      <c r="O218" s="18" t="inlineStr">
        <is>
          <t>data/technology_templates.yaml; upgrade_*_budget / *_curve; code: technology_rules.allocate_upgrade_budget</t>
        </is>
      </c>
      <c r="P218" s="67">
        <f>INDEX('个人技术总览'!$O$5:$O$46,MATCH($A218,'个人技术总览'!$A$5:$A$46,0))</f>
        <v/>
      </c>
      <c r="Q218" s="64">
        <f>INDEX('个人技术总览'!$P$5:$P$46,MATCH($A218,'个人技术总览'!$A$5:$A$46,0))</f>
        <v/>
      </c>
      <c r="R218" s="67">
        <f>INDEX('个人技术总览'!$Q$5:$Q$46,MATCH($A218,'个人技术总览'!$A$5:$A$46,0))</f>
        <v/>
      </c>
      <c r="S218" s="64">
        <f>INDEX('个人技术总览'!$R$5:$R$46,MATCH($A218,'个人技术总览'!$A$5:$A$46,0))</f>
        <v/>
      </c>
      <c r="T218" s="68">
        <f>POWER($Q218,$E218)</f>
        <v/>
      </c>
      <c r="U218" s="68">
        <f>SUMIFS($T$5:$T$589,$A$5:$A$589,$A218)</f>
        <v/>
      </c>
      <c r="V218" s="67">
        <f>ROUNDDOWN(MAX(0,$P218-$H218*$G218)*$T218/MAX(1,$U218),0)</f>
        <v/>
      </c>
      <c r="W218" s="68">
        <f>POWER($S218,$E218)</f>
        <v/>
      </c>
      <c r="X218" s="68">
        <f>SUMIFS($W$5:$W$589,$A$5:$A$589,$A218)</f>
        <v/>
      </c>
      <c r="Y218" s="67">
        <f>ROUNDDOWN(MAX(0,$R218-$J218*$G218)*$W218/MAX(1,$X218),0)</f>
        <v/>
      </c>
    </row>
    <row r="219">
      <c r="A219" s="17" t="inlineStr">
        <is>
          <t>architecture</t>
        </is>
      </c>
      <c r="B219" s="18" t="inlineStr">
        <is>
          <t>建筑学</t>
        </is>
      </c>
      <c r="C219" s="18" t="inlineStr">
        <is>
          <t>基本技术</t>
        </is>
      </c>
      <c r="D219" s="18" t="inlineStr">
        <is>
          <t>—</t>
        </is>
      </c>
      <c r="E219" s="65" t="n">
        <v>4</v>
      </c>
      <c r="F219" s="66">
        <f>E219+1</f>
        <v/>
      </c>
      <c r="G219" s="65">
        <f>INDEX('个人技术总览'!$E$5:$E$46,MATCH($A219,'个人技术总览'!$A$5:$A$46,0))</f>
        <v/>
      </c>
      <c r="H219" s="59">
        <f>INDEX('个人技术总览'!$F$5:$F$46,MATCH($A219,'个人技术总览'!$A$5:$A$46,0))</f>
        <v/>
      </c>
      <c r="I219" s="60">
        <f>INDEX('个人技术总览'!$G$5:$G$46,MATCH($A219,'个人技术总览'!$A$5:$A$46,0))</f>
        <v/>
      </c>
      <c r="J219" s="59">
        <f>INDEX('个人技术总览'!$H$5:$H$46,MATCH($A219,'个人技术总览'!$A$5:$A$46,0))</f>
        <v/>
      </c>
      <c r="K219" s="60">
        <f>INDEX('个人技术总览'!$I$5:$I$46,MATCH($A219,'个人技术总览'!$A$5:$A$46,0))</f>
        <v/>
      </c>
      <c r="L219" s="67">
        <f>H219+V219+IF(E219=G219-1,MAX(0,P219-H219*G219-SUMIFS($V$5:$V$589,$A$5:$A$589,$A219)),0)</f>
        <v/>
      </c>
      <c r="M219" s="61">
        <f>MAX(1,ROUNDDOWN($L219/'参数与公式'!$B$5,0))</f>
        <v/>
      </c>
      <c r="N219" s="67">
        <f>J219+Y219+IF(E219=G219-1,MAX(0,R219-J219*G219-SUMIFS($Y$5:$Y$589,$A$5:$A$589,$A219)),0)</f>
        <v/>
      </c>
      <c r="O219" s="18" t="inlineStr">
        <is>
          <t>data/technology_templates.yaml; upgrade_*_budget / *_curve; code: technology_rules.allocate_upgrade_budget</t>
        </is>
      </c>
      <c r="P219" s="67">
        <f>INDEX('个人技术总览'!$O$5:$O$46,MATCH($A219,'个人技术总览'!$A$5:$A$46,0))</f>
        <v/>
      </c>
      <c r="Q219" s="64">
        <f>INDEX('个人技术总览'!$P$5:$P$46,MATCH($A219,'个人技术总览'!$A$5:$A$46,0))</f>
        <v/>
      </c>
      <c r="R219" s="67">
        <f>INDEX('个人技术总览'!$Q$5:$Q$46,MATCH($A219,'个人技术总览'!$A$5:$A$46,0))</f>
        <v/>
      </c>
      <c r="S219" s="64">
        <f>INDEX('个人技术总览'!$R$5:$R$46,MATCH($A219,'个人技术总览'!$A$5:$A$46,0))</f>
        <v/>
      </c>
      <c r="T219" s="68">
        <f>POWER($Q219,$E219)</f>
        <v/>
      </c>
      <c r="U219" s="68">
        <f>SUMIFS($T$5:$T$589,$A$5:$A$589,$A219)</f>
        <v/>
      </c>
      <c r="V219" s="67">
        <f>ROUNDDOWN(MAX(0,$P219-$H219*$G219)*$T219/MAX(1,$U219),0)</f>
        <v/>
      </c>
      <c r="W219" s="68">
        <f>POWER($S219,$E219)</f>
        <v/>
      </c>
      <c r="X219" s="68">
        <f>SUMIFS($W$5:$W$589,$A$5:$A$589,$A219)</f>
        <v/>
      </c>
      <c r="Y219" s="67">
        <f>ROUNDDOWN(MAX(0,$R219-$J219*$G219)*$W219/MAX(1,$X219),0)</f>
        <v/>
      </c>
    </row>
    <row r="220">
      <c r="A220" s="17" t="inlineStr">
        <is>
          <t>architecture</t>
        </is>
      </c>
      <c r="B220" s="18" t="inlineStr">
        <is>
          <t>建筑学</t>
        </is>
      </c>
      <c r="C220" s="18" t="inlineStr">
        <is>
          <t>基本技术</t>
        </is>
      </c>
      <c r="D220" s="18" t="inlineStr">
        <is>
          <t>—</t>
        </is>
      </c>
      <c r="E220" s="65" t="n">
        <v>5</v>
      </c>
      <c r="F220" s="66">
        <f>E220+1</f>
        <v/>
      </c>
      <c r="G220" s="65">
        <f>INDEX('个人技术总览'!$E$5:$E$46,MATCH($A220,'个人技术总览'!$A$5:$A$46,0))</f>
        <v/>
      </c>
      <c r="H220" s="59">
        <f>INDEX('个人技术总览'!$F$5:$F$46,MATCH($A220,'个人技术总览'!$A$5:$A$46,0))</f>
        <v/>
      </c>
      <c r="I220" s="60">
        <f>INDEX('个人技术总览'!$G$5:$G$46,MATCH($A220,'个人技术总览'!$A$5:$A$46,0))</f>
        <v/>
      </c>
      <c r="J220" s="59">
        <f>INDEX('个人技术总览'!$H$5:$H$46,MATCH($A220,'个人技术总览'!$A$5:$A$46,0))</f>
        <v/>
      </c>
      <c r="K220" s="60">
        <f>INDEX('个人技术总览'!$I$5:$I$46,MATCH($A220,'个人技术总览'!$A$5:$A$46,0))</f>
        <v/>
      </c>
      <c r="L220" s="67">
        <f>H220+V220+IF(E220=G220-1,MAX(0,P220-H220*G220-SUMIFS($V$5:$V$589,$A$5:$A$589,$A220)),0)</f>
        <v/>
      </c>
      <c r="M220" s="61">
        <f>MAX(1,ROUNDDOWN($L220/'参数与公式'!$B$5,0))</f>
        <v/>
      </c>
      <c r="N220" s="67">
        <f>J220+Y220+IF(E220=G220-1,MAX(0,R220-J220*G220-SUMIFS($Y$5:$Y$589,$A$5:$A$589,$A220)),0)</f>
        <v/>
      </c>
      <c r="O220" s="18" t="inlineStr">
        <is>
          <t>data/technology_templates.yaml; upgrade_*_budget / *_curve; code: technology_rules.allocate_upgrade_budget</t>
        </is>
      </c>
      <c r="P220" s="67">
        <f>INDEX('个人技术总览'!$O$5:$O$46,MATCH($A220,'个人技术总览'!$A$5:$A$46,0))</f>
        <v/>
      </c>
      <c r="Q220" s="64">
        <f>INDEX('个人技术总览'!$P$5:$P$46,MATCH($A220,'个人技术总览'!$A$5:$A$46,0))</f>
        <v/>
      </c>
      <c r="R220" s="67">
        <f>INDEX('个人技术总览'!$Q$5:$Q$46,MATCH($A220,'个人技术总览'!$A$5:$A$46,0))</f>
        <v/>
      </c>
      <c r="S220" s="64">
        <f>INDEX('个人技术总览'!$R$5:$R$46,MATCH($A220,'个人技术总览'!$A$5:$A$46,0))</f>
        <v/>
      </c>
      <c r="T220" s="68">
        <f>POWER($Q220,$E220)</f>
        <v/>
      </c>
      <c r="U220" s="68">
        <f>SUMIFS($T$5:$T$589,$A$5:$A$589,$A220)</f>
        <v/>
      </c>
      <c r="V220" s="67">
        <f>ROUNDDOWN(MAX(0,$P220-$H220*$G220)*$T220/MAX(1,$U220),0)</f>
        <v/>
      </c>
      <c r="W220" s="68">
        <f>POWER($S220,$E220)</f>
        <v/>
      </c>
      <c r="X220" s="68">
        <f>SUMIFS($W$5:$W$589,$A$5:$A$589,$A220)</f>
        <v/>
      </c>
      <c r="Y220" s="67">
        <f>ROUNDDOWN(MAX(0,$R220-$J220*$G220)*$W220/MAX(1,$X220),0)</f>
        <v/>
      </c>
    </row>
    <row r="221">
      <c r="A221" s="17" t="inlineStr">
        <is>
          <t>architecture</t>
        </is>
      </c>
      <c r="B221" s="18" t="inlineStr">
        <is>
          <t>建筑学</t>
        </is>
      </c>
      <c r="C221" s="18" t="inlineStr">
        <is>
          <t>基本技术</t>
        </is>
      </c>
      <c r="D221" s="18" t="inlineStr">
        <is>
          <t>—</t>
        </is>
      </c>
      <c r="E221" s="65" t="n">
        <v>6</v>
      </c>
      <c r="F221" s="66">
        <f>E221+1</f>
        <v/>
      </c>
      <c r="G221" s="65">
        <f>INDEX('个人技术总览'!$E$5:$E$46,MATCH($A221,'个人技术总览'!$A$5:$A$46,0))</f>
        <v/>
      </c>
      <c r="H221" s="59">
        <f>INDEX('个人技术总览'!$F$5:$F$46,MATCH($A221,'个人技术总览'!$A$5:$A$46,0))</f>
        <v/>
      </c>
      <c r="I221" s="60">
        <f>INDEX('个人技术总览'!$G$5:$G$46,MATCH($A221,'个人技术总览'!$A$5:$A$46,0))</f>
        <v/>
      </c>
      <c r="J221" s="59">
        <f>INDEX('个人技术总览'!$H$5:$H$46,MATCH($A221,'个人技术总览'!$A$5:$A$46,0))</f>
        <v/>
      </c>
      <c r="K221" s="60">
        <f>INDEX('个人技术总览'!$I$5:$I$46,MATCH($A221,'个人技术总览'!$A$5:$A$46,0))</f>
        <v/>
      </c>
      <c r="L221" s="67">
        <f>H221+V221+IF(E221=G221-1,MAX(0,P221-H221*G221-SUMIFS($V$5:$V$589,$A$5:$A$589,$A221)),0)</f>
        <v/>
      </c>
      <c r="M221" s="61">
        <f>MAX(1,ROUNDDOWN($L221/'参数与公式'!$B$5,0))</f>
        <v/>
      </c>
      <c r="N221" s="67">
        <f>J221+Y221+IF(E221=G221-1,MAX(0,R221-J221*G221-SUMIFS($Y$5:$Y$589,$A$5:$A$589,$A221)),0)</f>
        <v/>
      </c>
      <c r="O221" s="18" t="inlineStr">
        <is>
          <t>data/technology_templates.yaml; upgrade_*_budget / *_curve; code: technology_rules.allocate_upgrade_budget</t>
        </is>
      </c>
      <c r="P221" s="67">
        <f>INDEX('个人技术总览'!$O$5:$O$46,MATCH($A221,'个人技术总览'!$A$5:$A$46,0))</f>
        <v/>
      </c>
      <c r="Q221" s="64">
        <f>INDEX('个人技术总览'!$P$5:$P$46,MATCH($A221,'个人技术总览'!$A$5:$A$46,0))</f>
        <v/>
      </c>
      <c r="R221" s="67">
        <f>INDEX('个人技术总览'!$Q$5:$Q$46,MATCH($A221,'个人技术总览'!$A$5:$A$46,0))</f>
        <v/>
      </c>
      <c r="S221" s="64">
        <f>INDEX('个人技术总览'!$R$5:$R$46,MATCH($A221,'个人技术总览'!$A$5:$A$46,0))</f>
        <v/>
      </c>
      <c r="T221" s="68">
        <f>POWER($Q221,$E221)</f>
        <v/>
      </c>
      <c r="U221" s="68">
        <f>SUMIFS($T$5:$T$589,$A$5:$A$589,$A221)</f>
        <v/>
      </c>
      <c r="V221" s="67">
        <f>ROUNDDOWN(MAX(0,$P221-$H221*$G221)*$T221/MAX(1,$U221),0)</f>
        <v/>
      </c>
      <c r="W221" s="68">
        <f>POWER($S221,$E221)</f>
        <v/>
      </c>
      <c r="X221" s="68">
        <f>SUMIFS($W$5:$W$589,$A$5:$A$589,$A221)</f>
        <v/>
      </c>
      <c r="Y221" s="67">
        <f>ROUNDDOWN(MAX(0,$R221-$J221*$G221)*$W221/MAX(1,$X221),0)</f>
        <v/>
      </c>
    </row>
    <row r="222">
      <c r="A222" s="17" t="inlineStr">
        <is>
          <t>architecture</t>
        </is>
      </c>
      <c r="B222" s="18" t="inlineStr">
        <is>
          <t>建筑学</t>
        </is>
      </c>
      <c r="C222" s="18" t="inlineStr">
        <is>
          <t>基本技术</t>
        </is>
      </c>
      <c r="D222" s="18" t="inlineStr">
        <is>
          <t>—</t>
        </is>
      </c>
      <c r="E222" s="65" t="n">
        <v>7</v>
      </c>
      <c r="F222" s="66">
        <f>E222+1</f>
        <v/>
      </c>
      <c r="G222" s="65">
        <f>INDEX('个人技术总览'!$E$5:$E$46,MATCH($A222,'个人技术总览'!$A$5:$A$46,0))</f>
        <v/>
      </c>
      <c r="H222" s="59">
        <f>INDEX('个人技术总览'!$F$5:$F$46,MATCH($A222,'个人技术总览'!$A$5:$A$46,0))</f>
        <v/>
      </c>
      <c r="I222" s="60">
        <f>INDEX('个人技术总览'!$G$5:$G$46,MATCH($A222,'个人技术总览'!$A$5:$A$46,0))</f>
        <v/>
      </c>
      <c r="J222" s="59">
        <f>INDEX('个人技术总览'!$H$5:$H$46,MATCH($A222,'个人技术总览'!$A$5:$A$46,0))</f>
        <v/>
      </c>
      <c r="K222" s="60">
        <f>INDEX('个人技术总览'!$I$5:$I$46,MATCH($A222,'个人技术总览'!$A$5:$A$46,0))</f>
        <v/>
      </c>
      <c r="L222" s="67">
        <f>H222+V222+IF(E222=G222-1,MAX(0,P222-H222*G222-SUMIFS($V$5:$V$589,$A$5:$A$589,$A222)),0)</f>
        <v/>
      </c>
      <c r="M222" s="61">
        <f>MAX(1,ROUNDDOWN($L222/'参数与公式'!$B$5,0))</f>
        <v/>
      </c>
      <c r="N222" s="67">
        <f>J222+Y222+IF(E222=G222-1,MAX(0,R222-J222*G222-SUMIFS($Y$5:$Y$589,$A$5:$A$589,$A222)),0)</f>
        <v/>
      </c>
      <c r="O222" s="18" t="inlineStr">
        <is>
          <t>data/technology_templates.yaml; upgrade_*_budget / *_curve; code: technology_rules.allocate_upgrade_budget</t>
        </is>
      </c>
      <c r="P222" s="67">
        <f>INDEX('个人技术总览'!$O$5:$O$46,MATCH($A222,'个人技术总览'!$A$5:$A$46,0))</f>
        <v/>
      </c>
      <c r="Q222" s="64">
        <f>INDEX('个人技术总览'!$P$5:$P$46,MATCH($A222,'个人技术总览'!$A$5:$A$46,0))</f>
        <v/>
      </c>
      <c r="R222" s="67">
        <f>INDEX('个人技术总览'!$Q$5:$Q$46,MATCH($A222,'个人技术总览'!$A$5:$A$46,0))</f>
        <v/>
      </c>
      <c r="S222" s="64">
        <f>INDEX('个人技术总览'!$R$5:$R$46,MATCH($A222,'个人技术总览'!$A$5:$A$46,0))</f>
        <v/>
      </c>
      <c r="T222" s="68">
        <f>POWER($Q222,$E222)</f>
        <v/>
      </c>
      <c r="U222" s="68">
        <f>SUMIFS($T$5:$T$589,$A$5:$A$589,$A222)</f>
        <v/>
      </c>
      <c r="V222" s="67">
        <f>ROUNDDOWN(MAX(0,$P222-$H222*$G222)*$T222/MAX(1,$U222),0)</f>
        <v/>
      </c>
      <c r="W222" s="68">
        <f>POWER($S222,$E222)</f>
        <v/>
      </c>
      <c r="X222" s="68">
        <f>SUMIFS($W$5:$W$589,$A$5:$A$589,$A222)</f>
        <v/>
      </c>
      <c r="Y222" s="67">
        <f>ROUNDDOWN(MAX(0,$R222-$J222*$G222)*$W222/MAX(1,$X222),0)</f>
        <v/>
      </c>
    </row>
    <row r="223">
      <c r="A223" s="17" t="inlineStr">
        <is>
          <t>architecture</t>
        </is>
      </c>
      <c r="B223" s="18" t="inlineStr">
        <is>
          <t>建筑学</t>
        </is>
      </c>
      <c r="C223" s="18" t="inlineStr">
        <is>
          <t>基本技术</t>
        </is>
      </c>
      <c r="D223" s="18" t="inlineStr">
        <is>
          <t>—</t>
        </is>
      </c>
      <c r="E223" s="65" t="n">
        <v>8</v>
      </c>
      <c r="F223" s="66">
        <f>E223+1</f>
        <v/>
      </c>
      <c r="G223" s="65">
        <f>INDEX('个人技术总览'!$E$5:$E$46,MATCH($A223,'个人技术总览'!$A$5:$A$46,0))</f>
        <v/>
      </c>
      <c r="H223" s="59">
        <f>INDEX('个人技术总览'!$F$5:$F$46,MATCH($A223,'个人技术总览'!$A$5:$A$46,0))</f>
        <v/>
      </c>
      <c r="I223" s="60">
        <f>INDEX('个人技术总览'!$G$5:$G$46,MATCH($A223,'个人技术总览'!$A$5:$A$46,0))</f>
        <v/>
      </c>
      <c r="J223" s="59">
        <f>INDEX('个人技术总览'!$H$5:$H$46,MATCH($A223,'个人技术总览'!$A$5:$A$46,0))</f>
        <v/>
      </c>
      <c r="K223" s="60">
        <f>INDEX('个人技术总览'!$I$5:$I$46,MATCH($A223,'个人技术总览'!$A$5:$A$46,0))</f>
        <v/>
      </c>
      <c r="L223" s="67">
        <f>H223+V223+IF(E223=G223-1,MAX(0,P223-H223*G223-SUMIFS($V$5:$V$589,$A$5:$A$589,$A223)),0)</f>
        <v/>
      </c>
      <c r="M223" s="61">
        <f>MAX(1,ROUNDDOWN($L223/'参数与公式'!$B$5,0))</f>
        <v/>
      </c>
      <c r="N223" s="67">
        <f>J223+Y223+IF(E223=G223-1,MAX(0,R223-J223*G223-SUMIFS($Y$5:$Y$589,$A$5:$A$589,$A223)),0)</f>
        <v/>
      </c>
      <c r="O223" s="18" t="inlineStr">
        <is>
          <t>data/technology_templates.yaml; upgrade_*_budget / *_curve; code: technology_rules.allocate_upgrade_budget</t>
        </is>
      </c>
      <c r="P223" s="67">
        <f>INDEX('个人技术总览'!$O$5:$O$46,MATCH($A223,'个人技术总览'!$A$5:$A$46,0))</f>
        <v/>
      </c>
      <c r="Q223" s="64">
        <f>INDEX('个人技术总览'!$P$5:$P$46,MATCH($A223,'个人技术总览'!$A$5:$A$46,0))</f>
        <v/>
      </c>
      <c r="R223" s="67">
        <f>INDEX('个人技术总览'!$Q$5:$Q$46,MATCH($A223,'个人技术总览'!$A$5:$A$46,0))</f>
        <v/>
      </c>
      <c r="S223" s="64">
        <f>INDEX('个人技术总览'!$R$5:$R$46,MATCH($A223,'个人技术总览'!$A$5:$A$46,0))</f>
        <v/>
      </c>
      <c r="T223" s="68">
        <f>POWER($Q223,$E223)</f>
        <v/>
      </c>
      <c r="U223" s="68">
        <f>SUMIFS($T$5:$T$589,$A$5:$A$589,$A223)</f>
        <v/>
      </c>
      <c r="V223" s="67">
        <f>ROUNDDOWN(MAX(0,$P223-$H223*$G223)*$T223/MAX(1,$U223),0)</f>
        <v/>
      </c>
      <c r="W223" s="68">
        <f>POWER($S223,$E223)</f>
        <v/>
      </c>
      <c r="X223" s="68">
        <f>SUMIFS($W$5:$W$589,$A$5:$A$589,$A223)</f>
        <v/>
      </c>
      <c r="Y223" s="67">
        <f>ROUNDDOWN(MAX(0,$R223-$J223*$G223)*$W223/MAX(1,$X223),0)</f>
        <v/>
      </c>
    </row>
    <row r="224">
      <c r="A224" s="17" t="inlineStr">
        <is>
          <t>architecture</t>
        </is>
      </c>
      <c r="B224" s="18" t="inlineStr">
        <is>
          <t>建筑学</t>
        </is>
      </c>
      <c r="C224" s="18" t="inlineStr">
        <is>
          <t>基本技术</t>
        </is>
      </c>
      <c r="D224" s="18" t="inlineStr">
        <is>
          <t>—</t>
        </is>
      </c>
      <c r="E224" s="65" t="n">
        <v>9</v>
      </c>
      <c r="F224" s="66">
        <f>E224+1</f>
        <v/>
      </c>
      <c r="G224" s="65">
        <f>INDEX('个人技术总览'!$E$5:$E$46,MATCH($A224,'个人技术总览'!$A$5:$A$46,0))</f>
        <v/>
      </c>
      <c r="H224" s="59">
        <f>INDEX('个人技术总览'!$F$5:$F$46,MATCH($A224,'个人技术总览'!$A$5:$A$46,0))</f>
        <v/>
      </c>
      <c r="I224" s="60">
        <f>INDEX('个人技术总览'!$G$5:$G$46,MATCH($A224,'个人技术总览'!$A$5:$A$46,0))</f>
        <v/>
      </c>
      <c r="J224" s="59">
        <f>INDEX('个人技术总览'!$H$5:$H$46,MATCH($A224,'个人技术总览'!$A$5:$A$46,0))</f>
        <v/>
      </c>
      <c r="K224" s="60">
        <f>INDEX('个人技术总览'!$I$5:$I$46,MATCH($A224,'个人技术总览'!$A$5:$A$46,0))</f>
        <v/>
      </c>
      <c r="L224" s="67">
        <f>H224+V224+IF(E224=G224-1,MAX(0,P224-H224*G224-SUMIFS($V$5:$V$589,$A$5:$A$589,$A224)),0)</f>
        <v/>
      </c>
      <c r="M224" s="61">
        <f>MAX(1,ROUNDDOWN($L224/'参数与公式'!$B$5,0))</f>
        <v/>
      </c>
      <c r="N224" s="67">
        <f>J224+Y224+IF(E224=G224-1,MAX(0,R224-J224*G224-SUMIFS($Y$5:$Y$589,$A$5:$A$589,$A224)),0)</f>
        <v/>
      </c>
      <c r="O224" s="18" t="inlineStr">
        <is>
          <t>data/technology_templates.yaml; upgrade_*_budget / *_curve; code: technology_rules.allocate_upgrade_budget</t>
        </is>
      </c>
      <c r="P224" s="67">
        <f>INDEX('个人技术总览'!$O$5:$O$46,MATCH($A224,'个人技术总览'!$A$5:$A$46,0))</f>
        <v/>
      </c>
      <c r="Q224" s="64">
        <f>INDEX('个人技术总览'!$P$5:$P$46,MATCH($A224,'个人技术总览'!$A$5:$A$46,0))</f>
        <v/>
      </c>
      <c r="R224" s="67">
        <f>INDEX('个人技术总览'!$Q$5:$Q$46,MATCH($A224,'个人技术总览'!$A$5:$A$46,0))</f>
        <v/>
      </c>
      <c r="S224" s="64">
        <f>INDEX('个人技术总览'!$R$5:$R$46,MATCH($A224,'个人技术总览'!$A$5:$A$46,0))</f>
        <v/>
      </c>
      <c r="T224" s="68">
        <f>POWER($Q224,$E224)</f>
        <v/>
      </c>
      <c r="U224" s="68">
        <f>SUMIFS($T$5:$T$589,$A$5:$A$589,$A224)</f>
        <v/>
      </c>
      <c r="V224" s="67">
        <f>ROUNDDOWN(MAX(0,$P224-$H224*$G224)*$T224/MAX(1,$U224),0)</f>
        <v/>
      </c>
      <c r="W224" s="68">
        <f>POWER($S224,$E224)</f>
        <v/>
      </c>
      <c r="X224" s="68">
        <f>SUMIFS($W$5:$W$589,$A$5:$A$589,$A224)</f>
        <v/>
      </c>
      <c r="Y224" s="67">
        <f>ROUNDDOWN(MAX(0,$R224-$J224*$G224)*$W224/MAX(1,$X224),0)</f>
        <v/>
      </c>
    </row>
    <row r="225">
      <c r="A225" s="17" t="inlineStr">
        <is>
          <t>horsemanship</t>
        </is>
      </c>
      <c r="B225" s="18" t="inlineStr">
        <is>
          <t>驯马术</t>
        </is>
      </c>
      <c r="C225" s="18" t="inlineStr">
        <is>
          <t>生产技术</t>
        </is>
      </c>
      <c r="D225" s="18" t="inlineStr">
        <is>
          <t>—</t>
        </is>
      </c>
      <c r="E225" s="65" t="n">
        <v>0</v>
      </c>
      <c r="F225" s="66">
        <f>E225+1</f>
        <v/>
      </c>
      <c r="G225" s="65">
        <f>INDEX('个人技术总览'!$E$5:$E$46,MATCH($A225,'个人技术总览'!$A$5:$A$46,0))</f>
        <v/>
      </c>
      <c r="H225" s="59">
        <f>INDEX('个人技术总览'!$F$5:$F$46,MATCH($A225,'个人技术总览'!$A$5:$A$46,0))</f>
        <v/>
      </c>
      <c r="I225" s="60">
        <f>INDEX('个人技术总览'!$G$5:$G$46,MATCH($A225,'个人技术总览'!$A$5:$A$46,0))</f>
        <v/>
      </c>
      <c r="J225" s="59">
        <f>INDEX('个人技术总览'!$H$5:$H$46,MATCH($A225,'个人技术总览'!$A$5:$A$46,0))</f>
        <v/>
      </c>
      <c r="K225" s="60">
        <f>INDEX('个人技术总览'!$I$5:$I$46,MATCH($A225,'个人技术总览'!$A$5:$A$46,0))</f>
        <v/>
      </c>
      <c r="L225" s="67">
        <f>H225+V225+IF(E225=G225-1,MAX(0,P225-H225*G225-SUMIFS($V$5:$V$589,$A$5:$A$589,$A225)),0)</f>
        <v/>
      </c>
      <c r="M225" s="61">
        <f>MAX(1,ROUNDDOWN($L225/'参数与公式'!$B$5,0))</f>
        <v/>
      </c>
      <c r="N225" s="67">
        <f>J225+Y225+IF(E225=G225-1,MAX(0,R225-J225*G225-SUMIFS($Y$5:$Y$589,$A$5:$A$589,$A225)),0)</f>
        <v/>
      </c>
      <c r="O225" s="18" t="inlineStr">
        <is>
          <t>data/technology_templates.yaml; upgrade_*_budget / *_curve; code: technology_rules.allocate_upgrade_budget</t>
        </is>
      </c>
      <c r="P225" s="67">
        <f>INDEX('个人技术总览'!$O$5:$O$46,MATCH($A225,'个人技术总览'!$A$5:$A$46,0))</f>
        <v/>
      </c>
      <c r="Q225" s="64">
        <f>INDEX('个人技术总览'!$P$5:$P$46,MATCH($A225,'个人技术总览'!$A$5:$A$46,0))</f>
        <v/>
      </c>
      <c r="R225" s="67">
        <f>INDEX('个人技术总览'!$Q$5:$Q$46,MATCH($A225,'个人技术总览'!$A$5:$A$46,0))</f>
        <v/>
      </c>
      <c r="S225" s="64">
        <f>INDEX('个人技术总览'!$R$5:$R$46,MATCH($A225,'个人技术总览'!$A$5:$A$46,0))</f>
        <v/>
      </c>
      <c r="T225" s="68">
        <f>POWER($Q225,$E225)</f>
        <v/>
      </c>
      <c r="U225" s="68">
        <f>SUMIFS($T$5:$T$589,$A$5:$A$589,$A225)</f>
        <v/>
      </c>
      <c r="V225" s="67">
        <f>ROUNDDOWN(MAX(0,$P225-$H225*$G225)*$T225/MAX(1,$U225),0)</f>
        <v/>
      </c>
      <c r="W225" s="68">
        <f>POWER($S225,$E225)</f>
        <v/>
      </c>
      <c r="X225" s="68">
        <f>SUMIFS($W$5:$W$589,$A$5:$A$589,$A225)</f>
        <v/>
      </c>
      <c r="Y225" s="67">
        <f>ROUNDDOWN(MAX(0,$R225-$J225*$G225)*$W225/MAX(1,$X225),0)</f>
        <v/>
      </c>
    </row>
    <row r="226">
      <c r="A226" s="17" t="inlineStr">
        <is>
          <t>horsemanship</t>
        </is>
      </c>
      <c r="B226" s="18" t="inlineStr">
        <is>
          <t>驯马术</t>
        </is>
      </c>
      <c r="C226" s="18" t="inlineStr">
        <is>
          <t>生产技术</t>
        </is>
      </c>
      <c r="D226" s="18" t="inlineStr">
        <is>
          <t>—</t>
        </is>
      </c>
      <c r="E226" s="65" t="n">
        <v>1</v>
      </c>
      <c r="F226" s="66">
        <f>E226+1</f>
        <v/>
      </c>
      <c r="G226" s="65">
        <f>INDEX('个人技术总览'!$E$5:$E$46,MATCH($A226,'个人技术总览'!$A$5:$A$46,0))</f>
        <v/>
      </c>
      <c r="H226" s="59">
        <f>INDEX('个人技术总览'!$F$5:$F$46,MATCH($A226,'个人技术总览'!$A$5:$A$46,0))</f>
        <v/>
      </c>
      <c r="I226" s="60">
        <f>INDEX('个人技术总览'!$G$5:$G$46,MATCH($A226,'个人技术总览'!$A$5:$A$46,0))</f>
        <v/>
      </c>
      <c r="J226" s="59">
        <f>INDEX('个人技术总览'!$H$5:$H$46,MATCH($A226,'个人技术总览'!$A$5:$A$46,0))</f>
        <v/>
      </c>
      <c r="K226" s="60">
        <f>INDEX('个人技术总览'!$I$5:$I$46,MATCH($A226,'个人技术总览'!$A$5:$A$46,0))</f>
        <v/>
      </c>
      <c r="L226" s="67">
        <f>H226+V226+IF(E226=G226-1,MAX(0,P226-H226*G226-SUMIFS($V$5:$V$589,$A$5:$A$589,$A226)),0)</f>
        <v/>
      </c>
      <c r="M226" s="61">
        <f>MAX(1,ROUNDDOWN($L226/'参数与公式'!$B$5,0))</f>
        <v/>
      </c>
      <c r="N226" s="67">
        <f>J226+Y226+IF(E226=G226-1,MAX(0,R226-J226*G226-SUMIFS($Y$5:$Y$589,$A$5:$A$589,$A226)),0)</f>
        <v/>
      </c>
      <c r="O226" s="18" t="inlineStr">
        <is>
          <t>data/technology_templates.yaml; upgrade_*_budget / *_curve; code: technology_rules.allocate_upgrade_budget</t>
        </is>
      </c>
      <c r="P226" s="67">
        <f>INDEX('个人技术总览'!$O$5:$O$46,MATCH($A226,'个人技术总览'!$A$5:$A$46,0))</f>
        <v/>
      </c>
      <c r="Q226" s="64">
        <f>INDEX('个人技术总览'!$P$5:$P$46,MATCH($A226,'个人技术总览'!$A$5:$A$46,0))</f>
        <v/>
      </c>
      <c r="R226" s="67">
        <f>INDEX('个人技术总览'!$Q$5:$Q$46,MATCH($A226,'个人技术总览'!$A$5:$A$46,0))</f>
        <v/>
      </c>
      <c r="S226" s="64">
        <f>INDEX('个人技术总览'!$R$5:$R$46,MATCH($A226,'个人技术总览'!$A$5:$A$46,0))</f>
        <v/>
      </c>
      <c r="T226" s="68">
        <f>POWER($Q226,$E226)</f>
        <v/>
      </c>
      <c r="U226" s="68">
        <f>SUMIFS($T$5:$T$589,$A$5:$A$589,$A226)</f>
        <v/>
      </c>
      <c r="V226" s="67">
        <f>ROUNDDOWN(MAX(0,$P226-$H226*$G226)*$T226/MAX(1,$U226),0)</f>
        <v/>
      </c>
      <c r="W226" s="68">
        <f>POWER($S226,$E226)</f>
        <v/>
      </c>
      <c r="X226" s="68">
        <f>SUMIFS($W$5:$W$589,$A$5:$A$589,$A226)</f>
        <v/>
      </c>
      <c r="Y226" s="67">
        <f>ROUNDDOWN(MAX(0,$R226-$J226*$G226)*$W226/MAX(1,$X226),0)</f>
        <v/>
      </c>
    </row>
    <row r="227">
      <c r="A227" s="17" t="inlineStr">
        <is>
          <t>horsemanship</t>
        </is>
      </c>
      <c r="B227" s="18" t="inlineStr">
        <is>
          <t>驯马术</t>
        </is>
      </c>
      <c r="C227" s="18" t="inlineStr">
        <is>
          <t>生产技术</t>
        </is>
      </c>
      <c r="D227" s="18" t="inlineStr">
        <is>
          <t>—</t>
        </is>
      </c>
      <c r="E227" s="65" t="n">
        <v>2</v>
      </c>
      <c r="F227" s="66">
        <f>E227+1</f>
        <v/>
      </c>
      <c r="G227" s="65">
        <f>INDEX('个人技术总览'!$E$5:$E$46,MATCH($A227,'个人技术总览'!$A$5:$A$46,0))</f>
        <v/>
      </c>
      <c r="H227" s="59">
        <f>INDEX('个人技术总览'!$F$5:$F$46,MATCH($A227,'个人技术总览'!$A$5:$A$46,0))</f>
        <v/>
      </c>
      <c r="I227" s="60">
        <f>INDEX('个人技术总览'!$G$5:$G$46,MATCH($A227,'个人技术总览'!$A$5:$A$46,0))</f>
        <v/>
      </c>
      <c r="J227" s="59">
        <f>INDEX('个人技术总览'!$H$5:$H$46,MATCH($A227,'个人技术总览'!$A$5:$A$46,0))</f>
        <v/>
      </c>
      <c r="K227" s="60">
        <f>INDEX('个人技术总览'!$I$5:$I$46,MATCH($A227,'个人技术总览'!$A$5:$A$46,0))</f>
        <v/>
      </c>
      <c r="L227" s="67">
        <f>H227+V227+IF(E227=G227-1,MAX(0,P227-H227*G227-SUMIFS($V$5:$V$589,$A$5:$A$589,$A227)),0)</f>
        <v/>
      </c>
      <c r="M227" s="61">
        <f>MAX(1,ROUNDDOWN($L227/'参数与公式'!$B$5,0))</f>
        <v/>
      </c>
      <c r="N227" s="67">
        <f>J227+Y227+IF(E227=G227-1,MAX(0,R227-J227*G227-SUMIFS($Y$5:$Y$589,$A$5:$A$589,$A227)),0)</f>
        <v/>
      </c>
      <c r="O227" s="18" t="inlineStr">
        <is>
          <t>data/technology_templates.yaml; upgrade_*_budget / *_curve; code: technology_rules.allocate_upgrade_budget</t>
        </is>
      </c>
      <c r="P227" s="67">
        <f>INDEX('个人技术总览'!$O$5:$O$46,MATCH($A227,'个人技术总览'!$A$5:$A$46,0))</f>
        <v/>
      </c>
      <c r="Q227" s="64">
        <f>INDEX('个人技术总览'!$P$5:$P$46,MATCH($A227,'个人技术总览'!$A$5:$A$46,0))</f>
        <v/>
      </c>
      <c r="R227" s="67">
        <f>INDEX('个人技术总览'!$Q$5:$Q$46,MATCH($A227,'个人技术总览'!$A$5:$A$46,0))</f>
        <v/>
      </c>
      <c r="S227" s="64">
        <f>INDEX('个人技术总览'!$R$5:$R$46,MATCH($A227,'个人技术总览'!$A$5:$A$46,0))</f>
        <v/>
      </c>
      <c r="T227" s="68">
        <f>POWER($Q227,$E227)</f>
        <v/>
      </c>
      <c r="U227" s="68">
        <f>SUMIFS($T$5:$T$589,$A$5:$A$589,$A227)</f>
        <v/>
      </c>
      <c r="V227" s="67">
        <f>ROUNDDOWN(MAX(0,$P227-$H227*$G227)*$T227/MAX(1,$U227),0)</f>
        <v/>
      </c>
      <c r="W227" s="68">
        <f>POWER($S227,$E227)</f>
        <v/>
      </c>
      <c r="X227" s="68">
        <f>SUMIFS($W$5:$W$589,$A$5:$A$589,$A227)</f>
        <v/>
      </c>
      <c r="Y227" s="67">
        <f>ROUNDDOWN(MAX(0,$R227-$J227*$G227)*$W227/MAX(1,$X227),0)</f>
        <v/>
      </c>
    </row>
    <row r="228">
      <c r="A228" s="17" t="inlineStr">
        <is>
          <t>horsemanship</t>
        </is>
      </c>
      <c r="B228" s="18" t="inlineStr">
        <is>
          <t>驯马术</t>
        </is>
      </c>
      <c r="C228" s="18" t="inlineStr">
        <is>
          <t>生产技术</t>
        </is>
      </c>
      <c r="D228" s="18" t="inlineStr">
        <is>
          <t>—</t>
        </is>
      </c>
      <c r="E228" s="65" t="n">
        <v>3</v>
      </c>
      <c r="F228" s="66">
        <f>E228+1</f>
        <v/>
      </c>
      <c r="G228" s="65">
        <f>INDEX('个人技术总览'!$E$5:$E$46,MATCH($A228,'个人技术总览'!$A$5:$A$46,0))</f>
        <v/>
      </c>
      <c r="H228" s="59">
        <f>INDEX('个人技术总览'!$F$5:$F$46,MATCH($A228,'个人技术总览'!$A$5:$A$46,0))</f>
        <v/>
      </c>
      <c r="I228" s="60">
        <f>INDEX('个人技术总览'!$G$5:$G$46,MATCH($A228,'个人技术总览'!$A$5:$A$46,0))</f>
        <v/>
      </c>
      <c r="J228" s="59">
        <f>INDEX('个人技术总览'!$H$5:$H$46,MATCH($A228,'个人技术总览'!$A$5:$A$46,0))</f>
        <v/>
      </c>
      <c r="K228" s="60">
        <f>INDEX('个人技术总览'!$I$5:$I$46,MATCH($A228,'个人技术总览'!$A$5:$A$46,0))</f>
        <v/>
      </c>
      <c r="L228" s="67">
        <f>H228+V228+IF(E228=G228-1,MAX(0,P228-H228*G228-SUMIFS($V$5:$V$589,$A$5:$A$589,$A228)),0)</f>
        <v/>
      </c>
      <c r="M228" s="61">
        <f>MAX(1,ROUNDDOWN($L228/'参数与公式'!$B$5,0))</f>
        <v/>
      </c>
      <c r="N228" s="67">
        <f>J228+Y228+IF(E228=G228-1,MAX(0,R228-J228*G228-SUMIFS($Y$5:$Y$589,$A$5:$A$589,$A228)),0)</f>
        <v/>
      </c>
      <c r="O228" s="18" t="inlineStr">
        <is>
          <t>data/technology_templates.yaml; upgrade_*_budget / *_curve; code: technology_rules.allocate_upgrade_budget</t>
        </is>
      </c>
      <c r="P228" s="67">
        <f>INDEX('个人技术总览'!$O$5:$O$46,MATCH($A228,'个人技术总览'!$A$5:$A$46,0))</f>
        <v/>
      </c>
      <c r="Q228" s="64">
        <f>INDEX('个人技术总览'!$P$5:$P$46,MATCH($A228,'个人技术总览'!$A$5:$A$46,0))</f>
        <v/>
      </c>
      <c r="R228" s="67">
        <f>INDEX('个人技术总览'!$Q$5:$Q$46,MATCH($A228,'个人技术总览'!$A$5:$A$46,0))</f>
        <v/>
      </c>
      <c r="S228" s="64">
        <f>INDEX('个人技术总览'!$R$5:$R$46,MATCH($A228,'个人技术总览'!$A$5:$A$46,0))</f>
        <v/>
      </c>
      <c r="T228" s="68">
        <f>POWER($Q228,$E228)</f>
        <v/>
      </c>
      <c r="U228" s="68">
        <f>SUMIFS($T$5:$T$589,$A$5:$A$589,$A228)</f>
        <v/>
      </c>
      <c r="V228" s="67">
        <f>ROUNDDOWN(MAX(0,$P228-$H228*$G228)*$T228/MAX(1,$U228),0)</f>
        <v/>
      </c>
      <c r="W228" s="68">
        <f>POWER($S228,$E228)</f>
        <v/>
      </c>
      <c r="X228" s="68">
        <f>SUMIFS($W$5:$W$589,$A$5:$A$589,$A228)</f>
        <v/>
      </c>
      <c r="Y228" s="67">
        <f>ROUNDDOWN(MAX(0,$R228-$J228*$G228)*$W228/MAX(1,$X228),0)</f>
        <v/>
      </c>
    </row>
    <row r="229">
      <c r="A229" s="17" t="inlineStr">
        <is>
          <t>horsemanship</t>
        </is>
      </c>
      <c r="B229" s="18" t="inlineStr">
        <is>
          <t>驯马术</t>
        </is>
      </c>
      <c r="C229" s="18" t="inlineStr">
        <is>
          <t>生产技术</t>
        </is>
      </c>
      <c r="D229" s="18" t="inlineStr">
        <is>
          <t>—</t>
        </is>
      </c>
      <c r="E229" s="65" t="n">
        <v>4</v>
      </c>
      <c r="F229" s="66">
        <f>E229+1</f>
        <v/>
      </c>
      <c r="G229" s="65">
        <f>INDEX('个人技术总览'!$E$5:$E$46,MATCH($A229,'个人技术总览'!$A$5:$A$46,0))</f>
        <v/>
      </c>
      <c r="H229" s="59">
        <f>INDEX('个人技术总览'!$F$5:$F$46,MATCH($A229,'个人技术总览'!$A$5:$A$46,0))</f>
        <v/>
      </c>
      <c r="I229" s="60">
        <f>INDEX('个人技术总览'!$G$5:$G$46,MATCH($A229,'个人技术总览'!$A$5:$A$46,0))</f>
        <v/>
      </c>
      <c r="J229" s="59">
        <f>INDEX('个人技术总览'!$H$5:$H$46,MATCH($A229,'个人技术总览'!$A$5:$A$46,0))</f>
        <v/>
      </c>
      <c r="K229" s="60">
        <f>INDEX('个人技术总览'!$I$5:$I$46,MATCH($A229,'个人技术总览'!$A$5:$A$46,0))</f>
        <v/>
      </c>
      <c r="L229" s="67">
        <f>H229+V229+IF(E229=G229-1,MAX(0,P229-H229*G229-SUMIFS($V$5:$V$589,$A$5:$A$589,$A229)),0)</f>
        <v/>
      </c>
      <c r="M229" s="61">
        <f>MAX(1,ROUNDDOWN($L229/'参数与公式'!$B$5,0))</f>
        <v/>
      </c>
      <c r="N229" s="67">
        <f>J229+Y229+IF(E229=G229-1,MAX(0,R229-J229*G229-SUMIFS($Y$5:$Y$589,$A$5:$A$589,$A229)),0)</f>
        <v/>
      </c>
      <c r="O229" s="18" t="inlineStr">
        <is>
          <t>data/technology_templates.yaml; upgrade_*_budget / *_curve; code: technology_rules.allocate_upgrade_budget</t>
        </is>
      </c>
      <c r="P229" s="67">
        <f>INDEX('个人技术总览'!$O$5:$O$46,MATCH($A229,'个人技术总览'!$A$5:$A$46,0))</f>
        <v/>
      </c>
      <c r="Q229" s="64">
        <f>INDEX('个人技术总览'!$P$5:$P$46,MATCH($A229,'个人技术总览'!$A$5:$A$46,0))</f>
        <v/>
      </c>
      <c r="R229" s="67">
        <f>INDEX('个人技术总览'!$Q$5:$Q$46,MATCH($A229,'个人技术总览'!$A$5:$A$46,0))</f>
        <v/>
      </c>
      <c r="S229" s="64">
        <f>INDEX('个人技术总览'!$R$5:$R$46,MATCH($A229,'个人技术总览'!$A$5:$A$46,0))</f>
        <v/>
      </c>
      <c r="T229" s="68">
        <f>POWER($Q229,$E229)</f>
        <v/>
      </c>
      <c r="U229" s="68">
        <f>SUMIFS($T$5:$T$589,$A$5:$A$589,$A229)</f>
        <v/>
      </c>
      <c r="V229" s="67">
        <f>ROUNDDOWN(MAX(0,$P229-$H229*$G229)*$T229/MAX(1,$U229),0)</f>
        <v/>
      </c>
      <c r="W229" s="68">
        <f>POWER($S229,$E229)</f>
        <v/>
      </c>
      <c r="X229" s="68">
        <f>SUMIFS($W$5:$W$589,$A$5:$A$589,$A229)</f>
        <v/>
      </c>
      <c r="Y229" s="67">
        <f>ROUNDDOWN(MAX(0,$R229-$J229*$G229)*$W229/MAX(1,$X229),0)</f>
        <v/>
      </c>
    </row>
    <row r="230">
      <c r="A230" s="17" t="inlineStr">
        <is>
          <t>horsemanship</t>
        </is>
      </c>
      <c r="B230" s="18" t="inlineStr">
        <is>
          <t>驯马术</t>
        </is>
      </c>
      <c r="C230" s="18" t="inlineStr">
        <is>
          <t>生产技术</t>
        </is>
      </c>
      <c r="D230" s="18" t="inlineStr">
        <is>
          <t>—</t>
        </is>
      </c>
      <c r="E230" s="65" t="n">
        <v>5</v>
      </c>
      <c r="F230" s="66">
        <f>E230+1</f>
        <v/>
      </c>
      <c r="G230" s="65">
        <f>INDEX('个人技术总览'!$E$5:$E$46,MATCH($A230,'个人技术总览'!$A$5:$A$46,0))</f>
        <v/>
      </c>
      <c r="H230" s="59">
        <f>INDEX('个人技术总览'!$F$5:$F$46,MATCH($A230,'个人技术总览'!$A$5:$A$46,0))</f>
        <v/>
      </c>
      <c r="I230" s="60">
        <f>INDEX('个人技术总览'!$G$5:$G$46,MATCH($A230,'个人技术总览'!$A$5:$A$46,0))</f>
        <v/>
      </c>
      <c r="J230" s="59">
        <f>INDEX('个人技术总览'!$H$5:$H$46,MATCH($A230,'个人技术总览'!$A$5:$A$46,0))</f>
        <v/>
      </c>
      <c r="K230" s="60">
        <f>INDEX('个人技术总览'!$I$5:$I$46,MATCH($A230,'个人技术总览'!$A$5:$A$46,0))</f>
        <v/>
      </c>
      <c r="L230" s="67">
        <f>H230+V230+IF(E230=G230-1,MAX(0,P230-H230*G230-SUMIFS($V$5:$V$589,$A$5:$A$589,$A230)),0)</f>
        <v/>
      </c>
      <c r="M230" s="61">
        <f>MAX(1,ROUNDDOWN($L230/'参数与公式'!$B$5,0))</f>
        <v/>
      </c>
      <c r="N230" s="67">
        <f>J230+Y230+IF(E230=G230-1,MAX(0,R230-J230*G230-SUMIFS($Y$5:$Y$589,$A$5:$A$589,$A230)),0)</f>
        <v/>
      </c>
      <c r="O230" s="18" t="inlineStr">
        <is>
          <t>data/technology_templates.yaml; upgrade_*_budget / *_curve; code: technology_rules.allocate_upgrade_budget</t>
        </is>
      </c>
      <c r="P230" s="67">
        <f>INDEX('个人技术总览'!$O$5:$O$46,MATCH($A230,'个人技术总览'!$A$5:$A$46,0))</f>
        <v/>
      </c>
      <c r="Q230" s="64">
        <f>INDEX('个人技术总览'!$P$5:$P$46,MATCH($A230,'个人技术总览'!$A$5:$A$46,0))</f>
        <v/>
      </c>
      <c r="R230" s="67">
        <f>INDEX('个人技术总览'!$Q$5:$Q$46,MATCH($A230,'个人技术总览'!$A$5:$A$46,0))</f>
        <v/>
      </c>
      <c r="S230" s="64">
        <f>INDEX('个人技术总览'!$R$5:$R$46,MATCH($A230,'个人技术总览'!$A$5:$A$46,0))</f>
        <v/>
      </c>
      <c r="T230" s="68">
        <f>POWER($Q230,$E230)</f>
        <v/>
      </c>
      <c r="U230" s="68">
        <f>SUMIFS($T$5:$T$589,$A$5:$A$589,$A230)</f>
        <v/>
      </c>
      <c r="V230" s="67">
        <f>ROUNDDOWN(MAX(0,$P230-$H230*$G230)*$T230/MAX(1,$U230),0)</f>
        <v/>
      </c>
      <c r="W230" s="68">
        <f>POWER($S230,$E230)</f>
        <v/>
      </c>
      <c r="X230" s="68">
        <f>SUMIFS($W$5:$W$589,$A$5:$A$589,$A230)</f>
        <v/>
      </c>
      <c r="Y230" s="67">
        <f>ROUNDDOWN(MAX(0,$R230-$J230*$G230)*$W230/MAX(1,$X230),0)</f>
        <v/>
      </c>
    </row>
    <row r="231">
      <c r="A231" s="17" t="inlineStr">
        <is>
          <t>horsemanship</t>
        </is>
      </c>
      <c r="B231" s="18" t="inlineStr">
        <is>
          <t>驯马术</t>
        </is>
      </c>
      <c r="C231" s="18" t="inlineStr">
        <is>
          <t>生产技术</t>
        </is>
      </c>
      <c r="D231" s="18" t="inlineStr">
        <is>
          <t>—</t>
        </is>
      </c>
      <c r="E231" s="65" t="n">
        <v>6</v>
      </c>
      <c r="F231" s="66">
        <f>E231+1</f>
        <v/>
      </c>
      <c r="G231" s="65">
        <f>INDEX('个人技术总览'!$E$5:$E$46,MATCH($A231,'个人技术总览'!$A$5:$A$46,0))</f>
        <v/>
      </c>
      <c r="H231" s="59">
        <f>INDEX('个人技术总览'!$F$5:$F$46,MATCH($A231,'个人技术总览'!$A$5:$A$46,0))</f>
        <v/>
      </c>
      <c r="I231" s="60">
        <f>INDEX('个人技术总览'!$G$5:$G$46,MATCH($A231,'个人技术总览'!$A$5:$A$46,0))</f>
        <v/>
      </c>
      <c r="J231" s="59">
        <f>INDEX('个人技术总览'!$H$5:$H$46,MATCH($A231,'个人技术总览'!$A$5:$A$46,0))</f>
        <v/>
      </c>
      <c r="K231" s="60">
        <f>INDEX('个人技术总览'!$I$5:$I$46,MATCH($A231,'个人技术总览'!$A$5:$A$46,0))</f>
        <v/>
      </c>
      <c r="L231" s="67">
        <f>H231+V231+IF(E231=G231-1,MAX(0,P231-H231*G231-SUMIFS($V$5:$V$589,$A$5:$A$589,$A231)),0)</f>
        <v/>
      </c>
      <c r="M231" s="61">
        <f>MAX(1,ROUNDDOWN($L231/'参数与公式'!$B$5,0))</f>
        <v/>
      </c>
      <c r="N231" s="67">
        <f>J231+Y231+IF(E231=G231-1,MAX(0,R231-J231*G231-SUMIFS($Y$5:$Y$589,$A$5:$A$589,$A231)),0)</f>
        <v/>
      </c>
      <c r="O231" s="18" t="inlineStr">
        <is>
          <t>data/technology_templates.yaml; upgrade_*_budget / *_curve; code: technology_rules.allocate_upgrade_budget</t>
        </is>
      </c>
      <c r="P231" s="67">
        <f>INDEX('个人技术总览'!$O$5:$O$46,MATCH($A231,'个人技术总览'!$A$5:$A$46,0))</f>
        <v/>
      </c>
      <c r="Q231" s="64">
        <f>INDEX('个人技术总览'!$P$5:$P$46,MATCH($A231,'个人技术总览'!$A$5:$A$46,0))</f>
        <v/>
      </c>
      <c r="R231" s="67">
        <f>INDEX('个人技术总览'!$Q$5:$Q$46,MATCH($A231,'个人技术总览'!$A$5:$A$46,0))</f>
        <v/>
      </c>
      <c r="S231" s="64">
        <f>INDEX('个人技术总览'!$R$5:$R$46,MATCH($A231,'个人技术总览'!$A$5:$A$46,0))</f>
        <v/>
      </c>
      <c r="T231" s="68">
        <f>POWER($Q231,$E231)</f>
        <v/>
      </c>
      <c r="U231" s="68">
        <f>SUMIFS($T$5:$T$589,$A$5:$A$589,$A231)</f>
        <v/>
      </c>
      <c r="V231" s="67">
        <f>ROUNDDOWN(MAX(0,$P231-$H231*$G231)*$T231/MAX(1,$U231),0)</f>
        <v/>
      </c>
      <c r="W231" s="68">
        <f>POWER($S231,$E231)</f>
        <v/>
      </c>
      <c r="X231" s="68">
        <f>SUMIFS($W$5:$W$589,$A$5:$A$589,$A231)</f>
        <v/>
      </c>
      <c r="Y231" s="67">
        <f>ROUNDDOWN(MAX(0,$R231-$J231*$G231)*$W231/MAX(1,$X231),0)</f>
        <v/>
      </c>
    </row>
    <row r="232">
      <c r="A232" s="17" t="inlineStr">
        <is>
          <t>horsemanship</t>
        </is>
      </c>
      <c r="B232" s="18" t="inlineStr">
        <is>
          <t>驯马术</t>
        </is>
      </c>
      <c r="C232" s="18" t="inlineStr">
        <is>
          <t>生产技术</t>
        </is>
      </c>
      <c r="D232" s="18" t="inlineStr">
        <is>
          <t>—</t>
        </is>
      </c>
      <c r="E232" s="65" t="n">
        <v>7</v>
      </c>
      <c r="F232" s="66">
        <f>E232+1</f>
        <v/>
      </c>
      <c r="G232" s="65">
        <f>INDEX('个人技术总览'!$E$5:$E$46,MATCH($A232,'个人技术总览'!$A$5:$A$46,0))</f>
        <v/>
      </c>
      <c r="H232" s="59">
        <f>INDEX('个人技术总览'!$F$5:$F$46,MATCH($A232,'个人技术总览'!$A$5:$A$46,0))</f>
        <v/>
      </c>
      <c r="I232" s="60">
        <f>INDEX('个人技术总览'!$G$5:$G$46,MATCH($A232,'个人技术总览'!$A$5:$A$46,0))</f>
        <v/>
      </c>
      <c r="J232" s="59">
        <f>INDEX('个人技术总览'!$H$5:$H$46,MATCH($A232,'个人技术总览'!$A$5:$A$46,0))</f>
        <v/>
      </c>
      <c r="K232" s="60">
        <f>INDEX('个人技术总览'!$I$5:$I$46,MATCH($A232,'个人技术总览'!$A$5:$A$46,0))</f>
        <v/>
      </c>
      <c r="L232" s="67">
        <f>H232+V232+IF(E232=G232-1,MAX(0,P232-H232*G232-SUMIFS($V$5:$V$589,$A$5:$A$589,$A232)),0)</f>
        <v/>
      </c>
      <c r="M232" s="61">
        <f>MAX(1,ROUNDDOWN($L232/'参数与公式'!$B$5,0))</f>
        <v/>
      </c>
      <c r="N232" s="67">
        <f>J232+Y232+IF(E232=G232-1,MAX(0,R232-J232*G232-SUMIFS($Y$5:$Y$589,$A$5:$A$589,$A232)),0)</f>
        <v/>
      </c>
      <c r="O232" s="18" t="inlineStr">
        <is>
          <t>data/technology_templates.yaml; upgrade_*_budget / *_curve; code: technology_rules.allocate_upgrade_budget</t>
        </is>
      </c>
      <c r="P232" s="67">
        <f>INDEX('个人技术总览'!$O$5:$O$46,MATCH($A232,'个人技术总览'!$A$5:$A$46,0))</f>
        <v/>
      </c>
      <c r="Q232" s="64">
        <f>INDEX('个人技术总览'!$P$5:$P$46,MATCH($A232,'个人技术总览'!$A$5:$A$46,0))</f>
        <v/>
      </c>
      <c r="R232" s="67">
        <f>INDEX('个人技术总览'!$Q$5:$Q$46,MATCH($A232,'个人技术总览'!$A$5:$A$46,0))</f>
        <v/>
      </c>
      <c r="S232" s="64">
        <f>INDEX('个人技术总览'!$R$5:$R$46,MATCH($A232,'个人技术总览'!$A$5:$A$46,0))</f>
        <v/>
      </c>
      <c r="T232" s="68">
        <f>POWER($Q232,$E232)</f>
        <v/>
      </c>
      <c r="U232" s="68">
        <f>SUMIFS($T$5:$T$589,$A$5:$A$589,$A232)</f>
        <v/>
      </c>
      <c r="V232" s="67">
        <f>ROUNDDOWN(MAX(0,$P232-$H232*$G232)*$T232/MAX(1,$U232),0)</f>
        <v/>
      </c>
      <c r="W232" s="68">
        <f>POWER($S232,$E232)</f>
        <v/>
      </c>
      <c r="X232" s="68">
        <f>SUMIFS($W$5:$W$589,$A$5:$A$589,$A232)</f>
        <v/>
      </c>
      <c r="Y232" s="67">
        <f>ROUNDDOWN(MAX(0,$R232-$J232*$G232)*$W232/MAX(1,$X232),0)</f>
        <v/>
      </c>
    </row>
    <row r="233">
      <c r="A233" s="17" t="inlineStr">
        <is>
          <t>horsemanship</t>
        </is>
      </c>
      <c r="B233" s="18" t="inlineStr">
        <is>
          <t>驯马术</t>
        </is>
      </c>
      <c r="C233" s="18" t="inlineStr">
        <is>
          <t>生产技术</t>
        </is>
      </c>
      <c r="D233" s="18" t="inlineStr">
        <is>
          <t>—</t>
        </is>
      </c>
      <c r="E233" s="65" t="n">
        <v>8</v>
      </c>
      <c r="F233" s="66">
        <f>E233+1</f>
        <v/>
      </c>
      <c r="G233" s="65">
        <f>INDEX('个人技术总览'!$E$5:$E$46,MATCH($A233,'个人技术总览'!$A$5:$A$46,0))</f>
        <v/>
      </c>
      <c r="H233" s="59">
        <f>INDEX('个人技术总览'!$F$5:$F$46,MATCH($A233,'个人技术总览'!$A$5:$A$46,0))</f>
        <v/>
      </c>
      <c r="I233" s="60">
        <f>INDEX('个人技术总览'!$G$5:$G$46,MATCH($A233,'个人技术总览'!$A$5:$A$46,0))</f>
        <v/>
      </c>
      <c r="J233" s="59">
        <f>INDEX('个人技术总览'!$H$5:$H$46,MATCH($A233,'个人技术总览'!$A$5:$A$46,0))</f>
        <v/>
      </c>
      <c r="K233" s="60">
        <f>INDEX('个人技术总览'!$I$5:$I$46,MATCH($A233,'个人技术总览'!$A$5:$A$46,0))</f>
        <v/>
      </c>
      <c r="L233" s="67">
        <f>H233+V233+IF(E233=G233-1,MAX(0,P233-H233*G233-SUMIFS($V$5:$V$589,$A$5:$A$589,$A233)),0)</f>
        <v/>
      </c>
      <c r="M233" s="61">
        <f>MAX(1,ROUNDDOWN($L233/'参数与公式'!$B$5,0))</f>
        <v/>
      </c>
      <c r="N233" s="67">
        <f>J233+Y233+IF(E233=G233-1,MAX(0,R233-J233*G233-SUMIFS($Y$5:$Y$589,$A$5:$A$589,$A233)),0)</f>
        <v/>
      </c>
      <c r="O233" s="18" t="inlineStr">
        <is>
          <t>data/technology_templates.yaml; upgrade_*_budget / *_curve; code: technology_rules.allocate_upgrade_budget</t>
        </is>
      </c>
      <c r="P233" s="67">
        <f>INDEX('个人技术总览'!$O$5:$O$46,MATCH($A233,'个人技术总览'!$A$5:$A$46,0))</f>
        <v/>
      </c>
      <c r="Q233" s="64">
        <f>INDEX('个人技术总览'!$P$5:$P$46,MATCH($A233,'个人技术总览'!$A$5:$A$46,0))</f>
        <v/>
      </c>
      <c r="R233" s="67">
        <f>INDEX('个人技术总览'!$Q$5:$Q$46,MATCH($A233,'个人技术总览'!$A$5:$A$46,0))</f>
        <v/>
      </c>
      <c r="S233" s="64">
        <f>INDEX('个人技术总览'!$R$5:$R$46,MATCH($A233,'个人技术总览'!$A$5:$A$46,0))</f>
        <v/>
      </c>
      <c r="T233" s="68">
        <f>POWER($Q233,$E233)</f>
        <v/>
      </c>
      <c r="U233" s="68">
        <f>SUMIFS($T$5:$T$589,$A$5:$A$589,$A233)</f>
        <v/>
      </c>
      <c r="V233" s="67">
        <f>ROUNDDOWN(MAX(0,$P233-$H233*$G233)*$T233/MAX(1,$U233),0)</f>
        <v/>
      </c>
      <c r="W233" s="68">
        <f>POWER($S233,$E233)</f>
        <v/>
      </c>
      <c r="X233" s="68">
        <f>SUMIFS($W$5:$W$589,$A$5:$A$589,$A233)</f>
        <v/>
      </c>
      <c r="Y233" s="67">
        <f>ROUNDDOWN(MAX(0,$R233-$J233*$G233)*$W233/MAX(1,$X233),0)</f>
        <v/>
      </c>
    </row>
    <row r="234">
      <c r="A234" s="17" t="inlineStr">
        <is>
          <t>horsemanship</t>
        </is>
      </c>
      <c r="B234" s="18" t="inlineStr">
        <is>
          <t>驯马术</t>
        </is>
      </c>
      <c r="C234" s="18" t="inlineStr">
        <is>
          <t>生产技术</t>
        </is>
      </c>
      <c r="D234" s="18" t="inlineStr">
        <is>
          <t>—</t>
        </is>
      </c>
      <c r="E234" s="65" t="n">
        <v>9</v>
      </c>
      <c r="F234" s="66">
        <f>E234+1</f>
        <v/>
      </c>
      <c r="G234" s="65">
        <f>INDEX('个人技术总览'!$E$5:$E$46,MATCH($A234,'个人技术总览'!$A$5:$A$46,0))</f>
        <v/>
      </c>
      <c r="H234" s="59">
        <f>INDEX('个人技术总览'!$F$5:$F$46,MATCH($A234,'个人技术总览'!$A$5:$A$46,0))</f>
        <v/>
      </c>
      <c r="I234" s="60">
        <f>INDEX('个人技术总览'!$G$5:$G$46,MATCH($A234,'个人技术总览'!$A$5:$A$46,0))</f>
        <v/>
      </c>
      <c r="J234" s="59">
        <f>INDEX('个人技术总览'!$H$5:$H$46,MATCH($A234,'个人技术总览'!$A$5:$A$46,0))</f>
        <v/>
      </c>
      <c r="K234" s="60">
        <f>INDEX('个人技术总览'!$I$5:$I$46,MATCH($A234,'个人技术总览'!$A$5:$A$46,0))</f>
        <v/>
      </c>
      <c r="L234" s="67">
        <f>H234+V234+IF(E234=G234-1,MAX(0,P234-H234*G234-SUMIFS($V$5:$V$589,$A$5:$A$589,$A234)),0)</f>
        <v/>
      </c>
      <c r="M234" s="61">
        <f>MAX(1,ROUNDDOWN($L234/'参数与公式'!$B$5,0))</f>
        <v/>
      </c>
      <c r="N234" s="67">
        <f>J234+Y234+IF(E234=G234-1,MAX(0,R234-J234*G234-SUMIFS($Y$5:$Y$589,$A$5:$A$589,$A234)),0)</f>
        <v/>
      </c>
      <c r="O234" s="18" t="inlineStr">
        <is>
          <t>data/technology_templates.yaml; upgrade_*_budget / *_curve; code: technology_rules.allocate_upgrade_budget</t>
        </is>
      </c>
      <c r="P234" s="67">
        <f>INDEX('个人技术总览'!$O$5:$O$46,MATCH($A234,'个人技术总览'!$A$5:$A$46,0))</f>
        <v/>
      </c>
      <c r="Q234" s="64">
        <f>INDEX('个人技术总览'!$P$5:$P$46,MATCH($A234,'个人技术总览'!$A$5:$A$46,0))</f>
        <v/>
      </c>
      <c r="R234" s="67">
        <f>INDEX('个人技术总览'!$Q$5:$Q$46,MATCH($A234,'个人技术总览'!$A$5:$A$46,0))</f>
        <v/>
      </c>
      <c r="S234" s="64">
        <f>INDEX('个人技术总览'!$R$5:$R$46,MATCH($A234,'个人技术总览'!$A$5:$A$46,0))</f>
        <v/>
      </c>
      <c r="T234" s="68">
        <f>POWER($Q234,$E234)</f>
        <v/>
      </c>
      <c r="U234" s="68">
        <f>SUMIFS($T$5:$T$589,$A$5:$A$589,$A234)</f>
        <v/>
      </c>
      <c r="V234" s="67">
        <f>ROUNDDOWN(MAX(0,$P234-$H234*$G234)*$T234/MAX(1,$U234),0)</f>
        <v/>
      </c>
      <c r="W234" s="68">
        <f>POWER($S234,$E234)</f>
        <v/>
      </c>
      <c r="X234" s="68">
        <f>SUMIFS($W$5:$W$589,$A$5:$A$589,$A234)</f>
        <v/>
      </c>
      <c r="Y234" s="67">
        <f>ROUNDDOWN(MAX(0,$R234-$J234*$G234)*$W234/MAX(1,$X234),0)</f>
        <v/>
      </c>
    </row>
    <row r="235">
      <c r="A235" s="17" t="inlineStr">
        <is>
          <t>animal_husbandry</t>
        </is>
      </c>
      <c r="B235" s="18" t="inlineStr">
        <is>
          <t>养殖术</t>
        </is>
      </c>
      <c r="C235" s="18" t="inlineStr">
        <is>
          <t>生产技术</t>
        </is>
      </c>
      <c r="D235" s="18" t="inlineStr">
        <is>
          <t>—</t>
        </is>
      </c>
      <c r="E235" s="65" t="n">
        <v>0</v>
      </c>
      <c r="F235" s="66">
        <f>E235+1</f>
        <v/>
      </c>
      <c r="G235" s="65">
        <f>INDEX('个人技术总览'!$E$5:$E$46,MATCH($A235,'个人技术总览'!$A$5:$A$46,0))</f>
        <v/>
      </c>
      <c r="H235" s="59">
        <f>INDEX('个人技术总览'!$F$5:$F$46,MATCH($A235,'个人技术总览'!$A$5:$A$46,0))</f>
        <v/>
      </c>
      <c r="I235" s="60">
        <f>INDEX('个人技术总览'!$G$5:$G$46,MATCH($A235,'个人技术总览'!$A$5:$A$46,0))</f>
        <v/>
      </c>
      <c r="J235" s="59">
        <f>INDEX('个人技术总览'!$H$5:$H$46,MATCH($A235,'个人技术总览'!$A$5:$A$46,0))</f>
        <v/>
      </c>
      <c r="K235" s="60">
        <f>INDEX('个人技术总览'!$I$5:$I$46,MATCH($A235,'个人技术总览'!$A$5:$A$46,0))</f>
        <v/>
      </c>
      <c r="L235" s="67">
        <f>H235+V235+IF(E235=G235-1,MAX(0,P235-H235*G235-SUMIFS($V$5:$V$589,$A$5:$A$589,$A235)),0)</f>
        <v/>
      </c>
      <c r="M235" s="61">
        <f>MAX(1,ROUNDDOWN($L235/'参数与公式'!$B$5,0))</f>
        <v/>
      </c>
      <c r="N235" s="67">
        <f>J235+Y235+IF(E235=G235-1,MAX(0,R235-J235*G235-SUMIFS($Y$5:$Y$589,$A$5:$A$589,$A235)),0)</f>
        <v/>
      </c>
      <c r="O235" s="18" t="inlineStr">
        <is>
          <t>data/technology_templates.yaml; upgrade_*_budget / *_curve; code: technology_rules.allocate_upgrade_budget</t>
        </is>
      </c>
      <c r="P235" s="67">
        <f>INDEX('个人技术总览'!$O$5:$O$46,MATCH($A235,'个人技术总览'!$A$5:$A$46,0))</f>
        <v/>
      </c>
      <c r="Q235" s="64">
        <f>INDEX('个人技术总览'!$P$5:$P$46,MATCH($A235,'个人技术总览'!$A$5:$A$46,0))</f>
        <v/>
      </c>
      <c r="R235" s="67">
        <f>INDEX('个人技术总览'!$Q$5:$Q$46,MATCH($A235,'个人技术总览'!$A$5:$A$46,0))</f>
        <v/>
      </c>
      <c r="S235" s="64">
        <f>INDEX('个人技术总览'!$R$5:$R$46,MATCH($A235,'个人技术总览'!$A$5:$A$46,0))</f>
        <v/>
      </c>
      <c r="T235" s="68">
        <f>POWER($Q235,$E235)</f>
        <v/>
      </c>
      <c r="U235" s="68">
        <f>SUMIFS($T$5:$T$589,$A$5:$A$589,$A235)</f>
        <v/>
      </c>
      <c r="V235" s="67">
        <f>ROUNDDOWN(MAX(0,$P235-$H235*$G235)*$T235/MAX(1,$U235),0)</f>
        <v/>
      </c>
      <c r="W235" s="68">
        <f>POWER($S235,$E235)</f>
        <v/>
      </c>
      <c r="X235" s="68">
        <f>SUMIFS($W$5:$W$589,$A$5:$A$589,$A235)</f>
        <v/>
      </c>
      <c r="Y235" s="67">
        <f>ROUNDDOWN(MAX(0,$R235-$J235*$G235)*$W235/MAX(1,$X235),0)</f>
        <v/>
      </c>
    </row>
    <row r="236">
      <c r="A236" s="17" t="inlineStr">
        <is>
          <t>animal_husbandry</t>
        </is>
      </c>
      <c r="B236" s="18" t="inlineStr">
        <is>
          <t>养殖术</t>
        </is>
      </c>
      <c r="C236" s="18" t="inlineStr">
        <is>
          <t>生产技术</t>
        </is>
      </c>
      <c r="D236" s="18" t="inlineStr">
        <is>
          <t>—</t>
        </is>
      </c>
      <c r="E236" s="65" t="n">
        <v>1</v>
      </c>
      <c r="F236" s="66">
        <f>E236+1</f>
        <v/>
      </c>
      <c r="G236" s="65">
        <f>INDEX('个人技术总览'!$E$5:$E$46,MATCH($A236,'个人技术总览'!$A$5:$A$46,0))</f>
        <v/>
      </c>
      <c r="H236" s="59">
        <f>INDEX('个人技术总览'!$F$5:$F$46,MATCH($A236,'个人技术总览'!$A$5:$A$46,0))</f>
        <v/>
      </c>
      <c r="I236" s="60">
        <f>INDEX('个人技术总览'!$G$5:$G$46,MATCH($A236,'个人技术总览'!$A$5:$A$46,0))</f>
        <v/>
      </c>
      <c r="J236" s="59">
        <f>INDEX('个人技术总览'!$H$5:$H$46,MATCH($A236,'个人技术总览'!$A$5:$A$46,0))</f>
        <v/>
      </c>
      <c r="K236" s="60">
        <f>INDEX('个人技术总览'!$I$5:$I$46,MATCH($A236,'个人技术总览'!$A$5:$A$46,0))</f>
        <v/>
      </c>
      <c r="L236" s="67">
        <f>H236+V236+IF(E236=G236-1,MAX(0,P236-H236*G236-SUMIFS($V$5:$V$589,$A$5:$A$589,$A236)),0)</f>
        <v/>
      </c>
      <c r="M236" s="61">
        <f>MAX(1,ROUNDDOWN($L236/'参数与公式'!$B$5,0))</f>
        <v/>
      </c>
      <c r="N236" s="67">
        <f>J236+Y236+IF(E236=G236-1,MAX(0,R236-J236*G236-SUMIFS($Y$5:$Y$589,$A$5:$A$589,$A236)),0)</f>
        <v/>
      </c>
      <c r="O236" s="18" t="inlineStr">
        <is>
          <t>data/technology_templates.yaml; upgrade_*_budget / *_curve; code: technology_rules.allocate_upgrade_budget</t>
        </is>
      </c>
      <c r="P236" s="67">
        <f>INDEX('个人技术总览'!$O$5:$O$46,MATCH($A236,'个人技术总览'!$A$5:$A$46,0))</f>
        <v/>
      </c>
      <c r="Q236" s="64">
        <f>INDEX('个人技术总览'!$P$5:$P$46,MATCH($A236,'个人技术总览'!$A$5:$A$46,0))</f>
        <v/>
      </c>
      <c r="R236" s="67">
        <f>INDEX('个人技术总览'!$Q$5:$Q$46,MATCH($A236,'个人技术总览'!$A$5:$A$46,0))</f>
        <v/>
      </c>
      <c r="S236" s="64">
        <f>INDEX('个人技术总览'!$R$5:$R$46,MATCH($A236,'个人技术总览'!$A$5:$A$46,0))</f>
        <v/>
      </c>
      <c r="T236" s="68">
        <f>POWER($Q236,$E236)</f>
        <v/>
      </c>
      <c r="U236" s="68">
        <f>SUMIFS($T$5:$T$589,$A$5:$A$589,$A236)</f>
        <v/>
      </c>
      <c r="V236" s="67">
        <f>ROUNDDOWN(MAX(0,$P236-$H236*$G236)*$T236/MAX(1,$U236),0)</f>
        <v/>
      </c>
      <c r="W236" s="68">
        <f>POWER($S236,$E236)</f>
        <v/>
      </c>
      <c r="X236" s="68">
        <f>SUMIFS($W$5:$W$589,$A$5:$A$589,$A236)</f>
        <v/>
      </c>
      <c r="Y236" s="67">
        <f>ROUNDDOWN(MAX(0,$R236-$J236*$G236)*$W236/MAX(1,$X236),0)</f>
        <v/>
      </c>
    </row>
    <row r="237">
      <c r="A237" s="17" t="inlineStr">
        <is>
          <t>animal_husbandry</t>
        </is>
      </c>
      <c r="B237" s="18" t="inlineStr">
        <is>
          <t>养殖术</t>
        </is>
      </c>
      <c r="C237" s="18" t="inlineStr">
        <is>
          <t>生产技术</t>
        </is>
      </c>
      <c r="D237" s="18" t="inlineStr">
        <is>
          <t>—</t>
        </is>
      </c>
      <c r="E237" s="65" t="n">
        <v>2</v>
      </c>
      <c r="F237" s="66">
        <f>E237+1</f>
        <v/>
      </c>
      <c r="G237" s="65">
        <f>INDEX('个人技术总览'!$E$5:$E$46,MATCH($A237,'个人技术总览'!$A$5:$A$46,0))</f>
        <v/>
      </c>
      <c r="H237" s="59">
        <f>INDEX('个人技术总览'!$F$5:$F$46,MATCH($A237,'个人技术总览'!$A$5:$A$46,0))</f>
        <v/>
      </c>
      <c r="I237" s="60">
        <f>INDEX('个人技术总览'!$G$5:$G$46,MATCH($A237,'个人技术总览'!$A$5:$A$46,0))</f>
        <v/>
      </c>
      <c r="J237" s="59">
        <f>INDEX('个人技术总览'!$H$5:$H$46,MATCH($A237,'个人技术总览'!$A$5:$A$46,0))</f>
        <v/>
      </c>
      <c r="K237" s="60">
        <f>INDEX('个人技术总览'!$I$5:$I$46,MATCH($A237,'个人技术总览'!$A$5:$A$46,0))</f>
        <v/>
      </c>
      <c r="L237" s="67">
        <f>H237+V237+IF(E237=G237-1,MAX(0,P237-H237*G237-SUMIFS($V$5:$V$589,$A$5:$A$589,$A237)),0)</f>
        <v/>
      </c>
      <c r="M237" s="61">
        <f>MAX(1,ROUNDDOWN($L237/'参数与公式'!$B$5,0))</f>
        <v/>
      </c>
      <c r="N237" s="67">
        <f>J237+Y237+IF(E237=G237-1,MAX(0,R237-J237*G237-SUMIFS($Y$5:$Y$589,$A$5:$A$589,$A237)),0)</f>
        <v/>
      </c>
      <c r="O237" s="18" t="inlineStr">
        <is>
          <t>data/technology_templates.yaml; upgrade_*_budget / *_curve; code: technology_rules.allocate_upgrade_budget</t>
        </is>
      </c>
      <c r="P237" s="67">
        <f>INDEX('个人技术总览'!$O$5:$O$46,MATCH($A237,'个人技术总览'!$A$5:$A$46,0))</f>
        <v/>
      </c>
      <c r="Q237" s="64">
        <f>INDEX('个人技术总览'!$P$5:$P$46,MATCH($A237,'个人技术总览'!$A$5:$A$46,0))</f>
        <v/>
      </c>
      <c r="R237" s="67">
        <f>INDEX('个人技术总览'!$Q$5:$Q$46,MATCH($A237,'个人技术总览'!$A$5:$A$46,0))</f>
        <v/>
      </c>
      <c r="S237" s="64">
        <f>INDEX('个人技术总览'!$R$5:$R$46,MATCH($A237,'个人技术总览'!$A$5:$A$46,0))</f>
        <v/>
      </c>
      <c r="T237" s="68">
        <f>POWER($Q237,$E237)</f>
        <v/>
      </c>
      <c r="U237" s="68">
        <f>SUMIFS($T$5:$T$589,$A$5:$A$589,$A237)</f>
        <v/>
      </c>
      <c r="V237" s="67">
        <f>ROUNDDOWN(MAX(0,$P237-$H237*$G237)*$T237/MAX(1,$U237),0)</f>
        <v/>
      </c>
      <c r="W237" s="68">
        <f>POWER($S237,$E237)</f>
        <v/>
      </c>
      <c r="X237" s="68">
        <f>SUMIFS($W$5:$W$589,$A$5:$A$589,$A237)</f>
        <v/>
      </c>
      <c r="Y237" s="67">
        <f>ROUNDDOWN(MAX(0,$R237-$J237*$G237)*$W237/MAX(1,$X237),0)</f>
        <v/>
      </c>
    </row>
    <row r="238">
      <c r="A238" s="17" t="inlineStr">
        <is>
          <t>animal_husbandry</t>
        </is>
      </c>
      <c r="B238" s="18" t="inlineStr">
        <is>
          <t>养殖术</t>
        </is>
      </c>
      <c r="C238" s="18" t="inlineStr">
        <is>
          <t>生产技术</t>
        </is>
      </c>
      <c r="D238" s="18" t="inlineStr">
        <is>
          <t>—</t>
        </is>
      </c>
      <c r="E238" s="65" t="n">
        <v>3</v>
      </c>
      <c r="F238" s="66">
        <f>E238+1</f>
        <v/>
      </c>
      <c r="G238" s="65">
        <f>INDEX('个人技术总览'!$E$5:$E$46,MATCH($A238,'个人技术总览'!$A$5:$A$46,0))</f>
        <v/>
      </c>
      <c r="H238" s="59">
        <f>INDEX('个人技术总览'!$F$5:$F$46,MATCH($A238,'个人技术总览'!$A$5:$A$46,0))</f>
        <v/>
      </c>
      <c r="I238" s="60">
        <f>INDEX('个人技术总览'!$G$5:$G$46,MATCH($A238,'个人技术总览'!$A$5:$A$46,0))</f>
        <v/>
      </c>
      <c r="J238" s="59">
        <f>INDEX('个人技术总览'!$H$5:$H$46,MATCH($A238,'个人技术总览'!$A$5:$A$46,0))</f>
        <v/>
      </c>
      <c r="K238" s="60">
        <f>INDEX('个人技术总览'!$I$5:$I$46,MATCH($A238,'个人技术总览'!$A$5:$A$46,0))</f>
        <v/>
      </c>
      <c r="L238" s="67">
        <f>H238+V238+IF(E238=G238-1,MAX(0,P238-H238*G238-SUMIFS($V$5:$V$589,$A$5:$A$589,$A238)),0)</f>
        <v/>
      </c>
      <c r="M238" s="61">
        <f>MAX(1,ROUNDDOWN($L238/'参数与公式'!$B$5,0))</f>
        <v/>
      </c>
      <c r="N238" s="67">
        <f>J238+Y238+IF(E238=G238-1,MAX(0,R238-J238*G238-SUMIFS($Y$5:$Y$589,$A$5:$A$589,$A238)),0)</f>
        <v/>
      </c>
      <c r="O238" s="18" t="inlineStr">
        <is>
          <t>data/technology_templates.yaml; upgrade_*_budget / *_curve; code: technology_rules.allocate_upgrade_budget</t>
        </is>
      </c>
      <c r="P238" s="67">
        <f>INDEX('个人技术总览'!$O$5:$O$46,MATCH($A238,'个人技术总览'!$A$5:$A$46,0))</f>
        <v/>
      </c>
      <c r="Q238" s="64">
        <f>INDEX('个人技术总览'!$P$5:$P$46,MATCH($A238,'个人技术总览'!$A$5:$A$46,0))</f>
        <v/>
      </c>
      <c r="R238" s="67">
        <f>INDEX('个人技术总览'!$Q$5:$Q$46,MATCH($A238,'个人技术总览'!$A$5:$A$46,0))</f>
        <v/>
      </c>
      <c r="S238" s="64">
        <f>INDEX('个人技术总览'!$R$5:$R$46,MATCH($A238,'个人技术总览'!$A$5:$A$46,0))</f>
        <v/>
      </c>
      <c r="T238" s="68">
        <f>POWER($Q238,$E238)</f>
        <v/>
      </c>
      <c r="U238" s="68">
        <f>SUMIFS($T$5:$T$589,$A$5:$A$589,$A238)</f>
        <v/>
      </c>
      <c r="V238" s="67">
        <f>ROUNDDOWN(MAX(0,$P238-$H238*$G238)*$T238/MAX(1,$U238),0)</f>
        <v/>
      </c>
      <c r="W238" s="68">
        <f>POWER($S238,$E238)</f>
        <v/>
      </c>
      <c r="X238" s="68">
        <f>SUMIFS($W$5:$W$589,$A$5:$A$589,$A238)</f>
        <v/>
      </c>
      <c r="Y238" s="67">
        <f>ROUNDDOWN(MAX(0,$R238-$J238*$G238)*$W238/MAX(1,$X238),0)</f>
        <v/>
      </c>
    </row>
    <row r="239">
      <c r="A239" s="17" t="inlineStr">
        <is>
          <t>animal_husbandry</t>
        </is>
      </c>
      <c r="B239" s="18" t="inlineStr">
        <is>
          <t>养殖术</t>
        </is>
      </c>
      <c r="C239" s="18" t="inlineStr">
        <is>
          <t>生产技术</t>
        </is>
      </c>
      <c r="D239" s="18" t="inlineStr">
        <is>
          <t>—</t>
        </is>
      </c>
      <c r="E239" s="65" t="n">
        <v>4</v>
      </c>
      <c r="F239" s="66">
        <f>E239+1</f>
        <v/>
      </c>
      <c r="G239" s="65">
        <f>INDEX('个人技术总览'!$E$5:$E$46,MATCH($A239,'个人技术总览'!$A$5:$A$46,0))</f>
        <v/>
      </c>
      <c r="H239" s="59">
        <f>INDEX('个人技术总览'!$F$5:$F$46,MATCH($A239,'个人技术总览'!$A$5:$A$46,0))</f>
        <v/>
      </c>
      <c r="I239" s="60">
        <f>INDEX('个人技术总览'!$G$5:$G$46,MATCH($A239,'个人技术总览'!$A$5:$A$46,0))</f>
        <v/>
      </c>
      <c r="J239" s="59">
        <f>INDEX('个人技术总览'!$H$5:$H$46,MATCH($A239,'个人技术总览'!$A$5:$A$46,0))</f>
        <v/>
      </c>
      <c r="K239" s="60">
        <f>INDEX('个人技术总览'!$I$5:$I$46,MATCH($A239,'个人技术总览'!$A$5:$A$46,0))</f>
        <v/>
      </c>
      <c r="L239" s="67">
        <f>H239+V239+IF(E239=G239-1,MAX(0,P239-H239*G239-SUMIFS($V$5:$V$589,$A$5:$A$589,$A239)),0)</f>
        <v/>
      </c>
      <c r="M239" s="61">
        <f>MAX(1,ROUNDDOWN($L239/'参数与公式'!$B$5,0))</f>
        <v/>
      </c>
      <c r="N239" s="67">
        <f>J239+Y239+IF(E239=G239-1,MAX(0,R239-J239*G239-SUMIFS($Y$5:$Y$589,$A$5:$A$589,$A239)),0)</f>
        <v/>
      </c>
      <c r="O239" s="18" t="inlineStr">
        <is>
          <t>data/technology_templates.yaml; upgrade_*_budget / *_curve; code: technology_rules.allocate_upgrade_budget</t>
        </is>
      </c>
      <c r="P239" s="67">
        <f>INDEX('个人技术总览'!$O$5:$O$46,MATCH($A239,'个人技术总览'!$A$5:$A$46,0))</f>
        <v/>
      </c>
      <c r="Q239" s="64">
        <f>INDEX('个人技术总览'!$P$5:$P$46,MATCH($A239,'个人技术总览'!$A$5:$A$46,0))</f>
        <v/>
      </c>
      <c r="R239" s="67">
        <f>INDEX('个人技术总览'!$Q$5:$Q$46,MATCH($A239,'个人技术总览'!$A$5:$A$46,0))</f>
        <v/>
      </c>
      <c r="S239" s="64">
        <f>INDEX('个人技术总览'!$R$5:$R$46,MATCH($A239,'个人技术总览'!$A$5:$A$46,0))</f>
        <v/>
      </c>
      <c r="T239" s="68">
        <f>POWER($Q239,$E239)</f>
        <v/>
      </c>
      <c r="U239" s="68">
        <f>SUMIFS($T$5:$T$589,$A$5:$A$589,$A239)</f>
        <v/>
      </c>
      <c r="V239" s="67">
        <f>ROUNDDOWN(MAX(0,$P239-$H239*$G239)*$T239/MAX(1,$U239),0)</f>
        <v/>
      </c>
      <c r="W239" s="68">
        <f>POWER($S239,$E239)</f>
        <v/>
      </c>
      <c r="X239" s="68">
        <f>SUMIFS($W$5:$W$589,$A$5:$A$589,$A239)</f>
        <v/>
      </c>
      <c r="Y239" s="67">
        <f>ROUNDDOWN(MAX(0,$R239-$J239*$G239)*$W239/MAX(1,$X239),0)</f>
        <v/>
      </c>
    </row>
    <row r="240">
      <c r="A240" s="17" t="inlineStr">
        <is>
          <t>animal_husbandry</t>
        </is>
      </c>
      <c r="B240" s="18" t="inlineStr">
        <is>
          <t>养殖术</t>
        </is>
      </c>
      <c r="C240" s="18" t="inlineStr">
        <is>
          <t>生产技术</t>
        </is>
      </c>
      <c r="D240" s="18" t="inlineStr">
        <is>
          <t>—</t>
        </is>
      </c>
      <c r="E240" s="65" t="n">
        <v>5</v>
      </c>
      <c r="F240" s="66">
        <f>E240+1</f>
        <v/>
      </c>
      <c r="G240" s="65">
        <f>INDEX('个人技术总览'!$E$5:$E$46,MATCH($A240,'个人技术总览'!$A$5:$A$46,0))</f>
        <v/>
      </c>
      <c r="H240" s="59">
        <f>INDEX('个人技术总览'!$F$5:$F$46,MATCH($A240,'个人技术总览'!$A$5:$A$46,0))</f>
        <v/>
      </c>
      <c r="I240" s="60">
        <f>INDEX('个人技术总览'!$G$5:$G$46,MATCH($A240,'个人技术总览'!$A$5:$A$46,0))</f>
        <v/>
      </c>
      <c r="J240" s="59">
        <f>INDEX('个人技术总览'!$H$5:$H$46,MATCH($A240,'个人技术总览'!$A$5:$A$46,0))</f>
        <v/>
      </c>
      <c r="K240" s="60">
        <f>INDEX('个人技术总览'!$I$5:$I$46,MATCH($A240,'个人技术总览'!$A$5:$A$46,0))</f>
        <v/>
      </c>
      <c r="L240" s="67">
        <f>H240+V240+IF(E240=G240-1,MAX(0,P240-H240*G240-SUMIFS($V$5:$V$589,$A$5:$A$589,$A240)),0)</f>
        <v/>
      </c>
      <c r="M240" s="61">
        <f>MAX(1,ROUNDDOWN($L240/'参数与公式'!$B$5,0))</f>
        <v/>
      </c>
      <c r="N240" s="67">
        <f>J240+Y240+IF(E240=G240-1,MAX(0,R240-J240*G240-SUMIFS($Y$5:$Y$589,$A$5:$A$589,$A240)),0)</f>
        <v/>
      </c>
      <c r="O240" s="18" t="inlineStr">
        <is>
          <t>data/technology_templates.yaml; upgrade_*_budget / *_curve; code: technology_rules.allocate_upgrade_budget</t>
        </is>
      </c>
      <c r="P240" s="67">
        <f>INDEX('个人技术总览'!$O$5:$O$46,MATCH($A240,'个人技术总览'!$A$5:$A$46,0))</f>
        <v/>
      </c>
      <c r="Q240" s="64">
        <f>INDEX('个人技术总览'!$P$5:$P$46,MATCH($A240,'个人技术总览'!$A$5:$A$46,0))</f>
        <v/>
      </c>
      <c r="R240" s="67">
        <f>INDEX('个人技术总览'!$Q$5:$Q$46,MATCH($A240,'个人技术总览'!$A$5:$A$46,0))</f>
        <v/>
      </c>
      <c r="S240" s="64">
        <f>INDEX('个人技术总览'!$R$5:$R$46,MATCH($A240,'个人技术总览'!$A$5:$A$46,0))</f>
        <v/>
      </c>
      <c r="T240" s="68">
        <f>POWER($Q240,$E240)</f>
        <v/>
      </c>
      <c r="U240" s="68">
        <f>SUMIFS($T$5:$T$589,$A$5:$A$589,$A240)</f>
        <v/>
      </c>
      <c r="V240" s="67">
        <f>ROUNDDOWN(MAX(0,$P240-$H240*$G240)*$T240/MAX(1,$U240),0)</f>
        <v/>
      </c>
      <c r="W240" s="68">
        <f>POWER($S240,$E240)</f>
        <v/>
      </c>
      <c r="X240" s="68">
        <f>SUMIFS($W$5:$W$589,$A$5:$A$589,$A240)</f>
        <v/>
      </c>
      <c r="Y240" s="67">
        <f>ROUNDDOWN(MAX(0,$R240-$J240*$G240)*$W240/MAX(1,$X240),0)</f>
        <v/>
      </c>
    </row>
    <row r="241">
      <c r="A241" s="17" t="inlineStr">
        <is>
          <t>animal_husbandry</t>
        </is>
      </c>
      <c r="B241" s="18" t="inlineStr">
        <is>
          <t>养殖术</t>
        </is>
      </c>
      <c r="C241" s="18" t="inlineStr">
        <is>
          <t>生产技术</t>
        </is>
      </c>
      <c r="D241" s="18" t="inlineStr">
        <is>
          <t>—</t>
        </is>
      </c>
      <c r="E241" s="65" t="n">
        <v>6</v>
      </c>
      <c r="F241" s="66">
        <f>E241+1</f>
        <v/>
      </c>
      <c r="G241" s="65">
        <f>INDEX('个人技术总览'!$E$5:$E$46,MATCH($A241,'个人技术总览'!$A$5:$A$46,0))</f>
        <v/>
      </c>
      <c r="H241" s="59">
        <f>INDEX('个人技术总览'!$F$5:$F$46,MATCH($A241,'个人技术总览'!$A$5:$A$46,0))</f>
        <v/>
      </c>
      <c r="I241" s="60">
        <f>INDEX('个人技术总览'!$G$5:$G$46,MATCH($A241,'个人技术总览'!$A$5:$A$46,0))</f>
        <v/>
      </c>
      <c r="J241" s="59">
        <f>INDEX('个人技术总览'!$H$5:$H$46,MATCH($A241,'个人技术总览'!$A$5:$A$46,0))</f>
        <v/>
      </c>
      <c r="K241" s="60">
        <f>INDEX('个人技术总览'!$I$5:$I$46,MATCH($A241,'个人技术总览'!$A$5:$A$46,0))</f>
        <v/>
      </c>
      <c r="L241" s="67">
        <f>H241+V241+IF(E241=G241-1,MAX(0,P241-H241*G241-SUMIFS($V$5:$V$589,$A$5:$A$589,$A241)),0)</f>
        <v/>
      </c>
      <c r="M241" s="61">
        <f>MAX(1,ROUNDDOWN($L241/'参数与公式'!$B$5,0))</f>
        <v/>
      </c>
      <c r="N241" s="67">
        <f>J241+Y241+IF(E241=G241-1,MAX(0,R241-J241*G241-SUMIFS($Y$5:$Y$589,$A$5:$A$589,$A241)),0)</f>
        <v/>
      </c>
      <c r="O241" s="18" t="inlineStr">
        <is>
          <t>data/technology_templates.yaml; upgrade_*_budget / *_curve; code: technology_rules.allocate_upgrade_budget</t>
        </is>
      </c>
      <c r="P241" s="67">
        <f>INDEX('个人技术总览'!$O$5:$O$46,MATCH($A241,'个人技术总览'!$A$5:$A$46,0))</f>
        <v/>
      </c>
      <c r="Q241" s="64">
        <f>INDEX('个人技术总览'!$P$5:$P$46,MATCH($A241,'个人技术总览'!$A$5:$A$46,0))</f>
        <v/>
      </c>
      <c r="R241" s="67">
        <f>INDEX('个人技术总览'!$Q$5:$Q$46,MATCH($A241,'个人技术总览'!$A$5:$A$46,0))</f>
        <v/>
      </c>
      <c r="S241" s="64">
        <f>INDEX('个人技术总览'!$R$5:$R$46,MATCH($A241,'个人技术总览'!$A$5:$A$46,0))</f>
        <v/>
      </c>
      <c r="T241" s="68">
        <f>POWER($Q241,$E241)</f>
        <v/>
      </c>
      <c r="U241" s="68">
        <f>SUMIFS($T$5:$T$589,$A$5:$A$589,$A241)</f>
        <v/>
      </c>
      <c r="V241" s="67">
        <f>ROUNDDOWN(MAX(0,$P241-$H241*$G241)*$T241/MAX(1,$U241),0)</f>
        <v/>
      </c>
      <c r="W241" s="68">
        <f>POWER($S241,$E241)</f>
        <v/>
      </c>
      <c r="X241" s="68">
        <f>SUMIFS($W$5:$W$589,$A$5:$A$589,$A241)</f>
        <v/>
      </c>
      <c r="Y241" s="67">
        <f>ROUNDDOWN(MAX(0,$R241-$J241*$G241)*$W241/MAX(1,$X241),0)</f>
        <v/>
      </c>
    </row>
    <row r="242">
      <c r="A242" s="17" t="inlineStr">
        <is>
          <t>animal_husbandry</t>
        </is>
      </c>
      <c r="B242" s="18" t="inlineStr">
        <is>
          <t>养殖术</t>
        </is>
      </c>
      <c r="C242" s="18" t="inlineStr">
        <is>
          <t>生产技术</t>
        </is>
      </c>
      <c r="D242" s="18" t="inlineStr">
        <is>
          <t>—</t>
        </is>
      </c>
      <c r="E242" s="65" t="n">
        <v>7</v>
      </c>
      <c r="F242" s="66">
        <f>E242+1</f>
        <v/>
      </c>
      <c r="G242" s="65">
        <f>INDEX('个人技术总览'!$E$5:$E$46,MATCH($A242,'个人技术总览'!$A$5:$A$46,0))</f>
        <v/>
      </c>
      <c r="H242" s="59">
        <f>INDEX('个人技术总览'!$F$5:$F$46,MATCH($A242,'个人技术总览'!$A$5:$A$46,0))</f>
        <v/>
      </c>
      <c r="I242" s="60">
        <f>INDEX('个人技术总览'!$G$5:$G$46,MATCH($A242,'个人技术总览'!$A$5:$A$46,0))</f>
        <v/>
      </c>
      <c r="J242" s="59">
        <f>INDEX('个人技术总览'!$H$5:$H$46,MATCH($A242,'个人技术总览'!$A$5:$A$46,0))</f>
        <v/>
      </c>
      <c r="K242" s="60">
        <f>INDEX('个人技术总览'!$I$5:$I$46,MATCH($A242,'个人技术总览'!$A$5:$A$46,0))</f>
        <v/>
      </c>
      <c r="L242" s="67">
        <f>H242+V242+IF(E242=G242-1,MAX(0,P242-H242*G242-SUMIFS($V$5:$V$589,$A$5:$A$589,$A242)),0)</f>
        <v/>
      </c>
      <c r="M242" s="61">
        <f>MAX(1,ROUNDDOWN($L242/'参数与公式'!$B$5,0))</f>
        <v/>
      </c>
      <c r="N242" s="67">
        <f>J242+Y242+IF(E242=G242-1,MAX(0,R242-J242*G242-SUMIFS($Y$5:$Y$589,$A$5:$A$589,$A242)),0)</f>
        <v/>
      </c>
      <c r="O242" s="18" t="inlineStr">
        <is>
          <t>data/technology_templates.yaml; upgrade_*_budget / *_curve; code: technology_rules.allocate_upgrade_budget</t>
        </is>
      </c>
      <c r="P242" s="67">
        <f>INDEX('个人技术总览'!$O$5:$O$46,MATCH($A242,'个人技术总览'!$A$5:$A$46,0))</f>
        <v/>
      </c>
      <c r="Q242" s="64">
        <f>INDEX('个人技术总览'!$P$5:$P$46,MATCH($A242,'个人技术总览'!$A$5:$A$46,0))</f>
        <v/>
      </c>
      <c r="R242" s="67">
        <f>INDEX('个人技术总览'!$Q$5:$Q$46,MATCH($A242,'个人技术总览'!$A$5:$A$46,0))</f>
        <v/>
      </c>
      <c r="S242" s="64">
        <f>INDEX('个人技术总览'!$R$5:$R$46,MATCH($A242,'个人技术总览'!$A$5:$A$46,0))</f>
        <v/>
      </c>
      <c r="T242" s="68">
        <f>POWER($Q242,$E242)</f>
        <v/>
      </c>
      <c r="U242" s="68">
        <f>SUMIFS($T$5:$T$589,$A$5:$A$589,$A242)</f>
        <v/>
      </c>
      <c r="V242" s="67">
        <f>ROUNDDOWN(MAX(0,$P242-$H242*$G242)*$T242/MAX(1,$U242),0)</f>
        <v/>
      </c>
      <c r="W242" s="68">
        <f>POWER($S242,$E242)</f>
        <v/>
      </c>
      <c r="X242" s="68">
        <f>SUMIFS($W$5:$W$589,$A$5:$A$589,$A242)</f>
        <v/>
      </c>
      <c r="Y242" s="67">
        <f>ROUNDDOWN(MAX(0,$R242-$J242*$G242)*$W242/MAX(1,$X242),0)</f>
        <v/>
      </c>
    </row>
    <row r="243">
      <c r="A243" s="17" t="inlineStr">
        <is>
          <t>animal_husbandry</t>
        </is>
      </c>
      <c r="B243" s="18" t="inlineStr">
        <is>
          <t>养殖术</t>
        </is>
      </c>
      <c r="C243" s="18" t="inlineStr">
        <is>
          <t>生产技术</t>
        </is>
      </c>
      <c r="D243" s="18" t="inlineStr">
        <is>
          <t>—</t>
        </is>
      </c>
      <c r="E243" s="65" t="n">
        <v>8</v>
      </c>
      <c r="F243" s="66">
        <f>E243+1</f>
        <v/>
      </c>
      <c r="G243" s="65">
        <f>INDEX('个人技术总览'!$E$5:$E$46,MATCH($A243,'个人技术总览'!$A$5:$A$46,0))</f>
        <v/>
      </c>
      <c r="H243" s="59">
        <f>INDEX('个人技术总览'!$F$5:$F$46,MATCH($A243,'个人技术总览'!$A$5:$A$46,0))</f>
        <v/>
      </c>
      <c r="I243" s="60">
        <f>INDEX('个人技术总览'!$G$5:$G$46,MATCH($A243,'个人技术总览'!$A$5:$A$46,0))</f>
        <v/>
      </c>
      <c r="J243" s="59">
        <f>INDEX('个人技术总览'!$H$5:$H$46,MATCH($A243,'个人技术总览'!$A$5:$A$46,0))</f>
        <v/>
      </c>
      <c r="K243" s="60">
        <f>INDEX('个人技术总览'!$I$5:$I$46,MATCH($A243,'个人技术总览'!$A$5:$A$46,0))</f>
        <v/>
      </c>
      <c r="L243" s="67">
        <f>H243+V243+IF(E243=G243-1,MAX(0,P243-H243*G243-SUMIFS($V$5:$V$589,$A$5:$A$589,$A243)),0)</f>
        <v/>
      </c>
      <c r="M243" s="61">
        <f>MAX(1,ROUNDDOWN($L243/'参数与公式'!$B$5,0))</f>
        <v/>
      </c>
      <c r="N243" s="67">
        <f>J243+Y243+IF(E243=G243-1,MAX(0,R243-J243*G243-SUMIFS($Y$5:$Y$589,$A$5:$A$589,$A243)),0)</f>
        <v/>
      </c>
      <c r="O243" s="18" t="inlineStr">
        <is>
          <t>data/technology_templates.yaml; upgrade_*_budget / *_curve; code: technology_rules.allocate_upgrade_budget</t>
        </is>
      </c>
      <c r="P243" s="67">
        <f>INDEX('个人技术总览'!$O$5:$O$46,MATCH($A243,'个人技术总览'!$A$5:$A$46,0))</f>
        <v/>
      </c>
      <c r="Q243" s="64">
        <f>INDEX('个人技术总览'!$P$5:$P$46,MATCH($A243,'个人技术总览'!$A$5:$A$46,0))</f>
        <v/>
      </c>
      <c r="R243" s="67">
        <f>INDEX('个人技术总览'!$Q$5:$Q$46,MATCH($A243,'个人技术总览'!$A$5:$A$46,0))</f>
        <v/>
      </c>
      <c r="S243" s="64">
        <f>INDEX('个人技术总览'!$R$5:$R$46,MATCH($A243,'个人技术总览'!$A$5:$A$46,0))</f>
        <v/>
      </c>
      <c r="T243" s="68">
        <f>POWER($Q243,$E243)</f>
        <v/>
      </c>
      <c r="U243" s="68">
        <f>SUMIFS($T$5:$T$589,$A$5:$A$589,$A243)</f>
        <v/>
      </c>
      <c r="V243" s="67">
        <f>ROUNDDOWN(MAX(0,$P243-$H243*$G243)*$T243/MAX(1,$U243),0)</f>
        <v/>
      </c>
      <c r="W243" s="68">
        <f>POWER($S243,$E243)</f>
        <v/>
      </c>
      <c r="X243" s="68">
        <f>SUMIFS($W$5:$W$589,$A$5:$A$589,$A243)</f>
        <v/>
      </c>
      <c r="Y243" s="67">
        <f>ROUNDDOWN(MAX(0,$R243-$J243*$G243)*$W243/MAX(1,$X243),0)</f>
        <v/>
      </c>
    </row>
    <row r="244">
      <c r="A244" s="17" t="inlineStr">
        <is>
          <t>animal_husbandry</t>
        </is>
      </c>
      <c r="B244" s="18" t="inlineStr">
        <is>
          <t>养殖术</t>
        </is>
      </c>
      <c r="C244" s="18" t="inlineStr">
        <is>
          <t>生产技术</t>
        </is>
      </c>
      <c r="D244" s="18" t="inlineStr">
        <is>
          <t>—</t>
        </is>
      </c>
      <c r="E244" s="65" t="n">
        <v>9</v>
      </c>
      <c r="F244" s="66">
        <f>E244+1</f>
        <v/>
      </c>
      <c r="G244" s="65">
        <f>INDEX('个人技术总览'!$E$5:$E$46,MATCH($A244,'个人技术总览'!$A$5:$A$46,0))</f>
        <v/>
      </c>
      <c r="H244" s="59">
        <f>INDEX('个人技术总览'!$F$5:$F$46,MATCH($A244,'个人技术总览'!$A$5:$A$46,0))</f>
        <v/>
      </c>
      <c r="I244" s="60">
        <f>INDEX('个人技术总览'!$G$5:$G$46,MATCH($A244,'个人技术总览'!$A$5:$A$46,0))</f>
        <v/>
      </c>
      <c r="J244" s="59">
        <f>INDEX('个人技术总览'!$H$5:$H$46,MATCH($A244,'个人技术总览'!$A$5:$A$46,0))</f>
        <v/>
      </c>
      <c r="K244" s="60">
        <f>INDEX('个人技术总览'!$I$5:$I$46,MATCH($A244,'个人技术总览'!$A$5:$A$46,0))</f>
        <v/>
      </c>
      <c r="L244" s="67">
        <f>H244+V244+IF(E244=G244-1,MAX(0,P244-H244*G244-SUMIFS($V$5:$V$589,$A$5:$A$589,$A244)),0)</f>
        <v/>
      </c>
      <c r="M244" s="61">
        <f>MAX(1,ROUNDDOWN($L244/'参数与公式'!$B$5,0))</f>
        <v/>
      </c>
      <c r="N244" s="67">
        <f>J244+Y244+IF(E244=G244-1,MAX(0,R244-J244*G244-SUMIFS($Y$5:$Y$589,$A$5:$A$589,$A244)),0)</f>
        <v/>
      </c>
      <c r="O244" s="18" t="inlineStr">
        <is>
          <t>data/technology_templates.yaml; upgrade_*_budget / *_curve; code: technology_rules.allocate_upgrade_budget</t>
        </is>
      </c>
      <c r="P244" s="67">
        <f>INDEX('个人技术总览'!$O$5:$O$46,MATCH($A244,'个人技术总览'!$A$5:$A$46,0))</f>
        <v/>
      </c>
      <c r="Q244" s="64">
        <f>INDEX('个人技术总览'!$P$5:$P$46,MATCH($A244,'个人技术总览'!$A$5:$A$46,0))</f>
        <v/>
      </c>
      <c r="R244" s="67">
        <f>INDEX('个人技术总览'!$Q$5:$Q$46,MATCH($A244,'个人技术总览'!$A$5:$A$46,0))</f>
        <v/>
      </c>
      <c r="S244" s="64">
        <f>INDEX('个人技术总览'!$R$5:$R$46,MATCH($A244,'个人技术总览'!$A$5:$A$46,0))</f>
        <v/>
      </c>
      <c r="T244" s="68">
        <f>POWER($Q244,$E244)</f>
        <v/>
      </c>
      <c r="U244" s="68">
        <f>SUMIFS($T$5:$T$589,$A$5:$A$589,$A244)</f>
        <v/>
      </c>
      <c r="V244" s="67">
        <f>ROUNDDOWN(MAX(0,$P244-$H244*$G244)*$T244/MAX(1,$U244),0)</f>
        <v/>
      </c>
      <c r="W244" s="68">
        <f>POWER($S244,$E244)</f>
        <v/>
      </c>
      <c r="X244" s="68">
        <f>SUMIFS($W$5:$W$589,$A$5:$A$589,$A244)</f>
        <v/>
      </c>
      <c r="Y244" s="67">
        <f>ROUNDDOWN(MAX(0,$R244-$J244*$G244)*$W244/MAX(1,$X244),0)</f>
        <v/>
      </c>
    </row>
    <row r="245">
      <c r="A245" s="17" t="inlineStr">
        <is>
          <t>smelting</t>
        </is>
      </c>
      <c r="B245" s="18" t="inlineStr">
        <is>
          <t>冶炼技</t>
        </is>
      </c>
      <c r="C245" s="18" t="inlineStr">
        <is>
          <t>生产技术</t>
        </is>
      </c>
      <c r="D245" s="18" t="inlineStr">
        <is>
          <t>—</t>
        </is>
      </c>
      <c r="E245" s="65" t="n">
        <v>0</v>
      </c>
      <c r="F245" s="66">
        <f>E245+1</f>
        <v/>
      </c>
      <c r="G245" s="65">
        <f>INDEX('个人技术总览'!$E$5:$E$46,MATCH($A245,'个人技术总览'!$A$5:$A$46,0))</f>
        <v/>
      </c>
      <c r="H245" s="59">
        <f>INDEX('个人技术总览'!$F$5:$F$46,MATCH($A245,'个人技术总览'!$A$5:$A$46,0))</f>
        <v/>
      </c>
      <c r="I245" s="60">
        <f>INDEX('个人技术总览'!$G$5:$G$46,MATCH($A245,'个人技术总览'!$A$5:$A$46,0))</f>
        <v/>
      </c>
      <c r="J245" s="59">
        <f>INDEX('个人技术总览'!$H$5:$H$46,MATCH($A245,'个人技术总览'!$A$5:$A$46,0))</f>
        <v/>
      </c>
      <c r="K245" s="60">
        <f>INDEX('个人技术总览'!$I$5:$I$46,MATCH($A245,'个人技术总览'!$A$5:$A$46,0))</f>
        <v/>
      </c>
      <c r="L245" s="67">
        <f>H245+V245+IF(E245=G245-1,MAX(0,P245-H245*G245-SUMIFS($V$5:$V$589,$A$5:$A$589,$A245)),0)</f>
        <v/>
      </c>
      <c r="M245" s="61">
        <f>MAX(1,ROUNDDOWN($L245/'参数与公式'!$B$5,0))</f>
        <v/>
      </c>
      <c r="N245" s="67">
        <f>J245+Y245+IF(E245=G245-1,MAX(0,R245-J245*G245-SUMIFS($Y$5:$Y$589,$A$5:$A$589,$A245)),0)</f>
        <v/>
      </c>
      <c r="O245" s="18" t="inlineStr">
        <is>
          <t>data/technology_templates.yaml; upgrade_*_budget / *_curve; code: technology_rules.allocate_upgrade_budget</t>
        </is>
      </c>
      <c r="P245" s="67">
        <f>INDEX('个人技术总览'!$O$5:$O$46,MATCH($A245,'个人技术总览'!$A$5:$A$46,0))</f>
        <v/>
      </c>
      <c r="Q245" s="64">
        <f>INDEX('个人技术总览'!$P$5:$P$46,MATCH($A245,'个人技术总览'!$A$5:$A$46,0))</f>
        <v/>
      </c>
      <c r="R245" s="67">
        <f>INDEX('个人技术总览'!$Q$5:$Q$46,MATCH($A245,'个人技术总览'!$A$5:$A$46,0))</f>
        <v/>
      </c>
      <c r="S245" s="64">
        <f>INDEX('个人技术总览'!$R$5:$R$46,MATCH($A245,'个人技术总览'!$A$5:$A$46,0))</f>
        <v/>
      </c>
      <c r="T245" s="68">
        <f>POWER($Q245,$E245)</f>
        <v/>
      </c>
      <c r="U245" s="68">
        <f>SUMIFS($T$5:$T$589,$A$5:$A$589,$A245)</f>
        <v/>
      </c>
      <c r="V245" s="67">
        <f>ROUNDDOWN(MAX(0,$P245-$H245*$G245)*$T245/MAX(1,$U245),0)</f>
        <v/>
      </c>
      <c r="W245" s="68">
        <f>POWER($S245,$E245)</f>
        <v/>
      </c>
      <c r="X245" s="68">
        <f>SUMIFS($W$5:$W$589,$A$5:$A$589,$A245)</f>
        <v/>
      </c>
      <c r="Y245" s="67">
        <f>ROUNDDOWN(MAX(0,$R245-$J245*$G245)*$W245/MAX(1,$X245),0)</f>
        <v/>
      </c>
    </row>
    <row r="246">
      <c r="A246" s="17" t="inlineStr">
        <is>
          <t>smelting</t>
        </is>
      </c>
      <c r="B246" s="18" t="inlineStr">
        <is>
          <t>冶炼技</t>
        </is>
      </c>
      <c r="C246" s="18" t="inlineStr">
        <is>
          <t>生产技术</t>
        </is>
      </c>
      <c r="D246" s="18" t="inlineStr">
        <is>
          <t>—</t>
        </is>
      </c>
      <c r="E246" s="65" t="n">
        <v>1</v>
      </c>
      <c r="F246" s="66">
        <f>E246+1</f>
        <v/>
      </c>
      <c r="G246" s="65">
        <f>INDEX('个人技术总览'!$E$5:$E$46,MATCH($A246,'个人技术总览'!$A$5:$A$46,0))</f>
        <v/>
      </c>
      <c r="H246" s="59">
        <f>INDEX('个人技术总览'!$F$5:$F$46,MATCH($A246,'个人技术总览'!$A$5:$A$46,0))</f>
        <v/>
      </c>
      <c r="I246" s="60">
        <f>INDEX('个人技术总览'!$G$5:$G$46,MATCH($A246,'个人技术总览'!$A$5:$A$46,0))</f>
        <v/>
      </c>
      <c r="J246" s="59">
        <f>INDEX('个人技术总览'!$H$5:$H$46,MATCH($A246,'个人技术总览'!$A$5:$A$46,0))</f>
        <v/>
      </c>
      <c r="K246" s="60">
        <f>INDEX('个人技术总览'!$I$5:$I$46,MATCH($A246,'个人技术总览'!$A$5:$A$46,0))</f>
        <v/>
      </c>
      <c r="L246" s="67">
        <f>H246+V246+IF(E246=G246-1,MAX(0,P246-H246*G246-SUMIFS($V$5:$V$589,$A$5:$A$589,$A246)),0)</f>
        <v/>
      </c>
      <c r="M246" s="61">
        <f>MAX(1,ROUNDDOWN($L246/'参数与公式'!$B$5,0))</f>
        <v/>
      </c>
      <c r="N246" s="67">
        <f>J246+Y246+IF(E246=G246-1,MAX(0,R246-J246*G246-SUMIFS($Y$5:$Y$589,$A$5:$A$589,$A246)),0)</f>
        <v/>
      </c>
      <c r="O246" s="18" t="inlineStr">
        <is>
          <t>data/technology_templates.yaml; upgrade_*_budget / *_curve; code: technology_rules.allocate_upgrade_budget</t>
        </is>
      </c>
      <c r="P246" s="67">
        <f>INDEX('个人技术总览'!$O$5:$O$46,MATCH($A246,'个人技术总览'!$A$5:$A$46,0))</f>
        <v/>
      </c>
      <c r="Q246" s="64">
        <f>INDEX('个人技术总览'!$P$5:$P$46,MATCH($A246,'个人技术总览'!$A$5:$A$46,0))</f>
        <v/>
      </c>
      <c r="R246" s="67">
        <f>INDEX('个人技术总览'!$Q$5:$Q$46,MATCH($A246,'个人技术总览'!$A$5:$A$46,0))</f>
        <v/>
      </c>
      <c r="S246" s="64">
        <f>INDEX('个人技术总览'!$R$5:$R$46,MATCH($A246,'个人技术总览'!$A$5:$A$46,0))</f>
        <v/>
      </c>
      <c r="T246" s="68">
        <f>POWER($Q246,$E246)</f>
        <v/>
      </c>
      <c r="U246" s="68">
        <f>SUMIFS($T$5:$T$589,$A$5:$A$589,$A246)</f>
        <v/>
      </c>
      <c r="V246" s="67">
        <f>ROUNDDOWN(MAX(0,$P246-$H246*$G246)*$T246/MAX(1,$U246),0)</f>
        <v/>
      </c>
      <c r="W246" s="68">
        <f>POWER($S246,$E246)</f>
        <v/>
      </c>
      <c r="X246" s="68">
        <f>SUMIFS($W$5:$W$589,$A$5:$A$589,$A246)</f>
        <v/>
      </c>
      <c r="Y246" s="67">
        <f>ROUNDDOWN(MAX(0,$R246-$J246*$G246)*$W246/MAX(1,$X246),0)</f>
        <v/>
      </c>
    </row>
    <row r="247">
      <c r="A247" s="17" t="inlineStr">
        <is>
          <t>smelting</t>
        </is>
      </c>
      <c r="B247" s="18" t="inlineStr">
        <is>
          <t>冶炼技</t>
        </is>
      </c>
      <c r="C247" s="18" t="inlineStr">
        <is>
          <t>生产技术</t>
        </is>
      </c>
      <c r="D247" s="18" t="inlineStr">
        <is>
          <t>—</t>
        </is>
      </c>
      <c r="E247" s="65" t="n">
        <v>2</v>
      </c>
      <c r="F247" s="66">
        <f>E247+1</f>
        <v/>
      </c>
      <c r="G247" s="65">
        <f>INDEX('个人技术总览'!$E$5:$E$46,MATCH($A247,'个人技术总览'!$A$5:$A$46,0))</f>
        <v/>
      </c>
      <c r="H247" s="59">
        <f>INDEX('个人技术总览'!$F$5:$F$46,MATCH($A247,'个人技术总览'!$A$5:$A$46,0))</f>
        <v/>
      </c>
      <c r="I247" s="60">
        <f>INDEX('个人技术总览'!$G$5:$G$46,MATCH($A247,'个人技术总览'!$A$5:$A$46,0))</f>
        <v/>
      </c>
      <c r="J247" s="59">
        <f>INDEX('个人技术总览'!$H$5:$H$46,MATCH($A247,'个人技术总览'!$A$5:$A$46,0))</f>
        <v/>
      </c>
      <c r="K247" s="60">
        <f>INDEX('个人技术总览'!$I$5:$I$46,MATCH($A247,'个人技术总览'!$A$5:$A$46,0))</f>
        <v/>
      </c>
      <c r="L247" s="67">
        <f>H247+V247+IF(E247=G247-1,MAX(0,P247-H247*G247-SUMIFS($V$5:$V$589,$A$5:$A$589,$A247)),0)</f>
        <v/>
      </c>
      <c r="M247" s="61">
        <f>MAX(1,ROUNDDOWN($L247/'参数与公式'!$B$5,0))</f>
        <v/>
      </c>
      <c r="N247" s="67">
        <f>J247+Y247+IF(E247=G247-1,MAX(0,R247-J247*G247-SUMIFS($Y$5:$Y$589,$A$5:$A$589,$A247)),0)</f>
        <v/>
      </c>
      <c r="O247" s="18" t="inlineStr">
        <is>
          <t>data/technology_templates.yaml; upgrade_*_budget / *_curve; code: technology_rules.allocate_upgrade_budget</t>
        </is>
      </c>
      <c r="P247" s="67">
        <f>INDEX('个人技术总览'!$O$5:$O$46,MATCH($A247,'个人技术总览'!$A$5:$A$46,0))</f>
        <v/>
      </c>
      <c r="Q247" s="64">
        <f>INDEX('个人技术总览'!$P$5:$P$46,MATCH($A247,'个人技术总览'!$A$5:$A$46,0))</f>
        <v/>
      </c>
      <c r="R247" s="67">
        <f>INDEX('个人技术总览'!$Q$5:$Q$46,MATCH($A247,'个人技术总览'!$A$5:$A$46,0))</f>
        <v/>
      </c>
      <c r="S247" s="64">
        <f>INDEX('个人技术总览'!$R$5:$R$46,MATCH($A247,'个人技术总览'!$A$5:$A$46,0))</f>
        <v/>
      </c>
      <c r="T247" s="68">
        <f>POWER($Q247,$E247)</f>
        <v/>
      </c>
      <c r="U247" s="68">
        <f>SUMIFS($T$5:$T$589,$A$5:$A$589,$A247)</f>
        <v/>
      </c>
      <c r="V247" s="67">
        <f>ROUNDDOWN(MAX(0,$P247-$H247*$G247)*$T247/MAX(1,$U247),0)</f>
        <v/>
      </c>
      <c r="W247" s="68">
        <f>POWER($S247,$E247)</f>
        <v/>
      </c>
      <c r="X247" s="68">
        <f>SUMIFS($W$5:$W$589,$A$5:$A$589,$A247)</f>
        <v/>
      </c>
      <c r="Y247" s="67">
        <f>ROUNDDOWN(MAX(0,$R247-$J247*$G247)*$W247/MAX(1,$X247),0)</f>
        <v/>
      </c>
    </row>
    <row r="248">
      <c r="A248" s="17" t="inlineStr">
        <is>
          <t>smelting</t>
        </is>
      </c>
      <c r="B248" s="18" t="inlineStr">
        <is>
          <t>冶炼技</t>
        </is>
      </c>
      <c r="C248" s="18" t="inlineStr">
        <is>
          <t>生产技术</t>
        </is>
      </c>
      <c r="D248" s="18" t="inlineStr">
        <is>
          <t>—</t>
        </is>
      </c>
      <c r="E248" s="65" t="n">
        <v>3</v>
      </c>
      <c r="F248" s="66">
        <f>E248+1</f>
        <v/>
      </c>
      <c r="G248" s="65">
        <f>INDEX('个人技术总览'!$E$5:$E$46,MATCH($A248,'个人技术总览'!$A$5:$A$46,0))</f>
        <v/>
      </c>
      <c r="H248" s="59">
        <f>INDEX('个人技术总览'!$F$5:$F$46,MATCH($A248,'个人技术总览'!$A$5:$A$46,0))</f>
        <v/>
      </c>
      <c r="I248" s="60">
        <f>INDEX('个人技术总览'!$G$5:$G$46,MATCH($A248,'个人技术总览'!$A$5:$A$46,0))</f>
        <v/>
      </c>
      <c r="J248" s="59">
        <f>INDEX('个人技术总览'!$H$5:$H$46,MATCH($A248,'个人技术总览'!$A$5:$A$46,0))</f>
        <v/>
      </c>
      <c r="K248" s="60">
        <f>INDEX('个人技术总览'!$I$5:$I$46,MATCH($A248,'个人技术总览'!$A$5:$A$46,0))</f>
        <v/>
      </c>
      <c r="L248" s="67">
        <f>H248+V248+IF(E248=G248-1,MAX(0,P248-H248*G248-SUMIFS($V$5:$V$589,$A$5:$A$589,$A248)),0)</f>
        <v/>
      </c>
      <c r="M248" s="61">
        <f>MAX(1,ROUNDDOWN($L248/'参数与公式'!$B$5,0))</f>
        <v/>
      </c>
      <c r="N248" s="67">
        <f>J248+Y248+IF(E248=G248-1,MAX(0,R248-J248*G248-SUMIFS($Y$5:$Y$589,$A$5:$A$589,$A248)),0)</f>
        <v/>
      </c>
      <c r="O248" s="18" t="inlineStr">
        <is>
          <t>data/technology_templates.yaml; upgrade_*_budget / *_curve; code: technology_rules.allocate_upgrade_budget</t>
        </is>
      </c>
      <c r="P248" s="67">
        <f>INDEX('个人技术总览'!$O$5:$O$46,MATCH($A248,'个人技术总览'!$A$5:$A$46,0))</f>
        <v/>
      </c>
      <c r="Q248" s="64">
        <f>INDEX('个人技术总览'!$P$5:$P$46,MATCH($A248,'个人技术总览'!$A$5:$A$46,0))</f>
        <v/>
      </c>
      <c r="R248" s="67">
        <f>INDEX('个人技术总览'!$Q$5:$Q$46,MATCH($A248,'个人技术总览'!$A$5:$A$46,0))</f>
        <v/>
      </c>
      <c r="S248" s="64">
        <f>INDEX('个人技术总览'!$R$5:$R$46,MATCH($A248,'个人技术总览'!$A$5:$A$46,0))</f>
        <v/>
      </c>
      <c r="T248" s="68">
        <f>POWER($Q248,$E248)</f>
        <v/>
      </c>
      <c r="U248" s="68">
        <f>SUMIFS($T$5:$T$589,$A$5:$A$589,$A248)</f>
        <v/>
      </c>
      <c r="V248" s="67">
        <f>ROUNDDOWN(MAX(0,$P248-$H248*$G248)*$T248/MAX(1,$U248),0)</f>
        <v/>
      </c>
      <c r="W248" s="68">
        <f>POWER($S248,$E248)</f>
        <v/>
      </c>
      <c r="X248" s="68">
        <f>SUMIFS($W$5:$W$589,$A$5:$A$589,$A248)</f>
        <v/>
      </c>
      <c r="Y248" s="67">
        <f>ROUNDDOWN(MAX(0,$R248-$J248*$G248)*$W248/MAX(1,$X248),0)</f>
        <v/>
      </c>
    </row>
    <row r="249">
      <c r="A249" s="17" t="inlineStr">
        <is>
          <t>smelting</t>
        </is>
      </c>
      <c r="B249" s="18" t="inlineStr">
        <is>
          <t>冶炼技</t>
        </is>
      </c>
      <c r="C249" s="18" t="inlineStr">
        <is>
          <t>生产技术</t>
        </is>
      </c>
      <c r="D249" s="18" t="inlineStr">
        <is>
          <t>—</t>
        </is>
      </c>
      <c r="E249" s="65" t="n">
        <v>4</v>
      </c>
      <c r="F249" s="66">
        <f>E249+1</f>
        <v/>
      </c>
      <c r="G249" s="65">
        <f>INDEX('个人技术总览'!$E$5:$E$46,MATCH($A249,'个人技术总览'!$A$5:$A$46,0))</f>
        <v/>
      </c>
      <c r="H249" s="59">
        <f>INDEX('个人技术总览'!$F$5:$F$46,MATCH($A249,'个人技术总览'!$A$5:$A$46,0))</f>
        <v/>
      </c>
      <c r="I249" s="60">
        <f>INDEX('个人技术总览'!$G$5:$G$46,MATCH($A249,'个人技术总览'!$A$5:$A$46,0))</f>
        <v/>
      </c>
      <c r="J249" s="59">
        <f>INDEX('个人技术总览'!$H$5:$H$46,MATCH($A249,'个人技术总览'!$A$5:$A$46,0))</f>
        <v/>
      </c>
      <c r="K249" s="60">
        <f>INDEX('个人技术总览'!$I$5:$I$46,MATCH($A249,'个人技术总览'!$A$5:$A$46,0))</f>
        <v/>
      </c>
      <c r="L249" s="67">
        <f>H249+V249+IF(E249=G249-1,MAX(0,P249-H249*G249-SUMIFS($V$5:$V$589,$A$5:$A$589,$A249)),0)</f>
        <v/>
      </c>
      <c r="M249" s="61">
        <f>MAX(1,ROUNDDOWN($L249/'参数与公式'!$B$5,0))</f>
        <v/>
      </c>
      <c r="N249" s="67">
        <f>J249+Y249+IF(E249=G249-1,MAX(0,R249-J249*G249-SUMIFS($Y$5:$Y$589,$A$5:$A$589,$A249)),0)</f>
        <v/>
      </c>
      <c r="O249" s="18" t="inlineStr">
        <is>
          <t>data/technology_templates.yaml; upgrade_*_budget / *_curve; code: technology_rules.allocate_upgrade_budget</t>
        </is>
      </c>
      <c r="P249" s="67">
        <f>INDEX('个人技术总览'!$O$5:$O$46,MATCH($A249,'个人技术总览'!$A$5:$A$46,0))</f>
        <v/>
      </c>
      <c r="Q249" s="64">
        <f>INDEX('个人技术总览'!$P$5:$P$46,MATCH($A249,'个人技术总览'!$A$5:$A$46,0))</f>
        <v/>
      </c>
      <c r="R249" s="67">
        <f>INDEX('个人技术总览'!$Q$5:$Q$46,MATCH($A249,'个人技术总览'!$A$5:$A$46,0))</f>
        <v/>
      </c>
      <c r="S249" s="64">
        <f>INDEX('个人技术总览'!$R$5:$R$46,MATCH($A249,'个人技术总览'!$A$5:$A$46,0))</f>
        <v/>
      </c>
      <c r="T249" s="68">
        <f>POWER($Q249,$E249)</f>
        <v/>
      </c>
      <c r="U249" s="68">
        <f>SUMIFS($T$5:$T$589,$A$5:$A$589,$A249)</f>
        <v/>
      </c>
      <c r="V249" s="67">
        <f>ROUNDDOWN(MAX(0,$P249-$H249*$G249)*$T249/MAX(1,$U249),0)</f>
        <v/>
      </c>
      <c r="W249" s="68">
        <f>POWER($S249,$E249)</f>
        <v/>
      </c>
      <c r="X249" s="68">
        <f>SUMIFS($W$5:$W$589,$A$5:$A$589,$A249)</f>
        <v/>
      </c>
      <c r="Y249" s="67">
        <f>ROUNDDOWN(MAX(0,$R249-$J249*$G249)*$W249/MAX(1,$X249),0)</f>
        <v/>
      </c>
    </row>
    <row r="250">
      <c r="A250" s="17" t="inlineStr">
        <is>
          <t>smelting</t>
        </is>
      </c>
      <c r="B250" s="18" t="inlineStr">
        <is>
          <t>冶炼技</t>
        </is>
      </c>
      <c r="C250" s="18" t="inlineStr">
        <is>
          <t>生产技术</t>
        </is>
      </c>
      <c r="D250" s="18" t="inlineStr">
        <is>
          <t>—</t>
        </is>
      </c>
      <c r="E250" s="65" t="n">
        <v>5</v>
      </c>
      <c r="F250" s="66">
        <f>E250+1</f>
        <v/>
      </c>
      <c r="G250" s="65">
        <f>INDEX('个人技术总览'!$E$5:$E$46,MATCH($A250,'个人技术总览'!$A$5:$A$46,0))</f>
        <v/>
      </c>
      <c r="H250" s="59">
        <f>INDEX('个人技术总览'!$F$5:$F$46,MATCH($A250,'个人技术总览'!$A$5:$A$46,0))</f>
        <v/>
      </c>
      <c r="I250" s="60">
        <f>INDEX('个人技术总览'!$G$5:$G$46,MATCH($A250,'个人技术总览'!$A$5:$A$46,0))</f>
        <v/>
      </c>
      <c r="J250" s="59">
        <f>INDEX('个人技术总览'!$H$5:$H$46,MATCH($A250,'个人技术总览'!$A$5:$A$46,0))</f>
        <v/>
      </c>
      <c r="K250" s="60">
        <f>INDEX('个人技术总览'!$I$5:$I$46,MATCH($A250,'个人技术总览'!$A$5:$A$46,0))</f>
        <v/>
      </c>
      <c r="L250" s="67">
        <f>H250+V250+IF(E250=G250-1,MAX(0,P250-H250*G250-SUMIFS($V$5:$V$589,$A$5:$A$589,$A250)),0)</f>
        <v/>
      </c>
      <c r="M250" s="61">
        <f>MAX(1,ROUNDDOWN($L250/'参数与公式'!$B$5,0))</f>
        <v/>
      </c>
      <c r="N250" s="67">
        <f>J250+Y250+IF(E250=G250-1,MAX(0,R250-J250*G250-SUMIFS($Y$5:$Y$589,$A$5:$A$589,$A250)),0)</f>
        <v/>
      </c>
      <c r="O250" s="18" t="inlineStr">
        <is>
          <t>data/technology_templates.yaml; upgrade_*_budget / *_curve; code: technology_rules.allocate_upgrade_budget</t>
        </is>
      </c>
      <c r="P250" s="67">
        <f>INDEX('个人技术总览'!$O$5:$O$46,MATCH($A250,'个人技术总览'!$A$5:$A$46,0))</f>
        <v/>
      </c>
      <c r="Q250" s="64">
        <f>INDEX('个人技术总览'!$P$5:$P$46,MATCH($A250,'个人技术总览'!$A$5:$A$46,0))</f>
        <v/>
      </c>
      <c r="R250" s="67">
        <f>INDEX('个人技术总览'!$Q$5:$Q$46,MATCH($A250,'个人技术总览'!$A$5:$A$46,0))</f>
        <v/>
      </c>
      <c r="S250" s="64">
        <f>INDEX('个人技术总览'!$R$5:$R$46,MATCH($A250,'个人技术总览'!$A$5:$A$46,0))</f>
        <v/>
      </c>
      <c r="T250" s="68">
        <f>POWER($Q250,$E250)</f>
        <v/>
      </c>
      <c r="U250" s="68">
        <f>SUMIFS($T$5:$T$589,$A$5:$A$589,$A250)</f>
        <v/>
      </c>
      <c r="V250" s="67">
        <f>ROUNDDOWN(MAX(0,$P250-$H250*$G250)*$T250/MAX(1,$U250),0)</f>
        <v/>
      </c>
      <c r="W250" s="68">
        <f>POWER($S250,$E250)</f>
        <v/>
      </c>
      <c r="X250" s="68">
        <f>SUMIFS($W$5:$W$589,$A$5:$A$589,$A250)</f>
        <v/>
      </c>
      <c r="Y250" s="67">
        <f>ROUNDDOWN(MAX(0,$R250-$J250*$G250)*$W250/MAX(1,$X250),0)</f>
        <v/>
      </c>
    </row>
    <row r="251">
      <c r="A251" s="17" t="inlineStr">
        <is>
          <t>smelting</t>
        </is>
      </c>
      <c r="B251" s="18" t="inlineStr">
        <is>
          <t>冶炼技</t>
        </is>
      </c>
      <c r="C251" s="18" t="inlineStr">
        <is>
          <t>生产技术</t>
        </is>
      </c>
      <c r="D251" s="18" t="inlineStr">
        <is>
          <t>—</t>
        </is>
      </c>
      <c r="E251" s="65" t="n">
        <v>6</v>
      </c>
      <c r="F251" s="66">
        <f>E251+1</f>
        <v/>
      </c>
      <c r="G251" s="65">
        <f>INDEX('个人技术总览'!$E$5:$E$46,MATCH($A251,'个人技术总览'!$A$5:$A$46,0))</f>
        <v/>
      </c>
      <c r="H251" s="59">
        <f>INDEX('个人技术总览'!$F$5:$F$46,MATCH($A251,'个人技术总览'!$A$5:$A$46,0))</f>
        <v/>
      </c>
      <c r="I251" s="60">
        <f>INDEX('个人技术总览'!$G$5:$G$46,MATCH($A251,'个人技术总览'!$A$5:$A$46,0))</f>
        <v/>
      </c>
      <c r="J251" s="59">
        <f>INDEX('个人技术总览'!$H$5:$H$46,MATCH($A251,'个人技术总览'!$A$5:$A$46,0))</f>
        <v/>
      </c>
      <c r="K251" s="60">
        <f>INDEX('个人技术总览'!$I$5:$I$46,MATCH($A251,'个人技术总览'!$A$5:$A$46,0))</f>
        <v/>
      </c>
      <c r="L251" s="67">
        <f>H251+V251+IF(E251=G251-1,MAX(0,P251-H251*G251-SUMIFS($V$5:$V$589,$A$5:$A$589,$A251)),0)</f>
        <v/>
      </c>
      <c r="M251" s="61">
        <f>MAX(1,ROUNDDOWN($L251/'参数与公式'!$B$5,0))</f>
        <v/>
      </c>
      <c r="N251" s="67">
        <f>J251+Y251+IF(E251=G251-1,MAX(0,R251-J251*G251-SUMIFS($Y$5:$Y$589,$A$5:$A$589,$A251)),0)</f>
        <v/>
      </c>
      <c r="O251" s="18" t="inlineStr">
        <is>
          <t>data/technology_templates.yaml; upgrade_*_budget / *_curve; code: technology_rules.allocate_upgrade_budget</t>
        </is>
      </c>
      <c r="P251" s="67">
        <f>INDEX('个人技术总览'!$O$5:$O$46,MATCH($A251,'个人技术总览'!$A$5:$A$46,0))</f>
        <v/>
      </c>
      <c r="Q251" s="64">
        <f>INDEX('个人技术总览'!$P$5:$P$46,MATCH($A251,'个人技术总览'!$A$5:$A$46,0))</f>
        <v/>
      </c>
      <c r="R251" s="67">
        <f>INDEX('个人技术总览'!$Q$5:$Q$46,MATCH($A251,'个人技术总览'!$A$5:$A$46,0))</f>
        <v/>
      </c>
      <c r="S251" s="64">
        <f>INDEX('个人技术总览'!$R$5:$R$46,MATCH($A251,'个人技术总览'!$A$5:$A$46,0))</f>
        <v/>
      </c>
      <c r="T251" s="68">
        <f>POWER($Q251,$E251)</f>
        <v/>
      </c>
      <c r="U251" s="68">
        <f>SUMIFS($T$5:$T$589,$A$5:$A$589,$A251)</f>
        <v/>
      </c>
      <c r="V251" s="67">
        <f>ROUNDDOWN(MAX(0,$P251-$H251*$G251)*$T251/MAX(1,$U251),0)</f>
        <v/>
      </c>
      <c r="W251" s="68">
        <f>POWER($S251,$E251)</f>
        <v/>
      </c>
      <c r="X251" s="68">
        <f>SUMIFS($W$5:$W$589,$A$5:$A$589,$A251)</f>
        <v/>
      </c>
      <c r="Y251" s="67">
        <f>ROUNDDOWN(MAX(0,$R251-$J251*$G251)*$W251/MAX(1,$X251),0)</f>
        <v/>
      </c>
    </row>
    <row r="252">
      <c r="A252" s="17" t="inlineStr">
        <is>
          <t>smelting</t>
        </is>
      </c>
      <c r="B252" s="18" t="inlineStr">
        <is>
          <t>冶炼技</t>
        </is>
      </c>
      <c r="C252" s="18" t="inlineStr">
        <is>
          <t>生产技术</t>
        </is>
      </c>
      <c r="D252" s="18" t="inlineStr">
        <is>
          <t>—</t>
        </is>
      </c>
      <c r="E252" s="65" t="n">
        <v>7</v>
      </c>
      <c r="F252" s="66">
        <f>E252+1</f>
        <v/>
      </c>
      <c r="G252" s="65">
        <f>INDEX('个人技术总览'!$E$5:$E$46,MATCH($A252,'个人技术总览'!$A$5:$A$46,0))</f>
        <v/>
      </c>
      <c r="H252" s="59">
        <f>INDEX('个人技术总览'!$F$5:$F$46,MATCH($A252,'个人技术总览'!$A$5:$A$46,0))</f>
        <v/>
      </c>
      <c r="I252" s="60">
        <f>INDEX('个人技术总览'!$G$5:$G$46,MATCH($A252,'个人技术总览'!$A$5:$A$46,0))</f>
        <v/>
      </c>
      <c r="J252" s="59">
        <f>INDEX('个人技术总览'!$H$5:$H$46,MATCH($A252,'个人技术总览'!$A$5:$A$46,0))</f>
        <v/>
      </c>
      <c r="K252" s="60">
        <f>INDEX('个人技术总览'!$I$5:$I$46,MATCH($A252,'个人技术总览'!$A$5:$A$46,0))</f>
        <v/>
      </c>
      <c r="L252" s="67">
        <f>H252+V252+IF(E252=G252-1,MAX(0,P252-H252*G252-SUMIFS($V$5:$V$589,$A$5:$A$589,$A252)),0)</f>
        <v/>
      </c>
      <c r="M252" s="61">
        <f>MAX(1,ROUNDDOWN($L252/'参数与公式'!$B$5,0))</f>
        <v/>
      </c>
      <c r="N252" s="67">
        <f>J252+Y252+IF(E252=G252-1,MAX(0,R252-J252*G252-SUMIFS($Y$5:$Y$589,$A$5:$A$589,$A252)),0)</f>
        <v/>
      </c>
      <c r="O252" s="18" t="inlineStr">
        <is>
          <t>data/technology_templates.yaml; upgrade_*_budget / *_curve; code: technology_rules.allocate_upgrade_budget</t>
        </is>
      </c>
      <c r="P252" s="67">
        <f>INDEX('个人技术总览'!$O$5:$O$46,MATCH($A252,'个人技术总览'!$A$5:$A$46,0))</f>
        <v/>
      </c>
      <c r="Q252" s="64">
        <f>INDEX('个人技术总览'!$P$5:$P$46,MATCH($A252,'个人技术总览'!$A$5:$A$46,0))</f>
        <v/>
      </c>
      <c r="R252" s="67">
        <f>INDEX('个人技术总览'!$Q$5:$Q$46,MATCH($A252,'个人技术总览'!$A$5:$A$46,0))</f>
        <v/>
      </c>
      <c r="S252" s="64">
        <f>INDEX('个人技术总览'!$R$5:$R$46,MATCH($A252,'个人技术总览'!$A$5:$A$46,0))</f>
        <v/>
      </c>
      <c r="T252" s="68">
        <f>POWER($Q252,$E252)</f>
        <v/>
      </c>
      <c r="U252" s="68">
        <f>SUMIFS($T$5:$T$589,$A$5:$A$589,$A252)</f>
        <v/>
      </c>
      <c r="V252" s="67">
        <f>ROUNDDOWN(MAX(0,$P252-$H252*$G252)*$T252/MAX(1,$U252),0)</f>
        <v/>
      </c>
      <c r="W252" s="68">
        <f>POWER($S252,$E252)</f>
        <v/>
      </c>
      <c r="X252" s="68">
        <f>SUMIFS($W$5:$W$589,$A$5:$A$589,$A252)</f>
        <v/>
      </c>
      <c r="Y252" s="67">
        <f>ROUNDDOWN(MAX(0,$R252-$J252*$G252)*$W252/MAX(1,$X252),0)</f>
        <v/>
      </c>
    </row>
    <row r="253">
      <c r="A253" s="17" t="inlineStr">
        <is>
          <t>smelting</t>
        </is>
      </c>
      <c r="B253" s="18" t="inlineStr">
        <is>
          <t>冶炼技</t>
        </is>
      </c>
      <c r="C253" s="18" t="inlineStr">
        <is>
          <t>生产技术</t>
        </is>
      </c>
      <c r="D253" s="18" t="inlineStr">
        <is>
          <t>—</t>
        </is>
      </c>
      <c r="E253" s="65" t="n">
        <v>8</v>
      </c>
      <c r="F253" s="66">
        <f>E253+1</f>
        <v/>
      </c>
      <c r="G253" s="65">
        <f>INDEX('个人技术总览'!$E$5:$E$46,MATCH($A253,'个人技术总览'!$A$5:$A$46,0))</f>
        <v/>
      </c>
      <c r="H253" s="59">
        <f>INDEX('个人技术总览'!$F$5:$F$46,MATCH($A253,'个人技术总览'!$A$5:$A$46,0))</f>
        <v/>
      </c>
      <c r="I253" s="60">
        <f>INDEX('个人技术总览'!$G$5:$G$46,MATCH($A253,'个人技术总览'!$A$5:$A$46,0))</f>
        <v/>
      </c>
      <c r="J253" s="59">
        <f>INDEX('个人技术总览'!$H$5:$H$46,MATCH($A253,'个人技术总览'!$A$5:$A$46,0))</f>
        <v/>
      </c>
      <c r="K253" s="60">
        <f>INDEX('个人技术总览'!$I$5:$I$46,MATCH($A253,'个人技术总览'!$A$5:$A$46,0))</f>
        <v/>
      </c>
      <c r="L253" s="67">
        <f>H253+V253+IF(E253=G253-1,MAX(0,P253-H253*G253-SUMIFS($V$5:$V$589,$A$5:$A$589,$A253)),0)</f>
        <v/>
      </c>
      <c r="M253" s="61">
        <f>MAX(1,ROUNDDOWN($L253/'参数与公式'!$B$5,0))</f>
        <v/>
      </c>
      <c r="N253" s="67">
        <f>J253+Y253+IF(E253=G253-1,MAX(0,R253-J253*G253-SUMIFS($Y$5:$Y$589,$A$5:$A$589,$A253)),0)</f>
        <v/>
      </c>
      <c r="O253" s="18" t="inlineStr">
        <is>
          <t>data/technology_templates.yaml; upgrade_*_budget / *_curve; code: technology_rules.allocate_upgrade_budget</t>
        </is>
      </c>
      <c r="P253" s="67">
        <f>INDEX('个人技术总览'!$O$5:$O$46,MATCH($A253,'个人技术总览'!$A$5:$A$46,0))</f>
        <v/>
      </c>
      <c r="Q253" s="64">
        <f>INDEX('个人技术总览'!$P$5:$P$46,MATCH($A253,'个人技术总览'!$A$5:$A$46,0))</f>
        <v/>
      </c>
      <c r="R253" s="67">
        <f>INDEX('个人技术总览'!$Q$5:$Q$46,MATCH($A253,'个人技术总览'!$A$5:$A$46,0))</f>
        <v/>
      </c>
      <c r="S253" s="64">
        <f>INDEX('个人技术总览'!$R$5:$R$46,MATCH($A253,'个人技术总览'!$A$5:$A$46,0))</f>
        <v/>
      </c>
      <c r="T253" s="68">
        <f>POWER($Q253,$E253)</f>
        <v/>
      </c>
      <c r="U253" s="68">
        <f>SUMIFS($T$5:$T$589,$A$5:$A$589,$A253)</f>
        <v/>
      </c>
      <c r="V253" s="67">
        <f>ROUNDDOWN(MAX(0,$P253-$H253*$G253)*$T253/MAX(1,$U253),0)</f>
        <v/>
      </c>
      <c r="W253" s="68">
        <f>POWER($S253,$E253)</f>
        <v/>
      </c>
      <c r="X253" s="68">
        <f>SUMIFS($W$5:$W$589,$A$5:$A$589,$A253)</f>
        <v/>
      </c>
      <c r="Y253" s="67">
        <f>ROUNDDOWN(MAX(0,$R253-$J253*$G253)*$W253/MAX(1,$X253),0)</f>
        <v/>
      </c>
    </row>
    <row r="254">
      <c r="A254" s="17" t="inlineStr">
        <is>
          <t>smelting</t>
        </is>
      </c>
      <c r="B254" s="18" t="inlineStr">
        <is>
          <t>冶炼技</t>
        </is>
      </c>
      <c r="C254" s="18" t="inlineStr">
        <is>
          <t>生产技术</t>
        </is>
      </c>
      <c r="D254" s="18" t="inlineStr">
        <is>
          <t>—</t>
        </is>
      </c>
      <c r="E254" s="65" t="n">
        <v>9</v>
      </c>
      <c r="F254" s="66">
        <f>E254+1</f>
        <v/>
      </c>
      <c r="G254" s="65">
        <f>INDEX('个人技术总览'!$E$5:$E$46,MATCH($A254,'个人技术总览'!$A$5:$A$46,0))</f>
        <v/>
      </c>
      <c r="H254" s="59">
        <f>INDEX('个人技术总览'!$F$5:$F$46,MATCH($A254,'个人技术总览'!$A$5:$A$46,0))</f>
        <v/>
      </c>
      <c r="I254" s="60">
        <f>INDEX('个人技术总览'!$G$5:$G$46,MATCH($A254,'个人技术总览'!$A$5:$A$46,0))</f>
        <v/>
      </c>
      <c r="J254" s="59">
        <f>INDEX('个人技术总览'!$H$5:$H$46,MATCH($A254,'个人技术总览'!$A$5:$A$46,0))</f>
        <v/>
      </c>
      <c r="K254" s="60">
        <f>INDEX('个人技术总览'!$I$5:$I$46,MATCH($A254,'个人技术总览'!$A$5:$A$46,0))</f>
        <v/>
      </c>
      <c r="L254" s="67">
        <f>H254+V254+IF(E254=G254-1,MAX(0,P254-H254*G254-SUMIFS($V$5:$V$589,$A$5:$A$589,$A254)),0)</f>
        <v/>
      </c>
      <c r="M254" s="61">
        <f>MAX(1,ROUNDDOWN($L254/'参数与公式'!$B$5,0))</f>
        <v/>
      </c>
      <c r="N254" s="67">
        <f>J254+Y254+IF(E254=G254-1,MAX(0,R254-J254*G254-SUMIFS($Y$5:$Y$589,$A$5:$A$589,$A254)),0)</f>
        <v/>
      </c>
      <c r="O254" s="18" t="inlineStr">
        <is>
          <t>data/technology_templates.yaml; upgrade_*_budget / *_curve; code: technology_rules.allocate_upgrade_budget</t>
        </is>
      </c>
      <c r="P254" s="67">
        <f>INDEX('个人技术总览'!$O$5:$O$46,MATCH($A254,'个人技术总览'!$A$5:$A$46,0))</f>
        <v/>
      </c>
      <c r="Q254" s="64">
        <f>INDEX('个人技术总览'!$P$5:$P$46,MATCH($A254,'个人技术总览'!$A$5:$A$46,0))</f>
        <v/>
      </c>
      <c r="R254" s="67">
        <f>INDEX('个人技术总览'!$Q$5:$Q$46,MATCH($A254,'个人技术总览'!$A$5:$A$46,0))</f>
        <v/>
      </c>
      <c r="S254" s="64">
        <f>INDEX('个人技术总览'!$R$5:$R$46,MATCH($A254,'个人技术总览'!$A$5:$A$46,0))</f>
        <v/>
      </c>
      <c r="T254" s="68">
        <f>POWER($Q254,$E254)</f>
        <v/>
      </c>
      <c r="U254" s="68">
        <f>SUMIFS($T$5:$T$589,$A$5:$A$589,$A254)</f>
        <v/>
      </c>
      <c r="V254" s="67">
        <f>ROUNDDOWN(MAX(0,$P254-$H254*$G254)*$T254/MAX(1,$U254),0)</f>
        <v/>
      </c>
      <c r="W254" s="68">
        <f>POWER($S254,$E254)</f>
        <v/>
      </c>
      <c r="X254" s="68">
        <f>SUMIFS($W$5:$W$589,$A$5:$A$589,$A254)</f>
        <v/>
      </c>
      <c r="Y254" s="67">
        <f>ROUNDDOWN(MAX(0,$R254-$J254*$G254)*$W254/MAX(1,$X254),0)</f>
        <v/>
      </c>
    </row>
    <row r="255">
      <c r="A255" s="17" t="inlineStr">
        <is>
          <t>forging</t>
        </is>
      </c>
      <c r="B255" s="18" t="inlineStr">
        <is>
          <t>锻造技</t>
        </is>
      </c>
      <c r="C255" s="18" t="inlineStr">
        <is>
          <t>生产技术</t>
        </is>
      </c>
      <c r="D255" s="18" t="inlineStr">
        <is>
          <t>—</t>
        </is>
      </c>
      <c r="E255" s="65" t="n">
        <v>0</v>
      </c>
      <c r="F255" s="66">
        <f>E255+1</f>
        <v/>
      </c>
      <c r="G255" s="65">
        <f>INDEX('个人技术总览'!$E$5:$E$46,MATCH($A255,'个人技术总览'!$A$5:$A$46,0))</f>
        <v/>
      </c>
      <c r="H255" s="59">
        <f>INDEX('个人技术总览'!$F$5:$F$46,MATCH($A255,'个人技术总览'!$A$5:$A$46,0))</f>
        <v/>
      </c>
      <c r="I255" s="60">
        <f>INDEX('个人技术总览'!$G$5:$G$46,MATCH($A255,'个人技术总览'!$A$5:$A$46,0))</f>
        <v/>
      </c>
      <c r="J255" s="59">
        <f>INDEX('个人技术总览'!$H$5:$H$46,MATCH($A255,'个人技术总览'!$A$5:$A$46,0))</f>
        <v/>
      </c>
      <c r="K255" s="60">
        <f>INDEX('个人技术总览'!$I$5:$I$46,MATCH($A255,'个人技术总览'!$A$5:$A$46,0))</f>
        <v/>
      </c>
      <c r="L255" s="67">
        <f>H255+V255+IF(E255=G255-1,MAX(0,P255-H255*G255-SUMIFS($V$5:$V$589,$A$5:$A$589,$A255)),0)</f>
        <v/>
      </c>
      <c r="M255" s="61">
        <f>MAX(1,ROUNDDOWN($L255/'参数与公式'!$B$5,0))</f>
        <v/>
      </c>
      <c r="N255" s="67">
        <f>J255+Y255+IF(E255=G255-1,MAX(0,R255-J255*G255-SUMIFS($Y$5:$Y$589,$A$5:$A$589,$A255)),0)</f>
        <v/>
      </c>
      <c r="O255" s="18" t="inlineStr">
        <is>
          <t>data/technology_templates.yaml; upgrade_*_budget / *_curve; code: technology_rules.allocate_upgrade_budget</t>
        </is>
      </c>
      <c r="P255" s="67">
        <f>INDEX('个人技术总览'!$O$5:$O$46,MATCH($A255,'个人技术总览'!$A$5:$A$46,0))</f>
        <v/>
      </c>
      <c r="Q255" s="64">
        <f>INDEX('个人技术总览'!$P$5:$P$46,MATCH($A255,'个人技术总览'!$A$5:$A$46,0))</f>
        <v/>
      </c>
      <c r="R255" s="67">
        <f>INDEX('个人技术总览'!$Q$5:$Q$46,MATCH($A255,'个人技术总览'!$A$5:$A$46,0))</f>
        <v/>
      </c>
      <c r="S255" s="64">
        <f>INDEX('个人技术总览'!$R$5:$R$46,MATCH($A255,'个人技术总览'!$A$5:$A$46,0))</f>
        <v/>
      </c>
      <c r="T255" s="68">
        <f>POWER($Q255,$E255)</f>
        <v/>
      </c>
      <c r="U255" s="68">
        <f>SUMIFS($T$5:$T$589,$A$5:$A$589,$A255)</f>
        <v/>
      </c>
      <c r="V255" s="67">
        <f>ROUNDDOWN(MAX(0,$P255-$H255*$G255)*$T255/MAX(1,$U255),0)</f>
        <v/>
      </c>
      <c r="W255" s="68">
        <f>POWER($S255,$E255)</f>
        <v/>
      </c>
      <c r="X255" s="68">
        <f>SUMIFS($W$5:$W$589,$A$5:$A$589,$A255)</f>
        <v/>
      </c>
      <c r="Y255" s="67">
        <f>ROUNDDOWN(MAX(0,$R255-$J255*$G255)*$W255/MAX(1,$X255),0)</f>
        <v/>
      </c>
    </row>
    <row r="256">
      <c r="A256" s="17" t="inlineStr">
        <is>
          <t>forging</t>
        </is>
      </c>
      <c r="B256" s="18" t="inlineStr">
        <is>
          <t>锻造技</t>
        </is>
      </c>
      <c r="C256" s="18" t="inlineStr">
        <is>
          <t>生产技术</t>
        </is>
      </c>
      <c r="D256" s="18" t="inlineStr">
        <is>
          <t>—</t>
        </is>
      </c>
      <c r="E256" s="65" t="n">
        <v>1</v>
      </c>
      <c r="F256" s="66">
        <f>E256+1</f>
        <v/>
      </c>
      <c r="G256" s="65">
        <f>INDEX('个人技术总览'!$E$5:$E$46,MATCH($A256,'个人技术总览'!$A$5:$A$46,0))</f>
        <v/>
      </c>
      <c r="H256" s="59">
        <f>INDEX('个人技术总览'!$F$5:$F$46,MATCH($A256,'个人技术总览'!$A$5:$A$46,0))</f>
        <v/>
      </c>
      <c r="I256" s="60">
        <f>INDEX('个人技术总览'!$G$5:$G$46,MATCH($A256,'个人技术总览'!$A$5:$A$46,0))</f>
        <v/>
      </c>
      <c r="J256" s="59">
        <f>INDEX('个人技术总览'!$H$5:$H$46,MATCH($A256,'个人技术总览'!$A$5:$A$46,0))</f>
        <v/>
      </c>
      <c r="K256" s="60">
        <f>INDEX('个人技术总览'!$I$5:$I$46,MATCH($A256,'个人技术总览'!$A$5:$A$46,0))</f>
        <v/>
      </c>
      <c r="L256" s="67">
        <f>H256+V256+IF(E256=G256-1,MAX(0,P256-H256*G256-SUMIFS($V$5:$V$589,$A$5:$A$589,$A256)),0)</f>
        <v/>
      </c>
      <c r="M256" s="61">
        <f>MAX(1,ROUNDDOWN($L256/'参数与公式'!$B$5,0))</f>
        <v/>
      </c>
      <c r="N256" s="67">
        <f>J256+Y256+IF(E256=G256-1,MAX(0,R256-J256*G256-SUMIFS($Y$5:$Y$589,$A$5:$A$589,$A256)),0)</f>
        <v/>
      </c>
      <c r="O256" s="18" t="inlineStr">
        <is>
          <t>data/technology_templates.yaml; upgrade_*_budget / *_curve; code: technology_rules.allocate_upgrade_budget</t>
        </is>
      </c>
      <c r="P256" s="67">
        <f>INDEX('个人技术总览'!$O$5:$O$46,MATCH($A256,'个人技术总览'!$A$5:$A$46,0))</f>
        <v/>
      </c>
      <c r="Q256" s="64">
        <f>INDEX('个人技术总览'!$P$5:$P$46,MATCH($A256,'个人技术总览'!$A$5:$A$46,0))</f>
        <v/>
      </c>
      <c r="R256" s="67">
        <f>INDEX('个人技术总览'!$Q$5:$Q$46,MATCH($A256,'个人技术总览'!$A$5:$A$46,0))</f>
        <v/>
      </c>
      <c r="S256" s="64">
        <f>INDEX('个人技术总览'!$R$5:$R$46,MATCH($A256,'个人技术总览'!$A$5:$A$46,0))</f>
        <v/>
      </c>
      <c r="T256" s="68">
        <f>POWER($Q256,$E256)</f>
        <v/>
      </c>
      <c r="U256" s="68">
        <f>SUMIFS($T$5:$T$589,$A$5:$A$589,$A256)</f>
        <v/>
      </c>
      <c r="V256" s="67">
        <f>ROUNDDOWN(MAX(0,$P256-$H256*$G256)*$T256/MAX(1,$U256),0)</f>
        <v/>
      </c>
      <c r="W256" s="68">
        <f>POWER($S256,$E256)</f>
        <v/>
      </c>
      <c r="X256" s="68">
        <f>SUMIFS($W$5:$W$589,$A$5:$A$589,$A256)</f>
        <v/>
      </c>
      <c r="Y256" s="67">
        <f>ROUNDDOWN(MAX(0,$R256-$J256*$G256)*$W256/MAX(1,$X256),0)</f>
        <v/>
      </c>
    </row>
    <row r="257">
      <c r="A257" s="17" t="inlineStr">
        <is>
          <t>forging</t>
        </is>
      </c>
      <c r="B257" s="18" t="inlineStr">
        <is>
          <t>锻造技</t>
        </is>
      </c>
      <c r="C257" s="18" t="inlineStr">
        <is>
          <t>生产技术</t>
        </is>
      </c>
      <c r="D257" s="18" t="inlineStr">
        <is>
          <t>—</t>
        </is>
      </c>
      <c r="E257" s="65" t="n">
        <v>2</v>
      </c>
      <c r="F257" s="66">
        <f>E257+1</f>
        <v/>
      </c>
      <c r="G257" s="65">
        <f>INDEX('个人技术总览'!$E$5:$E$46,MATCH($A257,'个人技术总览'!$A$5:$A$46,0))</f>
        <v/>
      </c>
      <c r="H257" s="59">
        <f>INDEX('个人技术总览'!$F$5:$F$46,MATCH($A257,'个人技术总览'!$A$5:$A$46,0))</f>
        <v/>
      </c>
      <c r="I257" s="60">
        <f>INDEX('个人技术总览'!$G$5:$G$46,MATCH($A257,'个人技术总览'!$A$5:$A$46,0))</f>
        <v/>
      </c>
      <c r="J257" s="59">
        <f>INDEX('个人技术总览'!$H$5:$H$46,MATCH($A257,'个人技术总览'!$A$5:$A$46,0))</f>
        <v/>
      </c>
      <c r="K257" s="60">
        <f>INDEX('个人技术总览'!$I$5:$I$46,MATCH($A257,'个人技术总览'!$A$5:$A$46,0))</f>
        <v/>
      </c>
      <c r="L257" s="67">
        <f>H257+V257+IF(E257=G257-1,MAX(0,P257-H257*G257-SUMIFS($V$5:$V$589,$A$5:$A$589,$A257)),0)</f>
        <v/>
      </c>
      <c r="M257" s="61">
        <f>MAX(1,ROUNDDOWN($L257/'参数与公式'!$B$5,0))</f>
        <v/>
      </c>
      <c r="N257" s="67">
        <f>J257+Y257+IF(E257=G257-1,MAX(0,R257-J257*G257-SUMIFS($Y$5:$Y$589,$A$5:$A$589,$A257)),0)</f>
        <v/>
      </c>
      <c r="O257" s="18" t="inlineStr">
        <is>
          <t>data/technology_templates.yaml; upgrade_*_budget / *_curve; code: technology_rules.allocate_upgrade_budget</t>
        </is>
      </c>
      <c r="P257" s="67">
        <f>INDEX('个人技术总览'!$O$5:$O$46,MATCH($A257,'个人技术总览'!$A$5:$A$46,0))</f>
        <v/>
      </c>
      <c r="Q257" s="64">
        <f>INDEX('个人技术总览'!$P$5:$P$46,MATCH($A257,'个人技术总览'!$A$5:$A$46,0))</f>
        <v/>
      </c>
      <c r="R257" s="67">
        <f>INDEX('个人技术总览'!$Q$5:$Q$46,MATCH($A257,'个人技术总览'!$A$5:$A$46,0))</f>
        <v/>
      </c>
      <c r="S257" s="64">
        <f>INDEX('个人技术总览'!$R$5:$R$46,MATCH($A257,'个人技术总览'!$A$5:$A$46,0))</f>
        <v/>
      </c>
      <c r="T257" s="68">
        <f>POWER($Q257,$E257)</f>
        <v/>
      </c>
      <c r="U257" s="68">
        <f>SUMIFS($T$5:$T$589,$A$5:$A$589,$A257)</f>
        <v/>
      </c>
      <c r="V257" s="67">
        <f>ROUNDDOWN(MAX(0,$P257-$H257*$G257)*$T257/MAX(1,$U257),0)</f>
        <v/>
      </c>
      <c r="W257" s="68">
        <f>POWER($S257,$E257)</f>
        <v/>
      </c>
      <c r="X257" s="68">
        <f>SUMIFS($W$5:$W$589,$A$5:$A$589,$A257)</f>
        <v/>
      </c>
      <c r="Y257" s="67">
        <f>ROUNDDOWN(MAX(0,$R257-$J257*$G257)*$W257/MAX(1,$X257),0)</f>
        <v/>
      </c>
    </row>
    <row r="258">
      <c r="A258" s="17" t="inlineStr">
        <is>
          <t>forging</t>
        </is>
      </c>
      <c r="B258" s="18" t="inlineStr">
        <is>
          <t>锻造技</t>
        </is>
      </c>
      <c r="C258" s="18" t="inlineStr">
        <is>
          <t>生产技术</t>
        </is>
      </c>
      <c r="D258" s="18" t="inlineStr">
        <is>
          <t>—</t>
        </is>
      </c>
      <c r="E258" s="65" t="n">
        <v>3</v>
      </c>
      <c r="F258" s="66">
        <f>E258+1</f>
        <v/>
      </c>
      <c r="G258" s="65">
        <f>INDEX('个人技术总览'!$E$5:$E$46,MATCH($A258,'个人技术总览'!$A$5:$A$46,0))</f>
        <v/>
      </c>
      <c r="H258" s="59">
        <f>INDEX('个人技术总览'!$F$5:$F$46,MATCH($A258,'个人技术总览'!$A$5:$A$46,0))</f>
        <v/>
      </c>
      <c r="I258" s="60">
        <f>INDEX('个人技术总览'!$G$5:$G$46,MATCH($A258,'个人技术总览'!$A$5:$A$46,0))</f>
        <v/>
      </c>
      <c r="J258" s="59">
        <f>INDEX('个人技术总览'!$H$5:$H$46,MATCH($A258,'个人技术总览'!$A$5:$A$46,0))</f>
        <v/>
      </c>
      <c r="K258" s="60">
        <f>INDEX('个人技术总览'!$I$5:$I$46,MATCH($A258,'个人技术总览'!$A$5:$A$46,0))</f>
        <v/>
      </c>
      <c r="L258" s="67">
        <f>H258+V258+IF(E258=G258-1,MAX(0,P258-H258*G258-SUMIFS($V$5:$V$589,$A$5:$A$589,$A258)),0)</f>
        <v/>
      </c>
      <c r="M258" s="61">
        <f>MAX(1,ROUNDDOWN($L258/'参数与公式'!$B$5,0))</f>
        <v/>
      </c>
      <c r="N258" s="67">
        <f>J258+Y258+IF(E258=G258-1,MAX(0,R258-J258*G258-SUMIFS($Y$5:$Y$589,$A$5:$A$589,$A258)),0)</f>
        <v/>
      </c>
      <c r="O258" s="18" t="inlineStr">
        <is>
          <t>data/technology_templates.yaml; upgrade_*_budget / *_curve; code: technology_rules.allocate_upgrade_budget</t>
        </is>
      </c>
      <c r="P258" s="67">
        <f>INDEX('个人技术总览'!$O$5:$O$46,MATCH($A258,'个人技术总览'!$A$5:$A$46,0))</f>
        <v/>
      </c>
      <c r="Q258" s="64">
        <f>INDEX('个人技术总览'!$P$5:$P$46,MATCH($A258,'个人技术总览'!$A$5:$A$46,0))</f>
        <v/>
      </c>
      <c r="R258" s="67">
        <f>INDEX('个人技术总览'!$Q$5:$Q$46,MATCH($A258,'个人技术总览'!$A$5:$A$46,0))</f>
        <v/>
      </c>
      <c r="S258" s="64">
        <f>INDEX('个人技术总览'!$R$5:$R$46,MATCH($A258,'个人技术总览'!$A$5:$A$46,0))</f>
        <v/>
      </c>
      <c r="T258" s="68">
        <f>POWER($Q258,$E258)</f>
        <v/>
      </c>
      <c r="U258" s="68">
        <f>SUMIFS($T$5:$T$589,$A$5:$A$589,$A258)</f>
        <v/>
      </c>
      <c r="V258" s="67">
        <f>ROUNDDOWN(MAX(0,$P258-$H258*$G258)*$T258/MAX(1,$U258),0)</f>
        <v/>
      </c>
      <c r="W258" s="68">
        <f>POWER($S258,$E258)</f>
        <v/>
      </c>
      <c r="X258" s="68">
        <f>SUMIFS($W$5:$W$589,$A$5:$A$589,$A258)</f>
        <v/>
      </c>
      <c r="Y258" s="67">
        <f>ROUNDDOWN(MAX(0,$R258-$J258*$G258)*$W258/MAX(1,$X258),0)</f>
        <v/>
      </c>
    </row>
    <row r="259">
      <c r="A259" s="17" t="inlineStr">
        <is>
          <t>forging</t>
        </is>
      </c>
      <c r="B259" s="18" t="inlineStr">
        <is>
          <t>锻造技</t>
        </is>
      </c>
      <c r="C259" s="18" t="inlineStr">
        <is>
          <t>生产技术</t>
        </is>
      </c>
      <c r="D259" s="18" t="inlineStr">
        <is>
          <t>—</t>
        </is>
      </c>
      <c r="E259" s="65" t="n">
        <v>4</v>
      </c>
      <c r="F259" s="66">
        <f>E259+1</f>
        <v/>
      </c>
      <c r="G259" s="65">
        <f>INDEX('个人技术总览'!$E$5:$E$46,MATCH($A259,'个人技术总览'!$A$5:$A$46,0))</f>
        <v/>
      </c>
      <c r="H259" s="59">
        <f>INDEX('个人技术总览'!$F$5:$F$46,MATCH($A259,'个人技术总览'!$A$5:$A$46,0))</f>
        <v/>
      </c>
      <c r="I259" s="60">
        <f>INDEX('个人技术总览'!$G$5:$G$46,MATCH($A259,'个人技术总览'!$A$5:$A$46,0))</f>
        <v/>
      </c>
      <c r="J259" s="59">
        <f>INDEX('个人技术总览'!$H$5:$H$46,MATCH($A259,'个人技术总览'!$A$5:$A$46,0))</f>
        <v/>
      </c>
      <c r="K259" s="60">
        <f>INDEX('个人技术总览'!$I$5:$I$46,MATCH($A259,'个人技术总览'!$A$5:$A$46,0))</f>
        <v/>
      </c>
      <c r="L259" s="67">
        <f>H259+V259+IF(E259=G259-1,MAX(0,P259-H259*G259-SUMIFS($V$5:$V$589,$A$5:$A$589,$A259)),0)</f>
        <v/>
      </c>
      <c r="M259" s="61">
        <f>MAX(1,ROUNDDOWN($L259/'参数与公式'!$B$5,0))</f>
        <v/>
      </c>
      <c r="N259" s="67">
        <f>J259+Y259+IF(E259=G259-1,MAX(0,R259-J259*G259-SUMIFS($Y$5:$Y$589,$A$5:$A$589,$A259)),0)</f>
        <v/>
      </c>
      <c r="O259" s="18" t="inlineStr">
        <is>
          <t>data/technology_templates.yaml; upgrade_*_budget / *_curve; code: technology_rules.allocate_upgrade_budget</t>
        </is>
      </c>
      <c r="P259" s="67">
        <f>INDEX('个人技术总览'!$O$5:$O$46,MATCH($A259,'个人技术总览'!$A$5:$A$46,0))</f>
        <v/>
      </c>
      <c r="Q259" s="64">
        <f>INDEX('个人技术总览'!$P$5:$P$46,MATCH($A259,'个人技术总览'!$A$5:$A$46,0))</f>
        <v/>
      </c>
      <c r="R259" s="67">
        <f>INDEX('个人技术总览'!$Q$5:$Q$46,MATCH($A259,'个人技术总览'!$A$5:$A$46,0))</f>
        <v/>
      </c>
      <c r="S259" s="64">
        <f>INDEX('个人技术总览'!$R$5:$R$46,MATCH($A259,'个人技术总览'!$A$5:$A$46,0))</f>
        <v/>
      </c>
      <c r="T259" s="68">
        <f>POWER($Q259,$E259)</f>
        <v/>
      </c>
      <c r="U259" s="68">
        <f>SUMIFS($T$5:$T$589,$A$5:$A$589,$A259)</f>
        <v/>
      </c>
      <c r="V259" s="67">
        <f>ROUNDDOWN(MAX(0,$P259-$H259*$G259)*$T259/MAX(1,$U259),0)</f>
        <v/>
      </c>
      <c r="W259" s="68">
        <f>POWER($S259,$E259)</f>
        <v/>
      </c>
      <c r="X259" s="68">
        <f>SUMIFS($W$5:$W$589,$A$5:$A$589,$A259)</f>
        <v/>
      </c>
      <c r="Y259" s="67">
        <f>ROUNDDOWN(MAX(0,$R259-$J259*$G259)*$W259/MAX(1,$X259),0)</f>
        <v/>
      </c>
    </row>
    <row r="260">
      <c r="A260" s="17" t="inlineStr">
        <is>
          <t>forging</t>
        </is>
      </c>
      <c r="B260" s="18" t="inlineStr">
        <is>
          <t>锻造技</t>
        </is>
      </c>
      <c r="C260" s="18" t="inlineStr">
        <is>
          <t>生产技术</t>
        </is>
      </c>
      <c r="D260" s="18" t="inlineStr">
        <is>
          <t>—</t>
        </is>
      </c>
      <c r="E260" s="65" t="n">
        <v>5</v>
      </c>
      <c r="F260" s="66">
        <f>E260+1</f>
        <v/>
      </c>
      <c r="G260" s="65">
        <f>INDEX('个人技术总览'!$E$5:$E$46,MATCH($A260,'个人技术总览'!$A$5:$A$46,0))</f>
        <v/>
      </c>
      <c r="H260" s="59">
        <f>INDEX('个人技术总览'!$F$5:$F$46,MATCH($A260,'个人技术总览'!$A$5:$A$46,0))</f>
        <v/>
      </c>
      <c r="I260" s="60">
        <f>INDEX('个人技术总览'!$G$5:$G$46,MATCH($A260,'个人技术总览'!$A$5:$A$46,0))</f>
        <v/>
      </c>
      <c r="J260" s="59">
        <f>INDEX('个人技术总览'!$H$5:$H$46,MATCH($A260,'个人技术总览'!$A$5:$A$46,0))</f>
        <v/>
      </c>
      <c r="K260" s="60">
        <f>INDEX('个人技术总览'!$I$5:$I$46,MATCH($A260,'个人技术总览'!$A$5:$A$46,0))</f>
        <v/>
      </c>
      <c r="L260" s="67">
        <f>H260+V260+IF(E260=G260-1,MAX(0,P260-H260*G260-SUMIFS($V$5:$V$589,$A$5:$A$589,$A260)),0)</f>
        <v/>
      </c>
      <c r="M260" s="61">
        <f>MAX(1,ROUNDDOWN($L260/'参数与公式'!$B$5,0))</f>
        <v/>
      </c>
      <c r="N260" s="67">
        <f>J260+Y260+IF(E260=G260-1,MAX(0,R260-J260*G260-SUMIFS($Y$5:$Y$589,$A$5:$A$589,$A260)),0)</f>
        <v/>
      </c>
      <c r="O260" s="18" t="inlineStr">
        <is>
          <t>data/technology_templates.yaml; upgrade_*_budget / *_curve; code: technology_rules.allocate_upgrade_budget</t>
        </is>
      </c>
      <c r="P260" s="67">
        <f>INDEX('个人技术总览'!$O$5:$O$46,MATCH($A260,'个人技术总览'!$A$5:$A$46,0))</f>
        <v/>
      </c>
      <c r="Q260" s="64">
        <f>INDEX('个人技术总览'!$P$5:$P$46,MATCH($A260,'个人技术总览'!$A$5:$A$46,0))</f>
        <v/>
      </c>
      <c r="R260" s="67">
        <f>INDEX('个人技术总览'!$Q$5:$Q$46,MATCH($A260,'个人技术总览'!$A$5:$A$46,0))</f>
        <v/>
      </c>
      <c r="S260" s="64">
        <f>INDEX('个人技术总览'!$R$5:$R$46,MATCH($A260,'个人技术总览'!$A$5:$A$46,0))</f>
        <v/>
      </c>
      <c r="T260" s="68">
        <f>POWER($Q260,$E260)</f>
        <v/>
      </c>
      <c r="U260" s="68">
        <f>SUMIFS($T$5:$T$589,$A$5:$A$589,$A260)</f>
        <v/>
      </c>
      <c r="V260" s="67">
        <f>ROUNDDOWN(MAX(0,$P260-$H260*$G260)*$T260/MAX(1,$U260),0)</f>
        <v/>
      </c>
      <c r="W260" s="68">
        <f>POWER($S260,$E260)</f>
        <v/>
      </c>
      <c r="X260" s="68">
        <f>SUMIFS($W$5:$W$589,$A$5:$A$589,$A260)</f>
        <v/>
      </c>
      <c r="Y260" s="67">
        <f>ROUNDDOWN(MAX(0,$R260-$J260*$G260)*$W260/MAX(1,$X260),0)</f>
        <v/>
      </c>
    </row>
    <row r="261">
      <c r="A261" s="17" t="inlineStr">
        <is>
          <t>forging</t>
        </is>
      </c>
      <c r="B261" s="18" t="inlineStr">
        <is>
          <t>锻造技</t>
        </is>
      </c>
      <c r="C261" s="18" t="inlineStr">
        <is>
          <t>生产技术</t>
        </is>
      </c>
      <c r="D261" s="18" t="inlineStr">
        <is>
          <t>—</t>
        </is>
      </c>
      <c r="E261" s="65" t="n">
        <v>6</v>
      </c>
      <c r="F261" s="66">
        <f>E261+1</f>
        <v/>
      </c>
      <c r="G261" s="65">
        <f>INDEX('个人技术总览'!$E$5:$E$46,MATCH($A261,'个人技术总览'!$A$5:$A$46,0))</f>
        <v/>
      </c>
      <c r="H261" s="59">
        <f>INDEX('个人技术总览'!$F$5:$F$46,MATCH($A261,'个人技术总览'!$A$5:$A$46,0))</f>
        <v/>
      </c>
      <c r="I261" s="60">
        <f>INDEX('个人技术总览'!$G$5:$G$46,MATCH($A261,'个人技术总览'!$A$5:$A$46,0))</f>
        <v/>
      </c>
      <c r="J261" s="59">
        <f>INDEX('个人技术总览'!$H$5:$H$46,MATCH($A261,'个人技术总览'!$A$5:$A$46,0))</f>
        <v/>
      </c>
      <c r="K261" s="60">
        <f>INDEX('个人技术总览'!$I$5:$I$46,MATCH($A261,'个人技术总览'!$A$5:$A$46,0))</f>
        <v/>
      </c>
      <c r="L261" s="67">
        <f>H261+V261+IF(E261=G261-1,MAX(0,P261-H261*G261-SUMIFS($V$5:$V$589,$A$5:$A$589,$A261)),0)</f>
        <v/>
      </c>
      <c r="M261" s="61">
        <f>MAX(1,ROUNDDOWN($L261/'参数与公式'!$B$5,0))</f>
        <v/>
      </c>
      <c r="N261" s="67">
        <f>J261+Y261+IF(E261=G261-1,MAX(0,R261-J261*G261-SUMIFS($Y$5:$Y$589,$A$5:$A$589,$A261)),0)</f>
        <v/>
      </c>
      <c r="O261" s="18" t="inlineStr">
        <is>
          <t>data/technology_templates.yaml; upgrade_*_budget / *_curve; code: technology_rules.allocate_upgrade_budget</t>
        </is>
      </c>
      <c r="P261" s="67">
        <f>INDEX('个人技术总览'!$O$5:$O$46,MATCH($A261,'个人技术总览'!$A$5:$A$46,0))</f>
        <v/>
      </c>
      <c r="Q261" s="64">
        <f>INDEX('个人技术总览'!$P$5:$P$46,MATCH($A261,'个人技术总览'!$A$5:$A$46,0))</f>
        <v/>
      </c>
      <c r="R261" s="67">
        <f>INDEX('个人技术总览'!$Q$5:$Q$46,MATCH($A261,'个人技术总览'!$A$5:$A$46,0))</f>
        <v/>
      </c>
      <c r="S261" s="64">
        <f>INDEX('个人技术总览'!$R$5:$R$46,MATCH($A261,'个人技术总览'!$A$5:$A$46,0))</f>
        <v/>
      </c>
      <c r="T261" s="68">
        <f>POWER($Q261,$E261)</f>
        <v/>
      </c>
      <c r="U261" s="68">
        <f>SUMIFS($T$5:$T$589,$A$5:$A$589,$A261)</f>
        <v/>
      </c>
      <c r="V261" s="67">
        <f>ROUNDDOWN(MAX(0,$P261-$H261*$G261)*$T261/MAX(1,$U261),0)</f>
        <v/>
      </c>
      <c r="W261" s="68">
        <f>POWER($S261,$E261)</f>
        <v/>
      </c>
      <c r="X261" s="68">
        <f>SUMIFS($W$5:$W$589,$A$5:$A$589,$A261)</f>
        <v/>
      </c>
      <c r="Y261" s="67">
        <f>ROUNDDOWN(MAX(0,$R261-$J261*$G261)*$W261/MAX(1,$X261),0)</f>
        <v/>
      </c>
    </row>
    <row r="262">
      <c r="A262" s="17" t="inlineStr">
        <is>
          <t>forging</t>
        </is>
      </c>
      <c r="B262" s="18" t="inlineStr">
        <is>
          <t>锻造技</t>
        </is>
      </c>
      <c r="C262" s="18" t="inlineStr">
        <is>
          <t>生产技术</t>
        </is>
      </c>
      <c r="D262" s="18" t="inlineStr">
        <is>
          <t>—</t>
        </is>
      </c>
      <c r="E262" s="65" t="n">
        <v>7</v>
      </c>
      <c r="F262" s="66">
        <f>E262+1</f>
        <v/>
      </c>
      <c r="G262" s="65">
        <f>INDEX('个人技术总览'!$E$5:$E$46,MATCH($A262,'个人技术总览'!$A$5:$A$46,0))</f>
        <v/>
      </c>
      <c r="H262" s="59">
        <f>INDEX('个人技术总览'!$F$5:$F$46,MATCH($A262,'个人技术总览'!$A$5:$A$46,0))</f>
        <v/>
      </c>
      <c r="I262" s="60">
        <f>INDEX('个人技术总览'!$G$5:$G$46,MATCH($A262,'个人技术总览'!$A$5:$A$46,0))</f>
        <v/>
      </c>
      <c r="J262" s="59">
        <f>INDEX('个人技术总览'!$H$5:$H$46,MATCH($A262,'个人技术总览'!$A$5:$A$46,0))</f>
        <v/>
      </c>
      <c r="K262" s="60">
        <f>INDEX('个人技术总览'!$I$5:$I$46,MATCH($A262,'个人技术总览'!$A$5:$A$46,0))</f>
        <v/>
      </c>
      <c r="L262" s="67">
        <f>H262+V262+IF(E262=G262-1,MAX(0,P262-H262*G262-SUMIFS($V$5:$V$589,$A$5:$A$589,$A262)),0)</f>
        <v/>
      </c>
      <c r="M262" s="61">
        <f>MAX(1,ROUNDDOWN($L262/'参数与公式'!$B$5,0))</f>
        <v/>
      </c>
      <c r="N262" s="67">
        <f>J262+Y262+IF(E262=G262-1,MAX(0,R262-J262*G262-SUMIFS($Y$5:$Y$589,$A$5:$A$589,$A262)),0)</f>
        <v/>
      </c>
      <c r="O262" s="18" t="inlineStr">
        <is>
          <t>data/technology_templates.yaml; upgrade_*_budget / *_curve; code: technology_rules.allocate_upgrade_budget</t>
        </is>
      </c>
      <c r="P262" s="67">
        <f>INDEX('个人技术总览'!$O$5:$O$46,MATCH($A262,'个人技术总览'!$A$5:$A$46,0))</f>
        <v/>
      </c>
      <c r="Q262" s="64">
        <f>INDEX('个人技术总览'!$P$5:$P$46,MATCH($A262,'个人技术总览'!$A$5:$A$46,0))</f>
        <v/>
      </c>
      <c r="R262" s="67">
        <f>INDEX('个人技术总览'!$Q$5:$Q$46,MATCH($A262,'个人技术总览'!$A$5:$A$46,0))</f>
        <v/>
      </c>
      <c r="S262" s="64">
        <f>INDEX('个人技术总览'!$R$5:$R$46,MATCH($A262,'个人技术总览'!$A$5:$A$46,0))</f>
        <v/>
      </c>
      <c r="T262" s="68">
        <f>POWER($Q262,$E262)</f>
        <v/>
      </c>
      <c r="U262" s="68">
        <f>SUMIFS($T$5:$T$589,$A$5:$A$589,$A262)</f>
        <v/>
      </c>
      <c r="V262" s="67">
        <f>ROUNDDOWN(MAX(0,$P262-$H262*$G262)*$T262/MAX(1,$U262),0)</f>
        <v/>
      </c>
      <c r="W262" s="68">
        <f>POWER($S262,$E262)</f>
        <v/>
      </c>
      <c r="X262" s="68">
        <f>SUMIFS($W$5:$W$589,$A$5:$A$589,$A262)</f>
        <v/>
      </c>
      <c r="Y262" s="67">
        <f>ROUNDDOWN(MAX(0,$R262-$J262*$G262)*$W262/MAX(1,$X262),0)</f>
        <v/>
      </c>
    </row>
    <row r="263">
      <c r="A263" s="17" t="inlineStr">
        <is>
          <t>forging</t>
        </is>
      </c>
      <c r="B263" s="18" t="inlineStr">
        <is>
          <t>锻造技</t>
        </is>
      </c>
      <c r="C263" s="18" t="inlineStr">
        <is>
          <t>生产技术</t>
        </is>
      </c>
      <c r="D263" s="18" t="inlineStr">
        <is>
          <t>—</t>
        </is>
      </c>
      <c r="E263" s="65" t="n">
        <v>8</v>
      </c>
      <c r="F263" s="66">
        <f>E263+1</f>
        <v/>
      </c>
      <c r="G263" s="65">
        <f>INDEX('个人技术总览'!$E$5:$E$46,MATCH($A263,'个人技术总览'!$A$5:$A$46,0))</f>
        <v/>
      </c>
      <c r="H263" s="59">
        <f>INDEX('个人技术总览'!$F$5:$F$46,MATCH($A263,'个人技术总览'!$A$5:$A$46,0))</f>
        <v/>
      </c>
      <c r="I263" s="60">
        <f>INDEX('个人技术总览'!$G$5:$G$46,MATCH($A263,'个人技术总览'!$A$5:$A$46,0))</f>
        <v/>
      </c>
      <c r="J263" s="59">
        <f>INDEX('个人技术总览'!$H$5:$H$46,MATCH($A263,'个人技术总览'!$A$5:$A$46,0))</f>
        <v/>
      </c>
      <c r="K263" s="60">
        <f>INDEX('个人技术总览'!$I$5:$I$46,MATCH($A263,'个人技术总览'!$A$5:$A$46,0))</f>
        <v/>
      </c>
      <c r="L263" s="67">
        <f>H263+V263+IF(E263=G263-1,MAX(0,P263-H263*G263-SUMIFS($V$5:$V$589,$A$5:$A$589,$A263)),0)</f>
        <v/>
      </c>
      <c r="M263" s="61">
        <f>MAX(1,ROUNDDOWN($L263/'参数与公式'!$B$5,0))</f>
        <v/>
      </c>
      <c r="N263" s="67">
        <f>J263+Y263+IF(E263=G263-1,MAX(0,R263-J263*G263-SUMIFS($Y$5:$Y$589,$A$5:$A$589,$A263)),0)</f>
        <v/>
      </c>
      <c r="O263" s="18" t="inlineStr">
        <is>
          <t>data/technology_templates.yaml; upgrade_*_budget / *_curve; code: technology_rules.allocate_upgrade_budget</t>
        </is>
      </c>
      <c r="P263" s="67">
        <f>INDEX('个人技术总览'!$O$5:$O$46,MATCH($A263,'个人技术总览'!$A$5:$A$46,0))</f>
        <v/>
      </c>
      <c r="Q263" s="64">
        <f>INDEX('个人技术总览'!$P$5:$P$46,MATCH($A263,'个人技术总览'!$A$5:$A$46,0))</f>
        <v/>
      </c>
      <c r="R263" s="67">
        <f>INDEX('个人技术总览'!$Q$5:$Q$46,MATCH($A263,'个人技术总览'!$A$5:$A$46,0))</f>
        <v/>
      </c>
      <c r="S263" s="64">
        <f>INDEX('个人技术总览'!$R$5:$R$46,MATCH($A263,'个人技术总览'!$A$5:$A$46,0))</f>
        <v/>
      </c>
      <c r="T263" s="68">
        <f>POWER($Q263,$E263)</f>
        <v/>
      </c>
      <c r="U263" s="68">
        <f>SUMIFS($T$5:$T$589,$A$5:$A$589,$A263)</f>
        <v/>
      </c>
      <c r="V263" s="67">
        <f>ROUNDDOWN(MAX(0,$P263-$H263*$G263)*$T263/MAX(1,$U263),0)</f>
        <v/>
      </c>
      <c r="W263" s="68">
        <f>POWER($S263,$E263)</f>
        <v/>
      </c>
      <c r="X263" s="68">
        <f>SUMIFS($W$5:$W$589,$A$5:$A$589,$A263)</f>
        <v/>
      </c>
      <c r="Y263" s="67">
        <f>ROUNDDOWN(MAX(0,$R263-$J263*$G263)*$W263/MAX(1,$X263),0)</f>
        <v/>
      </c>
    </row>
    <row r="264">
      <c r="A264" s="17" t="inlineStr">
        <is>
          <t>forging</t>
        </is>
      </c>
      <c r="B264" s="18" t="inlineStr">
        <is>
          <t>锻造技</t>
        </is>
      </c>
      <c r="C264" s="18" t="inlineStr">
        <is>
          <t>生产技术</t>
        </is>
      </c>
      <c r="D264" s="18" t="inlineStr">
        <is>
          <t>—</t>
        </is>
      </c>
      <c r="E264" s="65" t="n">
        <v>9</v>
      </c>
      <c r="F264" s="66">
        <f>E264+1</f>
        <v/>
      </c>
      <c r="G264" s="65">
        <f>INDEX('个人技术总览'!$E$5:$E$46,MATCH($A264,'个人技术总览'!$A$5:$A$46,0))</f>
        <v/>
      </c>
      <c r="H264" s="59">
        <f>INDEX('个人技术总览'!$F$5:$F$46,MATCH($A264,'个人技术总览'!$A$5:$A$46,0))</f>
        <v/>
      </c>
      <c r="I264" s="60">
        <f>INDEX('个人技术总览'!$G$5:$G$46,MATCH($A264,'个人技术总览'!$A$5:$A$46,0))</f>
        <v/>
      </c>
      <c r="J264" s="59">
        <f>INDEX('个人技术总览'!$H$5:$H$46,MATCH($A264,'个人技术总览'!$A$5:$A$46,0))</f>
        <v/>
      </c>
      <c r="K264" s="60">
        <f>INDEX('个人技术总览'!$I$5:$I$46,MATCH($A264,'个人技术总览'!$A$5:$A$46,0))</f>
        <v/>
      </c>
      <c r="L264" s="67">
        <f>H264+V264+IF(E264=G264-1,MAX(0,P264-H264*G264-SUMIFS($V$5:$V$589,$A$5:$A$589,$A264)),0)</f>
        <v/>
      </c>
      <c r="M264" s="61">
        <f>MAX(1,ROUNDDOWN($L264/'参数与公式'!$B$5,0))</f>
        <v/>
      </c>
      <c r="N264" s="67">
        <f>J264+Y264+IF(E264=G264-1,MAX(0,R264-J264*G264-SUMIFS($Y$5:$Y$589,$A$5:$A$589,$A264)),0)</f>
        <v/>
      </c>
      <c r="O264" s="18" t="inlineStr">
        <is>
          <t>data/technology_templates.yaml; upgrade_*_budget / *_curve; code: technology_rules.allocate_upgrade_budget</t>
        </is>
      </c>
      <c r="P264" s="67">
        <f>INDEX('个人技术总览'!$O$5:$O$46,MATCH($A264,'个人技术总览'!$A$5:$A$46,0))</f>
        <v/>
      </c>
      <c r="Q264" s="64">
        <f>INDEX('个人技术总览'!$P$5:$P$46,MATCH($A264,'个人技术总览'!$A$5:$A$46,0))</f>
        <v/>
      </c>
      <c r="R264" s="67">
        <f>INDEX('个人技术总览'!$Q$5:$Q$46,MATCH($A264,'个人技术总览'!$A$5:$A$46,0))</f>
        <v/>
      </c>
      <c r="S264" s="64">
        <f>INDEX('个人技术总览'!$R$5:$R$46,MATCH($A264,'个人技术总览'!$A$5:$A$46,0))</f>
        <v/>
      </c>
      <c r="T264" s="68">
        <f>POWER($Q264,$E264)</f>
        <v/>
      </c>
      <c r="U264" s="68">
        <f>SUMIFS($T$5:$T$589,$A$5:$A$589,$A264)</f>
        <v/>
      </c>
      <c r="V264" s="67">
        <f>ROUNDDOWN(MAX(0,$P264-$H264*$G264)*$T264/MAX(1,$U264),0)</f>
        <v/>
      </c>
      <c r="W264" s="68">
        <f>POWER($S264,$E264)</f>
        <v/>
      </c>
      <c r="X264" s="68">
        <f>SUMIFS($W$5:$W$589,$A$5:$A$589,$A264)</f>
        <v/>
      </c>
      <c r="Y264" s="67">
        <f>ROUNDDOWN(MAX(0,$R264-$J264*$G264)*$W264/MAX(1,$X264),0)</f>
        <v/>
      </c>
    </row>
    <row r="265">
      <c r="A265" s="17" t="inlineStr">
        <is>
          <t>dao_attack</t>
        </is>
      </c>
      <c r="B265" s="18" t="inlineStr">
        <is>
          <t>力劈华山</t>
        </is>
      </c>
      <c r="C265" s="18" t="inlineStr">
        <is>
          <t>武艺技术</t>
        </is>
      </c>
      <c r="D265" s="18" t="inlineStr">
        <is>
          <t>刀类</t>
        </is>
      </c>
      <c r="E265" s="65" t="n">
        <v>0</v>
      </c>
      <c r="F265" s="66">
        <f>E265+1</f>
        <v/>
      </c>
      <c r="G265" s="65">
        <f>INDEX('个人技术总览'!$E$5:$E$46,MATCH($A265,'个人技术总览'!$A$5:$A$46,0))</f>
        <v/>
      </c>
      <c r="H265" s="59">
        <f>INDEX('个人技术总览'!$F$5:$F$46,MATCH($A265,'个人技术总览'!$A$5:$A$46,0))</f>
        <v/>
      </c>
      <c r="I265" s="60">
        <f>INDEX('个人技术总览'!$G$5:$G$46,MATCH($A265,'个人技术总览'!$A$5:$A$46,0))</f>
        <v/>
      </c>
      <c r="J265" s="59">
        <f>INDEX('个人技术总览'!$H$5:$H$46,MATCH($A265,'个人技术总览'!$A$5:$A$46,0))</f>
        <v/>
      </c>
      <c r="K265" s="60">
        <f>INDEX('个人技术总览'!$I$5:$I$46,MATCH($A265,'个人技术总览'!$A$5:$A$46,0))</f>
        <v/>
      </c>
      <c r="L265" s="67">
        <f>H265+V265+IF(E265=G265-1,MAX(0,P265-H265*G265-SUMIFS($V$5:$V$589,$A$5:$A$589,$A265)),0)</f>
        <v/>
      </c>
      <c r="M265" s="61">
        <f>MAX(1,ROUNDDOWN($L265/'参数与公式'!$B$5,0))</f>
        <v/>
      </c>
      <c r="N265" s="67">
        <f>J265+Y265+IF(E265=G265-1,MAX(0,R265-J265*G265-SUMIFS($Y$5:$Y$589,$A$5:$A$589,$A265)),0)</f>
        <v/>
      </c>
      <c r="O265" s="18" t="inlineStr">
        <is>
          <t>data/technology_templates.yaml; upgrade_profiles.martial; code: technology_rules.allocate_upgrade_budget</t>
        </is>
      </c>
      <c r="P265" s="67">
        <f>INDEX('个人技术总览'!$O$5:$O$46,MATCH($A265,'个人技术总览'!$A$5:$A$46,0))</f>
        <v/>
      </c>
      <c r="Q265" s="64">
        <f>INDEX('个人技术总览'!$P$5:$P$46,MATCH($A265,'个人技术总览'!$A$5:$A$46,0))</f>
        <v/>
      </c>
      <c r="R265" s="67">
        <f>INDEX('个人技术总览'!$Q$5:$Q$46,MATCH($A265,'个人技术总览'!$A$5:$A$46,0))</f>
        <v/>
      </c>
      <c r="S265" s="64">
        <f>INDEX('个人技术总览'!$R$5:$R$46,MATCH($A265,'个人技术总览'!$A$5:$A$46,0))</f>
        <v/>
      </c>
      <c r="T265" s="68">
        <f>POWER($Q265,$E265)</f>
        <v/>
      </c>
      <c r="U265" s="68">
        <f>SUMIFS($T$5:$T$589,$A$5:$A$589,$A265)</f>
        <v/>
      </c>
      <c r="V265" s="67">
        <f>ROUNDDOWN(MAX(0,$P265-$H265*$G265)*$T265/MAX(1,$U265),0)</f>
        <v/>
      </c>
      <c r="W265" s="68">
        <f>POWER($S265,$E265)</f>
        <v/>
      </c>
      <c r="X265" s="68">
        <f>SUMIFS($W$5:$W$589,$A$5:$A$589,$A265)</f>
        <v/>
      </c>
      <c r="Y265" s="67">
        <f>ROUNDDOWN(MAX(0,$R265-$J265*$G265)*$W265/MAX(1,$X265),0)</f>
        <v/>
      </c>
    </row>
    <row r="266">
      <c r="A266" s="17" t="inlineStr">
        <is>
          <t>dao_attack</t>
        </is>
      </c>
      <c r="B266" s="18" t="inlineStr">
        <is>
          <t>力劈华山</t>
        </is>
      </c>
      <c r="C266" s="18" t="inlineStr">
        <is>
          <t>武艺技术</t>
        </is>
      </c>
      <c r="D266" s="18" t="inlineStr">
        <is>
          <t>刀类</t>
        </is>
      </c>
      <c r="E266" s="65" t="n">
        <v>1</v>
      </c>
      <c r="F266" s="66">
        <f>E266+1</f>
        <v/>
      </c>
      <c r="G266" s="65">
        <f>INDEX('个人技术总览'!$E$5:$E$46,MATCH($A266,'个人技术总览'!$A$5:$A$46,0))</f>
        <v/>
      </c>
      <c r="H266" s="59">
        <f>INDEX('个人技术总览'!$F$5:$F$46,MATCH($A266,'个人技术总览'!$A$5:$A$46,0))</f>
        <v/>
      </c>
      <c r="I266" s="60">
        <f>INDEX('个人技术总览'!$G$5:$G$46,MATCH($A266,'个人技术总览'!$A$5:$A$46,0))</f>
        <v/>
      </c>
      <c r="J266" s="59">
        <f>INDEX('个人技术总览'!$H$5:$H$46,MATCH($A266,'个人技术总览'!$A$5:$A$46,0))</f>
        <v/>
      </c>
      <c r="K266" s="60">
        <f>INDEX('个人技术总览'!$I$5:$I$46,MATCH($A266,'个人技术总览'!$A$5:$A$46,0))</f>
        <v/>
      </c>
      <c r="L266" s="67">
        <f>H266+V266+IF(E266=G266-1,MAX(0,P266-H266*G266-SUMIFS($V$5:$V$589,$A$5:$A$589,$A266)),0)</f>
        <v/>
      </c>
      <c r="M266" s="61">
        <f>MAX(1,ROUNDDOWN($L266/'参数与公式'!$B$5,0))</f>
        <v/>
      </c>
      <c r="N266" s="67">
        <f>J266+Y266+IF(E266=G266-1,MAX(0,R266-J266*G266-SUMIFS($Y$5:$Y$589,$A$5:$A$589,$A266)),0)</f>
        <v/>
      </c>
      <c r="O266" s="18" t="inlineStr">
        <is>
          <t>data/technology_templates.yaml; upgrade_profiles.martial; code: technology_rules.allocate_upgrade_budget</t>
        </is>
      </c>
      <c r="P266" s="67">
        <f>INDEX('个人技术总览'!$O$5:$O$46,MATCH($A266,'个人技术总览'!$A$5:$A$46,0))</f>
        <v/>
      </c>
      <c r="Q266" s="64">
        <f>INDEX('个人技术总览'!$P$5:$P$46,MATCH($A266,'个人技术总览'!$A$5:$A$46,0))</f>
        <v/>
      </c>
      <c r="R266" s="67">
        <f>INDEX('个人技术总览'!$Q$5:$Q$46,MATCH($A266,'个人技术总览'!$A$5:$A$46,0))</f>
        <v/>
      </c>
      <c r="S266" s="64">
        <f>INDEX('个人技术总览'!$R$5:$R$46,MATCH($A266,'个人技术总览'!$A$5:$A$46,0))</f>
        <v/>
      </c>
      <c r="T266" s="68">
        <f>POWER($Q266,$E266)</f>
        <v/>
      </c>
      <c r="U266" s="68">
        <f>SUMIFS($T$5:$T$589,$A$5:$A$589,$A266)</f>
        <v/>
      </c>
      <c r="V266" s="67">
        <f>ROUNDDOWN(MAX(0,$P266-$H266*$G266)*$T266/MAX(1,$U266),0)</f>
        <v/>
      </c>
      <c r="W266" s="68">
        <f>POWER($S266,$E266)</f>
        <v/>
      </c>
      <c r="X266" s="68">
        <f>SUMIFS($W$5:$W$589,$A$5:$A$589,$A266)</f>
        <v/>
      </c>
      <c r="Y266" s="67">
        <f>ROUNDDOWN(MAX(0,$R266-$J266*$G266)*$W266/MAX(1,$X266),0)</f>
        <v/>
      </c>
    </row>
    <row r="267">
      <c r="A267" s="17" t="inlineStr">
        <is>
          <t>dao_attack</t>
        </is>
      </c>
      <c r="B267" s="18" t="inlineStr">
        <is>
          <t>力劈华山</t>
        </is>
      </c>
      <c r="C267" s="18" t="inlineStr">
        <is>
          <t>武艺技术</t>
        </is>
      </c>
      <c r="D267" s="18" t="inlineStr">
        <is>
          <t>刀类</t>
        </is>
      </c>
      <c r="E267" s="65" t="n">
        <v>2</v>
      </c>
      <c r="F267" s="66">
        <f>E267+1</f>
        <v/>
      </c>
      <c r="G267" s="65">
        <f>INDEX('个人技术总览'!$E$5:$E$46,MATCH($A267,'个人技术总览'!$A$5:$A$46,0))</f>
        <v/>
      </c>
      <c r="H267" s="59">
        <f>INDEX('个人技术总览'!$F$5:$F$46,MATCH($A267,'个人技术总览'!$A$5:$A$46,0))</f>
        <v/>
      </c>
      <c r="I267" s="60">
        <f>INDEX('个人技术总览'!$G$5:$G$46,MATCH($A267,'个人技术总览'!$A$5:$A$46,0))</f>
        <v/>
      </c>
      <c r="J267" s="59">
        <f>INDEX('个人技术总览'!$H$5:$H$46,MATCH($A267,'个人技术总览'!$A$5:$A$46,0))</f>
        <v/>
      </c>
      <c r="K267" s="60">
        <f>INDEX('个人技术总览'!$I$5:$I$46,MATCH($A267,'个人技术总览'!$A$5:$A$46,0))</f>
        <v/>
      </c>
      <c r="L267" s="67">
        <f>H267+V267+IF(E267=G267-1,MAX(0,P267-H267*G267-SUMIFS($V$5:$V$589,$A$5:$A$589,$A267)),0)</f>
        <v/>
      </c>
      <c r="M267" s="61">
        <f>MAX(1,ROUNDDOWN($L267/'参数与公式'!$B$5,0))</f>
        <v/>
      </c>
      <c r="N267" s="67">
        <f>J267+Y267+IF(E267=G267-1,MAX(0,R267-J267*G267-SUMIFS($Y$5:$Y$589,$A$5:$A$589,$A267)),0)</f>
        <v/>
      </c>
      <c r="O267" s="18" t="inlineStr">
        <is>
          <t>data/technology_templates.yaml; upgrade_profiles.martial; code: technology_rules.allocate_upgrade_budget</t>
        </is>
      </c>
      <c r="P267" s="67">
        <f>INDEX('个人技术总览'!$O$5:$O$46,MATCH($A267,'个人技术总览'!$A$5:$A$46,0))</f>
        <v/>
      </c>
      <c r="Q267" s="64">
        <f>INDEX('个人技术总览'!$P$5:$P$46,MATCH($A267,'个人技术总览'!$A$5:$A$46,0))</f>
        <v/>
      </c>
      <c r="R267" s="67">
        <f>INDEX('个人技术总览'!$Q$5:$Q$46,MATCH($A267,'个人技术总览'!$A$5:$A$46,0))</f>
        <v/>
      </c>
      <c r="S267" s="64">
        <f>INDEX('个人技术总览'!$R$5:$R$46,MATCH($A267,'个人技术总览'!$A$5:$A$46,0))</f>
        <v/>
      </c>
      <c r="T267" s="68">
        <f>POWER($Q267,$E267)</f>
        <v/>
      </c>
      <c r="U267" s="68">
        <f>SUMIFS($T$5:$T$589,$A$5:$A$589,$A267)</f>
        <v/>
      </c>
      <c r="V267" s="67">
        <f>ROUNDDOWN(MAX(0,$P267-$H267*$G267)*$T267/MAX(1,$U267),0)</f>
        <v/>
      </c>
      <c r="W267" s="68">
        <f>POWER($S267,$E267)</f>
        <v/>
      </c>
      <c r="X267" s="68">
        <f>SUMIFS($W$5:$W$589,$A$5:$A$589,$A267)</f>
        <v/>
      </c>
      <c r="Y267" s="67">
        <f>ROUNDDOWN(MAX(0,$R267-$J267*$G267)*$W267/MAX(1,$X267),0)</f>
        <v/>
      </c>
    </row>
    <row r="268">
      <c r="A268" s="17" t="inlineStr">
        <is>
          <t>dao_attack</t>
        </is>
      </c>
      <c r="B268" s="18" t="inlineStr">
        <is>
          <t>力劈华山</t>
        </is>
      </c>
      <c r="C268" s="18" t="inlineStr">
        <is>
          <t>武艺技术</t>
        </is>
      </c>
      <c r="D268" s="18" t="inlineStr">
        <is>
          <t>刀类</t>
        </is>
      </c>
      <c r="E268" s="65" t="n">
        <v>3</v>
      </c>
      <c r="F268" s="66">
        <f>E268+1</f>
        <v/>
      </c>
      <c r="G268" s="65">
        <f>INDEX('个人技术总览'!$E$5:$E$46,MATCH($A268,'个人技术总览'!$A$5:$A$46,0))</f>
        <v/>
      </c>
      <c r="H268" s="59">
        <f>INDEX('个人技术总览'!$F$5:$F$46,MATCH($A268,'个人技术总览'!$A$5:$A$46,0))</f>
        <v/>
      </c>
      <c r="I268" s="60">
        <f>INDEX('个人技术总览'!$G$5:$G$46,MATCH($A268,'个人技术总览'!$A$5:$A$46,0))</f>
        <v/>
      </c>
      <c r="J268" s="59">
        <f>INDEX('个人技术总览'!$H$5:$H$46,MATCH($A268,'个人技术总览'!$A$5:$A$46,0))</f>
        <v/>
      </c>
      <c r="K268" s="60">
        <f>INDEX('个人技术总览'!$I$5:$I$46,MATCH($A268,'个人技术总览'!$A$5:$A$46,0))</f>
        <v/>
      </c>
      <c r="L268" s="67">
        <f>H268+V268+IF(E268=G268-1,MAX(0,P268-H268*G268-SUMIFS($V$5:$V$589,$A$5:$A$589,$A268)),0)</f>
        <v/>
      </c>
      <c r="M268" s="61">
        <f>MAX(1,ROUNDDOWN($L268/'参数与公式'!$B$5,0))</f>
        <v/>
      </c>
      <c r="N268" s="67">
        <f>J268+Y268+IF(E268=G268-1,MAX(0,R268-J268*G268-SUMIFS($Y$5:$Y$589,$A$5:$A$589,$A268)),0)</f>
        <v/>
      </c>
      <c r="O268" s="18" t="inlineStr">
        <is>
          <t>data/technology_templates.yaml; upgrade_profiles.martial; code: technology_rules.allocate_upgrade_budget</t>
        </is>
      </c>
      <c r="P268" s="67">
        <f>INDEX('个人技术总览'!$O$5:$O$46,MATCH($A268,'个人技术总览'!$A$5:$A$46,0))</f>
        <v/>
      </c>
      <c r="Q268" s="64">
        <f>INDEX('个人技术总览'!$P$5:$P$46,MATCH($A268,'个人技术总览'!$A$5:$A$46,0))</f>
        <v/>
      </c>
      <c r="R268" s="67">
        <f>INDEX('个人技术总览'!$Q$5:$Q$46,MATCH($A268,'个人技术总览'!$A$5:$A$46,0))</f>
        <v/>
      </c>
      <c r="S268" s="64">
        <f>INDEX('个人技术总览'!$R$5:$R$46,MATCH($A268,'个人技术总览'!$A$5:$A$46,0))</f>
        <v/>
      </c>
      <c r="T268" s="68">
        <f>POWER($Q268,$E268)</f>
        <v/>
      </c>
      <c r="U268" s="68">
        <f>SUMIFS($T$5:$T$589,$A$5:$A$589,$A268)</f>
        <v/>
      </c>
      <c r="V268" s="67">
        <f>ROUNDDOWN(MAX(0,$P268-$H268*$G268)*$T268/MAX(1,$U268),0)</f>
        <v/>
      </c>
      <c r="W268" s="68">
        <f>POWER($S268,$E268)</f>
        <v/>
      </c>
      <c r="X268" s="68">
        <f>SUMIFS($W$5:$W$589,$A$5:$A$589,$A268)</f>
        <v/>
      </c>
      <c r="Y268" s="67">
        <f>ROUNDDOWN(MAX(0,$R268-$J268*$G268)*$W268/MAX(1,$X268),0)</f>
        <v/>
      </c>
    </row>
    <row r="269">
      <c r="A269" s="17" t="inlineStr">
        <is>
          <t>dao_attack</t>
        </is>
      </c>
      <c r="B269" s="18" t="inlineStr">
        <is>
          <t>力劈华山</t>
        </is>
      </c>
      <c r="C269" s="18" t="inlineStr">
        <is>
          <t>武艺技术</t>
        </is>
      </c>
      <c r="D269" s="18" t="inlineStr">
        <is>
          <t>刀类</t>
        </is>
      </c>
      <c r="E269" s="65" t="n">
        <v>4</v>
      </c>
      <c r="F269" s="66">
        <f>E269+1</f>
        <v/>
      </c>
      <c r="G269" s="65">
        <f>INDEX('个人技术总览'!$E$5:$E$46,MATCH($A269,'个人技术总览'!$A$5:$A$46,0))</f>
        <v/>
      </c>
      <c r="H269" s="59">
        <f>INDEX('个人技术总览'!$F$5:$F$46,MATCH($A269,'个人技术总览'!$A$5:$A$46,0))</f>
        <v/>
      </c>
      <c r="I269" s="60">
        <f>INDEX('个人技术总览'!$G$5:$G$46,MATCH($A269,'个人技术总览'!$A$5:$A$46,0))</f>
        <v/>
      </c>
      <c r="J269" s="59">
        <f>INDEX('个人技术总览'!$H$5:$H$46,MATCH($A269,'个人技术总览'!$A$5:$A$46,0))</f>
        <v/>
      </c>
      <c r="K269" s="60">
        <f>INDEX('个人技术总览'!$I$5:$I$46,MATCH($A269,'个人技术总览'!$A$5:$A$46,0))</f>
        <v/>
      </c>
      <c r="L269" s="67">
        <f>H269+V269+IF(E269=G269-1,MAX(0,P269-H269*G269-SUMIFS($V$5:$V$589,$A$5:$A$589,$A269)),0)</f>
        <v/>
      </c>
      <c r="M269" s="61">
        <f>MAX(1,ROUNDDOWN($L269/'参数与公式'!$B$5,0))</f>
        <v/>
      </c>
      <c r="N269" s="67">
        <f>J269+Y269+IF(E269=G269-1,MAX(0,R269-J269*G269-SUMIFS($Y$5:$Y$589,$A$5:$A$589,$A269)),0)</f>
        <v/>
      </c>
      <c r="O269" s="18" t="inlineStr">
        <is>
          <t>data/technology_templates.yaml; upgrade_profiles.martial; code: technology_rules.allocate_upgrade_budget</t>
        </is>
      </c>
      <c r="P269" s="67">
        <f>INDEX('个人技术总览'!$O$5:$O$46,MATCH($A269,'个人技术总览'!$A$5:$A$46,0))</f>
        <v/>
      </c>
      <c r="Q269" s="64">
        <f>INDEX('个人技术总览'!$P$5:$P$46,MATCH($A269,'个人技术总览'!$A$5:$A$46,0))</f>
        <v/>
      </c>
      <c r="R269" s="67">
        <f>INDEX('个人技术总览'!$Q$5:$Q$46,MATCH($A269,'个人技术总览'!$A$5:$A$46,0))</f>
        <v/>
      </c>
      <c r="S269" s="64">
        <f>INDEX('个人技术总览'!$R$5:$R$46,MATCH($A269,'个人技术总览'!$A$5:$A$46,0))</f>
        <v/>
      </c>
      <c r="T269" s="68">
        <f>POWER($Q269,$E269)</f>
        <v/>
      </c>
      <c r="U269" s="68">
        <f>SUMIFS($T$5:$T$589,$A$5:$A$589,$A269)</f>
        <v/>
      </c>
      <c r="V269" s="67">
        <f>ROUNDDOWN(MAX(0,$P269-$H269*$G269)*$T269/MAX(1,$U269),0)</f>
        <v/>
      </c>
      <c r="W269" s="68">
        <f>POWER($S269,$E269)</f>
        <v/>
      </c>
      <c r="X269" s="68">
        <f>SUMIFS($W$5:$W$589,$A$5:$A$589,$A269)</f>
        <v/>
      </c>
      <c r="Y269" s="67">
        <f>ROUNDDOWN(MAX(0,$R269-$J269*$G269)*$W269/MAX(1,$X269),0)</f>
        <v/>
      </c>
    </row>
    <row r="270">
      <c r="A270" s="17" t="inlineStr">
        <is>
          <t>dao_attack</t>
        </is>
      </c>
      <c r="B270" s="18" t="inlineStr">
        <is>
          <t>力劈华山</t>
        </is>
      </c>
      <c r="C270" s="18" t="inlineStr">
        <is>
          <t>武艺技术</t>
        </is>
      </c>
      <c r="D270" s="18" t="inlineStr">
        <is>
          <t>刀类</t>
        </is>
      </c>
      <c r="E270" s="65" t="n">
        <v>5</v>
      </c>
      <c r="F270" s="66">
        <f>E270+1</f>
        <v/>
      </c>
      <c r="G270" s="65">
        <f>INDEX('个人技术总览'!$E$5:$E$46,MATCH($A270,'个人技术总览'!$A$5:$A$46,0))</f>
        <v/>
      </c>
      <c r="H270" s="59">
        <f>INDEX('个人技术总览'!$F$5:$F$46,MATCH($A270,'个人技术总览'!$A$5:$A$46,0))</f>
        <v/>
      </c>
      <c r="I270" s="60">
        <f>INDEX('个人技术总览'!$G$5:$G$46,MATCH($A270,'个人技术总览'!$A$5:$A$46,0))</f>
        <v/>
      </c>
      <c r="J270" s="59">
        <f>INDEX('个人技术总览'!$H$5:$H$46,MATCH($A270,'个人技术总览'!$A$5:$A$46,0))</f>
        <v/>
      </c>
      <c r="K270" s="60">
        <f>INDEX('个人技术总览'!$I$5:$I$46,MATCH($A270,'个人技术总览'!$A$5:$A$46,0))</f>
        <v/>
      </c>
      <c r="L270" s="67">
        <f>H270+V270+IF(E270=G270-1,MAX(0,P270-H270*G270-SUMIFS($V$5:$V$589,$A$5:$A$589,$A270)),0)</f>
        <v/>
      </c>
      <c r="M270" s="61">
        <f>MAX(1,ROUNDDOWN($L270/'参数与公式'!$B$5,0))</f>
        <v/>
      </c>
      <c r="N270" s="67">
        <f>J270+Y270+IF(E270=G270-1,MAX(0,R270-J270*G270-SUMIFS($Y$5:$Y$589,$A$5:$A$589,$A270)),0)</f>
        <v/>
      </c>
      <c r="O270" s="18" t="inlineStr">
        <is>
          <t>data/technology_templates.yaml; upgrade_profiles.martial; code: technology_rules.allocate_upgrade_budget</t>
        </is>
      </c>
      <c r="P270" s="67">
        <f>INDEX('个人技术总览'!$O$5:$O$46,MATCH($A270,'个人技术总览'!$A$5:$A$46,0))</f>
        <v/>
      </c>
      <c r="Q270" s="64">
        <f>INDEX('个人技术总览'!$P$5:$P$46,MATCH($A270,'个人技术总览'!$A$5:$A$46,0))</f>
        <v/>
      </c>
      <c r="R270" s="67">
        <f>INDEX('个人技术总览'!$Q$5:$Q$46,MATCH($A270,'个人技术总览'!$A$5:$A$46,0))</f>
        <v/>
      </c>
      <c r="S270" s="64">
        <f>INDEX('个人技术总览'!$R$5:$R$46,MATCH($A270,'个人技术总览'!$A$5:$A$46,0))</f>
        <v/>
      </c>
      <c r="T270" s="68">
        <f>POWER($Q270,$E270)</f>
        <v/>
      </c>
      <c r="U270" s="68">
        <f>SUMIFS($T$5:$T$589,$A$5:$A$589,$A270)</f>
        <v/>
      </c>
      <c r="V270" s="67">
        <f>ROUNDDOWN(MAX(0,$P270-$H270*$G270)*$T270/MAX(1,$U270),0)</f>
        <v/>
      </c>
      <c r="W270" s="68">
        <f>POWER($S270,$E270)</f>
        <v/>
      </c>
      <c r="X270" s="68">
        <f>SUMIFS($W$5:$W$589,$A$5:$A$589,$A270)</f>
        <v/>
      </c>
      <c r="Y270" s="67">
        <f>ROUNDDOWN(MAX(0,$R270-$J270*$G270)*$W270/MAX(1,$X270),0)</f>
        <v/>
      </c>
    </row>
    <row r="271">
      <c r="A271" s="17" t="inlineStr">
        <is>
          <t>dao_attack</t>
        </is>
      </c>
      <c r="B271" s="18" t="inlineStr">
        <is>
          <t>力劈华山</t>
        </is>
      </c>
      <c r="C271" s="18" t="inlineStr">
        <is>
          <t>武艺技术</t>
        </is>
      </c>
      <c r="D271" s="18" t="inlineStr">
        <is>
          <t>刀类</t>
        </is>
      </c>
      <c r="E271" s="65" t="n">
        <v>6</v>
      </c>
      <c r="F271" s="66">
        <f>E271+1</f>
        <v/>
      </c>
      <c r="G271" s="65">
        <f>INDEX('个人技术总览'!$E$5:$E$46,MATCH($A271,'个人技术总览'!$A$5:$A$46,0))</f>
        <v/>
      </c>
      <c r="H271" s="59">
        <f>INDEX('个人技术总览'!$F$5:$F$46,MATCH($A271,'个人技术总览'!$A$5:$A$46,0))</f>
        <v/>
      </c>
      <c r="I271" s="60">
        <f>INDEX('个人技术总览'!$G$5:$G$46,MATCH($A271,'个人技术总览'!$A$5:$A$46,0))</f>
        <v/>
      </c>
      <c r="J271" s="59">
        <f>INDEX('个人技术总览'!$H$5:$H$46,MATCH($A271,'个人技术总览'!$A$5:$A$46,0))</f>
        <v/>
      </c>
      <c r="K271" s="60">
        <f>INDEX('个人技术总览'!$I$5:$I$46,MATCH($A271,'个人技术总览'!$A$5:$A$46,0))</f>
        <v/>
      </c>
      <c r="L271" s="67">
        <f>H271+V271+IF(E271=G271-1,MAX(0,P271-H271*G271-SUMIFS($V$5:$V$589,$A$5:$A$589,$A271)),0)</f>
        <v/>
      </c>
      <c r="M271" s="61">
        <f>MAX(1,ROUNDDOWN($L271/'参数与公式'!$B$5,0))</f>
        <v/>
      </c>
      <c r="N271" s="67">
        <f>J271+Y271+IF(E271=G271-1,MAX(0,R271-J271*G271-SUMIFS($Y$5:$Y$589,$A$5:$A$589,$A271)),0)</f>
        <v/>
      </c>
      <c r="O271" s="18" t="inlineStr">
        <is>
          <t>data/technology_templates.yaml; upgrade_profiles.martial; code: technology_rules.allocate_upgrade_budget</t>
        </is>
      </c>
      <c r="P271" s="67">
        <f>INDEX('个人技术总览'!$O$5:$O$46,MATCH($A271,'个人技术总览'!$A$5:$A$46,0))</f>
        <v/>
      </c>
      <c r="Q271" s="64">
        <f>INDEX('个人技术总览'!$P$5:$P$46,MATCH($A271,'个人技术总览'!$A$5:$A$46,0))</f>
        <v/>
      </c>
      <c r="R271" s="67">
        <f>INDEX('个人技术总览'!$Q$5:$Q$46,MATCH($A271,'个人技术总览'!$A$5:$A$46,0))</f>
        <v/>
      </c>
      <c r="S271" s="64">
        <f>INDEX('个人技术总览'!$R$5:$R$46,MATCH($A271,'个人技术总览'!$A$5:$A$46,0))</f>
        <v/>
      </c>
      <c r="T271" s="68">
        <f>POWER($Q271,$E271)</f>
        <v/>
      </c>
      <c r="U271" s="68">
        <f>SUMIFS($T$5:$T$589,$A$5:$A$589,$A271)</f>
        <v/>
      </c>
      <c r="V271" s="67">
        <f>ROUNDDOWN(MAX(0,$P271-$H271*$G271)*$T271/MAX(1,$U271),0)</f>
        <v/>
      </c>
      <c r="W271" s="68">
        <f>POWER($S271,$E271)</f>
        <v/>
      </c>
      <c r="X271" s="68">
        <f>SUMIFS($W$5:$W$589,$A$5:$A$589,$A271)</f>
        <v/>
      </c>
      <c r="Y271" s="67">
        <f>ROUNDDOWN(MAX(0,$R271-$J271*$G271)*$W271/MAX(1,$X271),0)</f>
        <v/>
      </c>
    </row>
    <row r="272">
      <c r="A272" s="17" t="inlineStr">
        <is>
          <t>dao_attack</t>
        </is>
      </c>
      <c r="B272" s="18" t="inlineStr">
        <is>
          <t>力劈华山</t>
        </is>
      </c>
      <c r="C272" s="18" t="inlineStr">
        <is>
          <t>武艺技术</t>
        </is>
      </c>
      <c r="D272" s="18" t="inlineStr">
        <is>
          <t>刀类</t>
        </is>
      </c>
      <c r="E272" s="65" t="n">
        <v>7</v>
      </c>
      <c r="F272" s="66">
        <f>E272+1</f>
        <v/>
      </c>
      <c r="G272" s="65">
        <f>INDEX('个人技术总览'!$E$5:$E$46,MATCH($A272,'个人技术总览'!$A$5:$A$46,0))</f>
        <v/>
      </c>
      <c r="H272" s="59">
        <f>INDEX('个人技术总览'!$F$5:$F$46,MATCH($A272,'个人技术总览'!$A$5:$A$46,0))</f>
        <v/>
      </c>
      <c r="I272" s="60">
        <f>INDEX('个人技术总览'!$G$5:$G$46,MATCH($A272,'个人技术总览'!$A$5:$A$46,0))</f>
        <v/>
      </c>
      <c r="J272" s="59">
        <f>INDEX('个人技术总览'!$H$5:$H$46,MATCH($A272,'个人技术总览'!$A$5:$A$46,0))</f>
        <v/>
      </c>
      <c r="K272" s="60">
        <f>INDEX('个人技术总览'!$I$5:$I$46,MATCH($A272,'个人技术总览'!$A$5:$A$46,0))</f>
        <v/>
      </c>
      <c r="L272" s="67">
        <f>H272+V272+IF(E272=G272-1,MAX(0,P272-H272*G272-SUMIFS($V$5:$V$589,$A$5:$A$589,$A272)),0)</f>
        <v/>
      </c>
      <c r="M272" s="61">
        <f>MAX(1,ROUNDDOWN($L272/'参数与公式'!$B$5,0))</f>
        <v/>
      </c>
      <c r="N272" s="67">
        <f>J272+Y272+IF(E272=G272-1,MAX(0,R272-J272*G272-SUMIFS($Y$5:$Y$589,$A$5:$A$589,$A272)),0)</f>
        <v/>
      </c>
      <c r="O272" s="18" t="inlineStr">
        <is>
          <t>data/technology_templates.yaml; upgrade_profiles.martial; code: technology_rules.allocate_upgrade_budget</t>
        </is>
      </c>
      <c r="P272" s="67">
        <f>INDEX('个人技术总览'!$O$5:$O$46,MATCH($A272,'个人技术总览'!$A$5:$A$46,0))</f>
        <v/>
      </c>
      <c r="Q272" s="64">
        <f>INDEX('个人技术总览'!$P$5:$P$46,MATCH($A272,'个人技术总览'!$A$5:$A$46,0))</f>
        <v/>
      </c>
      <c r="R272" s="67">
        <f>INDEX('个人技术总览'!$Q$5:$Q$46,MATCH($A272,'个人技术总览'!$A$5:$A$46,0))</f>
        <v/>
      </c>
      <c r="S272" s="64">
        <f>INDEX('个人技术总览'!$R$5:$R$46,MATCH($A272,'个人技术总览'!$A$5:$A$46,0))</f>
        <v/>
      </c>
      <c r="T272" s="68">
        <f>POWER($Q272,$E272)</f>
        <v/>
      </c>
      <c r="U272" s="68">
        <f>SUMIFS($T$5:$T$589,$A$5:$A$589,$A272)</f>
        <v/>
      </c>
      <c r="V272" s="67">
        <f>ROUNDDOWN(MAX(0,$P272-$H272*$G272)*$T272/MAX(1,$U272),0)</f>
        <v/>
      </c>
      <c r="W272" s="68">
        <f>POWER($S272,$E272)</f>
        <v/>
      </c>
      <c r="X272" s="68">
        <f>SUMIFS($W$5:$W$589,$A$5:$A$589,$A272)</f>
        <v/>
      </c>
      <c r="Y272" s="67">
        <f>ROUNDDOWN(MAX(0,$R272-$J272*$G272)*$W272/MAX(1,$X272),0)</f>
        <v/>
      </c>
    </row>
    <row r="273">
      <c r="A273" s="17" t="inlineStr">
        <is>
          <t>dao_attack</t>
        </is>
      </c>
      <c r="B273" s="18" t="inlineStr">
        <is>
          <t>力劈华山</t>
        </is>
      </c>
      <c r="C273" s="18" t="inlineStr">
        <is>
          <t>武艺技术</t>
        </is>
      </c>
      <c r="D273" s="18" t="inlineStr">
        <is>
          <t>刀类</t>
        </is>
      </c>
      <c r="E273" s="65" t="n">
        <v>8</v>
      </c>
      <c r="F273" s="66">
        <f>E273+1</f>
        <v/>
      </c>
      <c r="G273" s="65">
        <f>INDEX('个人技术总览'!$E$5:$E$46,MATCH($A273,'个人技术总览'!$A$5:$A$46,0))</f>
        <v/>
      </c>
      <c r="H273" s="59">
        <f>INDEX('个人技术总览'!$F$5:$F$46,MATCH($A273,'个人技术总览'!$A$5:$A$46,0))</f>
        <v/>
      </c>
      <c r="I273" s="60">
        <f>INDEX('个人技术总览'!$G$5:$G$46,MATCH($A273,'个人技术总览'!$A$5:$A$46,0))</f>
        <v/>
      </c>
      <c r="J273" s="59">
        <f>INDEX('个人技术总览'!$H$5:$H$46,MATCH($A273,'个人技术总览'!$A$5:$A$46,0))</f>
        <v/>
      </c>
      <c r="K273" s="60">
        <f>INDEX('个人技术总览'!$I$5:$I$46,MATCH($A273,'个人技术总览'!$A$5:$A$46,0))</f>
        <v/>
      </c>
      <c r="L273" s="67">
        <f>H273+V273+IF(E273=G273-1,MAX(0,P273-H273*G273-SUMIFS($V$5:$V$589,$A$5:$A$589,$A273)),0)</f>
        <v/>
      </c>
      <c r="M273" s="61">
        <f>MAX(1,ROUNDDOWN($L273/'参数与公式'!$B$5,0))</f>
        <v/>
      </c>
      <c r="N273" s="67">
        <f>J273+Y273+IF(E273=G273-1,MAX(0,R273-J273*G273-SUMIFS($Y$5:$Y$589,$A$5:$A$589,$A273)),0)</f>
        <v/>
      </c>
      <c r="O273" s="18" t="inlineStr">
        <is>
          <t>data/technology_templates.yaml; upgrade_profiles.martial; code: technology_rules.allocate_upgrade_budget</t>
        </is>
      </c>
      <c r="P273" s="67">
        <f>INDEX('个人技术总览'!$O$5:$O$46,MATCH($A273,'个人技术总览'!$A$5:$A$46,0))</f>
        <v/>
      </c>
      <c r="Q273" s="64">
        <f>INDEX('个人技术总览'!$P$5:$P$46,MATCH($A273,'个人技术总览'!$A$5:$A$46,0))</f>
        <v/>
      </c>
      <c r="R273" s="67">
        <f>INDEX('个人技术总览'!$Q$5:$Q$46,MATCH($A273,'个人技术总览'!$A$5:$A$46,0))</f>
        <v/>
      </c>
      <c r="S273" s="64">
        <f>INDEX('个人技术总览'!$R$5:$R$46,MATCH($A273,'个人技术总览'!$A$5:$A$46,0))</f>
        <v/>
      </c>
      <c r="T273" s="68">
        <f>POWER($Q273,$E273)</f>
        <v/>
      </c>
      <c r="U273" s="68">
        <f>SUMIFS($T$5:$T$589,$A$5:$A$589,$A273)</f>
        <v/>
      </c>
      <c r="V273" s="67">
        <f>ROUNDDOWN(MAX(0,$P273-$H273*$G273)*$T273/MAX(1,$U273),0)</f>
        <v/>
      </c>
      <c r="W273" s="68">
        <f>POWER($S273,$E273)</f>
        <v/>
      </c>
      <c r="X273" s="68">
        <f>SUMIFS($W$5:$W$589,$A$5:$A$589,$A273)</f>
        <v/>
      </c>
      <c r="Y273" s="67">
        <f>ROUNDDOWN(MAX(0,$R273-$J273*$G273)*$W273/MAX(1,$X273),0)</f>
        <v/>
      </c>
    </row>
    <row r="274">
      <c r="A274" s="17" t="inlineStr">
        <is>
          <t>dao_attack</t>
        </is>
      </c>
      <c r="B274" s="18" t="inlineStr">
        <is>
          <t>力劈华山</t>
        </is>
      </c>
      <c r="C274" s="18" t="inlineStr">
        <is>
          <t>武艺技术</t>
        </is>
      </c>
      <c r="D274" s="18" t="inlineStr">
        <is>
          <t>刀类</t>
        </is>
      </c>
      <c r="E274" s="65" t="n">
        <v>9</v>
      </c>
      <c r="F274" s="66">
        <f>E274+1</f>
        <v/>
      </c>
      <c r="G274" s="65">
        <f>INDEX('个人技术总览'!$E$5:$E$46,MATCH($A274,'个人技术总览'!$A$5:$A$46,0))</f>
        <v/>
      </c>
      <c r="H274" s="59">
        <f>INDEX('个人技术总览'!$F$5:$F$46,MATCH($A274,'个人技术总览'!$A$5:$A$46,0))</f>
        <v/>
      </c>
      <c r="I274" s="60">
        <f>INDEX('个人技术总览'!$G$5:$G$46,MATCH($A274,'个人技术总览'!$A$5:$A$46,0))</f>
        <v/>
      </c>
      <c r="J274" s="59">
        <f>INDEX('个人技术总览'!$H$5:$H$46,MATCH($A274,'个人技术总览'!$A$5:$A$46,0))</f>
        <v/>
      </c>
      <c r="K274" s="60">
        <f>INDEX('个人技术总览'!$I$5:$I$46,MATCH($A274,'个人技术总览'!$A$5:$A$46,0))</f>
        <v/>
      </c>
      <c r="L274" s="67">
        <f>H274+V274+IF(E274=G274-1,MAX(0,P274-H274*G274-SUMIFS($V$5:$V$589,$A$5:$A$589,$A274)),0)</f>
        <v/>
      </c>
      <c r="M274" s="61">
        <f>MAX(1,ROUNDDOWN($L274/'参数与公式'!$B$5,0))</f>
        <v/>
      </c>
      <c r="N274" s="67">
        <f>J274+Y274+IF(E274=G274-1,MAX(0,R274-J274*G274-SUMIFS($Y$5:$Y$589,$A$5:$A$589,$A274)),0)</f>
        <v/>
      </c>
      <c r="O274" s="18" t="inlineStr">
        <is>
          <t>data/technology_templates.yaml; upgrade_profiles.martial; code: technology_rules.allocate_upgrade_budget</t>
        </is>
      </c>
      <c r="P274" s="67">
        <f>INDEX('个人技术总览'!$O$5:$O$46,MATCH($A274,'个人技术总览'!$A$5:$A$46,0))</f>
        <v/>
      </c>
      <c r="Q274" s="64">
        <f>INDEX('个人技术总览'!$P$5:$P$46,MATCH($A274,'个人技术总览'!$A$5:$A$46,0))</f>
        <v/>
      </c>
      <c r="R274" s="67">
        <f>INDEX('个人技术总览'!$Q$5:$Q$46,MATCH($A274,'个人技术总览'!$A$5:$A$46,0))</f>
        <v/>
      </c>
      <c r="S274" s="64">
        <f>INDEX('个人技术总览'!$R$5:$R$46,MATCH($A274,'个人技术总览'!$A$5:$A$46,0))</f>
        <v/>
      </c>
      <c r="T274" s="68">
        <f>POWER($Q274,$E274)</f>
        <v/>
      </c>
      <c r="U274" s="68">
        <f>SUMIFS($T$5:$T$589,$A$5:$A$589,$A274)</f>
        <v/>
      </c>
      <c r="V274" s="67">
        <f>ROUNDDOWN(MAX(0,$P274-$H274*$G274)*$T274/MAX(1,$U274),0)</f>
        <v/>
      </c>
      <c r="W274" s="68">
        <f>POWER($S274,$E274)</f>
        <v/>
      </c>
      <c r="X274" s="68">
        <f>SUMIFS($W$5:$W$589,$A$5:$A$589,$A274)</f>
        <v/>
      </c>
      <c r="Y274" s="67">
        <f>ROUNDDOWN(MAX(0,$R274-$J274*$G274)*$W274/MAX(1,$X274),0)</f>
        <v/>
      </c>
    </row>
    <row r="275">
      <c r="A275" s="17" t="inlineStr">
        <is>
          <t>dao_defense</t>
        </is>
      </c>
      <c r="B275" s="18" t="inlineStr">
        <is>
          <t>横炼铁杉</t>
        </is>
      </c>
      <c r="C275" s="18" t="inlineStr">
        <is>
          <t>武艺技术</t>
        </is>
      </c>
      <c r="D275" s="18" t="inlineStr">
        <is>
          <t>刀类</t>
        </is>
      </c>
      <c r="E275" s="65" t="n">
        <v>0</v>
      </c>
      <c r="F275" s="66">
        <f>E275+1</f>
        <v/>
      </c>
      <c r="G275" s="65">
        <f>INDEX('个人技术总览'!$E$5:$E$46,MATCH($A275,'个人技术总览'!$A$5:$A$46,0))</f>
        <v/>
      </c>
      <c r="H275" s="59">
        <f>INDEX('个人技术总览'!$F$5:$F$46,MATCH($A275,'个人技术总览'!$A$5:$A$46,0))</f>
        <v/>
      </c>
      <c r="I275" s="60">
        <f>INDEX('个人技术总览'!$G$5:$G$46,MATCH($A275,'个人技术总览'!$A$5:$A$46,0))</f>
        <v/>
      </c>
      <c r="J275" s="59">
        <f>INDEX('个人技术总览'!$H$5:$H$46,MATCH($A275,'个人技术总览'!$A$5:$A$46,0))</f>
        <v/>
      </c>
      <c r="K275" s="60">
        <f>INDEX('个人技术总览'!$I$5:$I$46,MATCH($A275,'个人技术总览'!$A$5:$A$46,0))</f>
        <v/>
      </c>
      <c r="L275" s="67">
        <f>H275+V275+IF(E275=G275-1,MAX(0,P275-H275*G275-SUMIFS($V$5:$V$589,$A$5:$A$589,$A275)),0)</f>
        <v/>
      </c>
      <c r="M275" s="61">
        <f>MAX(1,ROUNDDOWN($L275/'参数与公式'!$B$5,0))</f>
        <v/>
      </c>
      <c r="N275" s="67">
        <f>J275+Y275+IF(E275=G275-1,MAX(0,R275-J275*G275-SUMIFS($Y$5:$Y$589,$A$5:$A$589,$A275)),0)</f>
        <v/>
      </c>
      <c r="O275" s="18" t="inlineStr">
        <is>
          <t>data/technology_templates.yaml; upgrade_profiles.martial; code: technology_rules.allocate_upgrade_budget</t>
        </is>
      </c>
      <c r="P275" s="67">
        <f>INDEX('个人技术总览'!$O$5:$O$46,MATCH($A275,'个人技术总览'!$A$5:$A$46,0))</f>
        <v/>
      </c>
      <c r="Q275" s="64">
        <f>INDEX('个人技术总览'!$P$5:$P$46,MATCH($A275,'个人技术总览'!$A$5:$A$46,0))</f>
        <v/>
      </c>
      <c r="R275" s="67">
        <f>INDEX('个人技术总览'!$Q$5:$Q$46,MATCH($A275,'个人技术总览'!$A$5:$A$46,0))</f>
        <v/>
      </c>
      <c r="S275" s="64">
        <f>INDEX('个人技术总览'!$R$5:$R$46,MATCH($A275,'个人技术总览'!$A$5:$A$46,0))</f>
        <v/>
      </c>
      <c r="T275" s="68">
        <f>POWER($Q275,$E275)</f>
        <v/>
      </c>
      <c r="U275" s="68">
        <f>SUMIFS($T$5:$T$589,$A$5:$A$589,$A275)</f>
        <v/>
      </c>
      <c r="V275" s="67">
        <f>ROUNDDOWN(MAX(0,$P275-$H275*$G275)*$T275/MAX(1,$U275),0)</f>
        <v/>
      </c>
      <c r="W275" s="68">
        <f>POWER($S275,$E275)</f>
        <v/>
      </c>
      <c r="X275" s="68">
        <f>SUMIFS($W$5:$W$589,$A$5:$A$589,$A275)</f>
        <v/>
      </c>
      <c r="Y275" s="67">
        <f>ROUNDDOWN(MAX(0,$R275-$J275*$G275)*$W275/MAX(1,$X275),0)</f>
        <v/>
      </c>
    </row>
    <row r="276">
      <c r="A276" s="17" t="inlineStr">
        <is>
          <t>dao_defense</t>
        </is>
      </c>
      <c r="B276" s="18" t="inlineStr">
        <is>
          <t>横炼铁杉</t>
        </is>
      </c>
      <c r="C276" s="18" t="inlineStr">
        <is>
          <t>武艺技术</t>
        </is>
      </c>
      <c r="D276" s="18" t="inlineStr">
        <is>
          <t>刀类</t>
        </is>
      </c>
      <c r="E276" s="65" t="n">
        <v>1</v>
      </c>
      <c r="F276" s="66">
        <f>E276+1</f>
        <v/>
      </c>
      <c r="G276" s="65">
        <f>INDEX('个人技术总览'!$E$5:$E$46,MATCH($A276,'个人技术总览'!$A$5:$A$46,0))</f>
        <v/>
      </c>
      <c r="H276" s="59">
        <f>INDEX('个人技术总览'!$F$5:$F$46,MATCH($A276,'个人技术总览'!$A$5:$A$46,0))</f>
        <v/>
      </c>
      <c r="I276" s="60">
        <f>INDEX('个人技术总览'!$G$5:$G$46,MATCH($A276,'个人技术总览'!$A$5:$A$46,0))</f>
        <v/>
      </c>
      <c r="J276" s="59">
        <f>INDEX('个人技术总览'!$H$5:$H$46,MATCH($A276,'个人技术总览'!$A$5:$A$46,0))</f>
        <v/>
      </c>
      <c r="K276" s="60">
        <f>INDEX('个人技术总览'!$I$5:$I$46,MATCH($A276,'个人技术总览'!$A$5:$A$46,0))</f>
        <v/>
      </c>
      <c r="L276" s="67">
        <f>H276+V276+IF(E276=G276-1,MAX(0,P276-H276*G276-SUMIFS($V$5:$V$589,$A$5:$A$589,$A276)),0)</f>
        <v/>
      </c>
      <c r="M276" s="61">
        <f>MAX(1,ROUNDDOWN($L276/'参数与公式'!$B$5,0))</f>
        <v/>
      </c>
      <c r="N276" s="67">
        <f>J276+Y276+IF(E276=G276-1,MAX(0,R276-J276*G276-SUMIFS($Y$5:$Y$589,$A$5:$A$589,$A276)),0)</f>
        <v/>
      </c>
      <c r="O276" s="18" t="inlineStr">
        <is>
          <t>data/technology_templates.yaml; upgrade_profiles.martial; code: technology_rules.allocate_upgrade_budget</t>
        </is>
      </c>
      <c r="P276" s="67">
        <f>INDEX('个人技术总览'!$O$5:$O$46,MATCH($A276,'个人技术总览'!$A$5:$A$46,0))</f>
        <v/>
      </c>
      <c r="Q276" s="64">
        <f>INDEX('个人技术总览'!$P$5:$P$46,MATCH($A276,'个人技术总览'!$A$5:$A$46,0))</f>
        <v/>
      </c>
      <c r="R276" s="67">
        <f>INDEX('个人技术总览'!$Q$5:$Q$46,MATCH($A276,'个人技术总览'!$A$5:$A$46,0))</f>
        <v/>
      </c>
      <c r="S276" s="64">
        <f>INDEX('个人技术总览'!$R$5:$R$46,MATCH($A276,'个人技术总览'!$A$5:$A$46,0))</f>
        <v/>
      </c>
      <c r="T276" s="68">
        <f>POWER($Q276,$E276)</f>
        <v/>
      </c>
      <c r="U276" s="68">
        <f>SUMIFS($T$5:$T$589,$A$5:$A$589,$A276)</f>
        <v/>
      </c>
      <c r="V276" s="67">
        <f>ROUNDDOWN(MAX(0,$P276-$H276*$G276)*$T276/MAX(1,$U276),0)</f>
        <v/>
      </c>
      <c r="W276" s="68">
        <f>POWER($S276,$E276)</f>
        <v/>
      </c>
      <c r="X276" s="68">
        <f>SUMIFS($W$5:$W$589,$A$5:$A$589,$A276)</f>
        <v/>
      </c>
      <c r="Y276" s="67">
        <f>ROUNDDOWN(MAX(0,$R276-$J276*$G276)*$W276/MAX(1,$X276),0)</f>
        <v/>
      </c>
    </row>
    <row r="277">
      <c r="A277" s="17" t="inlineStr">
        <is>
          <t>dao_defense</t>
        </is>
      </c>
      <c r="B277" s="18" t="inlineStr">
        <is>
          <t>横炼铁杉</t>
        </is>
      </c>
      <c r="C277" s="18" t="inlineStr">
        <is>
          <t>武艺技术</t>
        </is>
      </c>
      <c r="D277" s="18" t="inlineStr">
        <is>
          <t>刀类</t>
        </is>
      </c>
      <c r="E277" s="65" t="n">
        <v>2</v>
      </c>
      <c r="F277" s="66">
        <f>E277+1</f>
        <v/>
      </c>
      <c r="G277" s="65">
        <f>INDEX('个人技术总览'!$E$5:$E$46,MATCH($A277,'个人技术总览'!$A$5:$A$46,0))</f>
        <v/>
      </c>
      <c r="H277" s="59">
        <f>INDEX('个人技术总览'!$F$5:$F$46,MATCH($A277,'个人技术总览'!$A$5:$A$46,0))</f>
        <v/>
      </c>
      <c r="I277" s="60">
        <f>INDEX('个人技术总览'!$G$5:$G$46,MATCH($A277,'个人技术总览'!$A$5:$A$46,0))</f>
        <v/>
      </c>
      <c r="J277" s="59">
        <f>INDEX('个人技术总览'!$H$5:$H$46,MATCH($A277,'个人技术总览'!$A$5:$A$46,0))</f>
        <v/>
      </c>
      <c r="K277" s="60">
        <f>INDEX('个人技术总览'!$I$5:$I$46,MATCH($A277,'个人技术总览'!$A$5:$A$46,0))</f>
        <v/>
      </c>
      <c r="L277" s="67">
        <f>H277+V277+IF(E277=G277-1,MAX(0,P277-H277*G277-SUMIFS($V$5:$V$589,$A$5:$A$589,$A277)),0)</f>
        <v/>
      </c>
      <c r="M277" s="61">
        <f>MAX(1,ROUNDDOWN($L277/'参数与公式'!$B$5,0))</f>
        <v/>
      </c>
      <c r="N277" s="67">
        <f>J277+Y277+IF(E277=G277-1,MAX(0,R277-J277*G277-SUMIFS($Y$5:$Y$589,$A$5:$A$589,$A277)),0)</f>
        <v/>
      </c>
      <c r="O277" s="18" t="inlineStr">
        <is>
          <t>data/technology_templates.yaml; upgrade_profiles.martial; code: technology_rules.allocate_upgrade_budget</t>
        </is>
      </c>
      <c r="P277" s="67">
        <f>INDEX('个人技术总览'!$O$5:$O$46,MATCH($A277,'个人技术总览'!$A$5:$A$46,0))</f>
        <v/>
      </c>
      <c r="Q277" s="64">
        <f>INDEX('个人技术总览'!$P$5:$P$46,MATCH($A277,'个人技术总览'!$A$5:$A$46,0))</f>
        <v/>
      </c>
      <c r="R277" s="67">
        <f>INDEX('个人技术总览'!$Q$5:$Q$46,MATCH($A277,'个人技术总览'!$A$5:$A$46,0))</f>
        <v/>
      </c>
      <c r="S277" s="64">
        <f>INDEX('个人技术总览'!$R$5:$R$46,MATCH($A277,'个人技术总览'!$A$5:$A$46,0))</f>
        <v/>
      </c>
      <c r="T277" s="68">
        <f>POWER($Q277,$E277)</f>
        <v/>
      </c>
      <c r="U277" s="68">
        <f>SUMIFS($T$5:$T$589,$A$5:$A$589,$A277)</f>
        <v/>
      </c>
      <c r="V277" s="67">
        <f>ROUNDDOWN(MAX(0,$P277-$H277*$G277)*$T277/MAX(1,$U277),0)</f>
        <v/>
      </c>
      <c r="W277" s="68">
        <f>POWER($S277,$E277)</f>
        <v/>
      </c>
      <c r="X277" s="68">
        <f>SUMIFS($W$5:$W$589,$A$5:$A$589,$A277)</f>
        <v/>
      </c>
      <c r="Y277" s="67">
        <f>ROUNDDOWN(MAX(0,$R277-$J277*$G277)*$W277/MAX(1,$X277),0)</f>
        <v/>
      </c>
    </row>
    <row r="278">
      <c r="A278" s="17" t="inlineStr">
        <is>
          <t>dao_defense</t>
        </is>
      </c>
      <c r="B278" s="18" t="inlineStr">
        <is>
          <t>横炼铁杉</t>
        </is>
      </c>
      <c r="C278" s="18" t="inlineStr">
        <is>
          <t>武艺技术</t>
        </is>
      </c>
      <c r="D278" s="18" t="inlineStr">
        <is>
          <t>刀类</t>
        </is>
      </c>
      <c r="E278" s="65" t="n">
        <v>3</v>
      </c>
      <c r="F278" s="66">
        <f>E278+1</f>
        <v/>
      </c>
      <c r="G278" s="65">
        <f>INDEX('个人技术总览'!$E$5:$E$46,MATCH($A278,'个人技术总览'!$A$5:$A$46,0))</f>
        <v/>
      </c>
      <c r="H278" s="59">
        <f>INDEX('个人技术总览'!$F$5:$F$46,MATCH($A278,'个人技术总览'!$A$5:$A$46,0))</f>
        <v/>
      </c>
      <c r="I278" s="60">
        <f>INDEX('个人技术总览'!$G$5:$G$46,MATCH($A278,'个人技术总览'!$A$5:$A$46,0))</f>
        <v/>
      </c>
      <c r="J278" s="59">
        <f>INDEX('个人技术总览'!$H$5:$H$46,MATCH($A278,'个人技术总览'!$A$5:$A$46,0))</f>
        <v/>
      </c>
      <c r="K278" s="60">
        <f>INDEX('个人技术总览'!$I$5:$I$46,MATCH($A278,'个人技术总览'!$A$5:$A$46,0))</f>
        <v/>
      </c>
      <c r="L278" s="67">
        <f>H278+V278+IF(E278=G278-1,MAX(0,P278-H278*G278-SUMIFS($V$5:$V$589,$A$5:$A$589,$A278)),0)</f>
        <v/>
      </c>
      <c r="M278" s="61">
        <f>MAX(1,ROUNDDOWN($L278/'参数与公式'!$B$5,0))</f>
        <v/>
      </c>
      <c r="N278" s="67">
        <f>J278+Y278+IF(E278=G278-1,MAX(0,R278-J278*G278-SUMIFS($Y$5:$Y$589,$A$5:$A$589,$A278)),0)</f>
        <v/>
      </c>
      <c r="O278" s="18" t="inlineStr">
        <is>
          <t>data/technology_templates.yaml; upgrade_profiles.martial; code: technology_rules.allocate_upgrade_budget</t>
        </is>
      </c>
      <c r="P278" s="67">
        <f>INDEX('个人技术总览'!$O$5:$O$46,MATCH($A278,'个人技术总览'!$A$5:$A$46,0))</f>
        <v/>
      </c>
      <c r="Q278" s="64">
        <f>INDEX('个人技术总览'!$P$5:$P$46,MATCH($A278,'个人技术总览'!$A$5:$A$46,0))</f>
        <v/>
      </c>
      <c r="R278" s="67">
        <f>INDEX('个人技术总览'!$Q$5:$Q$46,MATCH($A278,'个人技术总览'!$A$5:$A$46,0))</f>
        <v/>
      </c>
      <c r="S278" s="64">
        <f>INDEX('个人技术总览'!$R$5:$R$46,MATCH($A278,'个人技术总览'!$A$5:$A$46,0))</f>
        <v/>
      </c>
      <c r="T278" s="68">
        <f>POWER($Q278,$E278)</f>
        <v/>
      </c>
      <c r="U278" s="68">
        <f>SUMIFS($T$5:$T$589,$A$5:$A$589,$A278)</f>
        <v/>
      </c>
      <c r="V278" s="67">
        <f>ROUNDDOWN(MAX(0,$P278-$H278*$G278)*$T278/MAX(1,$U278),0)</f>
        <v/>
      </c>
      <c r="W278" s="68">
        <f>POWER($S278,$E278)</f>
        <v/>
      </c>
      <c r="X278" s="68">
        <f>SUMIFS($W$5:$W$589,$A$5:$A$589,$A278)</f>
        <v/>
      </c>
      <c r="Y278" s="67">
        <f>ROUNDDOWN(MAX(0,$R278-$J278*$G278)*$W278/MAX(1,$X278),0)</f>
        <v/>
      </c>
    </row>
    <row r="279">
      <c r="A279" s="17" t="inlineStr">
        <is>
          <t>dao_defense</t>
        </is>
      </c>
      <c r="B279" s="18" t="inlineStr">
        <is>
          <t>横炼铁杉</t>
        </is>
      </c>
      <c r="C279" s="18" t="inlineStr">
        <is>
          <t>武艺技术</t>
        </is>
      </c>
      <c r="D279" s="18" t="inlineStr">
        <is>
          <t>刀类</t>
        </is>
      </c>
      <c r="E279" s="65" t="n">
        <v>4</v>
      </c>
      <c r="F279" s="66">
        <f>E279+1</f>
        <v/>
      </c>
      <c r="G279" s="65">
        <f>INDEX('个人技术总览'!$E$5:$E$46,MATCH($A279,'个人技术总览'!$A$5:$A$46,0))</f>
        <v/>
      </c>
      <c r="H279" s="59">
        <f>INDEX('个人技术总览'!$F$5:$F$46,MATCH($A279,'个人技术总览'!$A$5:$A$46,0))</f>
        <v/>
      </c>
      <c r="I279" s="60">
        <f>INDEX('个人技术总览'!$G$5:$G$46,MATCH($A279,'个人技术总览'!$A$5:$A$46,0))</f>
        <v/>
      </c>
      <c r="J279" s="59">
        <f>INDEX('个人技术总览'!$H$5:$H$46,MATCH($A279,'个人技术总览'!$A$5:$A$46,0))</f>
        <v/>
      </c>
      <c r="K279" s="60">
        <f>INDEX('个人技术总览'!$I$5:$I$46,MATCH($A279,'个人技术总览'!$A$5:$A$46,0))</f>
        <v/>
      </c>
      <c r="L279" s="67">
        <f>H279+V279+IF(E279=G279-1,MAX(0,P279-H279*G279-SUMIFS($V$5:$V$589,$A$5:$A$589,$A279)),0)</f>
        <v/>
      </c>
      <c r="M279" s="61">
        <f>MAX(1,ROUNDDOWN($L279/'参数与公式'!$B$5,0))</f>
        <v/>
      </c>
      <c r="N279" s="67">
        <f>J279+Y279+IF(E279=G279-1,MAX(0,R279-J279*G279-SUMIFS($Y$5:$Y$589,$A$5:$A$589,$A279)),0)</f>
        <v/>
      </c>
      <c r="O279" s="18" t="inlineStr">
        <is>
          <t>data/technology_templates.yaml; upgrade_profiles.martial; code: technology_rules.allocate_upgrade_budget</t>
        </is>
      </c>
      <c r="P279" s="67">
        <f>INDEX('个人技术总览'!$O$5:$O$46,MATCH($A279,'个人技术总览'!$A$5:$A$46,0))</f>
        <v/>
      </c>
      <c r="Q279" s="64">
        <f>INDEX('个人技术总览'!$P$5:$P$46,MATCH($A279,'个人技术总览'!$A$5:$A$46,0))</f>
        <v/>
      </c>
      <c r="R279" s="67">
        <f>INDEX('个人技术总览'!$Q$5:$Q$46,MATCH($A279,'个人技术总览'!$A$5:$A$46,0))</f>
        <v/>
      </c>
      <c r="S279" s="64">
        <f>INDEX('个人技术总览'!$R$5:$R$46,MATCH($A279,'个人技术总览'!$A$5:$A$46,0))</f>
        <v/>
      </c>
      <c r="T279" s="68">
        <f>POWER($Q279,$E279)</f>
        <v/>
      </c>
      <c r="U279" s="68">
        <f>SUMIFS($T$5:$T$589,$A$5:$A$589,$A279)</f>
        <v/>
      </c>
      <c r="V279" s="67">
        <f>ROUNDDOWN(MAX(0,$P279-$H279*$G279)*$T279/MAX(1,$U279),0)</f>
        <v/>
      </c>
      <c r="W279" s="68">
        <f>POWER($S279,$E279)</f>
        <v/>
      </c>
      <c r="X279" s="68">
        <f>SUMIFS($W$5:$W$589,$A$5:$A$589,$A279)</f>
        <v/>
      </c>
      <c r="Y279" s="67">
        <f>ROUNDDOWN(MAX(0,$R279-$J279*$G279)*$W279/MAX(1,$X279),0)</f>
        <v/>
      </c>
    </row>
    <row r="280">
      <c r="A280" s="17" t="inlineStr">
        <is>
          <t>dao_defense</t>
        </is>
      </c>
      <c r="B280" s="18" t="inlineStr">
        <is>
          <t>横炼铁杉</t>
        </is>
      </c>
      <c r="C280" s="18" t="inlineStr">
        <is>
          <t>武艺技术</t>
        </is>
      </c>
      <c r="D280" s="18" t="inlineStr">
        <is>
          <t>刀类</t>
        </is>
      </c>
      <c r="E280" s="65" t="n">
        <v>5</v>
      </c>
      <c r="F280" s="66">
        <f>E280+1</f>
        <v/>
      </c>
      <c r="G280" s="65">
        <f>INDEX('个人技术总览'!$E$5:$E$46,MATCH($A280,'个人技术总览'!$A$5:$A$46,0))</f>
        <v/>
      </c>
      <c r="H280" s="59">
        <f>INDEX('个人技术总览'!$F$5:$F$46,MATCH($A280,'个人技术总览'!$A$5:$A$46,0))</f>
        <v/>
      </c>
      <c r="I280" s="60">
        <f>INDEX('个人技术总览'!$G$5:$G$46,MATCH($A280,'个人技术总览'!$A$5:$A$46,0))</f>
        <v/>
      </c>
      <c r="J280" s="59">
        <f>INDEX('个人技术总览'!$H$5:$H$46,MATCH($A280,'个人技术总览'!$A$5:$A$46,0))</f>
        <v/>
      </c>
      <c r="K280" s="60">
        <f>INDEX('个人技术总览'!$I$5:$I$46,MATCH($A280,'个人技术总览'!$A$5:$A$46,0))</f>
        <v/>
      </c>
      <c r="L280" s="67">
        <f>H280+V280+IF(E280=G280-1,MAX(0,P280-H280*G280-SUMIFS($V$5:$V$589,$A$5:$A$589,$A280)),0)</f>
        <v/>
      </c>
      <c r="M280" s="61">
        <f>MAX(1,ROUNDDOWN($L280/'参数与公式'!$B$5,0))</f>
        <v/>
      </c>
      <c r="N280" s="67">
        <f>J280+Y280+IF(E280=G280-1,MAX(0,R280-J280*G280-SUMIFS($Y$5:$Y$589,$A$5:$A$589,$A280)),0)</f>
        <v/>
      </c>
      <c r="O280" s="18" t="inlineStr">
        <is>
          <t>data/technology_templates.yaml; upgrade_profiles.martial; code: technology_rules.allocate_upgrade_budget</t>
        </is>
      </c>
      <c r="P280" s="67">
        <f>INDEX('个人技术总览'!$O$5:$O$46,MATCH($A280,'个人技术总览'!$A$5:$A$46,0))</f>
        <v/>
      </c>
      <c r="Q280" s="64">
        <f>INDEX('个人技术总览'!$P$5:$P$46,MATCH($A280,'个人技术总览'!$A$5:$A$46,0))</f>
        <v/>
      </c>
      <c r="R280" s="67">
        <f>INDEX('个人技术总览'!$Q$5:$Q$46,MATCH($A280,'个人技术总览'!$A$5:$A$46,0))</f>
        <v/>
      </c>
      <c r="S280" s="64">
        <f>INDEX('个人技术总览'!$R$5:$R$46,MATCH($A280,'个人技术总览'!$A$5:$A$46,0))</f>
        <v/>
      </c>
      <c r="T280" s="68">
        <f>POWER($Q280,$E280)</f>
        <v/>
      </c>
      <c r="U280" s="68">
        <f>SUMIFS($T$5:$T$589,$A$5:$A$589,$A280)</f>
        <v/>
      </c>
      <c r="V280" s="67">
        <f>ROUNDDOWN(MAX(0,$P280-$H280*$G280)*$T280/MAX(1,$U280),0)</f>
        <v/>
      </c>
      <c r="W280" s="68">
        <f>POWER($S280,$E280)</f>
        <v/>
      </c>
      <c r="X280" s="68">
        <f>SUMIFS($W$5:$W$589,$A$5:$A$589,$A280)</f>
        <v/>
      </c>
      <c r="Y280" s="67">
        <f>ROUNDDOWN(MAX(0,$R280-$J280*$G280)*$W280/MAX(1,$X280),0)</f>
        <v/>
      </c>
    </row>
    <row r="281">
      <c r="A281" s="17" t="inlineStr">
        <is>
          <t>dao_defense</t>
        </is>
      </c>
      <c r="B281" s="18" t="inlineStr">
        <is>
          <t>横炼铁杉</t>
        </is>
      </c>
      <c r="C281" s="18" t="inlineStr">
        <is>
          <t>武艺技术</t>
        </is>
      </c>
      <c r="D281" s="18" t="inlineStr">
        <is>
          <t>刀类</t>
        </is>
      </c>
      <c r="E281" s="65" t="n">
        <v>6</v>
      </c>
      <c r="F281" s="66">
        <f>E281+1</f>
        <v/>
      </c>
      <c r="G281" s="65">
        <f>INDEX('个人技术总览'!$E$5:$E$46,MATCH($A281,'个人技术总览'!$A$5:$A$46,0))</f>
        <v/>
      </c>
      <c r="H281" s="59">
        <f>INDEX('个人技术总览'!$F$5:$F$46,MATCH($A281,'个人技术总览'!$A$5:$A$46,0))</f>
        <v/>
      </c>
      <c r="I281" s="60">
        <f>INDEX('个人技术总览'!$G$5:$G$46,MATCH($A281,'个人技术总览'!$A$5:$A$46,0))</f>
        <v/>
      </c>
      <c r="J281" s="59">
        <f>INDEX('个人技术总览'!$H$5:$H$46,MATCH($A281,'个人技术总览'!$A$5:$A$46,0))</f>
        <v/>
      </c>
      <c r="K281" s="60">
        <f>INDEX('个人技术总览'!$I$5:$I$46,MATCH($A281,'个人技术总览'!$A$5:$A$46,0))</f>
        <v/>
      </c>
      <c r="L281" s="67">
        <f>H281+V281+IF(E281=G281-1,MAX(0,P281-H281*G281-SUMIFS($V$5:$V$589,$A$5:$A$589,$A281)),0)</f>
        <v/>
      </c>
      <c r="M281" s="61">
        <f>MAX(1,ROUNDDOWN($L281/'参数与公式'!$B$5,0))</f>
        <v/>
      </c>
      <c r="N281" s="67">
        <f>J281+Y281+IF(E281=G281-1,MAX(0,R281-J281*G281-SUMIFS($Y$5:$Y$589,$A$5:$A$589,$A281)),0)</f>
        <v/>
      </c>
      <c r="O281" s="18" t="inlineStr">
        <is>
          <t>data/technology_templates.yaml; upgrade_profiles.martial; code: technology_rules.allocate_upgrade_budget</t>
        </is>
      </c>
      <c r="P281" s="67">
        <f>INDEX('个人技术总览'!$O$5:$O$46,MATCH($A281,'个人技术总览'!$A$5:$A$46,0))</f>
        <v/>
      </c>
      <c r="Q281" s="64">
        <f>INDEX('个人技术总览'!$P$5:$P$46,MATCH($A281,'个人技术总览'!$A$5:$A$46,0))</f>
        <v/>
      </c>
      <c r="R281" s="67">
        <f>INDEX('个人技术总览'!$Q$5:$Q$46,MATCH($A281,'个人技术总览'!$A$5:$A$46,0))</f>
        <v/>
      </c>
      <c r="S281" s="64">
        <f>INDEX('个人技术总览'!$R$5:$R$46,MATCH($A281,'个人技术总览'!$A$5:$A$46,0))</f>
        <v/>
      </c>
      <c r="T281" s="68">
        <f>POWER($Q281,$E281)</f>
        <v/>
      </c>
      <c r="U281" s="68">
        <f>SUMIFS($T$5:$T$589,$A$5:$A$589,$A281)</f>
        <v/>
      </c>
      <c r="V281" s="67">
        <f>ROUNDDOWN(MAX(0,$P281-$H281*$G281)*$T281/MAX(1,$U281),0)</f>
        <v/>
      </c>
      <c r="W281" s="68">
        <f>POWER($S281,$E281)</f>
        <v/>
      </c>
      <c r="X281" s="68">
        <f>SUMIFS($W$5:$W$589,$A$5:$A$589,$A281)</f>
        <v/>
      </c>
      <c r="Y281" s="67">
        <f>ROUNDDOWN(MAX(0,$R281-$J281*$G281)*$W281/MAX(1,$X281),0)</f>
        <v/>
      </c>
    </row>
    <row r="282">
      <c r="A282" s="17" t="inlineStr">
        <is>
          <t>dao_defense</t>
        </is>
      </c>
      <c r="B282" s="18" t="inlineStr">
        <is>
          <t>横炼铁杉</t>
        </is>
      </c>
      <c r="C282" s="18" t="inlineStr">
        <is>
          <t>武艺技术</t>
        </is>
      </c>
      <c r="D282" s="18" t="inlineStr">
        <is>
          <t>刀类</t>
        </is>
      </c>
      <c r="E282" s="65" t="n">
        <v>7</v>
      </c>
      <c r="F282" s="66">
        <f>E282+1</f>
        <v/>
      </c>
      <c r="G282" s="65">
        <f>INDEX('个人技术总览'!$E$5:$E$46,MATCH($A282,'个人技术总览'!$A$5:$A$46,0))</f>
        <v/>
      </c>
      <c r="H282" s="59">
        <f>INDEX('个人技术总览'!$F$5:$F$46,MATCH($A282,'个人技术总览'!$A$5:$A$46,0))</f>
        <v/>
      </c>
      <c r="I282" s="60">
        <f>INDEX('个人技术总览'!$G$5:$G$46,MATCH($A282,'个人技术总览'!$A$5:$A$46,0))</f>
        <v/>
      </c>
      <c r="J282" s="59">
        <f>INDEX('个人技术总览'!$H$5:$H$46,MATCH($A282,'个人技术总览'!$A$5:$A$46,0))</f>
        <v/>
      </c>
      <c r="K282" s="60">
        <f>INDEX('个人技术总览'!$I$5:$I$46,MATCH($A282,'个人技术总览'!$A$5:$A$46,0))</f>
        <v/>
      </c>
      <c r="L282" s="67">
        <f>H282+V282+IF(E282=G282-1,MAX(0,P282-H282*G282-SUMIFS($V$5:$V$589,$A$5:$A$589,$A282)),0)</f>
        <v/>
      </c>
      <c r="M282" s="61">
        <f>MAX(1,ROUNDDOWN($L282/'参数与公式'!$B$5,0))</f>
        <v/>
      </c>
      <c r="N282" s="67">
        <f>J282+Y282+IF(E282=G282-1,MAX(0,R282-J282*G282-SUMIFS($Y$5:$Y$589,$A$5:$A$589,$A282)),0)</f>
        <v/>
      </c>
      <c r="O282" s="18" t="inlineStr">
        <is>
          <t>data/technology_templates.yaml; upgrade_profiles.martial; code: technology_rules.allocate_upgrade_budget</t>
        </is>
      </c>
      <c r="P282" s="67">
        <f>INDEX('个人技术总览'!$O$5:$O$46,MATCH($A282,'个人技术总览'!$A$5:$A$46,0))</f>
        <v/>
      </c>
      <c r="Q282" s="64">
        <f>INDEX('个人技术总览'!$P$5:$P$46,MATCH($A282,'个人技术总览'!$A$5:$A$46,0))</f>
        <v/>
      </c>
      <c r="R282" s="67">
        <f>INDEX('个人技术总览'!$Q$5:$Q$46,MATCH($A282,'个人技术总览'!$A$5:$A$46,0))</f>
        <v/>
      </c>
      <c r="S282" s="64">
        <f>INDEX('个人技术总览'!$R$5:$R$46,MATCH($A282,'个人技术总览'!$A$5:$A$46,0))</f>
        <v/>
      </c>
      <c r="T282" s="68">
        <f>POWER($Q282,$E282)</f>
        <v/>
      </c>
      <c r="U282" s="68">
        <f>SUMIFS($T$5:$T$589,$A$5:$A$589,$A282)</f>
        <v/>
      </c>
      <c r="V282" s="67">
        <f>ROUNDDOWN(MAX(0,$P282-$H282*$G282)*$T282/MAX(1,$U282),0)</f>
        <v/>
      </c>
      <c r="W282" s="68">
        <f>POWER($S282,$E282)</f>
        <v/>
      </c>
      <c r="X282" s="68">
        <f>SUMIFS($W$5:$W$589,$A$5:$A$589,$A282)</f>
        <v/>
      </c>
      <c r="Y282" s="67">
        <f>ROUNDDOWN(MAX(0,$R282-$J282*$G282)*$W282/MAX(1,$X282),0)</f>
        <v/>
      </c>
    </row>
    <row r="283">
      <c r="A283" s="17" t="inlineStr">
        <is>
          <t>dao_defense</t>
        </is>
      </c>
      <c r="B283" s="18" t="inlineStr">
        <is>
          <t>横炼铁杉</t>
        </is>
      </c>
      <c r="C283" s="18" t="inlineStr">
        <is>
          <t>武艺技术</t>
        </is>
      </c>
      <c r="D283" s="18" t="inlineStr">
        <is>
          <t>刀类</t>
        </is>
      </c>
      <c r="E283" s="65" t="n">
        <v>8</v>
      </c>
      <c r="F283" s="66">
        <f>E283+1</f>
        <v/>
      </c>
      <c r="G283" s="65">
        <f>INDEX('个人技术总览'!$E$5:$E$46,MATCH($A283,'个人技术总览'!$A$5:$A$46,0))</f>
        <v/>
      </c>
      <c r="H283" s="59">
        <f>INDEX('个人技术总览'!$F$5:$F$46,MATCH($A283,'个人技术总览'!$A$5:$A$46,0))</f>
        <v/>
      </c>
      <c r="I283" s="60">
        <f>INDEX('个人技术总览'!$G$5:$G$46,MATCH($A283,'个人技术总览'!$A$5:$A$46,0))</f>
        <v/>
      </c>
      <c r="J283" s="59">
        <f>INDEX('个人技术总览'!$H$5:$H$46,MATCH($A283,'个人技术总览'!$A$5:$A$46,0))</f>
        <v/>
      </c>
      <c r="K283" s="60">
        <f>INDEX('个人技术总览'!$I$5:$I$46,MATCH($A283,'个人技术总览'!$A$5:$A$46,0))</f>
        <v/>
      </c>
      <c r="L283" s="67">
        <f>H283+V283+IF(E283=G283-1,MAX(0,P283-H283*G283-SUMIFS($V$5:$V$589,$A$5:$A$589,$A283)),0)</f>
        <v/>
      </c>
      <c r="M283" s="61">
        <f>MAX(1,ROUNDDOWN($L283/'参数与公式'!$B$5,0))</f>
        <v/>
      </c>
      <c r="N283" s="67">
        <f>J283+Y283+IF(E283=G283-1,MAX(0,R283-J283*G283-SUMIFS($Y$5:$Y$589,$A$5:$A$589,$A283)),0)</f>
        <v/>
      </c>
      <c r="O283" s="18" t="inlineStr">
        <is>
          <t>data/technology_templates.yaml; upgrade_profiles.martial; code: technology_rules.allocate_upgrade_budget</t>
        </is>
      </c>
      <c r="P283" s="67">
        <f>INDEX('个人技术总览'!$O$5:$O$46,MATCH($A283,'个人技术总览'!$A$5:$A$46,0))</f>
        <v/>
      </c>
      <c r="Q283" s="64">
        <f>INDEX('个人技术总览'!$P$5:$P$46,MATCH($A283,'个人技术总览'!$A$5:$A$46,0))</f>
        <v/>
      </c>
      <c r="R283" s="67">
        <f>INDEX('个人技术总览'!$Q$5:$Q$46,MATCH($A283,'个人技术总览'!$A$5:$A$46,0))</f>
        <v/>
      </c>
      <c r="S283" s="64">
        <f>INDEX('个人技术总览'!$R$5:$R$46,MATCH($A283,'个人技术总览'!$A$5:$A$46,0))</f>
        <v/>
      </c>
      <c r="T283" s="68">
        <f>POWER($Q283,$E283)</f>
        <v/>
      </c>
      <c r="U283" s="68">
        <f>SUMIFS($T$5:$T$589,$A$5:$A$589,$A283)</f>
        <v/>
      </c>
      <c r="V283" s="67">
        <f>ROUNDDOWN(MAX(0,$P283-$H283*$G283)*$T283/MAX(1,$U283),0)</f>
        <v/>
      </c>
      <c r="W283" s="68">
        <f>POWER($S283,$E283)</f>
        <v/>
      </c>
      <c r="X283" s="68">
        <f>SUMIFS($W$5:$W$589,$A$5:$A$589,$A283)</f>
        <v/>
      </c>
      <c r="Y283" s="67">
        <f>ROUNDDOWN(MAX(0,$R283-$J283*$G283)*$W283/MAX(1,$X283),0)</f>
        <v/>
      </c>
    </row>
    <row r="284">
      <c r="A284" s="17" t="inlineStr">
        <is>
          <t>dao_defense</t>
        </is>
      </c>
      <c r="B284" s="18" t="inlineStr">
        <is>
          <t>横炼铁杉</t>
        </is>
      </c>
      <c r="C284" s="18" t="inlineStr">
        <is>
          <t>武艺技术</t>
        </is>
      </c>
      <c r="D284" s="18" t="inlineStr">
        <is>
          <t>刀类</t>
        </is>
      </c>
      <c r="E284" s="65" t="n">
        <v>9</v>
      </c>
      <c r="F284" s="66">
        <f>E284+1</f>
        <v/>
      </c>
      <c r="G284" s="65">
        <f>INDEX('个人技术总览'!$E$5:$E$46,MATCH($A284,'个人技术总览'!$A$5:$A$46,0))</f>
        <v/>
      </c>
      <c r="H284" s="59">
        <f>INDEX('个人技术总览'!$F$5:$F$46,MATCH($A284,'个人技术总览'!$A$5:$A$46,0))</f>
        <v/>
      </c>
      <c r="I284" s="60">
        <f>INDEX('个人技术总览'!$G$5:$G$46,MATCH($A284,'个人技术总览'!$A$5:$A$46,0))</f>
        <v/>
      </c>
      <c r="J284" s="59">
        <f>INDEX('个人技术总览'!$H$5:$H$46,MATCH($A284,'个人技术总览'!$A$5:$A$46,0))</f>
        <v/>
      </c>
      <c r="K284" s="60">
        <f>INDEX('个人技术总览'!$I$5:$I$46,MATCH($A284,'个人技术总览'!$A$5:$A$46,0))</f>
        <v/>
      </c>
      <c r="L284" s="67">
        <f>H284+V284+IF(E284=G284-1,MAX(0,P284-H284*G284-SUMIFS($V$5:$V$589,$A$5:$A$589,$A284)),0)</f>
        <v/>
      </c>
      <c r="M284" s="61">
        <f>MAX(1,ROUNDDOWN($L284/'参数与公式'!$B$5,0))</f>
        <v/>
      </c>
      <c r="N284" s="67">
        <f>J284+Y284+IF(E284=G284-1,MAX(0,R284-J284*G284-SUMIFS($Y$5:$Y$589,$A$5:$A$589,$A284)),0)</f>
        <v/>
      </c>
      <c r="O284" s="18" t="inlineStr">
        <is>
          <t>data/technology_templates.yaml; upgrade_profiles.martial; code: technology_rules.allocate_upgrade_budget</t>
        </is>
      </c>
      <c r="P284" s="67">
        <f>INDEX('个人技术总览'!$O$5:$O$46,MATCH($A284,'个人技术总览'!$A$5:$A$46,0))</f>
        <v/>
      </c>
      <c r="Q284" s="64">
        <f>INDEX('个人技术总览'!$P$5:$P$46,MATCH($A284,'个人技术总览'!$A$5:$A$46,0))</f>
        <v/>
      </c>
      <c r="R284" s="67">
        <f>INDEX('个人技术总览'!$Q$5:$Q$46,MATCH($A284,'个人技术总览'!$A$5:$A$46,0))</f>
        <v/>
      </c>
      <c r="S284" s="64">
        <f>INDEX('个人技术总览'!$R$5:$R$46,MATCH($A284,'个人技术总览'!$A$5:$A$46,0))</f>
        <v/>
      </c>
      <c r="T284" s="68">
        <f>POWER($Q284,$E284)</f>
        <v/>
      </c>
      <c r="U284" s="68">
        <f>SUMIFS($T$5:$T$589,$A$5:$A$589,$A284)</f>
        <v/>
      </c>
      <c r="V284" s="67">
        <f>ROUNDDOWN(MAX(0,$P284-$H284*$G284)*$T284/MAX(1,$U284),0)</f>
        <v/>
      </c>
      <c r="W284" s="68">
        <f>POWER($S284,$E284)</f>
        <v/>
      </c>
      <c r="X284" s="68">
        <f>SUMIFS($W$5:$W$589,$A$5:$A$589,$A284)</f>
        <v/>
      </c>
      <c r="Y284" s="67">
        <f>ROUNDDOWN(MAX(0,$R284-$J284*$G284)*$W284/MAX(1,$X284),0)</f>
        <v/>
      </c>
    </row>
    <row r="285">
      <c r="A285" s="17" t="inlineStr">
        <is>
          <t>dao_agility</t>
        </is>
      </c>
      <c r="B285" s="18" t="inlineStr">
        <is>
          <t>疾风碎步</t>
        </is>
      </c>
      <c r="C285" s="18" t="inlineStr">
        <is>
          <t>武艺技术</t>
        </is>
      </c>
      <c r="D285" s="18" t="inlineStr">
        <is>
          <t>刀类</t>
        </is>
      </c>
      <c r="E285" s="65" t="n">
        <v>0</v>
      </c>
      <c r="F285" s="66">
        <f>E285+1</f>
        <v/>
      </c>
      <c r="G285" s="65">
        <f>INDEX('个人技术总览'!$E$5:$E$46,MATCH($A285,'个人技术总览'!$A$5:$A$46,0))</f>
        <v/>
      </c>
      <c r="H285" s="59">
        <f>INDEX('个人技术总览'!$F$5:$F$46,MATCH($A285,'个人技术总览'!$A$5:$A$46,0))</f>
        <v/>
      </c>
      <c r="I285" s="60">
        <f>INDEX('个人技术总览'!$G$5:$G$46,MATCH($A285,'个人技术总览'!$A$5:$A$46,0))</f>
        <v/>
      </c>
      <c r="J285" s="59">
        <f>INDEX('个人技术总览'!$H$5:$H$46,MATCH($A285,'个人技术总览'!$A$5:$A$46,0))</f>
        <v/>
      </c>
      <c r="K285" s="60">
        <f>INDEX('个人技术总览'!$I$5:$I$46,MATCH($A285,'个人技术总览'!$A$5:$A$46,0))</f>
        <v/>
      </c>
      <c r="L285" s="67">
        <f>H285+V285+IF(E285=G285-1,MAX(0,P285-H285*G285-SUMIFS($V$5:$V$589,$A$5:$A$589,$A285)),0)</f>
        <v/>
      </c>
      <c r="M285" s="61">
        <f>MAX(1,ROUNDDOWN($L285/'参数与公式'!$B$5,0))</f>
        <v/>
      </c>
      <c r="N285" s="67">
        <f>J285+Y285+IF(E285=G285-1,MAX(0,R285-J285*G285-SUMIFS($Y$5:$Y$589,$A$5:$A$589,$A285)),0)</f>
        <v/>
      </c>
      <c r="O285" s="18" t="inlineStr">
        <is>
          <t>data/technology_templates.yaml; upgrade_profiles.martial; code: technology_rules.allocate_upgrade_budget</t>
        </is>
      </c>
      <c r="P285" s="67">
        <f>INDEX('个人技术总览'!$O$5:$O$46,MATCH($A285,'个人技术总览'!$A$5:$A$46,0))</f>
        <v/>
      </c>
      <c r="Q285" s="64">
        <f>INDEX('个人技术总览'!$P$5:$P$46,MATCH($A285,'个人技术总览'!$A$5:$A$46,0))</f>
        <v/>
      </c>
      <c r="R285" s="67">
        <f>INDEX('个人技术总览'!$Q$5:$Q$46,MATCH($A285,'个人技术总览'!$A$5:$A$46,0))</f>
        <v/>
      </c>
      <c r="S285" s="64">
        <f>INDEX('个人技术总览'!$R$5:$R$46,MATCH($A285,'个人技术总览'!$A$5:$A$46,0))</f>
        <v/>
      </c>
      <c r="T285" s="68">
        <f>POWER($Q285,$E285)</f>
        <v/>
      </c>
      <c r="U285" s="68">
        <f>SUMIFS($T$5:$T$589,$A$5:$A$589,$A285)</f>
        <v/>
      </c>
      <c r="V285" s="67">
        <f>ROUNDDOWN(MAX(0,$P285-$H285*$G285)*$T285/MAX(1,$U285),0)</f>
        <v/>
      </c>
      <c r="W285" s="68">
        <f>POWER($S285,$E285)</f>
        <v/>
      </c>
      <c r="X285" s="68">
        <f>SUMIFS($W$5:$W$589,$A$5:$A$589,$A285)</f>
        <v/>
      </c>
      <c r="Y285" s="67">
        <f>ROUNDDOWN(MAX(0,$R285-$J285*$G285)*$W285/MAX(1,$X285),0)</f>
        <v/>
      </c>
    </row>
    <row r="286">
      <c r="A286" s="17" t="inlineStr">
        <is>
          <t>dao_agility</t>
        </is>
      </c>
      <c r="B286" s="18" t="inlineStr">
        <is>
          <t>疾风碎步</t>
        </is>
      </c>
      <c r="C286" s="18" t="inlineStr">
        <is>
          <t>武艺技术</t>
        </is>
      </c>
      <c r="D286" s="18" t="inlineStr">
        <is>
          <t>刀类</t>
        </is>
      </c>
      <c r="E286" s="65" t="n">
        <v>1</v>
      </c>
      <c r="F286" s="66">
        <f>E286+1</f>
        <v/>
      </c>
      <c r="G286" s="65">
        <f>INDEX('个人技术总览'!$E$5:$E$46,MATCH($A286,'个人技术总览'!$A$5:$A$46,0))</f>
        <v/>
      </c>
      <c r="H286" s="59">
        <f>INDEX('个人技术总览'!$F$5:$F$46,MATCH($A286,'个人技术总览'!$A$5:$A$46,0))</f>
        <v/>
      </c>
      <c r="I286" s="60">
        <f>INDEX('个人技术总览'!$G$5:$G$46,MATCH($A286,'个人技术总览'!$A$5:$A$46,0))</f>
        <v/>
      </c>
      <c r="J286" s="59">
        <f>INDEX('个人技术总览'!$H$5:$H$46,MATCH($A286,'个人技术总览'!$A$5:$A$46,0))</f>
        <v/>
      </c>
      <c r="K286" s="60">
        <f>INDEX('个人技术总览'!$I$5:$I$46,MATCH($A286,'个人技术总览'!$A$5:$A$46,0))</f>
        <v/>
      </c>
      <c r="L286" s="67">
        <f>H286+V286+IF(E286=G286-1,MAX(0,P286-H286*G286-SUMIFS($V$5:$V$589,$A$5:$A$589,$A286)),0)</f>
        <v/>
      </c>
      <c r="M286" s="61">
        <f>MAX(1,ROUNDDOWN($L286/'参数与公式'!$B$5,0))</f>
        <v/>
      </c>
      <c r="N286" s="67">
        <f>J286+Y286+IF(E286=G286-1,MAX(0,R286-J286*G286-SUMIFS($Y$5:$Y$589,$A$5:$A$589,$A286)),0)</f>
        <v/>
      </c>
      <c r="O286" s="18" t="inlineStr">
        <is>
          <t>data/technology_templates.yaml; upgrade_profiles.martial; code: technology_rules.allocate_upgrade_budget</t>
        </is>
      </c>
      <c r="P286" s="67">
        <f>INDEX('个人技术总览'!$O$5:$O$46,MATCH($A286,'个人技术总览'!$A$5:$A$46,0))</f>
        <v/>
      </c>
      <c r="Q286" s="64">
        <f>INDEX('个人技术总览'!$P$5:$P$46,MATCH($A286,'个人技术总览'!$A$5:$A$46,0))</f>
        <v/>
      </c>
      <c r="R286" s="67">
        <f>INDEX('个人技术总览'!$Q$5:$Q$46,MATCH($A286,'个人技术总览'!$A$5:$A$46,0))</f>
        <v/>
      </c>
      <c r="S286" s="64">
        <f>INDEX('个人技术总览'!$R$5:$R$46,MATCH($A286,'个人技术总览'!$A$5:$A$46,0))</f>
        <v/>
      </c>
      <c r="T286" s="68">
        <f>POWER($Q286,$E286)</f>
        <v/>
      </c>
      <c r="U286" s="68">
        <f>SUMIFS($T$5:$T$589,$A$5:$A$589,$A286)</f>
        <v/>
      </c>
      <c r="V286" s="67">
        <f>ROUNDDOWN(MAX(0,$P286-$H286*$G286)*$T286/MAX(1,$U286),0)</f>
        <v/>
      </c>
      <c r="W286" s="68">
        <f>POWER($S286,$E286)</f>
        <v/>
      </c>
      <c r="X286" s="68">
        <f>SUMIFS($W$5:$W$589,$A$5:$A$589,$A286)</f>
        <v/>
      </c>
      <c r="Y286" s="67">
        <f>ROUNDDOWN(MAX(0,$R286-$J286*$G286)*$W286/MAX(1,$X286),0)</f>
        <v/>
      </c>
    </row>
    <row r="287">
      <c r="A287" s="17" t="inlineStr">
        <is>
          <t>dao_agility</t>
        </is>
      </c>
      <c r="B287" s="18" t="inlineStr">
        <is>
          <t>疾风碎步</t>
        </is>
      </c>
      <c r="C287" s="18" t="inlineStr">
        <is>
          <t>武艺技术</t>
        </is>
      </c>
      <c r="D287" s="18" t="inlineStr">
        <is>
          <t>刀类</t>
        </is>
      </c>
      <c r="E287" s="65" t="n">
        <v>2</v>
      </c>
      <c r="F287" s="66">
        <f>E287+1</f>
        <v/>
      </c>
      <c r="G287" s="65">
        <f>INDEX('个人技术总览'!$E$5:$E$46,MATCH($A287,'个人技术总览'!$A$5:$A$46,0))</f>
        <v/>
      </c>
      <c r="H287" s="59">
        <f>INDEX('个人技术总览'!$F$5:$F$46,MATCH($A287,'个人技术总览'!$A$5:$A$46,0))</f>
        <v/>
      </c>
      <c r="I287" s="60">
        <f>INDEX('个人技术总览'!$G$5:$G$46,MATCH($A287,'个人技术总览'!$A$5:$A$46,0))</f>
        <v/>
      </c>
      <c r="J287" s="59">
        <f>INDEX('个人技术总览'!$H$5:$H$46,MATCH($A287,'个人技术总览'!$A$5:$A$46,0))</f>
        <v/>
      </c>
      <c r="K287" s="60">
        <f>INDEX('个人技术总览'!$I$5:$I$46,MATCH($A287,'个人技术总览'!$A$5:$A$46,0))</f>
        <v/>
      </c>
      <c r="L287" s="67">
        <f>H287+V287+IF(E287=G287-1,MAX(0,P287-H287*G287-SUMIFS($V$5:$V$589,$A$5:$A$589,$A287)),0)</f>
        <v/>
      </c>
      <c r="M287" s="61">
        <f>MAX(1,ROUNDDOWN($L287/'参数与公式'!$B$5,0))</f>
        <v/>
      </c>
      <c r="N287" s="67">
        <f>J287+Y287+IF(E287=G287-1,MAX(0,R287-J287*G287-SUMIFS($Y$5:$Y$589,$A$5:$A$589,$A287)),0)</f>
        <v/>
      </c>
      <c r="O287" s="18" t="inlineStr">
        <is>
          <t>data/technology_templates.yaml; upgrade_profiles.martial; code: technology_rules.allocate_upgrade_budget</t>
        </is>
      </c>
      <c r="P287" s="67">
        <f>INDEX('个人技术总览'!$O$5:$O$46,MATCH($A287,'个人技术总览'!$A$5:$A$46,0))</f>
        <v/>
      </c>
      <c r="Q287" s="64">
        <f>INDEX('个人技术总览'!$P$5:$P$46,MATCH($A287,'个人技术总览'!$A$5:$A$46,0))</f>
        <v/>
      </c>
      <c r="R287" s="67">
        <f>INDEX('个人技术总览'!$Q$5:$Q$46,MATCH($A287,'个人技术总览'!$A$5:$A$46,0))</f>
        <v/>
      </c>
      <c r="S287" s="64">
        <f>INDEX('个人技术总览'!$R$5:$R$46,MATCH($A287,'个人技术总览'!$A$5:$A$46,0))</f>
        <v/>
      </c>
      <c r="T287" s="68">
        <f>POWER($Q287,$E287)</f>
        <v/>
      </c>
      <c r="U287" s="68">
        <f>SUMIFS($T$5:$T$589,$A$5:$A$589,$A287)</f>
        <v/>
      </c>
      <c r="V287" s="67">
        <f>ROUNDDOWN(MAX(0,$P287-$H287*$G287)*$T287/MAX(1,$U287),0)</f>
        <v/>
      </c>
      <c r="W287" s="68">
        <f>POWER($S287,$E287)</f>
        <v/>
      </c>
      <c r="X287" s="68">
        <f>SUMIFS($W$5:$W$589,$A$5:$A$589,$A287)</f>
        <v/>
      </c>
      <c r="Y287" s="67">
        <f>ROUNDDOWN(MAX(0,$R287-$J287*$G287)*$W287/MAX(1,$X287),0)</f>
        <v/>
      </c>
    </row>
    <row r="288">
      <c r="A288" s="17" t="inlineStr">
        <is>
          <t>dao_agility</t>
        </is>
      </c>
      <c r="B288" s="18" t="inlineStr">
        <is>
          <t>疾风碎步</t>
        </is>
      </c>
      <c r="C288" s="18" t="inlineStr">
        <is>
          <t>武艺技术</t>
        </is>
      </c>
      <c r="D288" s="18" t="inlineStr">
        <is>
          <t>刀类</t>
        </is>
      </c>
      <c r="E288" s="65" t="n">
        <v>3</v>
      </c>
      <c r="F288" s="66">
        <f>E288+1</f>
        <v/>
      </c>
      <c r="G288" s="65">
        <f>INDEX('个人技术总览'!$E$5:$E$46,MATCH($A288,'个人技术总览'!$A$5:$A$46,0))</f>
        <v/>
      </c>
      <c r="H288" s="59">
        <f>INDEX('个人技术总览'!$F$5:$F$46,MATCH($A288,'个人技术总览'!$A$5:$A$46,0))</f>
        <v/>
      </c>
      <c r="I288" s="60">
        <f>INDEX('个人技术总览'!$G$5:$G$46,MATCH($A288,'个人技术总览'!$A$5:$A$46,0))</f>
        <v/>
      </c>
      <c r="J288" s="59">
        <f>INDEX('个人技术总览'!$H$5:$H$46,MATCH($A288,'个人技术总览'!$A$5:$A$46,0))</f>
        <v/>
      </c>
      <c r="K288" s="60">
        <f>INDEX('个人技术总览'!$I$5:$I$46,MATCH($A288,'个人技术总览'!$A$5:$A$46,0))</f>
        <v/>
      </c>
      <c r="L288" s="67">
        <f>H288+V288+IF(E288=G288-1,MAX(0,P288-H288*G288-SUMIFS($V$5:$V$589,$A$5:$A$589,$A288)),0)</f>
        <v/>
      </c>
      <c r="M288" s="61">
        <f>MAX(1,ROUNDDOWN($L288/'参数与公式'!$B$5,0))</f>
        <v/>
      </c>
      <c r="N288" s="67">
        <f>J288+Y288+IF(E288=G288-1,MAX(0,R288-J288*G288-SUMIFS($Y$5:$Y$589,$A$5:$A$589,$A288)),0)</f>
        <v/>
      </c>
      <c r="O288" s="18" t="inlineStr">
        <is>
          <t>data/technology_templates.yaml; upgrade_profiles.martial; code: technology_rules.allocate_upgrade_budget</t>
        </is>
      </c>
      <c r="P288" s="67">
        <f>INDEX('个人技术总览'!$O$5:$O$46,MATCH($A288,'个人技术总览'!$A$5:$A$46,0))</f>
        <v/>
      </c>
      <c r="Q288" s="64">
        <f>INDEX('个人技术总览'!$P$5:$P$46,MATCH($A288,'个人技术总览'!$A$5:$A$46,0))</f>
        <v/>
      </c>
      <c r="R288" s="67">
        <f>INDEX('个人技术总览'!$Q$5:$Q$46,MATCH($A288,'个人技术总览'!$A$5:$A$46,0))</f>
        <v/>
      </c>
      <c r="S288" s="64">
        <f>INDEX('个人技术总览'!$R$5:$R$46,MATCH($A288,'个人技术总览'!$A$5:$A$46,0))</f>
        <v/>
      </c>
      <c r="T288" s="68">
        <f>POWER($Q288,$E288)</f>
        <v/>
      </c>
      <c r="U288" s="68">
        <f>SUMIFS($T$5:$T$589,$A$5:$A$589,$A288)</f>
        <v/>
      </c>
      <c r="V288" s="67">
        <f>ROUNDDOWN(MAX(0,$P288-$H288*$G288)*$T288/MAX(1,$U288),0)</f>
        <v/>
      </c>
      <c r="W288" s="68">
        <f>POWER($S288,$E288)</f>
        <v/>
      </c>
      <c r="X288" s="68">
        <f>SUMIFS($W$5:$W$589,$A$5:$A$589,$A288)</f>
        <v/>
      </c>
      <c r="Y288" s="67">
        <f>ROUNDDOWN(MAX(0,$R288-$J288*$G288)*$W288/MAX(1,$X288),0)</f>
        <v/>
      </c>
    </row>
    <row r="289">
      <c r="A289" s="17" t="inlineStr">
        <is>
          <t>dao_agility</t>
        </is>
      </c>
      <c r="B289" s="18" t="inlineStr">
        <is>
          <t>疾风碎步</t>
        </is>
      </c>
      <c r="C289" s="18" t="inlineStr">
        <is>
          <t>武艺技术</t>
        </is>
      </c>
      <c r="D289" s="18" t="inlineStr">
        <is>
          <t>刀类</t>
        </is>
      </c>
      <c r="E289" s="65" t="n">
        <v>4</v>
      </c>
      <c r="F289" s="66">
        <f>E289+1</f>
        <v/>
      </c>
      <c r="G289" s="65">
        <f>INDEX('个人技术总览'!$E$5:$E$46,MATCH($A289,'个人技术总览'!$A$5:$A$46,0))</f>
        <v/>
      </c>
      <c r="H289" s="59">
        <f>INDEX('个人技术总览'!$F$5:$F$46,MATCH($A289,'个人技术总览'!$A$5:$A$46,0))</f>
        <v/>
      </c>
      <c r="I289" s="60">
        <f>INDEX('个人技术总览'!$G$5:$G$46,MATCH($A289,'个人技术总览'!$A$5:$A$46,0))</f>
        <v/>
      </c>
      <c r="J289" s="59">
        <f>INDEX('个人技术总览'!$H$5:$H$46,MATCH($A289,'个人技术总览'!$A$5:$A$46,0))</f>
        <v/>
      </c>
      <c r="K289" s="60">
        <f>INDEX('个人技术总览'!$I$5:$I$46,MATCH($A289,'个人技术总览'!$A$5:$A$46,0))</f>
        <v/>
      </c>
      <c r="L289" s="67">
        <f>H289+V289+IF(E289=G289-1,MAX(0,P289-H289*G289-SUMIFS($V$5:$V$589,$A$5:$A$589,$A289)),0)</f>
        <v/>
      </c>
      <c r="M289" s="61">
        <f>MAX(1,ROUNDDOWN($L289/'参数与公式'!$B$5,0))</f>
        <v/>
      </c>
      <c r="N289" s="67">
        <f>J289+Y289+IF(E289=G289-1,MAX(0,R289-J289*G289-SUMIFS($Y$5:$Y$589,$A$5:$A$589,$A289)),0)</f>
        <v/>
      </c>
      <c r="O289" s="18" t="inlineStr">
        <is>
          <t>data/technology_templates.yaml; upgrade_profiles.martial; code: technology_rules.allocate_upgrade_budget</t>
        </is>
      </c>
      <c r="P289" s="67">
        <f>INDEX('个人技术总览'!$O$5:$O$46,MATCH($A289,'个人技术总览'!$A$5:$A$46,0))</f>
        <v/>
      </c>
      <c r="Q289" s="64">
        <f>INDEX('个人技术总览'!$P$5:$P$46,MATCH($A289,'个人技术总览'!$A$5:$A$46,0))</f>
        <v/>
      </c>
      <c r="R289" s="67">
        <f>INDEX('个人技术总览'!$Q$5:$Q$46,MATCH($A289,'个人技术总览'!$A$5:$A$46,0))</f>
        <v/>
      </c>
      <c r="S289" s="64">
        <f>INDEX('个人技术总览'!$R$5:$R$46,MATCH($A289,'个人技术总览'!$A$5:$A$46,0))</f>
        <v/>
      </c>
      <c r="T289" s="68">
        <f>POWER($Q289,$E289)</f>
        <v/>
      </c>
      <c r="U289" s="68">
        <f>SUMIFS($T$5:$T$589,$A$5:$A$589,$A289)</f>
        <v/>
      </c>
      <c r="V289" s="67">
        <f>ROUNDDOWN(MAX(0,$P289-$H289*$G289)*$T289/MAX(1,$U289),0)</f>
        <v/>
      </c>
      <c r="W289" s="68">
        <f>POWER($S289,$E289)</f>
        <v/>
      </c>
      <c r="X289" s="68">
        <f>SUMIFS($W$5:$W$589,$A$5:$A$589,$A289)</f>
        <v/>
      </c>
      <c r="Y289" s="67">
        <f>ROUNDDOWN(MAX(0,$R289-$J289*$G289)*$W289/MAX(1,$X289),0)</f>
        <v/>
      </c>
    </row>
    <row r="290">
      <c r="A290" s="17" t="inlineStr">
        <is>
          <t>dao_agility</t>
        </is>
      </c>
      <c r="B290" s="18" t="inlineStr">
        <is>
          <t>疾风碎步</t>
        </is>
      </c>
      <c r="C290" s="18" t="inlineStr">
        <is>
          <t>武艺技术</t>
        </is>
      </c>
      <c r="D290" s="18" t="inlineStr">
        <is>
          <t>刀类</t>
        </is>
      </c>
      <c r="E290" s="65" t="n">
        <v>5</v>
      </c>
      <c r="F290" s="66">
        <f>E290+1</f>
        <v/>
      </c>
      <c r="G290" s="65">
        <f>INDEX('个人技术总览'!$E$5:$E$46,MATCH($A290,'个人技术总览'!$A$5:$A$46,0))</f>
        <v/>
      </c>
      <c r="H290" s="59">
        <f>INDEX('个人技术总览'!$F$5:$F$46,MATCH($A290,'个人技术总览'!$A$5:$A$46,0))</f>
        <v/>
      </c>
      <c r="I290" s="60">
        <f>INDEX('个人技术总览'!$G$5:$G$46,MATCH($A290,'个人技术总览'!$A$5:$A$46,0))</f>
        <v/>
      </c>
      <c r="J290" s="59">
        <f>INDEX('个人技术总览'!$H$5:$H$46,MATCH($A290,'个人技术总览'!$A$5:$A$46,0))</f>
        <v/>
      </c>
      <c r="K290" s="60">
        <f>INDEX('个人技术总览'!$I$5:$I$46,MATCH($A290,'个人技术总览'!$A$5:$A$46,0))</f>
        <v/>
      </c>
      <c r="L290" s="67">
        <f>H290+V290+IF(E290=G290-1,MAX(0,P290-H290*G290-SUMIFS($V$5:$V$589,$A$5:$A$589,$A290)),0)</f>
        <v/>
      </c>
      <c r="M290" s="61">
        <f>MAX(1,ROUNDDOWN($L290/'参数与公式'!$B$5,0))</f>
        <v/>
      </c>
      <c r="N290" s="67">
        <f>J290+Y290+IF(E290=G290-1,MAX(0,R290-J290*G290-SUMIFS($Y$5:$Y$589,$A$5:$A$589,$A290)),0)</f>
        <v/>
      </c>
      <c r="O290" s="18" t="inlineStr">
        <is>
          <t>data/technology_templates.yaml; upgrade_profiles.martial; code: technology_rules.allocate_upgrade_budget</t>
        </is>
      </c>
      <c r="P290" s="67">
        <f>INDEX('个人技术总览'!$O$5:$O$46,MATCH($A290,'个人技术总览'!$A$5:$A$46,0))</f>
        <v/>
      </c>
      <c r="Q290" s="64">
        <f>INDEX('个人技术总览'!$P$5:$P$46,MATCH($A290,'个人技术总览'!$A$5:$A$46,0))</f>
        <v/>
      </c>
      <c r="R290" s="67">
        <f>INDEX('个人技术总览'!$Q$5:$Q$46,MATCH($A290,'个人技术总览'!$A$5:$A$46,0))</f>
        <v/>
      </c>
      <c r="S290" s="64">
        <f>INDEX('个人技术总览'!$R$5:$R$46,MATCH($A290,'个人技术总览'!$A$5:$A$46,0))</f>
        <v/>
      </c>
      <c r="T290" s="68">
        <f>POWER($Q290,$E290)</f>
        <v/>
      </c>
      <c r="U290" s="68">
        <f>SUMIFS($T$5:$T$589,$A$5:$A$589,$A290)</f>
        <v/>
      </c>
      <c r="V290" s="67">
        <f>ROUNDDOWN(MAX(0,$P290-$H290*$G290)*$T290/MAX(1,$U290),0)</f>
        <v/>
      </c>
      <c r="W290" s="68">
        <f>POWER($S290,$E290)</f>
        <v/>
      </c>
      <c r="X290" s="68">
        <f>SUMIFS($W$5:$W$589,$A$5:$A$589,$A290)</f>
        <v/>
      </c>
      <c r="Y290" s="67">
        <f>ROUNDDOWN(MAX(0,$R290-$J290*$G290)*$W290/MAX(1,$X290),0)</f>
        <v/>
      </c>
    </row>
    <row r="291">
      <c r="A291" s="17" t="inlineStr">
        <is>
          <t>dao_agility</t>
        </is>
      </c>
      <c r="B291" s="18" t="inlineStr">
        <is>
          <t>疾风碎步</t>
        </is>
      </c>
      <c r="C291" s="18" t="inlineStr">
        <is>
          <t>武艺技术</t>
        </is>
      </c>
      <c r="D291" s="18" t="inlineStr">
        <is>
          <t>刀类</t>
        </is>
      </c>
      <c r="E291" s="65" t="n">
        <v>6</v>
      </c>
      <c r="F291" s="66">
        <f>E291+1</f>
        <v/>
      </c>
      <c r="G291" s="65">
        <f>INDEX('个人技术总览'!$E$5:$E$46,MATCH($A291,'个人技术总览'!$A$5:$A$46,0))</f>
        <v/>
      </c>
      <c r="H291" s="59">
        <f>INDEX('个人技术总览'!$F$5:$F$46,MATCH($A291,'个人技术总览'!$A$5:$A$46,0))</f>
        <v/>
      </c>
      <c r="I291" s="60">
        <f>INDEX('个人技术总览'!$G$5:$G$46,MATCH($A291,'个人技术总览'!$A$5:$A$46,0))</f>
        <v/>
      </c>
      <c r="J291" s="59">
        <f>INDEX('个人技术总览'!$H$5:$H$46,MATCH($A291,'个人技术总览'!$A$5:$A$46,0))</f>
        <v/>
      </c>
      <c r="K291" s="60">
        <f>INDEX('个人技术总览'!$I$5:$I$46,MATCH($A291,'个人技术总览'!$A$5:$A$46,0))</f>
        <v/>
      </c>
      <c r="L291" s="67">
        <f>H291+V291+IF(E291=G291-1,MAX(0,P291-H291*G291-SUMIFS($V$5:$V$589,$A$5:$A$589,$A291)),0)</f>
        <v/>
      </c>
      <c r="M291" s="61">
        <f>MAX(1,ROUNDDOWN($L291/'参数与公式'!$B$5,0))</f>
        <v/>
      </c>
      <c r="N291" s="67">
        <f>J291+Y291+IF(E291=G291-1,MAX(0,R291-J291*G291-SUMIFS($Y$5:$Y$589,$A$5:$A$589,$A291)),0)</f>
        <v/>
      </c>
      <c r="O291" s="18" t="inlineStr">
        <is>
          <t>data/technology_templates.yaml; upgrade_profiles.martial; code: technology_rules.allocate_upgrade_budget</t>
        </is>
      </c>
      <c r="P291" s="67">
        <f>INDEX('个人技术总览'!$O$5:$O$46,MATCH($A291,'个人技术总览'!$A$5:$A$46,0))</f>
        <v/>
      </c>
      <c r="Q291" s="64">
        <f>INDEX('个人技术总览'!$P$5:$P$46,MATCH($A291,'个人技术总览'!$A$5:$A$46,0))</f>
        <v/>
      </c>
      <c r="R291" s="67">
        <f>INDEX('个人技术总览'!$Q$5:$Q$46,MATCH($A291,'个人技术总览'!$A$5:$A$46,0))</f>
        <v/>
      </c>
      <c r="S291" s="64">
        <f>INDEX('个人技术总览'!$R$5:$R$46,MATCH($A291,'个人技术总览'!$A$5:$A$46,0))</f>
        <v/>
      </c>
      <c r="T291" s="68">
        <f>POWER($Q291,$E291)</f>
        <v/>
      </c>
      <c r="U291" s="68">
        <f>SUMIFS($T$5:$T$589,$A$5:$A$589,$A291)</f>
        <v/>
      </c>
      <c r="V291" s="67">
        <f>ROUNDDOWN(MAX(0,$P291-$H291*$G291)*$T291/MAX(1,$U291),0)</f>
        <v/>
      </c>
      <c r="W291" s="68">
        <f>POWER($S291,$E291)</f>
        <v/>
      </c>
      <c r="X291" s="68">
        <f>SUMIFS($W$5:$W$589,$A$5:$A$589,$A291)</f>
        <v/>
      </c>
      <c r="Y291" s="67">
        <f>ROUNDDOWN(MAX(0,$R291-$J291*$G291)*$W291/MAX(1,$X291),0)</f>
        <v/>
      </c>
    </row>
    <row r="292">
      <c r="A292" s="17" t="inlineStr">
        <is>
          <t>dao_agility</t>
        </is>
      </c>
      <c r="B292" s="18" t="inlineStr">
        <is>
          <t>疾风碎步</t>
        </is>
      </c>
      <c r="C292" s="18" t="inlineStr">
        <is>
          <t>武艺技术</t>
        </is>
      </c>
      <c r="D292" s="18" t="inlineStr">
        <is>
          <t>刀类</t>
        </is>
      </c>
      <c r="E292" s="65" t="n">
        <v>7</v>
      </c>
      <c r="F292" s="66">
        <f>E292+1</f>
        <v/>
      </c>
      <c r="G292" s="65">
        <f>INDEX('个人技术总览'!$E$5:$E$46,MATCH($A292,'个人技术总览'!$A$5:$A$46,0))</f>
        <v/>
      </c>
      <c r="H292" s="59">
        <f>INDEX('个人技术总览'!$F$5:$F$46,MATCH($A292,'个人技术总览'!$A$5:$A$46,0))</f>
        <v/>
      </c>
      <c r="I292" s="60">
        <f>INDEX('个人技术总览'!$G$5:$G$46,MATCH($A292,'个人技术总览'!$A$5:$A$46,0))</f>
        <v/>
      </c>
      <c r="J292" s="59">
        <f>INDEX('个人技术总览'!$H$5:$H$46,MATCH($A292,'个人技术总览'!$A$5:$A$46,0))</f>
        <v/>
      </c>
      <c r="K292" s="60">
        <f>INDEX('个人技术总览'!$I$5:$I$46,MATCH($A292,'个人技术总览'!$A$5:$A$46,0))</f>
        <v/>
      </c>
      <c r="L292" s="67">
        <f>H292+V292+IF(E292=G292-1,MAX(0,P292-H292*G292-SUMIFS($V$5:$V$589,$A$5:$A$589,$A292)),0)</f>
        <v/>
      </c>
      <c r="M292" s="61">
        <f>MAX(1,ROUNDDOWN($L292/'参数与公式'!$B$5,0))</f>
        <v/>
      </c>
      <c r="N292" s="67">
        <f>J292+Y292+IF(E292=G292-1,MAX(0,R292-J292*G292-SUMIFS($Y$5:$Y$589,$A$5:$A$589,$A292)),0)</f>
        <v/>
      </c>
      <c r="O292" s="18" t="inlineStr">
        <is>
          <t>data/technology_templates.yaml; upgrade_profiles.martial; code: technology_rules.allocate_upgrade_budget</t>
        </is>
      </c>
      <c r="P292" s="67">
        <f>INDEX('个人技术总览'!$O$5:$O$46,MATCH($A292,'个人技术总览'!$A$5:$A$46,0))</f>
        <v/>
      </c>
      <c r="Q292" s="64">
        <f>INDEX('个人技术总览'!$P$5:$P$46,MATCH($A292,'个人技术总览'!$A$5:$A$46,0))</f>
        <v/>
      </c>
      <c r="R292" s="67">
        <f>INDEX('个人技术总览'!$Q$5:$Q$46,MATCH($A292,'个人技术总览'!$A$5:$A$46,0))</f>
        <v/>
      </c>
      <c r="S292" s="64">
        <f>INDEX('个人技术总览'!$R$5:$R$46,MATCH($A292,'个人技术总览'!$A$5:$A$46,0))</f>
        <v/>
      </c>
      <c r="T292" s="68">
        <f>POWER($Q292,$E292)</f>
        <v/>
      </c>
      <c r="U292" s="68">
        <f>SUMIFS($T$5:$T$589,$A$5:$A$589,$A292)</f>
        <v/>
      </c>
      <c r="V292" s="67">
        <f>ROUNDDOWN(MAX(0,$P292-$H292*$G292)*$T292/MAX(1,$U292),0)</f>
        <v/>
      </c>
      <c r="W292" s="68">
        <f>POWER($S292,$E292)</f>
        <v/>
      </c>
      <c r="X292" s="68">
        <f>SUMIFS($W$5:$W$589,$A$5:$A$589,$A292)</f>
        <v/>
      </c>
      <c r="Y292" s="67">
        <f>ROUNDDOWN(MAX(0,$R292-$J292*$G292)*$W292/MAX(1,$X292),0)</f>
        <v/>
      </c>
    </row>
    <row r="293">
      <c r="A293" s="17" t="inlineStr">
        <is>
          <t>dao_agility</t>
        </is>
      </c>
      <c r="B293" s="18" t="inlineStr">
        <is>
          <t>疾风碎步</t>
        </is>
      </c>
      <c r="C293" s="18" t="inlineStr">
        <is>
          <t>武艺技术</t>
        </is>
      </c>
      <c r="D293" s="18" t="inlineStr">
        <is>
          <t>刀类</t>
        </is>
      </c>
      <c r="E293" s="65" t="n">
        <v>8</v>
      </c>
      <c r="F293" s="66">
        <f>E293+1</f>
        <v/>
      </c>
      <c r="G293" s="65">
        <f>INDEX('个人技术总览'!$E$5:$E$46,MATCH($A293,'个人技术总览'!$A$5:$A$46,0))</f>
        <v/>
      </c>
      <c r="H293" s="59">
        <f>INDEX('个人技术总览'!$F$5:$F$46,MATCH($A293,'个人技术总览'!$A$5:$A$46,0))</f>
        <v/>
      </c>
      <c r="I293" s="60">
        <f>INDEX('个人技术总览'!$G$5:$G$46,MATCH($A293,'个人技术总览'!$A$5:$A$46,0))</f>
        <v/>
      </c>
      <c r="J293" s="59">
        <f>INDEX('个人技术总览'!$H$5:$H$46,MATCH($A293,'个人技术总览'!$A$5:$A$46,0))</f>
        <v/>
      </c>
      <c r="K293" s="60">
        <f>INDEX('个人技术总览'!$I$5:$I$46,MATCH($A293,'个人技术总览'!$A$5:$A$46,0))</f>
        <v/>
      </c>
      <c r="L293" s="67">
        <f>H293+V293+IF(E293=G293-1,MAX(0,P293-H293*G293-SUMIFS($V$5:$V$589,$A$5:$A$589,$A293)),0)</f>
        <v/>
      </c>
      <c r="M293" s="61">
        <f>MAX(1,ROUNDDOWN($L293/'参数与公式'!$B$5,0))</f>
        <v/>
      </c>
      <c r="N293" s="67">
        <f>J293+Y293+IF(E293=G293-1,MAX(0,R293-J293*G293-SUMIFS($Y$5:$Y$589,$A$5:$A$589,$A293)),0)</f>
        <v/>
      </c>
      <c r="O293" s="18" t="inlineStr">
        <is>
          <t>data/technology_templates.yaml; upgrade_profiles.martial; code: technology_rules.allocate_upgrade_budget</t>
        </is>
      </c>
      <c r="P293" s="67">
        <f>INDEX('个人技术总览'!$O$5:$O$46,MATCH($A293,'个人技术总览'!$A$5:$A$46,0))</f>
        <v/>
      </c>
      <c r="Q293" s="64">
        <f>INDEX('个人技术总览'!$P$5:$P$46,MATCH($A293,'个人技术总览'!$A$5:$A$46,0))</f>
        <v/>
      </c>
      <c r="R293" s="67">
        <f>INDEX('个人技术总览'!$Q$5:$Q$46,MATCH($A293,'个人技术总览'!$A$5:$A$46,0))</f>
        <v/>
      </c>
      <c r="S293" s="64">
        <f>INDEX('个人技术总览'!$R$5:$R$46,MATCH($A293,'个人技术总览'!$A$5:$A$46,0))</f>
        <v/>
      </c>
      <c r="T293" s="68">
        <f>POWER($Q293,$E293)</f>
        <v/>
      </c>
      <c r="U293" s="68">
        <f>SUMIFS($T$5:$T$589,$A$5:$A$589,$A293)</f>
        <v/>
      </c>
      <c r="V293" s="67">
        <f>ROUNDDOWN(MAX(0,$P293-$H293*$G293)*$T293/MAX(1,$U293),0)</f>
        <v/>
      </c>
      <c r="W293" s="68">
        <f>POWER($S293,$E293)</f>
        <v/>
      </c>
      <c r="X293" s="68">
        <f>SUMIFS($W$5:$W$589,$A$5:$A$589,$A293)</f>
        <v/>
      </c>
      <c r="Y293" s="67">
        <f>ROUNDDOWN(MAX(0,$R293-$J293*$G293)*$W293/MAX(1,$X293),0)</f>
        <v/>
      </c>
    </row>
    <row r="294">
      <c r="A294" s="17" t="inlineStr">
        <is>
          <t>dao_agility</t>
        </is>
      </c>
      <c r="B294" s="18" t="inlineStr">
        <is>
          <t>疾风碎步</t>
        </is>
      </c>
      <c r="C294" s="18" t="inlineStr">
        <is>
          <t>武艺技术</t>
        </is>
      </c>
      <c r="D294" s="18" t="inlineStr">
        <is>
          <t>刀类</t>
        </is>
      </c>
      <c r="E294" s="65" t="n">
        <v>9</v>
      </c>
      <c r="F294" s="66">
        <f>E294+1</f>
        <v/>
      </c>
      <c r="G294" s="65">
        <f>INDEX('个人技术总览'!$E$5:$E$46,MATCH($A294,'个人技术总览'!$A$5:$A$46,0))</f>
        <v/>
      </c>
      <c r="H294" s="59">
        <f>INDEX('个人技术总览'!$F$5:$F$46,MATCH($A294,'个人技术总览'!$A$5:$A$46,0))</f>
        <v/>
      </c>
      <c r="I294" s="60">
        <f>INDEX('个人技术总览'!$G$5:$G$46,MATCH($A294,'个人技术总览'!$A$5:$A$46,0))</f>
        <v/>
      </c>
      <c r="J294" s="59">
        <f>INDEX('个人技术总览'!$H$5:$H$46,MATCH($A294,'个人技术总览'!$A$5:$A$46,0))</f>
        <v/>
      </c>
      <c r="K294" s="60">
        <f>INDEX('个人技术总览'!$I$5:$I$46,MATCH($A294,'个人技术总览'!$A$5:$A$46,0))</f>
        <v/>
      </c>
      <c r="L294" s="67">
        <f>H294+V294+IF(E294=G294-1,MAX(0,P294-H294*G294-SUMIFS($V$5:$V$589,$A$5:$A$589,$A294)),0)</f>
        <v/>
      </c>
      <c r="M294" s="61">
        <f>MAX(1,ROUNDDOWN($L294/'参数与公式'!$B$5,0))</f>
        <v/>
      </c>
      <c r="N294" s="67">
        <f>J294+Y294+IF(E294=G294-1,MAX(0,R294-J294*G294-SUMIFS($Y$5:$Y$589,$A$5:$A$589,$A294)),0)</f>
        <v/>
      </c>
      <c r="O294" s="18" t="inlineStr">
        <is>
          <t>data/technology_templates.yaml; upgrade_profiles.martial; code: technology_rules.allocate_upgrade_budget</t>
        </is>
      </c>
      <c r="P294" s="67">
        <f>INDEX('个人技术总览'!$O$5:$O$46,MATCH($A294,'个人技术总览'!$A$5:$A$46,0))</f>
        <v/>
      </c>
      <c r="Q294" s="64">
        <f>INDEX('个人技术总览'!$P$5:$P$46,MATCH($A294,'个人技术总览'!$A$5:$A$46,0))</f>
        <v/>
      </c>
      <c r="R294" s="67">
        <f>INDEX('个人技术总览'!$Q$5:$Q$46,MATCH($A294,'个人技术总览'!$A$5:$A$46,0))</f>
        <v/>
      </c>
      <c r="S294" s="64">
        <f>INDEX('个人技术总览'!$R$5:$R$46,MATCH($A294,'个人技术总览'!$A$5:$A$46,0))</f>
        <v/>
      </c>
      <c r="T294" s="68">
        <f>POWER($Q294,$E294)</f>
        <v/>
      </c>
      <c r="U294" s="68">
        <f>SUMIFS($T$5:$T$589,$A$5:$A$589,$A294)</f>
        <v/>
      </c>
      <c r="V294" s="67">
        <f>ROUNDDOWN(MAX(0,$P294-$H294*$G294)*$T294/MAX(1,$U294),0)</f>
        <v/>
      </c>
      <c r="W294" s="68">
        <f>POWER($S294,$E294)</f>
        <v/>
      </c>
      <c r="X294" s="68">
        <f>SUMIFS($W$5:$W$589,$A$5:$A$589,$A294)</f>
        <v/>
      </c>
      <c r="Y294" s="67">
        <f>ROUNDDOWN(MAX(0,$R294-$J294*$G294)*$W294/MAX(1,$X294),0)</f>
        <v/>
      </c>
    </row>
    <row r="295">
      <c r="A295" s="17" t="inlineStr">
        <is>
          <t>dao_hp</t>
        </is>
      </c>
      <c r="B295" s="18" t="inlineStr">
        <is>
          <t>蓄日回元</t>
        </is>
      </c>
      <c r="C295" s="18" t="inlineStr">
        <is>
          <t>武艺技术</t>
        </is>
      </c>
      <c r="D295" s="18" t="inlineStr">
        <is>
          <t>刀类</t>
        </is>
      </c>
      <c r="E295" s="65" t="n">
        <v>0</v>
      </c>
      <c r="F295" s="66">
        <f>E295+1</f>
        <v/>
      </c>
      <c r="G295" s="65">
        <f>INDEX('个人技术总览'!$E$5:$E$46,MATCH($A295,'个人技术总览'!$A$5:$A$46,0))</f>
        <v/>
      </c>
      <c r="H295" s="59">
        <f>INDEX('个人技术总览'!$F$5:$F$46,MATCH($A295,'个人技术总览'!$A$5:$A$46,0))</f>
        <v/>
      </c>
      <c r="I295" s="60">
        <f>INDEX('个人技术总览'!$G$5:$G$46,MATCH($A295,'个人技术总览'!$A$5:$A$46,0))</f>
        <v/>
      </c>
      <c r="J295" s="59">
        <f>INDEX('个人技术总览'!$H$5:$H$46,MATCH($A295,'个人技术总览'!$A$5:$A$46,0))</f>
        <v/>
      </c>
      <c r="K295" s="60">
        <f>INDEX('个人技术总览'!$I$5:$I$46,MATCH($A295,'个人技术总览'!$A$5:$A$46,0))</f>
        <v/>
      </c>
      <c r="L295" s="67">
        <f>H295+V295+IF(E295=G295-1,MAX(0,P295-H295*G295-SUMIFS($V$5:$V$589,$A$5:$A$589,$A295)),0)</f>
        <v/>
      </c>
      <c r="M295" s="61">
        <f>MAX(1,ROUNDDOWN($L295/'参数与公式'!$B$5,0))</f>
        <v/>
      </c>
      <c r="N295" s="67">
        <f>J295+Y295+IF(E295=G295-1,MAX(0,R295-J295*G295-SUMIFS($Y$5:$Y$589,$A$5:$A$589,$A295)),0)</f>
        <v/>
      </c>
      <c r="O295" s="18" t="inlineStr">
        <is>
          <t>data/technology_templates.yaml; upgrade_profiles.martial; code: technology_rules.allocate_upgrade_budget</t>
        </is>
      </c>
      <c r="P295" s="67">
        <f>INDEX('个人技术总览'!$O$5:$O$46,MATCH($A295,'个人技术总览'!$A$5:$A$46,0))</f>
        <v/>
      </c>
      <c r="Q295" s="64">
        <f>INDEX('个人技术总览'!$P$5:$P$46,MATCH($A295,'个人技术总览'!$A$5:$A$46,0))</f>
        <v/>
      </c>
      <c r="R295" s="67">
        <f>INDEX('个人技术总览'!$Q$5:$Q$46,MATCH($A295,'个人技术总览'!$A$5:$A$46,0))</f>
        <v/>
      </c>
      <c r="S295" s="64">
        <f>INDEX('个人技术总览'!$R$5:$R$46,MATCH($A295,'个人技术总览'!$A$5:$A$46,0))</f>
        <v/>
      </c>
      <c r="T295" s="68">
        <f>POWER($Q295,$E295)</f>
        <v/>
      </c>
      <c r="U295" s="68">
        <f>SUMIFS($T$5:$T$589,$A$5:$A$589,$A295)</f>
        <v/>
      </c>
      <c r="V295" s="67">
        <f>ROUNDDOWN(MAX(0,$P295-$H295*$G295)*$T295/MAX(1,$U295),0)</f>
        <v/>
      </c>
      <c r="W295" s="68">
        <f>POWER($S295,$E295)</f>
        <v/>
      </c>
      <c r="X295" s="68">
        <f>SUMIFS($W$5:$W$589,$A$5:$A$589,$A295)</f>
        <v/>
      </c>
      <c r="Y295" s="67">
        <f>ROUNDDOWN(MAX(0,$R295-$J295*$G295)*$W295/MAX(1,$X295),0)</f>
        <v/>
      </c>
    </row>
    <row r="296">
      <c r="A296" s="17" t="inlineStr">
        <is>
          <t>dao_hp</t>
        </is>
      </c>
      <c r="B296" s="18" t="inlineStr">
        <is>
          <t>蓄日回元</t>
        </is>
      </c>
      <c r="C296" s="18" t="inlineStr">
        <is>
          <t>武艺技术</t>
        </is>
      </c>
      <c r="D296" s="18" t="inlineStr">
        <is>
          <t>刀类</t>
        </is>
      </c>
      <c r="E296" s="65" t="n">
        <v>1</v>
      </c>
      <c r="F296" s="66">
        <f>E296+1</f>
        <v/>
      </c>
      <c r="G296" s="65">
        <f>INDEX('个人技术总览'!$E$5:$E$46,MATCH($A296,'个人技术总览'!$A$5:$A$46,0))</f>
        <v/>
      </c>
      <c r="H296" s="59">
        <f>INDEX('个人技术总览'!$F$5:$F$46,MATCH($A296,'个人技术总览'!$A$5:$A$46,0))</f>
        <v/>
      </c>
      <c r="I296" s="60">
        <f>INDEX('个人技术总览'!$G$5:$G$46,MATCH($A296,'个人技术总览'!$A$5:$A$46,0))</f>
        <v/>
      </c>
      <c r="J296" s="59">
        <f>INDEX('个人技术总览'!$H$5:$H$46,MATCH($A296,'个人技术总览'!$A$5:$A$46,0))</f>
        <v/>
      </c>
      <c r="K296" s="60">
        <f>INDEX('个人技术总览'!$I$5:$I$46,MATCH($A296,'个人技术总览'!$A$5:$A$46,0))</f>
        <v/>
      </c>
      <c r="L296" s="67">
        <f>H296+V296+IF(E296=G296-1,MAX(0,P296-H296*G296-SUMIFS($V$5:$V$589,$A$5:$A$589,$A296)),0)</f>
        <v/>
      </c>
      <c r="M296" s="61">
        <f>MAX(1,ROUNDDOWN($L296/'参数与公式'!$B$5,0))</f>
        <v/>
      </c>
      <c r="N296" s="67">
        <f>J296+Y296+IF(E296=G296-1,MAX(0,R296-J296*G296-SUMIFS($Y$5:$Y$589,$A$5:$A$589,$A296)),0)</f>
        <v/>
      </c>
      <c r="O296" s="18" t="inlineStr">
        <is>
          <t>data/technology_templates.yaml; upgrade_profiles.martial; code: technology_rules.allocate_upgrade_budget</t>
        </is>
      </c>
      <c r="P296" s="67">
        <f>INDEX('个人技术总览'!$O$5:$O$46,MATCH($A296,'个人技术总览'!$A$5:$A$46,0))</f>
        <v/>
      </c>
      <c r="Q296" s="64">
        <f>INDEX('个人技术总览'!$P$5:$P$46,MATCH($A296,'个人技术总览'!$A$5:$A$46,0))</f>
        <v/>
      </c>
      <c r="R296" s="67">
        <f>INDEX('个人技术总览'!$Q$5:$Q$46,MATCH($A296,'个人技术总览'!$A$5:$A$46,0))</f>
        <v/>
      </c>
      <c r="S296" s="64">
        <f>INDEX('个人技术总览'!$R$5:$R$46,MATCH($A296,'个人技术总览'!$A$5:$A$46,0))</f>
        <v/>
      </c>
      <c r="T296" s="68">
        <f>POWER($Q296,$E296)</f>
        <v/>
      </c>
      <c r="U296" s="68">
        <f>SUMIFS($T$5:$T$589,$A$5:$A$589,$A296)</f>
        <v/>
      </c>
      <c r="V296" s="67">
        <f>ROUNDDOWN(MAX(0,$P296-$H296*$G296)*$T296/MAX(1,$U296),0)</f>
        <v/>
      </c>
      <c r="W296" s="68">
        <f>POWER($S296,$E296)</f>
        <v/>
      </c>
      <c r="X296" s="68">
        <f>SUMIFS($W$5:$W$589,$A$5:$A$589,$A296)</f>
        <v/>
      </c>
      <c r="Y296" s="67">
        <f>ROUNDDOWN(MAX(0,$R296-$J296*$G296)*$W296/MAX(1,$X296),0)</f>
        <v/>
      </c>
    </row>
    <row r="297">
      <c r="A297" s="17" t="inlineStr">
        <is>
          <t>dao_hp</t>
        </is>
      </c>
      <c r="B297" s="18" t="inlineStr">
        <is>
          <t>蓄日回元</t>
        </is>
      </c>
      <c r="C297" s="18" t="inlineStr">
        <is>
          <t>武艺技术</t>
        </is>
      </c>
      <c r="D297" s="18" t="inlineStr">
        <is>
          <t>刀类</t>
        </is>
      </c>
      <c r="E297" s="65" t="n">
        <v>2</v>
      </c>
      <c r="F297" s="66">
        <f>E297+1</f>
        <v/>
      </c>
      <c r="G297" s="65">
        <f>INDEX('个人技术总览'!$E$5:$E$46,MATCH($A297,'个人技术总览'!$A$5:$A$46,0))</f>
        <v/>
      </c>
      <c r="H297" s="59">
        <f>INDEX('个人技术总览'!$F$5:$F$46,MATCH($A297,'个人技术总览'!$A$5:$A$46,0))</f>
        <v/>
      </c>
      <c r="I297" s="60">
        <f>INDEX('个人技术总览'!$G$5:$G$46,MATCH($A297,'个人技术总览'!$A$5:$A$46,0))</f>
        <v/>
      </c>
      <c r="J297" s="59">
        <f>INDEX('个人技术总览'!$H$5:$H$46,MATCH($A297,'个人技术总览'!$A$5:$A$46,0))</f>
        <v/>
      </c>
      <c r="K297" s="60">
        <f>INDEX('个人技术总览'!$I$5:$I$46,MATCH($A297,'个人技术总览'!$A$5:$A$46,0))</f>
        <v/>
      </c>
      <c r="L297" s="67">
        <f>H297+V297+IF(E297=G297-1,MAX(0,P297-H297*G297-SUMIFS($V$5:$V$589,$A$5:$A$589,$A297)),0)</f>
        <v/>
      </c>
      <c r="M297" s="61">
        <f>MAX(1,ROUNDDOWN($L297/'参数与公式'!$B$5,0))</f>
        <v/>
      </c>
      <c r="N297" s="67">
        <f>J297+Y297+IF(E297=G297-1,MAX(0,R297-J297*G297-SUMIFS($Y$5:$Y$589,$A$5:$A$589,$A297)),0)</f>
        <v/>
      </c>
      <c r="O297" s="18" t="inlineStr">
        <is>
          <t>data/technology_templates.yaml; upgrade_profiles.martial; code: technology_rules.allocate_upgrade_budget</t>
        </is>
      </c>
      <c r="P297" s="67">
        <f>INDEX('个人技术总览'!$O$5:$O$46,MATCH($A297,'个人技术总览'!$A$5:$A$46,0))</f>
        <v/>
      </c>
      <c r="Q297" s="64">
        <f>INDEX('个人技术总览'!$P$5:$P$46,MATCH($A297,'个人技术总览'!$A$5:$A$46,0))</f>
        <v/>
      </c>
      <c r="R297" s="67">
        <f>INDEX('个人技术总览'!$Q$5:$Q$46,MATCH($A297,'个人技术总览'!$A$5:$A$46,0))</f>
        <v/>
      </c>
      <c r="S297" s="64">
        <f>INDEX('个人技术总览'!$R$5:$R$46,MATCH($A297,'个人技术总览'!$A$5:$A$46,0))</f>
        <v/>
      </c>
      <c r="T297" s="68">
        <f>POWER($Q297,$E297)</f>
        <v/>
      </c>
      <c r="U297" s="68">
        <f>SUMIFS($T$5:$T$589,$A$5:$A$589,$A297)</f>
        <v/>
      </c>
      <c r="V297" s="67">
        <f>ROUNDDOWN(MAX(0,$P297-$H297*$G297)*$T297/MAX(1,$U297),0)</f>
        <v/>
      </c>
      <c r="W297" s="68">
        <f>POWER($S297,$E297)</f>
        <v/>
      </c>
      <c r="X297" s="68">
        <f>SUMIFS($W$5:$W$589,$A$5:$A$589,$A297)</f>
        <v/>
      </c>
      <c r="Y297" s="67">
        <f>ROUNDDOWN(MAX(0,$R297-$J297*$G297)*$W297/MAX(1,$X297),0)</f>
        <v/>
      </c>
    </row>
    <row r="298">
      <c r="A298" s="17" t="inlineStr">
        <is>
          <t>dao_hp</t>
        </is>
      </c>
      <c r="B298" s="18" t="inlineStr">
        <is>
          <t>蓄日回元</t>
        </is>
      </c>
      <c r="C298" s="18" t="inlineStr">
        <is>
          <t>武艺技术</t>
        </is>
      </c>
      <c r="D298" s="18" t="inlineStr">
        <is>
          <t>刀类</t>
        </is>
      </c>
      <c r="E298" s="65" t="n">
        <v>3</v>
      </c>
      <c r="F298" s="66">
        <f>E298+1</f>
        <v/>
      </c>
      <c r="G298" s="65">
        <f>INDEX('个人技术总览'!$E$5:$E$46,MATCH($A298,'个人技术总览'!$A$5:$A$46,0))</f>
        <v/>
      </c>
      <c r="H298" s="59">
        <f>INDEX('个人技术总览'!$F$5:$F$46,MATCH($A298,'个人技术总览'!$A$5:$A$46,0))</f>
        <v/>
      </c>
      <c r="I298" s="60">
        <f>INDEX('个人技术总览'!$G$5:$G$46,MATCH($A298,'个人技术总览'!$A$5:$A$46,0))</f>
        <v/>
      </c>
      <c r="J298" s="59">
        <f>INDEX('个人技术总览'!$H$5:$H$46,MATCH($A298,'个人技术总览'!$A$5:$A$46,0))</f>
        <v/>
      </c>
      <c r="K298" s="60">
        <f>INDEX('个人技术总览'!$I$5:$I$46,MATCH($A298,'个人技术总览'!$A$5:$A$46,0))</f>
        <v/>
      </c>
      <c r="L298" s="67">
        <f>H298+V298+IF(E298=G298-1,MAX(0,P298-H298*G298-SUMIFS($V$5:$V$589,$A$5:$A$589,$A298)),0)</f>
        <v/>
      </c>
      <c r="M298" s="61">
        <f>MAX(1,ROUNDDOWN($L298/'参数与公式'!$B$5,0))</f>
        <v/>
      </c>
      <c r="N298" s="67">
        <f>J298+Y298+IF(E298=G298-1,MAX(0,R298-J298*G298-SUMIFS($Y$5:$Y$589,$A$5:$A$589,$A298)),0)</f>
        <v/>
      </c>
      <c r="O298" s="18" t="inlineStr">
        <is>
          <t>data/technology_templates.yaml; upgrade_profiles.martial; code: technology_rules.allocate_upgrade_budget</t>
        </is>
      </c>
      <c r="P298" s="67">
        <f>INDEX('个人技术总览'!$O$5:$O$46,MATCH($A298,'个人技术总览'!$A$5:$A$46,0))</f>
        <v/>
      </c>
      <c r="Q298" s="64">
        <f>INDEX('个人技术总览'!$P$5:$P$46,MATCH($A298,'个人技术总览'!$A$5:$A$46,0))</f>
        <v/>
      </c>
      <c r="R298" s="67">
        <f>INDEX('个人技术总览'!$Q$5:$Q$46,MATCH($A298,'个人技术总览'!$A$5:$A$46,0))</f>
        <v/>
      </c>
      <c r="S298" s="64">
        <f>INDEX('个人技术总览'!$R$5:$R$46,MATCH($A298,'个人技术总览'!$A$5:$A$46,0))</f>
        <v/>
      </c>
      <c r="T298" s="68">
        <f>POWER($Q298,$E298)</f>
        <v/>
      </c>
      <c r="U298" s="68">
        <f>SUMIFS($T$5:$T$589,$A$5:$A$589,$A298)</f>
        <v/>
      </c>
      <c r="V298" s="67">
        <f>ROUNDDOWN(MAX(0,$P298-$H298*$G298)*$T298/MAX(1,$U298),0)</f>
        <v/>
      </c>
      <c r="W298" s="68">
        <f>POWER($S298,$E298)</f>
        <v/>
      </c>
      <c r="X298" s="68">
        <f>SUMIFS($W$5:$W$589,$A$5:$A$589,$A298)</f>
        <v/>
      </c>
      <c r="Y298" s="67">
        <f>ROUNDDOWN(MAX(0,$R298-$J298*$G298)*$W298/MAX(1,$X298),0)</f>
        <v/>
      </c>
    </row>
    <row r="299">
      <c r="A299" s="17" t="inlineStr">
        <is>
          <t>dao_hp</t>
        </is>
      </c>
      <c r="B299" s="18" t="inlineStr">
        <is>
          <t>蓄日回元</t>
        </is>
      </c>
      <c r="C299" s="18" t="inlineStr">
        <is>
          <t>武艺技术</t>
        </is>
      </c>
      <c r="D299" s="18" t="inlineStr">
        <is>
          <t>刀类</t>
        </is>
      </c>
      <c r="E299" s="65" t="n">
        <v>4</v>
      </c>
      <c r="F299" s="66">
        <f>E299+1</f>
        <v/>
      </c>
      <c r="G299" s="65">
        <f>INDEX('个人技术总览'!$E$5:$E$46,MATCH($A299,'个人技术总览'!$A$5:$A$46,0))</f>
        <v/>
      </c>
      <c r="H299" s="59">
        <f>INDEX('个人技术总览'!$F$5:$F$46,MATCH($A299,'个人技术总览'!$A$5:$A$46,0))</f>
        <v/>
      </c>
      <c r="I299" s="60">
        <f>INDEX('个人技术总览'!$G$5:$G$46,MATCH($A299,'个人技术总览'!$A$5:$A$46,0))</f>
        <v/>
      </c>
      <c r="J299" s="59">
        <f>INDEX('个人技术总览'!$H$5:$H$46,MATCH($A299,'个人技术总览'!$A$5:$A$46,0))</f>
        <v/>
      </c>
      <c r="K299" s="60">
        <f>INDEX('个人技术总览'!$I$5:$I$46,MATCH($A299,'个人技术总览'!$A$5:$A$46,0))</f>
        <v/>
      </c>
      <c r="L299" s="67">
        <f>H299+V299+IF(E299=G299-1,MAX(0,P299-H299*G299-SUMIFS($V$5:$V$589,$A$5:$A$589,$A299)),0)</f>
        <v/>
      </c>
      <c r="M299" s="61">
        <f>MAX(1,ROUNDDOWN($L299/'参数与公式'!$B$5,0))</f>
        <v/>
      </c>
      <c r="N299" s="67">
        <f>J299+Y299+IF(E299=G299-1,MAX(0,R299-J299*G299-SUMIFS($Y$5:$Y$589,$A$5:$A$589,$A299)),0)</f>
        <v/>
      </c>
      <c r="O299" s="18" t="inlineStr">
        <is>
          <t>data/technology_templates.yaml; upgrade_profiles.martial; code: technology_rules.allocate_upgrade_budget</t>
        </is>
      </c>
      <c r="P299" s="67">
        <f>INDEX('个人技术总览'!$O$5:$O$46,MATCH($A299,'个人技术总览'!$A$5:$A$46,0))</f>
        <v/>
      </c>
      <c r="Q299" s="64">
        <f>INDEX('个人技术总览'!$P$5:$P$46,MATCH($A299,'个人技术总览'!$A$5:$A$46,0))</f>
        <v/>
      </c>
      <c r="R299" s="67">
        <f>INDEX('个人技术总览'!$Q$5:$Q$46,MATCH($A299,'个人技术总览'!$A$5:$A$46,0))</f>
        <v/>
      </c>
      <c r="S299" s="64">
        <f>INDEX('个人技术总览'!$R$5:$R$46,MATCH($A299,'个人技术总览'!$A$5:$A$46,0))</f>
        <v/>
      </c>
      <c r="T299" s="68">
        <f>POWER($Q299,$E299)</f>
        <v/>
      </c>
      <c r="U299" s="68">
        <f>SUMIFS($T$5:$T$589,$A$5:$A$589,$A299)</f>
        <v/>
      </c>
      <c r="V299" s="67">
        <f>ROUNDDOWN(MAX(0,$P299-$H299*$G299)*$T299/MAX(1,$U299),0)</f>
        <v/>
      </c>
      <c r="W299" s="68">
        <f>POWER($S299,$E299)</f>
        <v/>
      </c>
      <c r="X299" s="68">
        <f>SUMIFS($W$5:$W$589,$A$5:$A$589,$A299)</f>
        <v/>
      </c>
      <c r="Y299" s="67">
        <f>ROUNDDOWN(MAX(0,$R299-$J299*$G299)*$W299/MAX(1,$X299),0)</f>
        <v/>
      </c>
    </row>
    <row r="300">
      <c r="A300" s="17" t="inlineStr">
        <is>
          <t>dao_hp</t>
        </is>
      </c>
      <c r="B300" s="18" t="inlineStr">
        <is>
          <t>蓄日回元</t>
        </is>
      </c>
      <c r="C300" s="18" t="inlineStr">
        <is>
          <t>武艺技术</t>
        </is>
      </c>
      <c r="D300" s="18" t="inlineStr">
        <is>
          <t>刀类</t>
        </is>
      </c>
      <c r="E300" s="65" t="n">
        <v>5</v>
      </c>
      <c r="F300" s="66">
        <f>E300+1</f>
        <v/>
      </c>
      <c r="G300" s="65">
        <f>INDEX('个人技术总览'!$E$5:$E$46,MATCH($A300,'个人技术总览'!$A$5:$A$46,0))</f>
        <v/>
      </c>
      <c r="H300" s="59">
        <f>INDEX('个人技术总览'!$F$5:$F$46,MATCH($A300,'个人技术总览'!$A$5:$A$46,0))</f>
        <v/>
      </c>
      <c r="I300" s="60">
        <f>INDEX('个人技术总览'!$G$5:$G$46,MATCH($A300,'个人技术总览'!$A$5:$A$46,0))</f>
        <v/>
      </c>
      <c r="J300" s="59">
        <f>INDEX('个人技术总览'!$H$5:$H$46,MATCH($A300,'个人技术总览'!$A$5:$A$46,0))</f>
        <v/>
      </c>
      <c r="K300" s="60">
        <f>INDEX('个人技术总览'!$I$5:$I$46,MATCH($A300,'个人技术总览'!$A$5:$A$46,0))</f>
        <v/>
      </c>
      <c r="L300" s="67">
        <f>H300+V300+IF(E300=G300-1,MAX(0,P300-H300*G300-SUMIFS($V$5:$V$589,$A$5:$A$589,$A300)),0)</f>
        <v/>
      </c>
      <c r="M300" s="61">
        <f>MAX(1,ROUNDDOWN($L300/'参数与公式'!$B$5,0))</f>
        <v/>
      </c>
      <c r="N300" s="67">
        <f>J300+Y300+IF(E300=G300-1,MAX(0,R300-J300*G300-SUMIFS($Y$5:$Y$589,$A$5:$A$589,$A300)),0)</f>
        <v/>
      </c>
      <c r="O300" s="18" t="inlineStr">
        <is>
          <t>data/technology_templates.yaml; upgrade_profiles.martial; code: technology_rules.allocate_upgrade_budget</t>
        </is>
      </c>
      <c r="P300" s="67">
        <f>INDEX('个人技术总览'!$O$5:$O$46,MATCH($A300,'个人技术总览'!$A$5:$A$46,0))</f>
        <v/>
      </c>
      <c r="Q300" s="64">
        <f>INDEX('个人技术总览'!$P$5:$P$46,MATCH($A300,'个人技术总览'!$A$5:$A$46,0))</f>
        <v/>
      </c>
      <c r="R300" s="67">
        <f>INDEX('个人技术总览'!$Q$5:$Q$46,MATCH($A300,'个人技术总览'!$A$5:$A$46,0))</f>
        <v/>
      </c>
      <c r="S300" s="64">
        <f>INDEX('个人技术总览'!$R$5:$R$46,MATCH($A300,'个人技术总览'!$A$5:$A$46,0))</f>
        <v/>
      </c>
      <c r="T300" s="68">
        <f>POWER($Q300,$E300)</f>
        <v/>
      </c>
      <c r="U300" s="68">
        <f>SUMIFS($T$5:$T$589,$A$5:$A$589,$A300)</f>
        <v/>
      </c>
      <c r="V300" s="67">
        <f>ROUNDDOWN(MAX(0,$P300-$H300*$G300)*$T300/MAX(1,$U300),0)</f>
        <v/>
      </c>
      <c r="W300" s="68">
        <f>POWER($S300,$E300)</f>
        <v/>
      </c>
      <c r="X300" s="68">
        <f>SUMIFS($W$5:$W$589,$A$5:$A$589,$A300)</f>
        <v/>
      </c>
      <c r="Y300" s="67">
        <f>ROUNDDOWN(MAX(0,$R300-$J300*$G300)*$W300/MAX(1,$X300),0)</f>
        <v/>
      </c>
    </row>
    <row r="301">
      <c r="A301" s="17" t="inlineStr">
        <is>
          <t>dao_hp</t>
        </is>
      </c>
      <c r="B301" s="18" t="inlineStr">
        <is>
          <t>蓄日回元</t>
        </is>
      </c>
      <c r="C301" s="18" t="inlineStr">
        <is>
          <t>武艺技术</t>
        </is>
      </c>
      <c r="D301" s="18" t="inlineStr">
        <is>
          <t>刀类</t>
        </is>
      </c>
      <c r="E301" s="65" t="n">
        <v>6</v>
      </c>
      <c r="F301" s="66">
        <f>E301+1</f>
        <v/>
      </c>
      <c r="G301" s="65">
        <f>INDEX('个人技术总览'!$E$5:$E$46,MATCH($A301,'个人技术总览'!$A$5:$A$46,0))</f>
        <v/>
      </c>
      <c r="H301" s="59">
        <f>INDEX('个人技术总览'!$F$5:$F$46,MATCH($A301,'个人技术总览'!$A$5:$A$46,0))</f>
        <v/>
      </c>
      <c r="I301" s="60">
        <f>INDEX('个人技术总览'!$G$5:$G$46,MATCH($A301,'个人技术总览'!$A$5:$A$46,0))</f>
        <v/>
      </c>
      <c r="J301" s="59">
        <f>INDEX('个人技术总览'!$H$5:$H$46,MATCH($A301,'个人技术总览'!$A$5:$A$46,0))</f>
        <v/>
      </c>
      <c r="K301" s="60">
        <f>INDEX('个人技术总览'!$I$5:$I$46,MATCH($A301,'个人技术总览'!$A$5:$A$46,0))</f>
        <v/>
      </c>
      <c r="L301" s="67">
        <f>H301+V301+IF(E301=G301-1,MAX(0,P301-H301*G301-SUMIFS($V$5:$V$589,$A$5:$A$589,$A301)),0)</f>
        <v/>
      </c>
      <c r="M301" s="61">
        <f>MAX(1,ROUNDDOWN($L301/'参数与公式'!$B$5,0))</f>
        <v/>
      </c>
      <c r="N301" s="67">
        <f>J301+Y301+IF(E301=G301-1,MAX(0,R301-J301*G301-SUMIFS($Y$5:$Y$589,$A$5:$A$589,$A301)),0)</f>
        <v/>
      </c>
      <c r="O301" s="18" t="inlineStr">
        <is>
          <t>data/technology_templates.yaml; upgrade_profiles.martial; code: technology_rules.allocate_upgrade_budget</t>
        </is>
      </c>
      <c r="P301" s="67">
        <f>INDEX('个人技术总览'!$O$5:$O$46,MATCH($A301,'个人技术总览'!$A$5:$A$46,0))</f>
        <v/>
      </c>
      <c r="Q301" s="64">
        <f>INDEX('个人技术总览'!$P$5:$P$46,MATCH($A301,'个人技术总览'!$A$5:$A$46,0))</f>
        <v/>
      </c>
      <c r="R301" s="67">
        <f>INDEX('个人技术总览'!$Q$5:$Q$46,MATCH($A301,'个人技术总览'!$A$5:$A$46,0))</f>
        <v/>
      </c>
      <c r="S301" s="64">
        <f>INDEX('个人技术总览'!$R$5:$R$46,MATCH($A301,'个人技术总览'!$A$5:$A$46,0))</f>
        <v/>
      </c>
      <c r="T301" s="68">
        <f>POWER($Q301,$E301)</f>
        <v/>
      </c>
      <c r="U301" s="68">
        <f>SUMIFS($T$5:$T$589,$A$5:$A$589,$A301)</f>
        <v/>
      </c>
      <c r="V301" s="67">
        <f>ROUNDDOWN(MAX(0,$P301-$H301*$G301)*$T301/MAX(1,$U301),0)</f>
        <v/>
      </c>
      <c r="W301" s="68">
        <f>POWER($S301,$E301)</f>
        <v/>
      </c>
      <c r="X301" s="68">
        <f>SUMIFS($W$5:$W$589,$A$5:$A$589,$A301)</f>
        <v/>
      </c>
      <c r="Y301" s="67">
        <f>ROUNDDOWN(MAX(0,$R301-$J301*$G301)*$W301/MAX(1,$X301),0)</f>
        <v/>
      </c>
    </row>
    <row r="302">
      <c r="A302" s="17" t="inlineStr">
        <is>
          <t>dao_hp</t>
        </is>
      </c>
      <c r="B302" s="18" t="inlineStr">
        <is>
          <t>蓄日回元</t>
        </is>
      </c>
      <c r="C302" s="18" t="inlineStr">
        <is>
          <t>武艺技术</t>
        </is>
      </c>
      <c r="D302" s="18" t="inlineStr">
        <is>
          <t>刀类</t>
        </is>
      </c>
      <c r="E302" s="65" t="n">
        <v>7</v>
      </c>
      <c r="F302" s="66">
        <f>E302+1</f>
        <v/>
      </c>
      <c r="G302" s="65">
        <f>INDEX('个人技术总览'!$E$5:$E$46,MATCH($A302,'个人技术总览'!$A$5:$A$46,0))</f>
        <v/>
      </c>
      <c r="H302" s="59">
        <f>INDEX('个人技术总览'!$F$5:$F$46,MATCH($A302,'个人技术总览'!$A$5:$A$46,0))</f>
        <v/>
      </c>
      <c r="I302" s="60">
        <f>INDEX('个人技术总览'!$G$5:$G$46,MATCH($A302,'个人技术总览'!$A$5:$A$46,0))</f>
        <v/>
      </c>
      <c r="J302" s="59">
        <f>INDEX('个人技术总览'!$H$5:$H$46,MATCH($A302,'个人技术总览'!$A$5:$A$46,0))</f>
        <v/>
      </c>
      <c r="K302" s="60">
        <f>INDEX('个人技术总览'!$I$5:$I$46,MATCH($A302,'个人技术总览'!$A$5:$A$46,0))</f>
        <v/>
      </c>
      <c r="L302" s="67">
        <f>H302+V302+IF(E302=G302-1,MAX(0,P302-H302*G302-SUMIFS($V$5:$V$589,$A$5:$A$589,$A302)),0)</f>
        <v/>
      </c>
      <c r="M302" s="61">
        <f>MAX(1,ROUNDDOWN($L302/'参数与公式'!$B$5,0))</f>
        <v/>
      </c>
      <c r="N302" s="67">
        <f>J302+Y302+IF(E302=G302-1,MAX(0,R302-J302*G302-SUMIFS($Y$5:$Y$589,$A$5:$A$589,$A302)),0)</f>
        <v/>
      </c>
      <c r="O302" s="18" t="inlineStr">
        <is>
          <t>data/technology_templates.yaml; upgrade_profiles.martial; code: technology_rules.allocate_upgrade_budget</t>
        </is>
      </c>
      <c r="P302" s="67">
        <f>INDEX('个人技术总览'!$O$5:$O$46,MATCH($A302,'个人技术总览'!$A$5:$A$46,0))</f>
        <v/>
      </c>
      <c r="Q302" s="64">
        <f>INDEX('个人技术总览'!$P$5:$P$46,MATCH($A302,'个人技术总览'!$A$5:$A$46,0))</f>
        <v/>
      </c>
      <c r="R302" s="67">
        <f>INDEX('个人技术总览'!$Q$5:$Q$46,MATCH($A302,'个人技术总览'!$A$5:$A$46,0))</f>
        <v/>
      </c>
      <c r="S302" s="64">
        <f>INDEX('个人技术总览'!$R$5:$R$46,MATCH($A302,'个人技术总览'!$A$5:$A$46,0))</f>
        <v/>
      </c>
      <c r="T302" s="68">
        <f>POWER($Q302,$E302)</f>
        <v/>
      </c>
      <c r="U302" s="68">
        <f>SUMIFS($T$5:$T$589,$A$5:$A$589,$A302)</f>
        <v/>
      </c>
      <c r="V302" s="67">
        <f>ROUNDDOWN(MAX(0,$P302-$H302*$G302)*$T302/MAX(1,$U302),0)</f>
        <v/>
      </c>
      <c r="W302" s="68">
        <f>POWER($S302,$E302)</f>
        <v/>
      </c>
      <c r="X302" s="68">
        <f>SUMIFS($W$5:$W$589,$A$5:$A$589,$A302)</f>
        <v/>
      </c>
      <c r="Y302" s="67">
        <f>ROUNDDOWN(MAX(0,$R302-$J302*$G302)*$W302/MAX(1,$X302),0)</f>
        <v/>
      </c>
    </row>
    <row r="303">
      <c r="A303" s="17" t="inlineStr">
        <is>
          <t>dao_hp</t>
        </is>
      </c>
      <c r="B303" s="18" t="inlineStr">
        <is>
          <t>蓄日回元</t>
        </is>
      </c>
      <c r="C303" s="18" t="inlineStr">
        <is>
          <t>武艺技术</t>
        </is>
      </c>
      <c r="D303" s="18" t="inlineStr">
        <is>
          <t>刀类</t>
        </is>
      </c>
      <c r="E303" s="65" t="n">
        <v>8</v>
      </c>
      <c r="F303" s="66">
        <f>E303+1</f>
        <v/>
      </c>
      <c r="G303" s="65">
        <f>INDEX('个人技术总览'!$E$5:$E$46,MATCH($A303,'个人技术总览'!$A$5:$A$46,0))</f>
        <v/>
      </c>
      <c r="H303" s="59">
        <f>INDEX('个人技术总览'!$F$5:$F$46,MATCH($A303,'个人技术总览'!$A$5:$A$46,0))</f>
        <v/>
      </c>
      <c r="I303" s="60">
        <f>INDEX('个人技术总览'!$G$5:$G$46,MATCH($A303,'个人技术总览'!$A$5:$A$46,0))</f>
        <v/>
      </c>
      <c r="J303" s="59">
        <f>INDEX('个人技术总览'!$H$5:$H$46,MATCH($A303,'个人技术总览'!$A$5:$A$46,0))</f>
        <v/>
      </c>
      <c r="K303" s="60">
        <f>INDEX('个人技术总览'!$I$5:$I$46,MATCH($A303,'个人技术总览'!$A$5:$A$46,0))</f>
        <v/>
      </c>
      <c r="L303" s="67">
        <f>H303+V303+IF(E303=G303-1,MAX(0,P303-H303*G303-SUMIFS($V$5:$V$589,$A$5:$A$589,$A303)),0)</f>
        <v/>
      </c>
      <c r="M303" s="61">
        <f>MAX(1,ROUNDDOWN($L303/'参数与公式'!$B$5,0))</f>
        <v/>
      </c>
      <c r="N303" s="67">
        <f>J303+Y303+IF(E303=G303-1,MAX(0,R303-J303*G303-SUMIFS($Y$5:$Y$589,$A$5:$A$589,$A303)),0)</f>
        <v/>
      </c>
      <c r="O303" s="18" t="inlineStr">
        <is>
          <t>data/technology_templates.yaml; upgrade_profiles.martial; code: technology_rules.allocate_upgrade_budget</t>
        </is>
      </c>
      <c r="P303" s="67">
        <f>INDEX('个人技术总览'!$O$5:$O$46,MATCH($A303,'个人技术总览'!$A$5:$A$46,0))</f>
        <v/>
      </c>
      <c r="Q303" s="64">
        <f>INDEX('个人技术总览'!$P$5:$P$46,MATCH($A303,'个人技术总览'!$A$5:$A$46,0))</f>
        <v/>
      </c>
      <c r="R303" s="67">
        <f>INDEX('个人技术总览'!$Q$5:$Q$46,MATCH($A303,'个人技术总览'!$A$5:$A$46,0))</f>
        <v/>
      </c>
      <c r="S303" s="64">
        <f>INDEX('个人技术总览'!$R$5:$R$46,MATCH($A303,'个人技术总览'!$A$5:$A$46,0))</f>
        <v/>
      </c>
      <c r="T303" s="68">
        <f>POWER($Q303,$E303)</f>
        <v/>
      </c>
      <c r="U303" s="68">
        <f>SUMIFS($T$5:$T$589,$A$5:$A$589,$A303)</f>
        <v/>
      </c>
      <c r="V303" s="67">
        <f>ROUNDDOWN(MAX(0,$P303-$H303*$G303)*$T303/MAX(1,$U303),0)</f>
        <v/>
      </c>
      <c r="W303" s="68">
        <f>POWER($S303,$E303)</f>
        <v/>
      </c>
      <c r="X303" s="68">
        <f>SUMIFS($W$5:$W$589,$A$5:$A$589,$A303)</f>
        <v/>
      </c>
      <c r="Y303" s="67">
        <f>ROUNDDOWN(MAX(0,$R303-$J303*$G303)*$W303/MAX(1,$X303),0)</f>
        <v/>
      </c>
    </row>
    <row r="304">
      <c r="A304" s="17" t="inlineStr">
        <is>
          <t>dao_hp</t>
        </is>
      </c>
      <c r="B304" s="18" t="inlineStr">
        <is>
          <t>蓄日回元</t>
        </is>
      </c>
      <c r="C304" s="18" t="inlineStr">
        <is>
          <t>武艺技术</t>
        </is>
      </c>
      <c r="D304" s="18" t="inlineStr">
        <is>
          <t>刀类</t>
        </is>
      </c>
      <c r="E304" s="65" t="n">
        <v>9</v>
      </c>
      <c r="F304" s="66">
        <f>E304+1</f>
        <v/>
      </c>
      <c r="G304" s="65">
        <f>INDEX('个人技术总览'!$E$5:$E$46,MATCH($A304,'个人技术总览'!$A$5:$A$46,0))</f>
        <v/>
      </c>
      <c r="H304" s="59">
        <f>INDEX('个人技术总览'!$F$5:$F$46,MATCH($A304,'个人技术总览'!$A$5:$A$46,0))</f>
        <v/>
      </c>
      <c r="I304" s="60">
        <f>INDEX('个人技术总览'!$G$5:$G$46,MATCH($A304,'个人技术总览'!$A$5:$A$46,0))</f>
        <v/>
      </c>
      <c r="J304" s="59">
        <f>INDEX('个人技术总览'!$H$5:$H$46,MATCH($A304,'个人技术总览'!$A$5:$A$46,0))</f>
        <v/>
      </c>
      <c r="K304" s="60">
        <f>INDEX('个人技术总览'!$I$5:$I$46,MATCH($A304,'个人技术总览'!$A$5:$A$46,0))</f>
        <v/>
      </c>
      <c r="L304" s="67">
        <f>H304+V304+IF(E304=G304-1,MAX(0,P304-H304*G304-SUMIFS($V$5:$V$589,$A$5:$A$589,$A304)),0)</f>
        <v/>
      </c>
      <c r="M304" s="61">
        <f>MAX(1,ROUNDDOWN($L304/'参数与公式'!$B$5,0))</f>
        <v/>
      </c>
      <c r="N304" s="67">
        <f>J304+Y304+IF(E304=G304-1,MAX(0,R304-J304*G304-SUMIFS($Y$5:$Y$589,$A$5:$A$589,$A304)),0)</f>
        <v/>
      </c>
      <c r="O304" s="18" t="inlineStr">
        <is>
          <t>data/technology_templates.yaml; upgrade_profiles.martial; code: technology_rules.allocate_upgrade_budget</t>
        </is>
      </c>
      <c r="P304" s="67">
        <f>INDEX('个人技术总览'!$O$5:$O$46,MATCH($A304,'个人技术总览'!$A$5:$A$46,0))</f>
        <v/>
      </c>
      <c r="Q304" s="64">
        <f>INDEX('个人技术总览'!$P$5:$P$46,MATCH($A304,'个人技术总览'!$A$5:$A$46,0))</f>
        <v/>
      </c>
      <c r="R304" s="67">
        <f>INDEX('个人技术总览'!$Q$5:$Q$46,MATCH($A304,'个人技术总览'!$A$5:$A$46,0))</f>
        <v/>
      </c>
      <c r="S304" s="64">
        <f>INDEX('个人技术总览'!$R$5:$R$46,MATCH($A304,'个人技术总览'!$A$5:$A$46,0))</f>
        <v/>
      </c>
      <c r="T304" s="68">
        <f>POWER($Q304,$E304)</f>
        <v/>
      </c>
      <c r="U304" s="68">
        <f>SUMIFS($T$5:$T$589,$A$5:$A$589,$A304)</f>
        <v/>
      </c>
      <c r="V304" s="67">
        <f>ROUNDDOWN(MAX(0,$P304-$H304*$G304)*$T304/MAX(1,$U304),0)</f>
        <v/>
      </c>
      <c r="W304" s="68">
        <f>POWER($S304,$E304)</f>
        <v/>
      </c>
      <c r="X304" s="68">
        <f>SUMIFS($W$5:$W$589,$A$5:$A$589,$A304)</f>
        <v/>
      </c>
      <c r="Y304" s="67">
        <f>ROUNDDOWN(MAX(0,$R304-$J304*$G304)*$W304/MAX(1,$X304),0)</f>
        <v/>
      </c>
    </row>
    <row r="305">
      <c r="A305" s="17" t="inlineStr">
        <is>
          <t>dao_double_strike</t>
        </is>
      </c>
      <c r="B305" s="18" t="inlineStr">
        <is>
          <t>狂狼必杀</t>
        </is>
      </c>
      <c r="C305" s="18" t="inlineStr">
        <is>
          <t>武艺技术</t>
        </is>
      </c>
      <c r="D305" s="18" t="inlineStr">
        <is>
          <t>刀类</t>
        </is>
      </c>
      <c r="E305" s="65" t="n">
        <v>0</v>
      </c>
      <c r="F305" s="66">
        <f>E305+1</f>
        <v/>
      </c>
      <c r="G305" s="65">
        <f>INDEX('个人技术总览'!$E$5:$E$46,MATCH($A305,'个人技术总览'!$A$5:$A$46,0))</f>
        <v/>
      </c>
      <c r="H305" s="59">
        <f>INDEX('个人技术总览'!$F$5:$F$46,MATCH($A305,'个人技术总览'!$A$5:$A$46,0))</f>
        <v/>
      </c>
      <c r="I305" s="60">
        <f>INDEX('个人技术总览'!$G$5:$G$46,MATCH($A305,'个人技术总览'!$A$5:$A$46,0))</f>
        <v/>
      </c>
      <c r="J305" s="59">
        <f>INDEX('个人技术总览'!$H$5:$H$46,MATCH($A305,'个人技术总览'!$A$5:$A$46,0))</f>
        <v/>
      </c>
      <c r="K305" s="60">
        <f>INDEX('个人技术总览'!$I$5:$I$46,MATCH($A305,'个人技术总览'!$A$5:$A$46,0))</f>
        <v/>
      </c>
      <c r="L305" s="67">
        <f>H305+V305+IF(E305=G305-1,MAX(0,P305-H305*G305-SUMIFS($V$5:$V$589,$A$5:$A$589,$A305)),0)</f>
        <v/>
      </c>
      <c r="M305" s="61">
        <f>MAX(1,ROUNDDOWN($L305/'参数与公式'!$B$5,0))</f>
        <v/>
      </c>
      <c r="N305" s="67">
        <f>J305+Y305+IF(E305=G305-1,MAX(0,R305-J305*G305-SUMIFS($Y$5:$Y$589,$A$5:$A$589,$A305)),0)</f>
        <v/>
      </c>
      <c r="O305" s="18" t="inlineStr">
        <is>
          <t>data/technology_templates.yaml; upgrade_profiles.martial; code: technology_rules.allocate_upgrade_budget</t>
        </is>
      </c>
      <c r="P305" s="67">
        <f>INDEX('个人技术总览'!$O$5:$O$46,MATCH($A305,'个人技术总览'!$A$5:$A$46,0))</f>
        <v/>
      </c>
      <c r="Q305" s="64">
        <f>INDEX('个人技术总览'!$P$5:$P$46,MATCH($A305,'个人技术总览'!$A$5:$A$46,0))</f>
        <v/>
      </c>
      <c r="R305" s="67">
        <f>INDEX('个人技术总览'!$Q$5:$Q$46,MATCH($A305,'个人技术总览'!$A$5:$A$46,0))</f>
        <v/>
      </c>
      <c r="S305" s="64">
        <f>INDEX('个人技术总览'!$R$5:$R$46,MATCH($A305,'个人技术总览'!$A$5:$A$46,0))</f>
        <v/>
      </c>
      <c r="T305" s="68">
        <f>POWER($Q305,$E305)</f>
        <v/>
      </c>
      <c r="U305" s="68">
        <f>SUMIFS($T$5:$T$589,$A$5:$A$589,$A305)</f>
        <v/>
      </c>
      <c r="V305" s="67">
        <f>ROUNDDOWN(MAX(0,$P305-$H305*$G305)*$T305/MAX(1,$U305),0)</f>
        <v/>
      </c>
      <c r="W305" s="68">
        <f>POWER($S305,$E305)</f>
        <v/>
      </c>
      <c r="X305" s="68">
        <f>SUMIFS($W$5:$W$589,$A$5:$A$589,$A305)</f>
        <v/>
      </c>
      <c r="Y305" s="67">
        <f>ROUNDDOWN(MAX(0,$R305-$J305*$G305)*$W305/MAX(1,$X305),0)</f>
        <v/>
      </c>
    </row>
    <row r="306">
      <c r="A306" s="17" t="inlineStr">
        <is>
          <t>dao_double_strike</t>
        </is>
      </c>
      <c r="B306" s="18" t="inlineStr">
        <is>
          <t>狂狼必杀</t>
        </is>
      </c>
      <c r="C306" s="18" t="inlineStr">
        <is>
          <t>武艺技术</t>
        </is>
      </c>
      <c r="D306" s="18" t="inlineStr">
        <is>
          <t>刀类</t>
        </is>
      </c>
      <c r="E306" s="65" t="n">
        <v>1</v>
      </c>
      <c r="F306" s="66">
        <f>E306+1</f>
        <v/>
      </c>
      <c r="G306" s="65">
        <f>INDEX('个人技术总览'!$E$5:$E$46,MATCH($A306,'个人技术总览'!$A$5:$A$46,0))</f>
        <v/>
      </c>
      <c r="H306" s="59">
        <f>INDEX('个人技术总览'!$F$5:$F$46,MATCH($A306,'个人技术总览'!$A$5:$A$46,0))</f>
        <v/>
      </c>
      <c r="I306" s="60">
        <f>INDEX('个人技术总览'!$G$5:$G$46,MATCH($A306,'个人技术总览'!$A$5:$A$46,0))</f>
        <v/>
      </c>
      <c r="J306" s="59">
        <f>INDEX('个人技术总览'!$H$5:$H$46,MATCH($A306,'个人技术总览'!$A$5:$A$46,0))</f>
        <v/>
      </c>
      <c r="K306" s="60">
        <f>INDEX('个人技术总览'!$I$5:$I$46,MATCH($A306,'个人技术总览'!$A$5:$A$46,0))</f>
        <v/>
      </c>
      <c r="L306" s="67">
        <f>H306+V306+IF(E306=G306-1,MAX(0,P306-H306*G306-SUMIFS($V$5:$V$589,$A$5:$A$589,$A306)),0)</f>
        <v/>
      </c>
      <c r="M306" s="61">
        <f>MAX(1,ROUNDDOWN($L306/'参数与公式'!$B$5,0))</f>
        <v/>
      </c>
      <c r="N306" s="67">
        <f>J306+Y306+IF(E306=G306-1,MAX(0,R306-J306*G306-SUMIFS($Y$5:$Y$589,$A$5:$A$589,$A306)),0)</f>
        <v/>
      </c>
      <c r="O306" s="18" t="inlineStr">
        <is>
          <t>data/technology_templates.yaml; upgrade_profiles.martial; code: technology_rules.allocate_upgrade_budget</t>
        </is>
      </c>
      <c r="P306" s="67">
        <f>INDEX('个人技术总览'!$O$5:$O$46,MATCH($A306,'个人技术总览'!$A$5:$A$46,0))</f>
        <v/>
      </c>
      <c r="Q306" s="64">
        <f>INDEX('个人技术总览'!$P$5:$P$46,MATCH($A306,'个人技术总览'!$A$5:$A$46,0))</f>
        <v/>
      </c>
      <c r="R306" s="67">
        <f>INDEX('个人技术总览'!$Q$5:$Q$46,MATCH($A306,'个人技术总览'!$A$5:$A$46,0))</f>
        <v/>
      </c>
      <c r="S306" s="64">
        <f>INDEX('个人技术总览'!$R$5:$R$46,MATCH($A306,'个人技术总览'!$A$5:$A$46,0))</f>
        <v/>
      </c>
      <c r="T306" s="68">
        <f>POWER($Q306,$E306)</f>
        <v/>
      </c>
      <c r="U306" s="68">
        <f>SUMIFS($T$5:$T$589,$A$5:$A$589,$A306)</f>
        <v/>
      </c>
      <c r="V306" s="67">
        <f>ROUNDDOWN(MAX(0,$P306-$H306*$G306)*$T306/MAX(1,$U306),0)</f>
        <v/>
      </c>
      <c r="W306" s="68">
        <f>POWER($S306,$E306)</f>
        <v/>
      </c>
      <c r="X306" s="68">
        <f>SUMIFS($W$5:$W$589,$A$5:$A$589,$A306)</f>
        <v/>
      </c>
      <c r="Y306" s="67">
        <f>ROUNDDOWN(MAX(0,$R306-$J306*$G306)*$W306/MAX(1,$X306),0)</f>
        <v/>
      </c>
    </row>
    <row r="307">
      <c r="A307" s="17" t="inlineStr">
        <is>
          <t>dao_double_strike</t>
        </is>
      </c>
      <c r="B307" s="18" t="inlineStr">
        <is>
          <t>狂狼必杀</t>
        </is>
      </c>
      <c r="C307" s="18" t="inlineStr">
        <is>
          <t>武艺技术</t>
        </is>
      </c>
      <c r="D307" s="18" t="inlineStr">
        <is>
          <t>刀类</t>
        </is>
      </c>
      <c r="E307" s="65" t="n">
        <v>2</v>
      </c>
      <c r="F307" s="66">
        <f>E307+1</f>
        <v/>
      </c>
      <c r="G307" s="65">
        <f>INDEX('个人技术总览'!$E$5:$E$46,MATCH($A307,'个人技术总览'!$A$5:$A$46,0))</f>
        <v/>
      </c>
      <c r="H307" s="59">
        <f>INDEX('个人技术总览'!$F$5:$F$46,MATCH($A307,'个人技术总览'!$A$5:$A$46,0))</f>
        <v/>
      </c>
      <c r="I307" s="60">
        <f>INDEX('个人技术总览'!$G$5:$G$46,MATCH($A307,'个人技术总览'!$A$5:$A$46,0))</f>
        <v/>
      </c>
      <c r="J307" s="59">
        <f>INDEX('个人技术总览'!$H$5:$H$46,MATCH($A307,'个人技术总览'!$A$5:$A$46,0))</f>
        <v/>
      </c>
      <c r="K307" s="60">
        <f>INDEX('个人技术总览'!$I$5:$I$46,MATCH($A307,'个人技术总览'!$A$5:$A$46,0))</f>
        <v/>
      </c>
      <c r="L307" s="67">
        <f>H307+V307+IF(E307=G307-1,MAX(0,P307-H307*G307-SUMIFS($V$5:$V$589,$A$5:$A$589,$A307)),0)</f>
        <v/>
      </c>
      <c r="M307" s="61">
        <f>MAX(1,ROUNDDOWN($L307/'参数与公式'!$B$5,0))</f>
        <v/>
      </c>
      <c r="N307" s="67">
        <f>J307+Y307+IF(E307=G307-1,MAX(0,R307-J307*G307-SUMIFS($Y$5:$Y$589,$A$5:$A$589,$A307)),0)</f>
        <v/>
      </c>
      <c r="O307" s="18" t="inlineStr">
        <is>
          <t>data/technology_templates.yaml; upgrade_profiles.martial; code: technology_rules.allocate_upgrade_budget</t>
        </is>
      </c>
      <c r="P307" s="67">
        <f>INDEX('个人技术总览'!$O$5:$O$46,MATCH($A307,'个人技术总览'!$A$5:$A$46,0))</f>
        <v/>
      </c>
      <c r="Q307" s="64">
        <f>INDEX('个人技术总览'!$P$5:$P$46,MATCH($A307,'个人技术总览'!$A$5:$A$46,0))</f>
        <v/>
      </c>
      <c r="R307" s="67">
        <f>INDEX('个人技术总览'!$Q$5:$Q$46,MATCH($A307,'个人技术总览'!$A$5:$A$46,0))</f>
        <v/>
      </c>
      <c r="S307" s="64">
        <f>INDEX('个人技术总览'!$R$5:$R$46,MATCH($A307,'个人技术总览'!$A$5:$A$46,0))</f>
        <v/>
      </c>
      <c r="T307" s="68">
        <f>POWER($Q307,$E307)</f>
        <v/>
      </c>
      <c r="U307" s="68">
        <f>SUMIFS($T$5:$T$589,$A$5:$A$589,$A307)</f>
        <v/>
      </c>
      <c r="V307" s="67">
        <f>ROUNDDOWN(MAX(0,$P307-$H307*$G307)*$T307/MAX(1,$U307),0)</f>
        <v/>
      </c>
      <c r="W307" s="68">
        <f>POWER($S307,$E307)</f>
        <v/>
      </c>
      <c r="X307" s="68">
        <f>SUMIFS($W$5:$W$589,$A$5:$A$589,$A307)</f>
        <v/>
      </c>
      <c r="Y307" s="67">
        <f>ROUNDDOWN(MAX(0,$R307-$J307*$G307)*$W307/MAX(1,$X307),0)</f>
        <v/>
      </c>
    </row>
    <row r="308">
      <c r="A308" s="17" t="inlineStr">
        <is>
          <t>dao_double_strike</t>
        </is>
      </c>
      <c r="B308" s="18" t="inlineStr">
        <is>
          <t>狂狼必杀</t>
        </is>
      </c>
      <c r="C308" s="18" t="inlineStr">
        <is>
          <t>武艺技术</t>
        </is>
      </c>
      <c r="D308" s="18" t="inlineStr">
        <is>
          <t>刀类</t>
        </is>
      </c>
      <c r="E308" s="65" t="n">
        <v>3</v>
      </c>
      <c r="F308" s="66">
        <f>E308+1</f>
        <v/>
      </c>
      <c r="G308" s="65">
        <f>INDEX('个人技术总览'!$E$5:$E$46,MATCH($A308,'个人技术总览'!$A$5:$A$46,0))</f>
        <v/>
      </c>
      <c r="H308" s="59">
        <f>INDEX('个人技术总览'!$F$5:$F$46,MATCH($A308,'个人技术总览'!$A$5:$A$46,0))</f>
        <v/>
      </c>
      <c r="I308" s="60">
        <f>INDEX('个人技术总览'!$G$5:$G$46,MATCH($A308,'个人技术总览'!$A$5:$A$46,0))</f>
        <v/>
      </c>
      <c r="J308" s="59">
        <f>INDEX('个人技术总览'!$H$5:$H$46,MATCH($A308,'个人技术总览'!$A$5:$A$46,0))</f>
        <v/>
      </c>
      <c r="K308" s="60">
        <f>INDEX('个人技术总览'!$I$5:$I$46,MATCH($A308,'个人技术总览'!$A$5:$A$46,0))</f>
        <v/>
      </c>
      <c r="L308" s="67">
        <f>H308+V308+IF(E308=G308-1,MAX(0,P308-H308*G308-SUMIFS($V$5:$V$589,$A$5:$A$589,$A308)),0)</f>
        <v/>
      </c>
      <c r="M308" s="61">
        <f>MAX(1,ROUNDDOWN($L308/'参数与公式'!$B$5,0))</f>
        <v/>
      </c>
      <c r="N308" s="67">
        <f>J308+Y308+IF(E308=G308-1,MAX(0,R308-J308*G308-SUMIFS($Y$5:$Y$589,$A$5:$A$589,$A308)),0)</f>
        <v/>
      </c>
      <c r="O308" s="18" t="inlineStr">
        <is>
          <t>data/technology_templates.yaml; upgrade_profiles.martial; code: technology_rules.allocate_upgrade_budget</t>
        </is>
      </c>
      <c r="P308" s="67">
        <f>INDEX('个人技术总览'!$O$5:$O$46,MATCH($A308,'个人技术总览'!$A$5:$A$46,0))</f>
        <v/>
      </c>
      <c r="Q308" s="64">
        <f>INDEX('个人技术总览'!$P$5:$P$46,MATCH($A308,'个人技术总览'!$A$5:$A$46,0))</f>
        <v/>
      </c>
      <c r="R308" s="67">
        <f>INDEX('个人技术总览'!$Q$5:$Q$46,MATCH($A308,'个人技术总览'!$A$5:$A$46,0))</f>
        <v/>
      </c>
      <c r="S308" s="64">
        <f>INDEX('个人技术总览'!$R$5:$R$46,MATCH($A308,'个人技术总览'!$A$5:$A$46,0))</f>
        <v/>
      </c>
      <c r="T308" s="68">
        <f>POWER($Q308,$E308)</f>
        <v/>
      </c>
      <c r="U308" s="68">
        <f>SUMIFS($T$5:$T$589,$A$5:$A$589,$A308)</f>
        <v/>
      </c>
      <c r="V308" s="67">
        <f>ROUNDDOWN(MAX(0,$P308-$H308*$G308)*$T308/MAX(1,$U308),0)</f>
        <v/>
      </c>
      <c r="W308" s="68">
        <f>POWER($S308,$E308)</f>
        <v/>
      </c>
      <c r="X308" s="68">
        <f>SUMIFS($W$5:$W$589,$A$5:$A$589,$A308)</f>
        <v/>
      </c>
      <c r="Y308" s="67">
        <f>ROUNDDOWN(MAX(0,$R308-$J308*$G308)*$W308/MAX(1,$X308),0)</f>
        <v/>
      </c>
    </row>
    <row r="309">
      <c r="A309" s="17" t="inlineStr">
        <is>
          <t>dao_double_strike</t>
        </is>
      </c>
      <c r="B309" s="18" t="inlineStr">
        <is>
          <t>狂狼必杀</t>
        </is>
      </c>
      <c r="C309" s="18" t="inlineStr">
        <is>
          <t>武艺技术</t>
        </is>
      </c>
      <c r="D309" s="18" t="inlineStr">
        <is>
          <t>刀类</t>
        </is>
      </c>
      <c r="E309" s="65" t="n">
        <v>4</v>
      </c>
      <c r="F309" s="66">
        <f>E309+1</f>
        <v/>
      </c>
      <c r="G309" s="65">
        <f>INDEX('个人技术总览'!$E$5:$E$46,MATCH($A309,'个人技术总览'!$A$5:$A$46,0))</f>
        <v/>
      </c>
      <c r="H309" s="59">
        <f>INDEX('个人技术总览'!$F$5:$F$46,MATCH($A309,'个人技术总览'!$A$5:$A$46,0))</f>
        <v/>
      </c>
      <c r="I309" s="60">
        <f>INDEX('个人技术总览'!$G$5:$G$46,MATCH($A309,'个人技术总览'!$A$5:$A$46,0))</f>
        <v/>
      </c>
      <c r="J309" s="59">
        <f>INDEX('个人技术总览'!$H$5:$H$46,MATCH($A309,'个人技术总览'!$A$5:$A$46,0))</f>
        <v/>
      </c>
      <c r="K309" s="60">
        <f>INDEX('个人技术总览'!$I$5:$I$46,MATCH($A309,'个人技术总览'!$A$5:$A$46,0))</f>
        <v/>
      </c>
      <c r="L309" s="67">
        <f>H309+V309+IF(E309=G309-1,MAX(0,P309-H309*G309-SUMIFS($V$5:$V$589,$A$5:$A$589,$A309)),0)</f>
        <v/>
      </c>
      <c r="M309" s="61">
        <f>MAX(1,ROUNDDOWN($L309/'参数与公式'!$B$5,0))</f>
        <v/>
      </c>
      <c r="N309" s="67">
        <f>J309+Y309+IF(E309=G309-1,MAX(0,R309-J309*G309-SUMIFS($Y$5:$Y$589,$A$5:$A$589,$A309)),0)</f>
        <v/>
      </c>
      <c r="O309" s="18" t="inlineStr">
        <is>
          <t>data/technology_templates.yaml; upgrade_profiles.martial; code: technology_rules.allocate_upgrade_budget</t>
        </is>
      </c>
      <c r="P309" s="67">
        <f>INDEX('个人技术总览'!$O$5:$O$46,MATCH($A309,'个人技术总览'!$A$5:$A$46,0))</f>
        <v/>
      </c>
      <c r="Q309" s="64">
        <f>INDEX('个人技术总览'!$P$5:$P$46,MATCH($A309,'个人技术总览'!$A$5:$A$46,0))</f>
        <v/>
      </c>
      <c r="R309" s="67">
        <f>INDEX('个人技术总览'!$Q$5:$Q$46,MATCH($A309,'个人技术总览'!$A$5:$A$46,0))</f>
        <v/>
      </c>
      <c r="S309" s="64">
        <f>INDEX('个人技术总览'!$R$5:$R$46,MATCH($A309,'个人技术总览'!$A$5:$A$46,0))</f>
        <v/>
      </c>
      <c r="T309" s="68">
        <f>POWER($Q309,$E309)</f>
        <v/>
      </c>
      <c r="U309" s="68">
        <f>SUMIFS($T$5:$T$589,$A$5:$A$589,$A309)</f>
        <v/>
      </c>
      <c r="V309" s="67">
        <f>ROUNDDOWN(MAX(0,$P309-$H309*$G309)*$T309/MAX(1,$U309),0)</f>
        <v/>
      </c>
      <c r="W309" s="68">
        <f>POWER($S309,$E309)</f>
        <v/>
      </c>
      <c r="X309" s="68">
        <f>SUMIFS($W$5:$W$589,$A$5:$A$589,$A309)</f>
        <v/>
      </c>
      <c r="Y309" s="67">
        <f>ROUNDDOWN(MAX(0,$R309-$J309*$G309)*$W309/MAX(1,$X309),0)</f>
        <v/>
      </c>
    </row>
    <row r="310">
      <c r="A310" s="17" t="inlineStr">
        <is>
          <t>qiang_attack</t>
        </is>
      </c>
      <c r="B310" s="18" t="inlineStr">
        <is>
          <t>破日枪法</t>
        </is>
      </c>
      <c r="C310" s="18" t="inlineStr">
        <is>
          <t>武艺技术</t>
        </is>
      </c>
      <c r="D310" s="18" t="inlineStr">
        <is>
          <t>枪类</t>
        </is>
      </c>
      <c r="E310" s="65" t="n">
        <v>0</v>
      </c>
      <c r="F310" s="66">
        <f>E310+1</f>
        <v/>
      </c>
      <c r="G310" s="65">
        <f>INDEX('个人技术总览'!$E$5:$E$46,MATCH($A310,'个人技术总览'!$A$5:$A$46,0))</f>
        <v/>
      </c>
      <c r="H310" s="59">
        <f>INDEX('个人技术总览'!$F$5:$F$46,MATCH($A310,'个人技术总览'!$A$5:$A$46,0))</f>
        <v/>
      </c>
      <c r="I310" s="60">
        <f>INDEX('个人技术总览'!$G$5:$G$46,MATCH($A310,'个人技术总览'!$A$5:$A$46,0))</f>
        <v/>
      </c>
      <c r="J310" s="59">
        <f>INDEX('个人技术总览'!$H$5:$H$46,MATCH($A310,'个人技术总览'!$A$5:$A$46,0))</f>
        <v/>
      </c>
      <c r="K310" s="60">
        <f>INDEX('个人技术总览'!$I$5:$I$46,MATCH($A310,'个人技术总览'!$A$5:$A$46,0))</f>
        <v/>
      </c>
      <c r="L310" s="67">
        <f>H310+V310+IF(E310=G310-1,MAX(0,P310-H310*G310-SUMIFS($V$5:$V$589,$A$5:$A$589,$A310)),0)</f>
        <v/>
      </c>
      <c r="M310" s="61">
        <f>MAX(1,ROUNDDOWN($L310/'参数与公式'!$B$5,0))</f>
        <v/>
      </c>
      <c r="N310" s="67">
        <f>J310+Y310+IF(E310=G310-1,MAX(0,R310-J310*G310-SUMIFS($Y$5:$Y$589,$A$5:$A$589,$A310)),0)</f>
        <v/>
      </c>
      <c r="O310" s="18" t="inlineStr">
        <is>
          <t>data/technology_templates.yaml; upgrade_profiles.martial; code: technology_rules.allocate_upgrade_budget</t>
        </is>
      </c>
      <c r="P310" s="67">
        <f>INDEX('个人技术总览'!$O$5:$O$46,MATCH($A310,'个人技术总览'!$A$5:$A$46,0))</f>
        <v/>
      </c>
      <c r="Q310" s="64">
        <f>INDEX('个人技术总览'!$P$5:$P$46,MATCH($A310,'个人技术总览'!$A$5:$A$46,0))</f>
        <v/>
      </c>
      <c r="R310" s="67">
        <f>INDEX('个人技术总览'!$Q$5:$Q$46,MATCH($A310,'个人技术总览'!$A$5:$A$46,0))</f>
        <v/>
      </c>
      <c r="S310" s="64">
        <f>INDEX('个人技术总览'!$R$5:$R$46,MATCH($A310,'个人技术总览'!$A$5:$A$46,0))</f>
        <v/>
      </c>
      <c r="T310" s="68">
        <f>POWER($Q310,$E310)</f>
        <v/>
      </c>
      <c r="U310" s="68">
        <f>SUMIFS($T$5:$T$589,$A$5:$A$589,$A310)</f>
        <v/>
      </c>
      <c r="V310" s="67">
        <f>ROUNDDOWN(MAX(0,$P310-$H310*$G310)*$T310/MAX(1,$U310),0)</f>
        <v/>
      </c>
      <c r="W310" s="68">
        <f>POWER($S310,$E310)</f>
        <v/>
      </c>
      <c r="X310" s="68">
        <f>SUMIFS($W$5:$W$589,$A$5:$A$589,$A310)</f>
        <v/>
      </c>
      <c r="Y310" s="67">
        <f>ROUNDDOWN(MAX(0,$R310-$J310*$G310)*$W310/MAX(1,$X310),0)</f>
        <v/>
      </c>
    </row>
    <row r="311">
      <c r="A311" s="17" t="inlineStr">
        <is>
          <t>qiang_attack</t>
        </is>
      </c>
      <c r="B311" s="18" t="inlineStr">
        <is>
          <t>破日枪法</t>
        </is>
      </c>
      <c r="C311" s="18" t="inlineStr">
        <is>
          <t>武艺技术</t>
        </is>
      </c>
      <c r="D311" s="18" t="inlineStr">
        <is>
          <t>枪类</t>
        </is>
      </c>
      <c r="E311" s="65" t="n">
        <v>1</v>
      </c>
      <c r="F311" s="66">
        <f>E311+1</f>
        <v/>
      </c>
      <c r="G311" s="65">
        <f>INDEX('个人技术总览'!$E$5:$E$46,MATCH($A311,'个人技术总览'!$A$5:$A$46,0))</f>
        <v/>
      </c>
      <c r="H311" s="59">
        <f>INDEX('个人技术总览'!$F$5:$F$46,MATCH($A311,'个人技术总览'!$A$5:$A$46,0))</f>
        <v/>
      </c>
      <c r="I311" s="60">
        <f>INDEX('个人技术总览'!$G$5:$G$46,MATCH($A311,'个人技术总览'!$A$5:$A$46,0))</f>
        <v/>
      </c>
      <c r="J311" s="59">
        <f>INDEX('个人技术总览'!$H$5:$H$46,MATCH($A311,'个人技术总览'!$A$5:$A$46,0))</f>
        <v/>
      </c>
      <c r="K311" s="60">
        <f>INDEX('个人技术总览'!$I$5:$I$46,MATCH($A311,'个人技术总览'!$A$5:$A$46,0))</f>
        <v/>
      </c>
      <c r="L311" s="67">
        <f>H311+V311+IF(E311=G311-1,MAX(0,P311-H311*G311-SUMIFS($V$5:$V$589,$A$5:$A$589,$A311)),0)</f>
        <v/>
      </c>
      <c r="M311" s="61">
        <f>MAX(1,ROUNDDOWN($L311/'参数与公式'!$B$5,0))</f>
        <v/>
      </c>
      <c r="N311" s="67">
        <f>J311+Y311+IF(E311=G311-1,MAX(0,R311-J311*G311-SUMIFS($Y$5:$Y$589,$A$5:$A$589,$A311)),0)</f>
        <v/>
      </c>
      <c r="O311" s="18" t="inlineStr">
        <is>
          <t>data/technology_templates.yaml; upgrade_profiles.martial; code: technology_rules.allocate_upgrade_budget</t>
        </is>
      </c>
      <c r="P311" s="67">
        <f>INDEX('个人技术总览'!$O$5:$O$46,MATCH($A311,'个人技术总览'!$A$5:$A$46,0))</f>
        <v/>
      </c>
      <c r="Q311" s="64">
        <f>INDEX('个人技术总览'!$P$5:$P$46,MATCH($A311,'个人技术总览'!$A$5:$A$46,0))</f>
        <v/>
      </c>
      <c r="R311" s="67">
        <f>INDEX('个人技术总览'!$Q$5:$Q$46,MATCH($A311,'个人技术总览'!$A$5:$A$46,0))</f>
        <v/>
      </c>
      <c r="S311" s="64">
        <f>INDEX('个人技术总览'!$R$5:$R$46,MATCH($A311,'个人技术总览'!$A$5:$A$46,0))</f>
        <v/>
      </c>
      <c r="T311" s="68">
        <f>POWER($Q311,$E311)</f>
        <v/>
      </c>
      <c r="U311" s="68">
        <f>SUMIFS($T$5:$T$589,$A$5:$A$589,$A311)</f>
        <v/>
      </c>
      <c r="V311" s="67">
        <f>ROUNDDOWN(MAX(0,$P311-$H311*$G311)*$T311/MAX(1,$U311),0)</f>
        <v/>
      </c>
      <c r="W311" s="68">
        <f>POWER($S311,$E311)</f>
        <v/>
      </c>
      <c r="X311" s="68">
        <f>SUMIFS($W$5:$W$589,$A$5:$A$589,$A311)</f>
        <v/>
      </c>
      <c r="Y311" s="67">
        <f>ROUNDDOWN(MAX(0,$R311-$J311*$G311)*$W311/MAX(1,$X311),0)</f>
        <v/>
      </c>
    </row>
    <row r="312">
      <c r="A312" s="17" t="inlineStr">
        <is>
          <t>qiang_attack</t>
        </is>
      </c>
      <c r="B312" s="18" t="inlineStr">
        <is>
          <t>破日枪法</t>
        </is>
      </c>
      <c r="C312" s="18" t="inlineStr">
        <is>
          <t>武艺技术</t>
        </is>
      </c>
      <c r="D312" s="18" t="inlineStr">
        <is>
          <t>枪类</t>
        </is>
      </c>
      <c r="E312" s="65" t="n">
        <v>2</v>
      </c>
      <c r="F312" s="66">
        <f>E312+1</f>
        <v/>
      </c>
      <c r="G312" s="65">
        <f>INDEX('个人技术总览'!$E$5:$E$46,MATCH($A312,'个人技术总览'!$A$5:$A$46,0))</f>
        <v/>
      </c>
      <c r="H312" s="59">
        <f>INDEX('个人技术总览'!$F$5:$F$46,MATCH($A312,'个人技术总览'!$A$5:$A$46,0))</f>
        <v/>
      </c>
      <c r="I312" s="60">
        <f>INDEX('个人技术总览'!$G$5:$G$46,MATCH($A312,'个人技术总览'!$A$5:$A$46,0))</f>
        <v/>
      </c>
      <c r="J312" s="59">
        <f>INDEX('个人技术总览'!$H$5:$H$46,MATCH($A312,'个人技术总览'!$A$5:$A$46,0))</f>
        <v/>
      </c>
      <c r="K312" s="60">
        <f>INDEX('个人技术总览'!$I$5:$I$46,MATCH($A312,'个人技术总览'!$A$5:$A$46,0))</f>
        <v/>
      </c>
      <c r="L312" s="67">
        <f>H312+V312+IF(E312=G312-1,MAX(0,P312-H312*G312-SUMIFS($V$5:$V$589,$A$5:$A$589,$A312)),0)</f>
        <v/>
      </c>
      <c r="M312" s="61">
        <f>MAX(1,ROUNDDOWN($L312/'参数与公式'!$B$5,0))</f>
        <v/>
      </c>
      <c r="N312" s="67">
        <f>J312+Y312+IF(E312=G312-1,MAX(0,R312-J312*G312-SUMIFS($Y$5:$Y$589,$A$5:$A$589,$A312)),0)</f>
        <v/>
      </c>
      <c r="O312" s="18" t="inlineStr">
        <is>
          <t>data/technology_templates.yaml; upgrade_profiles.martial; code: technology_rules.allocate_upgrade_budget</t>
        </is>
      </c>
      <c r="P312" s="67">
        <f>INDEX('个人技术总览'!$O$5:$O$46,MATCH($A312,'个人技术总览'!$A$5:$A$46,0))</f>
        <v/>
      </c>
      <c r="Q312" s="64">
        <f>INDEX('个人技术总览'!$P$5:$P$46,MATCH($A312,'个人技术总览'!$A$5:$A$46,0))</f>
        <v/>
      </c>
      <c r="R312" s="67">
        <f>INDEX('个人技术总览'!$Q$5:$Q$46,MATCH($A312,'个人技术总览'!$A$5:$A$46,0))</f>
        <v/>
      </c>
      <c r="S312" s="64">
        <f>INDEX('个人技术总览'!$R$5:$R$46,MATCH($A312,'个人技术总览'!$A$5:$A$46,0))</f>
        <v/>
      </c>
      <c r="T312" s="68">
        <f>POWER($Q312,$E312)</f>
        <v/>
      </c>
      <c r="U312" s="68">
        <f>SUMIFS($T$5:$T$589,$A$5:$A$589,$A312)</f>
        <v/>
      </c>
      <c r="V312" s="67">
        <f>ROUNDDOWN(MAX(0,$P312-$H312*$G312)*$T312/MAX(1,$U312),0)</f>
        <v/>
      </c>
      <c r="W312" s="68">
        <f>POWER($S312,$E312)</f>
        <v/>
      </c>
      <c r="X312" s="68">
        <f>SUMIFS($W$5:$W$589,$A$5:$A$589,$A312)</f>
        <v/>
      </c>
      <c r="Y312" s="67">
        <f>ROUNDDOWN(MAX(0,$R312-$J312*$G312)*$W312/MAX(1,$X312),0)</f>
        <v/>
      </c>
    </row>
    <row r="313">
      <c r="A313" s="17" t="inlineStr">
        <is>
          <t>qiang_attack</t>
        </is>
      </c>
      <c r="B313" s="18" t="inlineStr">
        <is>
          <t>破日枪法</t>
        </is>
      </c>
      <c r="C313" s="18" t="inlineStr">
        <is>
          <t>武艺技术</t>
        </is>
      </c>
      <c r="D313" s="18" t="inlineStr">
        <is>
          <t>枪类</t>
        </is>
      </c>
      <c r="E313" s="65" t="n">
        <v>3</v>
      </c>
      <c r="F313" s="66">
        <f>E313+1</f>
        <v/>
      </c>
      <c r="G313" s="65">
        <f>INDEX('个人技术总览'!$E$5:$E$46,MATCH($A313,'个人技术总览'!$A$5:$A$46,0))</f>
        <v/>
      </c>
      <c r="H313" s="59">
        <f>INDEX('个人技术总览'!$F$5:$F$46,MATCH($A313,'个人技术总览'!$A$5:$A$46,0))</f>
        <v/>
      </c>
      <c r="I313" s="60">
        <f>INDEX('个人技术总览'!$G$5:$G$46,MATCH($A313,'个人技术总览'!$A$5:$A$46,0))</f>
        <v/>
      </c>
      <c r="J313" s="59">
        <f>INDEX('个人技术总览'!$H$5:$H$46,MATCH($A313,'个人技术总览'!$A$5:$A$46,0))</f>
        <v/>
      </c>
      <c r="K313" s="60">
        <f>INDEX('个人技术总览'!$I$5:$I$46,MATCH($A313,'个人技术总览'!$A$5:$A$46,0))</f>
        <v/>
      </c>
      <c r="L313" s="67">
        <f>H313+V313+IF(E313=G313-1,MAX(0,P313-H313*G313-SUMIFS($V$5:$V$589,$A$5:$A$589,$A313)),0)</f>
        <v/>
      </c>
      <c r="M313" s="61">
        <f>MAX(1,ROUNDDOWN($L313/'参数与公式'!$B$5,0))</f>
        <v/>
      </c>
      <c r="N313" s="67">
        <f>J313+Y313+IF(E313=G313-1,MAX(0,R313-J313*G313-SUMIFS($Y$5:$Y$589,$A$5:$A$589,$A313)),0)</f>
        <v/>
      </c>
      <c r="O313" s="18" t="inlineStr">
        <is>
          <t>data/technology_templates.yaml; upgrade_profiles.martial; code: technology_rules.allocate_upgrade_budget</t>
        </is>
      </c>
      <c r="P313" s="67">
        <f>INDEX('个人技术总览'!$O$5:$O$46,MATCH($A313,'个人技术总览'!$A$5:$A$46,0))</f>
        <v/>
      </c>
      <c r="Q313" s="64">
        <f>INDEX('个人技术总览'!$P$5:$P$46,MATCH($A313,'个人技术总览'!$A$5:$A$46,0))</f>
        <v/>
      </c>
      <c r="R313" s="67">
        <f>INDEX('个人技术总览'!$Q$5:$Q$46,MATCH($A313,'个人技术总览'!$A$5:$A$46,0))</f>
        <v/>
      </c>
      <c r="S313" s="64">
        <f>INDEX('个人技术总览'!$R$5:$R$46,MATCH($A313,'个人技术总览'!$A$5:$A$46,0))</f>
        <v/>
      </c>
      <c r="T313" s="68">
        <f>POWER($Q313,$E313)</f>
        <v/>
      </c>
      <c r="U313" s="68">
        <f>SUMIFS($T$5:$T$589,$A$5:$A$589,$A313)</f>
        <v/>
      </c>
      <c r="V313" s="67">
        <f>ROUNDDOWN(MAX(0,$P313-$H313*$G313)*$T313/MAX(1,$U313),0)</f>
        <v/>
      </c>
      <c r="W313" s="68">
        <f>POWER($S313,$E313)</f>
        <v/>
      </c>
      <c r="X313" s="68">
        <f>SUMIFS($W$5:$W$589,$A$5:$A$589,$A313)</f>
        <v/>
      </c>
      <c r="Y313" s="67">
        <f>ROUNDDOWN(MAX(0,$R313-$J313*$G313)*$W313/MAX(1,$X313),0)</f>
        <v/>
      </c>
    </row>
    <row r="314">
      <c r="A314" s="17" t="inlineStr">
        <is>
          <t>qiang_attack</t>
        </is>
      </c>
      <c r="B314" s="18" t="inlineStr">
        <is>
          <t>破日枪法</t>
        </is>
      </c>
      <c r="C314" s="18" t="inlineStr">
        <is>
          <t>武艺技术</t>
        </is>
      </c>
      <c r="D314" s="18" t="inlineStr">
        <is>
          <t>枪类</t>
        </is>
      </c>
      <c r="E314" s="65" t="n">
        <v>4</v>
      </c>
      <c r="F314" s="66">
        <f>E314+1</f>
        <v/>
      </c>
      <c r="G314" s="65">
        <f>INDEX('个人技术总览'!$E$5:$E$46,MATCH($A314,'个人技术总览'!$A$5:$A$46,0))</f>
        <v/>
      </c>
      <c r="H314" s="59">
        <f>INDEX('个人技术总览'!$F$5:$F$46,MATCH($A314,'个人技术总览'!$A$5:$A$46,0))</f>
        <v/>
      </c>
      <c r="I314" s="60">
        <f>INDEX('个人技术总览'!$G$5:$G$46,MATCH($A314,'个人技术总览'!$A$5:$A$46,0))</f>
        <v/>
      </c>
      <c r="J314" s="59">
        <f>INDEX('个人技术总览'!$H$5:$H$46,MATCH($A314,'个人技术总览'!$A$5:$A$46,0))</f>
        <v/>
      </c>
      <c r="K314" s="60">
        <f>INDEX('个人技术总览'!$I$5:$I$46,MATCH($A314,'个人技术总览'!$A$5:$A$46,0))</f>
        <v/>
      </c>
      <c r="L314" s="67">
        <f>H314+V314+IF(E314=G314-1,MAX(0,P314-H314*G314-SUMIFS($V$5:$V$589,$A$5:$A$589,$A314)),0)</f>
        <v/>
      </c>
      <c r="M314" s="61">
        <f>MAX(1,ROUNDDOWN($L314/'参数与公式'!$B$5,0))</f>
        <v/>
      </c>
      <c r="N314" s="67">
        <f>J314+Y314+IF(E314=G314-1,MAX(0,R314-J314*G314-SUMIFS($Y$5:$Y$589,$A$5:$A$589,$A314)),0)</f>
        <v/>
      </c>
      <c r="O314" s="18" t="inlineStr">
        <is>
          <t>data/technology_templates.yaml; upgrade_profiles.martial; code: technology_rules.allocate_upgrade_budget</t>
        </is>
      </c>
      <c r="P314" s="67">
        <f>INDEX('个人技术总览'!$O$5:$O$46,MATCH($A314,'个人技术总览'!$A$5:$A$46,0))</f>
        <v/>
      </c>
      <c r="Q314" s="64">
        <f>INDEX('个人技术总览'!$P$5:$P$46,MATCH($A314,'个人技术总览'!$A$5:$A$46,0))</f>
        <v/>
      </c>
      <c r="R314" s="67">
        <f>INDEX('个人技术总览'!$Q$5:$Q$46,MATCH($A314,'个人技术总览'!$A$5:$A$46,0))</f>
        <v/>
      </c>
      <c r="S314" s="64">
        <f>INDEX('个人技术总览'!$R$5:$R$46,MATCH($A314,'个人技术总览'!$A$5:$A$46,0))</f>
        <v/>
      </c>
      <c r="T314" s="68">
        <f>POWER($Q314,$E314)</f>
        <v/>
      </c>
      <c r="U314" s="68">
        <f>SUMIFS($T$5:$T$589,$A$5:$A$589,$A314)</f>
        <v/>
      </c>
      <c r="V314" s="67">
        <f>ROUNDDOWN(MAX(0,$P314-$H314*$G314)*$T314/MAX(1,$U314),0)</f>
        <v/>
      </c>
      <c r="W314" s="68">
        <f>POWER($S314,$E314)</f>
        <v/>
      </c>
      <c r="X314" s="68">
        <f>SUMIFS($W$5:$W$589,$A$5:$A$589,$A314)</f>
        <v/>
      </c>
      <c r="Y314" s="67">
        <f>ROUNDDOWN(MAX(0,$R314-$J314*$G314)*$W314/MAX(1,$X314),0)</f>
        <v/>
      </c>
    </row>
    <row r="315">
      <c r="A315" s="17" t="inlineStr">
        <is>
          <t>qiang_attack</t>
        </is>
      </c>
      <c r="B315" s="18" t="inlineStr">
        <is>
          <t>破日枪法</t>
        </is>
      </c>
      <c r="C315" s="18" t="inlineStr">
        <is>
          <t>武艺技术</t>
        </is>
      </c>
      <c r="D315" s="18" t="inlineStr">
        <is>
          <t>枪类</t>
        </is>
      </c>
      <c r="E315" s="65" t="n">
        <v>5</v>
      </c>
      <c r="F315" s="66">
        <f>E315+1</f>
        <v/>
      </c>
      <c r="G315" s="65">
        <f>INDEX('个人技术总览'!$E$5:$E$46,MATCH($A315,'个人技术总览'!$A$5:$A$46,0))</f>
        <v/>
      </c>
      <c r="H315" s="59">
        <f>INDEX('个人技术总览'!$F$5:$F$46,MATCH($A315,'个人技术总览'!$A$5:$A$46,0))</f>
        <v/>
      </c>
      <c r="I315" s="60">
        <f>INDEX('个人技术总览'!$G$5:$G$46,MATCH($A315,'个人技术总览'!$A$5:$A$46,0))</f>
        <v/>
      </c>
      <c r="J315" s="59">
        <f>INDEX('个人技术总览'!$H$5:$H$46,MATCH($A315,'个人技术总览'!$A$5:$A$46,0))</f>
        <v/>
      </c>
      <c r="K315" s="60">
        <f>INDEX('个人技术总览'!$I$5:$I$46,MATCH($A315,'个人技术总览'!$A$5:$A$46,0))</f>
        <v/>
      </c>
      <c r="L315" s="67">
        <f>H315+V315+IF(E315=G315-1,MAX(0,P315-H315*G315-SUMIFS($V$5:$V$589,$A$5:$A$589,$A315)),0)</f>
        <v/>
      </c>
      <c r="M315" s="61">
        <f>MAX(1,ROUNDDOWN($L315/'参数与公式'!$B$5,0))</f>
        <v/>
      </c>
      <c r="N315" s="67">
        <f>J315+Y315+IF(E315=G315-1,MAX(0,R315-J315*G315-SUMIFS($Y$5:$Y$589,$A$5:$A$589,$A315)),0)</f>
        <v/>
      </c>
      <c r="O315" s="18" t="inlineStr">
        <is>
          <t>data/technology_templates.yaml; upgrade_profiles.martial; code: technology_rules.allocate_upgrade_budget</t>
        </is>
      </c>
      <c r="P315" s="67">
        <f>INDEX('个人技术总览'!$O$5:$O$46,MATCH($A315,'个人技术总览'!$A$5:$A$46,0))</f>
        <v/>
      </c>
      <c r="Q315" s="64">
        <f>INDEX('个人技术总览'!$P$5:$P$46,MATCH($A315,'个人技术总览'!$A$5:$A$46,0))</f>
        <v/>
      </c>
      <c r="R315" s="67">
        <f>INDEX('个人技术总览'!$Q$5:$Q$46,MATCH($A315,'个人技术总览'!$A$5:$A$46,0))</f>
        <v/>
      </c>
      <c r="S315" s="64">
        <f>INDEX('个人技术总览'!$R$5:$R$46,MATCH($A315,'个人技术总览'!$A$5:$A$46,0))</f>
        <v/>
      </c>
      <c r="T315" s="68">
        <f>POWER($Q315,$E315)</f>
        <v/>
      </c>
      <c r="U315" s="68">
        <f>SUMIFS($T$5:$T$589,$A$5:$A$589,$A315)</f>
        <v/>
      </c>
      <c r="V315" s="67">
        <f>ROUNDDOWN(MAX(0,$P315-$H315*$G315)*$T315/MAX(1,$U315),0)</f>
        <v/>
      </c>
      <c r="W315" s="68">
        <f>POWER($S315,$E315)</f>
        <v/>
      </c>
      <c r="X315" s="68">
        <f>SUMIFS($W$5:$W$589,$A$5:$A$589,$A315)</f>
        <v/>
      </c>
      <c r="Y315" s="67">
        <f>ROUNDDOWN(MAX(0,$R315-$J315*$G315)*$W315/MAX(1,$X315),0)</f>
        <v/>
      </c>
    </row>
    <row r="316">
      <c r="A316" s="17" t="inlineStr">
        <is>
          <t>qiang_attack</t>
        </is>
      </c>
      <c r="B316" s="18" t="inlineStr">
        <is>
          <t>破日枪法</t>
        </is>
      </c>
      <c r="C316" s="18" t="inlineStr">
        <is>
          <t>武艺技术</t>
        </is>
      </c>
      <c r="D316" s="18" t="inlineStr">
        <is>
          <t>枪类</t>
        </is>
      </c>
      <c r="E316" s="65" t="n">
        <v>6</v>
      </c>
      <c r="F316" s="66">
        <f>E316+1</f>
        <v/>
      </c>
      <c r="G316" s="65">
        <f>INDEX('个人技术总览'!$E$5:$E$46,MATCH($A316,'个人技术总览'!$A$5:$A$46,0))</f>
        <v/>
      </c>
      <c r="H316" s="59">
        <f>INDEX('个人技术总览'!$F$5:$F$46,MATCH($A316,'个人技术总览'!$A$5:$A$46,0))</f>
        <v/>
      </c>
      <c r="I316" s="60">
        <f>INDEX('个人技术总览'!$G$5:$G$46,MATCH($A316,'个人技术总览'!$A$5:$A$46,0))</f>
        <v/>
      </c>
      <c r="J316" s="59">
        <f>INDEX('个人技术总览'!$H$5:$H$46,MATCH($A316,'个人技术总览'!$A$5:$A$46,0))</f>
        <v/>
      </c>
      <c r="K316" s="60">
        <f>INDEX('个人技术总览'!$I$5:$I$46,MATCH($A316,'个人技术总览'!$A$5:$A$46,0))</f>
        <v/>
      </c>
      <c r="L316" s="67">
        <f>H316+V316+IF(E316=G316-1,MAX(0,P316-H316*G316-SUMIFS($V$5:$V$589,$A$5:$A$589,$A316)),0)</f>
        <v/>
      </c>
      <c r="M316" s="61">
        <f>MAX(1,ROUNDDOWN($L316/'参数与公式'!$B$5,0))</f>
        <v/>
      </c>
      <c r="N316" s="67">
        <f>J316+Y316+IF(E316=G316-1,MAX(0,R316-J316*G316-SUMIFS($Y$5:$Y$589,$A$5:$A$589,$A316)),0)</f>
        <v/>
      </c>
      <c r="O316" s="18" t="inlineStr">
        <is>
          <t>data/technology_templates.yaml; upgrade_profiles.martial; code: technology_rules.allocate_upgrade_budget</t>
        </is>
      </c>
      <c r="P316" s="67">
        <f>INDEX('个人技术总览'!$O$5:$O$46,MATCH($A316,'个人技术总览'!$A$5:$A$46,0))</f>
        <v/>
      </c>
      <c r="Q316" s="64">
        <f>INDEX('个人技术总览'!$P$5:$P$46,MATCH($A316,'个人技术总览'!$A$5:$A$46,0))</f>
        <v/>
      </c>
      <c r="R316" s="67">
        <f>INDEX('个人技术总览'!$Q$5:$Q$46,MATCH($A316,'个人技术总览'!$A$5:$A$46,0))</f>
        <v/>
      </c>
      <c r="S316" s="64">
        <f>INDEX('个人技术总览'!$R$5:$R$46,MATCH($A316,'个人技术总览'!$A$5:$A$46,0))</f>
        <v/>
      </c>
      <c r="T316" s="68">
        <f>POWER($Q316,$E316)</f>
        <v/>
      </c>
      <c r="U316" s="68">
        <f>SUMIFS($T$5:$T$589,$A$5:$A$589,$A316)</f>
        <v/>
      </c>
      <c r="V316" s="67">
        <f>ROUNDDOWN(MAX(0,$P316-$H316*$G316)*$T316/MAX(1,$U316),0)</f>
        <v/>
      </c>
      <c r="W316" s="68">
        <f>POWER($S316,$E316)</f>
        <v/>
      </c>
      <c r="X316" s="68">
        <f>SUMIFS($W$5:$W$589,$A$5:$A$589,$A316)</f>
        <v/>
      </c>
      <c r="Y316" s="67">
        <f>ROUNDDOWN(MAX(0,$R316-$J316*$G316)*$W316/MAX(1,$X316),0)</f>
        <v/>
      </c>
    </row>
    <row r="317">
      <c r="A317" s="17" t="inlineStr">
        <is>
          <t>qiang_attack</t>
        </is>
      </c>
      <c r="B317" s="18" t="inlineStr">
        <is>
          <t>破日枪法</t>
        </is>
      </c>
      <c r="C317" s="18" t="inlineStr">
        <is>
          <t>武艺技术</t>
        </is>
      </c>
      <c r="D317" s="18" t="inlineStr">
        <is>
          <t>枪类</t>
        </is>
      </c>
      <c r="E317" s="65" t="n">
        <v>7</v>
      </c>
      <c r="F317" s="66">
        <f>E317+1</f>
        <v/>
      </c>
      <c r="G317" s="65">
        <f>INDEX('个人技术总览'!$E$5:$E$46,MATCH($A317,'个人技术总览'!$A$5:$A$46,0))</f>
        <v/>
      </c>
      <c r="H317" s="59">
        <f>INDEX('个人技术总览'!$F$5:$F$46,MATCH($A317,'个人技术总览'!$A$5:$A$46,0))</f>
        <v/>
      </c>
      <c r="I317" s="60">
        <f>INDEX('个人技术总览'!$G$5:$G$46,MATCH($A317,'个人技术总览'!$A$5:$A$46,0))</f>
        <v/>
      </c>
      <c r="J317" s="59">
        <f>INDEX('个人技术总览'!$H$5:$H$46,MATCH($A317,'个人技术总览'!$A$5:$A$46,0))</f>
        <v/>
      </c>
      <c r="K317" s="60">
        <f>INDEX('个人技术总览'!$I$5:$I$46,MATCH($A317,'个人技术总览'!$A$5:$A$46,0))</f>
        <v/>
      </c>
      <c r="L317" s="67">
        <f>H317+V317+IF(E317=G317-1,MAX(0,P317-H317*G317-SUMIFS($V$5:$V$589,$A$5:$A$589,$A317)),0)</f>
        <v/>
      </c>
      <c r="M317" s="61">
        <f>MAX(1,ROUNDDOWN($L317/'参数与公式'!$B$5,0))</f>
        <v/>
      </c>
      <c r="N317" s="67">
        <f>J317+Y317+IF(E317=G317-1,MAX(0,R317-J317*G317-SUMIFS($Y$5:$Y$589,$A$5:$A$589,$A317)),0)</f>
        <v/>
      </c>
      <c r="O317" s="18" t="inlineStr">
        <is>
          <t>data/technology_templates.yaml; upgrade_profiles.martial; code: technology_rules.allocate_upgrade_budget</t>
        </is>
      </c>
      <c r="P317" s="67">
        <f>INDEX('个人技术总览'!$O$5:$O$46,MATCH($A317,'个人技术总览'!$A$5:$A$46,0))</f>
        <v/>
      </c>
      <c r="Q317" s="64">
        <f>INDEX('个人技术总览'!$P$5:$P$46,MATCH($A317,'个人技术总览'!$A$5:$A$46,0))</f>
        <v/>
      </c>
      <c r="R317" s="67">
        <f>INDEX('个人技术总览'!$Q$5:$Q$46,MATCH($A317,'个人技术总览'!$A$5:$A$46,0))</f>
        <v/>
      </c>
      <c r="S317" s="64">
        <f>INDEX('个人技术总览'!$R$5:$R$46,MATCH($A317,'个人技术总览'!$A$5:$A$46,0))</f>
        <v/>
      </c>
      <c r="T317" s="68">
        <f>POWER($Q317,$E317)</f>
        <v/>
      </c>
      <c r="U317" s="68">
        <f>SUMIFS($T$5:$T$589,$A$5:$A$589,$A317)</f>
        <v/>
      </c>
      <c r="V317" s="67">
        <f>ROUNDDOWN(MAX(0,$P317-$H317*$G317)*$T317/MAX(1,$U317),0)</f>
        <v/>
      </c>
      <c r="W317" s="68">
        <f>POWER($S317,$E317)</f>
        <v/>
      </c>
      <c r="X317" s="68">
        <f>SUMIFS($W$5:$W$589,$A$5:$A$589,$A317)</f>
        <v/>
      </c>
      <c r="Y317" s="67">
        <f>ROUNDDOWN(MAX(0,$R317-$J317*$G317)*$W317/MAX(1,$X317),0)</f>
        <v/>
      </c>
    </row>
    <row r="318">
      <c r="A318" s="17" t="inlineStr">
        <is>
          <t>qiang_attack</t>
        </is>
      </c>
      <c r="B318" s="18" t="inlineStr">
        <is>
          <t>破日枪法</t>
        </is>
      </c>
      <c r="C318" s="18" t="inlineStr">
        <is>
          <t>武艺技术</t>
        </is>
      </c>
      <c r="D318" s="18" t="inlineStr">
        <is>
          <t>枪类</t>
        </is>
      </c>
      <c r="E318" s="65" t="n">
        <v>8</v>
      </c>
      <c r="F318" s="66">
        <f>E318+1</f>
        <v/>
      </c>
      <c r="G318" s="65">
        <f>INDEX('个人技术总览'!$E$5:$E$46,MATCH($A318,'个人技术总览'!$A$5:$A$46,0))</f>
        <v/>
      </c>
      <c r="H318" s="59">
        <f>INDEX('个人技术总览'!$F$5:$F$46,MATCH($A318,'个人技术总览'!$A$5:$A$46,0))</f>
        <v/>
      </c>
      <c r="I318" s="60">
        <f>INDEX('个人技术总览'!$G$5:$G$46,MATCH($A318,'个人技术总览'!$A$5:$A$46,0))</f>
        <v/>
      </c>
      <c r="J318" s="59">
        <f>INDEX('个人技术总览'!$H$5:$H$46,MATCH($A318,'个人技术总览'!$A$5:$A$46,0))</f>
        <v/>
      </c>
      <c r="K318" s="60">
        <f>INDEX('个人技术总览'!$I$5:$I$46,MATCH($A318,'个人技术总览'!$A$5:$A$46,0))</f>
        <v/>
      </c>
      <c r="L318" s="67">
        <f>H318+V318+IF(E318=G318-1,MAX(0,P318-H318*G318-SUMIFS($V$5:$V$589,$A$5:$A$589,$A318)),0)</f>
        <v/>
      </c>
      <c r="M318" s="61">
        <f>MAX(1,ROUNDDOWN($L318/'参数与公式'!$B$5,0))</f>
        <v/>
      </c>
      <c r="N318" s="67">
        <f>J318+Y318+IF(E318=G318-1,MAX(0,R318-J318*G318-SUMIFS($Y$5:$Y$589,$A$5:$A$589,$A318)),0)</f>
        <v/>
      </c>
      <c r="O318" s="18" t="inlineStr">
        <is>
          <t>data/technology_templates.yaml; upgrade_profiles.martial; code: technology_rules.allocate_upgrade_budget</t>
        </is>
      </c>
      <c r="P318" s="67">
        <f>INDEX('个人技术总览'!$O$5:$O$46,MATCH($A318,'个人技术总览'!$A$5:$A$46,0))</f>
        <v/>
      </c>
      <c r="Q318" s="64">
        <f>INDEX('个人技术总览'!$P$5:$P$46,MATCH($A318,'个人技术总览'!$A$5:$A$46,0))</f>
        <v/>
      </c>
      <c r="R318" s="67">
        <f>INDEX('个人技术总览'!$Q$5:$Q$46,MATCH($A318,'个人技术总览'!$A$5:$A$46,0))</f>
        <v/>
      </c>
      <c r="S318" s="64">
        <f>INDEX('个人技术总览'!$R$5:$R$46,MATCH($A318,'个人技术总览'!$A$5:$A$46,0))</f>
        <v/>
      </c>
      <c r="T318" s="68">
        <f>POWER($Q318,$E318)</f>
        <v/>
      </c>
      <c r="U318" s="68">
        <f>SUMIFS($T$5:$T$589,$A$5:$A$589,$A318)</f>
        <v/>
      </c>
      <c r="V318" s="67">
        <f>ROUNDDOWN(MAX(0,$P318-$H318*$G318)*$T318/MAX(1,$U318),0)</f>
        <v/>
      </c>
      <c r="W318" s="68">
        <f>POWER($S318,$E318)</f>
        <v/>
      </c>
      <c r="X318" s="68">
        <f>SUMIFS($W$5:$W$589,$A$5:$A$589,$A318)</f>
        <v/>
      </c>
      <c r="Y318" s="67">
        <f>ROUNDDOWN(MAX(0,$R318-$J318*$G318)*$W318/MAX(1,$X318),0)</f>
        <v/>
      </c>
    </row>
    <row r="319">
      <c r="A319" s="17" t="inlineStr">
        <is>
          <t>qiang_attack</t>
        </is>
      </c>
      <c r="B319" s="18" t="inlineStr">
        <is>
          <t>破日枪法</t>
        </is>
      </c>
      <c r="C319" s="18" t="inlineStr">
        <is>
          <t>武艺技术</t>
        </is>
      </c>
      <c r="D319" s="18" t="inlineStr">
        <is>
          <t>枪类</t>
        </is>
      </c>
      <c r="E319" s="65" t="n">
        <v>9</v>
      </c>
      <c r="F319" s="66">
        <f>E319+1</f>
        <v/>
      </c>
      <c r="G319" s="65">
        <f>INDEX('个人技术总览'!$E$5:$E$46,MATCH($A319,'个人技术总览'!$A$5:$A$46,0))</f>
        <v/>
      </c>
      <c r="H319" s="59">
        <f>INDEX('个人技术总览'!$F$5:$F$46,MATCH($A319,'个人技术总览'!$A$5:$A$46,0))</f>
        <v/>
      </c>
      <c r="I319" s="60">
        <f>INDEX('个人技术总览'!$G$5:$G$46,MATCH($A319,'个人技术总览'!$A$5:$A$46,0))</f>
        <v/>
      </c>
      <c r="J319" s="59">
        <f>INDEX('个人技术总览'!$H$5:$H$46,MATCH($A319,'个人技术总览'!$A$5:$A$46,0))</f>
        <v/>
      </c>
      <c r="K319" s="60">
        <f>INDEX('个人技术总览'!$I$5:$I$46,MATCH($A319,'个人技术总览'!$A$5:$A$46,0))</f>
        <v/>
      </c>
      <c r="L319" s="67">
        <f>H319+V319+IF(E319=G319-1,MAX(0,P319-H319*G319-SUMIFS($V$5:$V$589,$A$5:$A$589,$A319)),0)</f>
        <v/>
      </c>
      <c r="M319" s="61">
        <f>MAX(1,ROUNDDOWN($L319/'参数与公式'!$B$5,0))</f>
        <v/>
      </c>
      <c r="N319" s="67">
        <f>J319+Y319+IF(E319=G319-1,MAX(0,R319-J319*G319-SUMIFS($Y$5:$Y$589,$A$5:$A$589,$A319)),0)</f>
        <v/>
      </c>
      <c r="O319" s="18" t="inlineStr">
        <is>
          <t>data/technology_templates.yaml; upgrade_profiles.martial; code: technology_rules.allocate_upgrade_budget</t>
        </is>
      </c>
      <c r="P319" s="67">
        <f>INDEX('个人技术总览'!$O$5:$O$46,MATCH($A319,'个人技术总览'!$A$5:$A$46,0))</f>
        <v/>
      </c>
      <c r="Q319" s="64">
        <f>INDEX('个人技术总览'!$P$5:$P$46,MATCH($A319,'个人技术总览'!$A$5:$A$46,0))</f>
        <v/>
      </c>
      <c r="R319" s="67">
        <f>INDEX('个人技术总览'!$Q$5:$Q$46,MATCH($A319,'个人技术总览'!$A$5:$A$46,0))</f>
        <v/>
      </c>
      <c r="S319" s="64">
        <f>INDEX('个人技术总览'!$R$5:$R$46,MATCH($A319,'个人技术总览'!$A$5:$A$46,0))</f>
        <v/>
      </c>
      <c r="T319" s="68">
        <f>POWER($Q319,$E319)</f>
        <v/>
      </c>
      <c r="U319" s="68">
        <f>SUMIFS($T$5:$T$589,$A$5:$A$589,$A319)</f>
        <v/>
      </c>
      <c r="V319" s="67">
        <f>ROUNDDOWN(MAX(0,$P319-$H319*$G319)*$T319/MAX(1,$U319),0)</f>
        <v/>
      </c>
      <c r="W319" s="68">
        <f>POWER($S319,$E319)</f>
        <v/>
      </c>
      <c r="X319" s="68">
        <f>SUMIFS($W$5:$W$589,$A$5:$A$589,$A319)</f>
        <v/>
      </c>
      <c r="Y319" s="67">
        <f>ROUNDDOWN(MAX(0,$R319-$J319*$G319)*$W319/MAX(1,$X319),0)</f>
        <v/>
      </c>
    </row>
    <row r="320">
      <c r="A320" s="17" t="inlineStr">
        <is>
          <t>qiang_defense</t>
        </is>
      </c>
      <c r="B320" s="18" t="inlineStr">
        <is>
          <t>金钟罡气</t>
        </is>
      </c>
      <c r="C320" s="18" t="inlineStr">
        <is>
          <t>武艺技术</t>
        </is>
      </c>
      <c r="D320" s="18" t="inlineStr">
        <is>
          <t>枪类</t>
        </is>
      </c>
      <c r="E320" s="65" t="n">
        <v>0</v>
      </c>
      <c r="F320" s="66">
        <f>E320+1</f>
        <v/>
      </c>
      <c r="G320" s="65">
        <f>INDEX('个人技术总览'!$E$5:$E$46,MATCH($A320,'个人技术总览'!$A$5:$A$46,0))</f>
        <v/>
      </c>
      <c r="H320" s="59">
        <f>INDEX('个人技术总览'!$F$5:$F$46,MATCH($A320,'个人技术总览'!$A$5:$A$46,0))</f>
        <v/>
      </c>
      <c r="I320" s="60">
        <f>INDEX('个人技术总览'!$G$5:$G$46,MATCH($A320,'个人技术总览'!$A$5:$A$46,0))</f>
        <v/>
      </c>
      <c r="J320" s="59">
        <f>INDEX('个人技术总览'!$H$5:$H$46,MATCH($A320,'个人技术总览'!$A$5:$A$46,0))</f>
        <v/>
      </c>
      <c r="K320" s="60">
        <f>INDEX('个人技术总览'!$I$5:$I$46,MATCH($A320,'个人技术总览'!$A$5:$A$46,0))</f>
        <v/>
      </c>
      <c r="L320" s="67">
        <f>H320+V320+IF(E320=G320-1,MAX(0,P320-H320*G320-SUMIFS($V$5:$V$589,$A$5:$A$589,$A320)),0)</f>
        <v/>
      </c>
      <c r="M320" s="61">
        <f>MAX(1,ROUNDDOWN($L320/'参数与公式'!$B$5,0))</f>
        <v/>
      </c>
      <c r="N320" s="67">
        <f>J320+Y320+IF(E320=G320-1,MAX(0,R320-J320*G320-SUMIFS($Y$5:$Y$589,$A$5:$A$589,$A320)),0)</f>
        <v/>
      </c>
      <c r="O320" s="18" t="inlineStr">
        <is>
          <t>data/technology_templates.yaml; upgrade_profiles.martial; code: technology_rules.allocate_upgrade_budget</t>
        </is>
      </c>
      <c r="P320" s="67">
        <f>INDEX('个人技术总览'!$O$5:$O$46,MATCH($A320,'个人技术总览'!$A$5:$A$46,0))</f>
        <v/>
      </c>
      <c r="Q320" s="64">
        <f>INDEX('个人技术总览'!$P$5:$P$46,MATCH($A320,'个人技术总览'!$A$5:$A$46,0))</f>
        <v/>
      </c>
      <c r="R320" s="67">
        <f>INDEX('个人技术总览'!$Q$5:$Q$46,MATCH($A320,'个人技术总览'!$A$5:$A$46,0))</f>
        <v/>
      </c>
      <c r="S320" s="64">
        <f>INDEX('个人技术总览'!$R$5:$R$46,MATCH($A320,'个人技术总览'!$A$5:$A$46,0))</f>
        <v/>
      </c>
      <c r="T320" s="68">
        <f>POWER($Q320,$E320)</f>
        <v/>
      </c>
      <c r="U320" s="68">
        <f>SUMIFS($T$5:$T$589,$A$5:$A$589,$A320)</f>
        <v/>
      </c>
      <c r="V320" s="67">
        <f>ROUNDDOWN(MAX(0,$P320-$H320*$G320)*$T320/MAX(1,$U320),0)</f>
        <v/>
      </c>
      <c r="W320" s="68">
        <f>POWER($S320,$E320)</f>
        <v/>
      </c>
      <c r="X320" s="68">
        <f>SUMIFS($W$5:$W$589,$A$5:$A$589,$A320)</f>
        <v/>
      </c>
      <c r="Y320" s="67">
        <f>ROUNDDOWN(MAX(0,$R320-$J320*$G320)*$W320/MAX(1,$X320),0)</f>
        <v/>
      </c>
    </row>
    <row r="321">
      <c r="A321" s="17" t="inlineStr">
        <is>
          <t>qiang_defense</t>
        </is>
      </c>
      <c r="B321" s="18" t="inlineStr">
        <is>
          <t>金钟罡气</t>
        </is>
      </c>
      <c r="C321" s="18" t="inlineStr">
        <is>
          <t>武艺技术</t>
        </is>
      </c>
      <c r="D321" s="18" t="inlineStr">
        <is>
          <t>枪类</t>
        </is>
      </c>
      <c r="E321" s="65" t="n">
        <v>1</v>
      </c>
      <c r="F321" s="66">
        <f>E321+1</f>
        <v/>
      </c>
      <c r="G321" s="65">
        <f>INDEX('个人技术总览'!$E$5:$E$46,MATCH($A321,'个人技术总览'!$A$5:$A$46,0))</f>
        <v/>
      </c>
      <c r="H321" s="59">
        <f>INDEX('个人技术总览'!$F$5:$F$46,MATCH($A321,'个人技术总览'!$A$5:$A$46,0))</f>
        <v/>
      </c>
      <c r="I321" s="60">
        <f>INDEX('个人技术总览'!$G$5:$G$46,MATCH($A321,'个人技术总览'!$A$5:$A$46,0))</f>
        <v/>
      </c>
      <c r="J321" s="59">
        <f>INDEX('个人技术总览'!$H$5:$H$46,MATCH($A321,'个人技术总览'!$A$5:$A$46,0))</f>
        <v/>
      </c>
      <c r="K321" s="60">
        <f>INDEX('个人技术总览'!$I$5:$I$46,MATCH($A321,'个人技术总览'!$A$5:$A$46,0))</f>
        <v/>
      </c>
      <c r="L321" s="67">
        <f>H321+V321+IF(E321=G321-1,MAX(0,P321-H321*G321-SUMIFS($V$5:$V$589,$A$5:$A$589,$A321)),0)</f>
        <v/>
      </c>
      <c r="M321" s="61">
        <f>MAX(1,ROUNDDOWN($L321/'参数与公式'!$B$5,0))</f>
        <v/>
      </c>
      <c r="N321" s="67">
        <f>J321+Y321+IF(E321=G321-1,MAX(0,R321-J321*G321-SUMIFS($Y$5:$Y$589,$A$5:$A$589,$A321)),0)</f>
        <v/>
      </c>
      <c r="O321" s="18" t="inlineStr">
        <is>
          <t>data/technology_templates.yaml; upgrade_profiles.martial; code: technology_rules.allocate_upgrade_budget</t>
        </is>
      </c>
      <c r="P321" s="67">
        <f>INDEX('个人技术总览'!$O$5:$O$46,MATCH($A321,'个人技术总览'!$A$5:$A$46,0))</f>
        <v/>
      </c>
      <c r="Q321" s="64">
        <f>INDEX('个人技术总览'!$P$5:$P$46,MATCH($A321,'个人技术总览'!$A$5:$A$46,0))</f>
        <v/>
      </c>
      <c r="R321" s="67">
        <f>INDEX('个人技术总览'!$Q$5:$Q$46,MATCH($A321,'个人技术总览'!$A$5:$A$46,0))</f>
        <v/>
      </c>
      <c r="S321" s="64">
        <f>INDEX('个人技术总览'!$R$5:$R$46,MATCH($A321,'个人技术总览'!$A$5:$A$46,0))</f>
        <v/>
      </c>
      <c r="T321" s="68">
        <f>POWER($Q321,$E321)</f>
        <v/>
      </c>
      <c r="U321" s="68">
        <f>SUMIFS($T$5:$T$589,$A$5:$A$589,$A321)</f>
        <v/>
      </c>
      <c r="V321" s="67">
        <f>ROUNDDOWN(MAX(0,$P321-$H321*$G321)*$T321/MAX(1,$U321),0)</f>
        <v/>
      </c>
      <c r="W321" s="68">
        <f>POWER($S321,$E321)</f>
        <v/>
      </c>
      <c r="X321" s="68">
        <f>SUMIFS($W$5:$W$589,$A$5:$A$589,$A321)</f>
        <v/>
      </c>
      <c r="Y321" s="67">
        <f>ROUNDDOWN(MAX(0,$R321-$J321*$G321)*$W321/MAX(1,$X321),0)</f>
        <v/>
      </c>
    </row>
    <row r="322">
      <c r="A322" s="17" t="inlineStr">
        <is>
          <t>qiang_defense</t>
        </is>
      </c>
      <c r="B322" s="18" t="inlineStr">
        <is>
          <t>金钟罡气</t>
        </is>
      </c>
      <c r="C322" s="18" t="inlineStr">
        <is>
          <t>武艺技术</t>
        </is>
      </c>
      <c r="D322" s="18" t="inlineStr">
        <is>
          <t>枪类</t>
        </is>
      </c>
      <c r="E322" s="65" t="n">
        <v>2</v>
      </c>
      <c r="F322" s="66">
        <f>E322+1</f>
        <v/>
      </c>
      <c r="G322" s="65">
        <f>INDEX('个人技术总览'!$E$5:$E$46,MATCH($A322,'个人技术总览'!$A$5:$A$46,0))</f>
        <v/>
      </c>
      <c r="H322" s="59">
        <f>INDEX('个人技术总览'!$F$5:$F$46,MATCH($A322,'个人技术总览'!$A$5:$A$46,0))</f>
        <v/>
      </c>
      <c r="I322" s="60">
        <f>INDEX('个人技术总览'!$G$5:$G$46,MATCH($A322,'个人技术总览'!$A$5:$A$46,0))</f>
        <v/>
      </c>
      <c r="J322" s="59">
        <f>INDEX('个人技术总览'!$H$5:$H$46,MATCH($A322,'个人技术总览'!$A$5:$A$46,0))</f>
        <v/>
      </c>
      <c r="K322" s="60">
        <f>INDEX('个人技术总览'!$I$5:$I$46,MATCH($A322,'个人技术总览'!$A$5:$A$46,0))</f>
        <v/>
      </c>
      <c r="L322" s="67">
        <f>H322+V322+IF(E322=G322-1,MAX(0,P322-H322*G322-SUMIFS($V$5:$V$589,$A$5:$A$589,$A322)),0)</f>
        <v/>
      </c>
      <c r="M322" s="61">
        <f>MAX(1,ROUNDDOWN($L322/'参数与公式'!$B$5,0))</f>
        <v/>
      </c>
      <c r="N322" s="67">
        <f>J322+Y322+IF(E322=G322-1,MAX(0,R322-J322*G322-SUMIFS($Y$5:$Y$589,$A$5:$A$589,$A322)),0)</f>
        <v/>
      </c>
      <c r="O322" s="18" t="inlineStr">
        <is>
          <t>data/technology_templates.yaml; upgrade_profiles.martial; code: technology_rules.allocate_upgrade_budget</t>
        </is>
      </c>
      <c r="P322" s="67">
        <f>INDEX('个人技术总览'!$O$5:$O$46,MATCH($A322,'个人技术总览'!$A$5:$A$46,0))</f>
        <v/>
      </c>
      <c r="Q322" s="64">
        <f>INDEX('个人技术总览'!$P$5:$P$46,MATCH($A322,'个人技术总览'!$A$5:$A$46,0))</f>
        <v/>
      </c>
      <c r="R322" s="67">
        <f>INDEX('个人技术总览'!$Q$5:$Q$46,MATCH($A322,'个人技术总览'!$A$5:$A$46,0))</f>
        <v/>
      </c>
      <c r="S322" s="64">
        <f>INDEX('个人技术总览'!$R$5:$R$46,MATCH($A322,'个人技术总览'!$A$5:$A$46,0))</f>
        <v/>
      </c>
      <c r="T322" s="68">
        <f>POWER($Q322,$E322)</f>
        <v/>
      </c>
      <c r="U322" s="68">
        <f>SUMIFS($T$5:$T$589,$A$5:$A$589,$A322)</f>
        <v/>
      </c>
      <c r="V322" s="67">
        <f>ROUNDDOWN(MAX(0,$P322-$H322*$G322)*$T322/MAX(1,$U322),0)</f>
        <v/>
      </c>
      <c r="W322" s="68">
        <f>POWER($S322,$E322)</f>
        <v/>
      </c>
      <c r="X322" s="68">
        <f>SUMIFS($W$5:$W$589,$A$5:$A$589,$A322)</f>
        <v/>
      </c>
      <c r="Y322" s="67">
        <f>ROUNDDOWN(MAX(0,$R322-$J322*$G322)*$W322/MAX(1,$X322),0)</f>
        <v/>
      </c>
    </row>
    <row r="323">
      <c r="A323" s="17" t="inlineStr">
        <is>
          <t>qiang_defense</t>
        </is>
      </c>
      <c r="B323" s="18" t="inlineStr">
        <is>
          <t>金钟罡气</t>
        </is>
      </c>
      <c r="C323" s="18" t="inlineStr">
        <is>
          <t>武艺技术</t>
        </is>
      </c>
      <c r="D323" s="18" t="inlineStr">
        <is>
          <t>枪类</t>
        </is>
      </c>
      <c r="E323" s="65" t="n">
        <v>3</v>
      </c>
      <c r="F323" s="66">
        <f>E323+1</f>
        <v/>
      </c>
      <c r="G323" s="65">
        <f>INDEX('个人技术总览'!$E$5:$E$46,MATCH($A323,'个人技术总览'!$A$5:$A$46,0))</f>
        <v/>
      </c>
      <c r="H323" s="59">
        <f>INDEX('个人技术总览'!$F$5:$F$46,MATCH($A323,'个人技术总览'!$A$5:$A$46,0))</f>
        <v/>
      </c>
      <c r="I323" s="60">
        <f>INDEX('个人技术总览'!$G$5:$G$46,MATCH($A323,'个人技术总览'!$A$5:$A$46,0))</f>
        <v/>
      </c>
      <c r="J323" s="59">
        <f>INDEX('个人技术总览'!$H$5:$H$46,MATCH($A323,'个人技术总览'!$A$5:$A$46,0))</f>
        <v/>
      </c>
      <c r="K323" s="60">
        <f>INDEX('个人技术总览'!$I$5:$I$46,MATCH($A323,'个人技术总览'!$A$5:$A$46,0))</f>
        <v/>
      </c>
      <c r="L323" s="67">
        <f>H323+V323+IF(E323=G323-1,MAX(0,P323-H323*G323-SUMIFS($V$5:$V$589,$A$5:$A$589,$A323)),0)</f>
        <v/>
      </c>
      <c r="M323" s="61">
        <f>MAX(1,ROUNDDOWN($L323/'参数与公式'!$B$5,0))</f>
        <v/>
      </c>
      <c r="N323" s="67">
        <f>J323+Y323+IF(E323=G323-1,MAX(0,R323-J323*G323-SUMIFS($Y$5:$Y$589,$A$5:$A$589,$A323)),0)</f>
        <v/>
      </c>
      <c r="O323" s="18" t="inlineStr">
        <is>
          <t>data/technology_templates.yaml; upgrade_profiles.martial; code: technology_rules.allocate_upgrade_budget</t>
        </is>
      </c>
      <c r="P323" s="67">
        <f>INDEX('个人技术总览'!$O$5:$O$46,MATCH($A323,'个人技术总览'!$A$5:$A$46,0))</f>
        <v/>
      </c>
      <c r="Q323" s="64">
        <f>INDEX('个人技术总览'!$P$5:$P$46,MATCH($A323,'个人技术总览'!$A$5:$A$46,0))</f>
        <v/>
      </c>
      <c r="R323" s="67">
        <f>INDEX('个人技术总览'!$Q$5:$Q$46,MATCH($A323,'个人技术总览'!$A$5:$A$46,0))</f>
        <v/>
      </c>
      <c r="S323" s="64">
        <f>INDEX('个人技术总览'!$R$5:$R$46,MATCH($A323,'个人技术总览'!$A$5:$A$46,0))</f>
        <v/>
      </c>
      <c r="T323" s="68">
        <f>POWER($Q323,$E323)</f>
        <v/>
      </c>
      <c r="U323" s="68">
        <f>SUMIFS($T$5:$T$589,$A$5:$A$589,$A323)</f>
        <v/>
      </c>
      <c r="V323" s="67">
        <f>ROUNDDOWN(MAX(0,$P323-$H323*$G323)*$T323/MAX(1,$U323),0)</f>
        <v/>
      </c>
      <c r="W323" s="68">
        <f>POWER($S323,$E323)</f>
        <v/>
      </c>
      <c r="X323" s="68">
        <f>SUMIFS($W$5:$W$589,$A$5:$A$589,$A323)</f>
        <v/>
      </c>
      <c r="Y323" s="67">
        <f>ROUNDDOWN(MAX(0,$R323-$J323*$G323)*$W323/MAX(1,$X323),0)</f>
        <v/>
      </c>
    </row>
    <row r="324">
      <c r="A324" s="17" t="inlineStr">
        <is>
          <t>qiang_defense</t>
        </is>
      </c>
      <c r="B324" s="18" t="inlineStr">
        <is>
          <t>金钟罡气</t>
        </is>
      </c>
      <c r="C324" s="18" t="inlineStr">
        <is>
          <t>武艺技术</t>
        </is>
      </c>
      <c r="D324" s="18" t="inlineStr">
        <is>
          <t>枪类</t>
        </is>
      </c>
      <c r="E324" s="65" t="n">
        <v>4</v>
      </c>
      <c r="F324" s="66">
        <f>E324+1</f>
        <v/>
      </c>
      <c r="G324" s="65">
        <f>INDEX('个人技术总览'!$E$5:$E$46,MATCH($A324,'个人技术总览'!$A$5:$A$46,0))</f>
        <v/>
      </c>
      <c r="H324" s="59">
        <f>INDEX('个人技术总览'!$F$5:$F$46,MATCH($A324,'个人技术总览'!$A$5:$A$46,0))</f>
        <v/>
      </c>
      <c r="I324" s="60">
        <f>INDEX('个人技术总览'!$G$5:$G$46,MATCH($A324,'个人技术总览'!$A$5:$A$46,0))</f>
        <v/>
      </c>
      <c r="J324" s="59">
        <f>INDEX('个人技术总览'!$H$5:$H$46,MATCH($A324,'个人技术总览'!$A$5:$A$46,0))</f>
        <v/>
      </c>
      <c r="K324" s="60">
        <f>INDEX('个人技术总览'!$I$5:$I$46,MATCH($A324,'个人技术总览'!$A$5:$A$46,0))</f>
        <v/>
      </c>
      <c r="L324" s="67">
        <f>H324+V324+IF(E324=G324-1,MAX(0,P324-H324*G324-SUMIFS($V$5:$V$589,$A$5:$A$589,$A324)),0)</f>
        <v/>
      </c>
      <c r="M324" s="61">
        <f>MAX(1,ROUNDDOWN($L324/'参数与公式'!$B$5,0))</f>
        <v/>
      </c>
      <c r="N324" s="67">
        <f>J324+Y324+IF(E324=G324-1,MAX(0,R324-J324*G324-SUMIFS($Y$5:$Y$589,$A$5:$A$589,$A324)),0)</f>
        <v/>
      </c>
      <c r="O324" s="18" t="inlineStr">
        <is>
          <t>data/technology_templates.yaml; upgrade_profiles.martial; code: technology_rules.allocate_upgrade_budget</t>
        </is>
      </c>
      <c r="P324" s="67">
        <f>INDEX('个人技术总览'!$O$5:$O$46,MATCH($A324,'个人技术总览'!$A$5:$A$46,0))</f>
        <v/>
      </c>
      <c r="Q324" s="64">
        <f>INDEX('个人技术总览'!$P$5:$P$46,MATCH($A324,'个人技术总览'!$A$5:$A$46,0))</f>
        <v/>
      </c>
      <c r="R324" s="67">
        <f>INDEX('个人技术总览'!$Q$5:$Q$46,MATCH($A324,'个人技术总览'!$A$5:$A$46,0))</f>
        <v/>
      </c>
      <c r="S324" s="64">
        <f>INDEX('个人技术总览'!$R$5:$R$46,MATCH($A324,'个人技术总览'!$A$5:$A$46,0))</f>
        <v/>
      </c>
      <c r="T324" s="68">
        <f>POWER($Q324,$E324)</f>
        <v/>
      </c>
      <c r="U324" s="68">
        <f>SUMIFS($T$5:$T$589,$A$5:$A$589,$A324)</f>
        <v/>
      </c>
      <c r="V324" s="67">
        <f>ROUNDDOWN(MAX(0,$P324-$H324*$G324)*$T324/MAX(1,$U324),0)</f>
        <v/>
      </c>
      <c r="W324" s="68">
        <f>POWER($S324,$E324)</f>
        <v/>
      </c>
      <c r="X324" s="68">
        <f>SUMIFS($W$5:$W$589,$A$5:$A$589,$A324)</f>
        <v/>
      </c>
      <c r="Y324" s="67">
        <f>ROUNDDOWN(MAX(0,$R324-$J324*$G324)*$W324/MAX(1,$X324),0)</f>
        <v/>
      </c>
    </row>
    <row r="325">
      <c r="A325" s="17" t="inlineStr">
        <is>
          <t>qiang_defense</t>
        </is>
      </c>
      <c r="B325" s="18" t="inlineStr">
        <is>
          <t>金钟罡气</t>
        </is>
      </c>
      <c r="C325" s="18" t="inlineStr">
        <is>
          <t>武艺技术</t>
        </is>
      </c>
      <c r="D325" s="18" t="inlineStr">
        <is>
          <t>枪类</t>
        </is>
      </c>
      <c r="E325" s="65" t="n">
        <v>5</v>
      </c>
      <c r="F325" s="66">
        <f>E325+1</f>
        <v/>
      </c>
      <c r="G325" s="65">
        <f>INDEX('个人技术总览'!$E$5:$E$46,MATCH($A325,'个人技术总览'!$A$5:$A$46,0))</f>
        <v/>
      </c>
      <c r="H325" s="59">
        <f>INDEX('个人技术总览'!$F$5:$F$46,MATCH($A325,'个人技术总览'!$A$5:$A$46,0))</f>
        <v/>
      </c>
      <c r="I325" s="60">
        <f>INDEX('个人技术总览'!$G$5:$G$46,MATCH($A325,'个人技术总览'!$A$5:$A$46,0))</f>
        <v/>
      </c>
      <c r="J325" s="59">
        <f>INDEX('个人技术总览'!$H$5:$H$46,MATCH($A325,'个人技术总览'!$A$5:$A$46,0))</f>
        <v/>
      </c>
      <c r="K325" s="60">
        <f>INDEX('个人技术总览'!$I$5:$I$46,MATCH($A325,'个人技术总览'!$A$5:$A$46,0))</f>
        <v/>
      </c>
      <c r="L325" s="67">
        <f>H325+V325+IF(E325=G325-1,MAX(0,P325-H325*G325-SUMIFS($V$5:$V$589,$A$5:$A$589,$A325)),0)</f>
        <v/>
      </c>
      <c r="M325" s="61">
        <f>MAX(1,ROUNDDOWN($L325/'参数与公式'!$B$5,0))</f>
        <v/>
      </c>
      <c r="N325" s="67">
        <f>J325+Y325+IF(E325=G325-1,MAX(0,R325-J325*G325-SUMIFS($Y$5:$Y$589,$A$5:$A$589,$A325)),0)</f>
        <v/>
      </c>
      <c r="O325" s="18" t="inlineStr">
        <is>
          <t>data/technology_templates.yaml; upgrade_profiles.martial; code: technology_rules.allocate_upgrade_budget</t>
        </is>
      </c>
      <c r="P325" s="67">
        <f>INDEX('个人技术总览'!$O$5:$O$46,MATCH($A325,'个人技术总览'!$A$5:$A$46,0))</f>
        <v/>
      </c>
      <c r="Q325" s="64">
        <f>INDEX('个人技术总览'!$P$5:$P$46,MATCH($A325,'个人技术总览'!$A$5:$A$46,0))</f>
        <v/>
      </c>
      <c r="R325" s="67">
        <f>INDEX('个人技术总览'!$Q$5:$Q$46,MATCH($A325,'个人技术总览'!$A$5:$A$46,0))</f>
        <v/>
      </c>
      <c r="S325" s="64">
        <f>INDEX('个人技术总览'!$R$5:$R$46,MATCH($A325,'个人技术总览'!$A$5:$A$46,0))</f>
        <v/>
      </c>
      <c r="T325" s="68">
        <f>POWER($Q325,$E325)</f>
        <v/>
      </c>
      <c r="U325" s="68">
        <f>SUMIFS($T$5:$T$589,$A$5:$A$589,$A325)</f>
        <v/>
      </c>
      <c r="V325" s="67">
        <f>ROUNDDOWN(MAX(0,$P325-$H325*$G325)*$T325/MAX(1,$U325),0)</f>
        <v/>
      </c>
      <c r="W325" s="68">
        <f>POWER($S325,$E325)</f>
        <v/>
      </c>
      <c r="X325" s="68">
        <f>SUMIFS($W$5:$W$589,$A$5:$A$589,$A325)</f>
        <v/>
      </c>
      <c r="Y325" s="67">
        <f>ROUNDDOWN(MAX(0,$R325-$J325*$G325)*$W325/MAX(1,$X325),0)</f>
        <v/>
      </c>
    </row>
    <row r="326">
      <c r="A326" s="17" t="inlineStr">
        <is>
          <t>qiang_defense</t>
        </is>
      </c>
      <c r="B326" s="18" t="inlineStr">
        <is>
          <t>金钟罡气</t>
        </is>
      </c>
      <c r="C326" s="18" t="inlineStr">
        <is>
          <t>武艺技术</t>
        </is>
      </c>
      <c r="D326" s="18" t="inlineStr">
        <is>
          <t>枪类</t>
        </is>
      </c>
      <c r="E326" s="65" t="n">
        <v>6</v>
      </c>
      <c r="F326" s="66">
        <f>E326+1</f>
        <v/>
      </c>
      <c r="G326" s="65">
        <f>INDEX('个人技术总览'!$E$5:$E$46,MATCH($A326,'个人技术总览'!$A$5:$A$46,0))</f>
        <v/>
      </c>
      <c r="H326" s="59">
        <f>INDEX('个人技术总览'!$F$5:$F$46,MATCH($A326,'个人技术总览'!$A$5:$A$46,0))</f>
        <v/>
      </c>
      <c r="I326" s="60">
        <f>INDEX('个人技术总览'!$G$5:$G$46,MATCH($A326,'个人技术总览'!$A$5:$A$46,0))</f>
        <v/>
      </c>
      <c r="J326" s="59">
        <f>INDEX('个人技术总览'!$H$5:$H$46,MATCH($A326,'个人技术总览'!$A$5:$A$46,0))</f>
        <v/>
      </c>
      <c r="K326" s="60">
        <f>INDEX('个人技术总览'!$I$5:$I$46,MATCH($A326,'个人技术总览'!$A$5:$A$46,0))</f>
        <v/>
      </c>
      <c r="L326" s="67">
        <f>H326+V326+IF(E326=G326-1,MAX(0,P326-H326*G326-SUMIFS($V$5:$V$589,$A$5:$A$589,$A326)),0)</f>
        <v/>
      </c>
      <c r="M326" s="61">
        <f>MAX(1,ROUNDDOWN($L326/'参数与公式'!$B$5,0))</f>
        <v/>
      </c>
      <c r="N326" s="67">
        <f>J326+Y326+IF(E326=G326-1,MAX(0,R326-J326*G326-SUMIFS($Y$5:$Y$589,$A$5:$A$589,$A326)),0)</f>
        <v/>
      </c>
      <c r="O326" s="18" t="inlineStr">
        <is>
          <t>data/technology_templates.yaml; upgrade_profiles.martial; code: technology_rules.allocate_upgrade_budget</t>
        </is>
      </c>
      <c r="P326" s="67">
        <f>INDEX('个人技术总览'!$O$5:$O$46,MATCH($A326,'个人技术总览'!$A$5:$A$46,0))</f>
        <v/>
      </c>
      <c r="Q326" s="64">
        <f>INDEX('个人技术总览'!$P$5:$P$46,MATCH($A326,'个人技术总览'!$A$5:$A$46,0))</f>
        <v/>
      </c>
      <c r="R326" s="67">
        <f>INDEX('个人技术总览'!$Q$5:$Q$46,MATCH($A326,'个人技术总览'!$A$5:$A$46,0))</f>
        <v/>
      </c>
      <c r="S326" s="64">
        <f>INDEX('个人技术总览'!$R$5:$R$46,MATCH($A326,'个人技术总览'!$A$5:$A$46,0))</f>
        <v/>
      </c>
      <c r="T326" s="68">
        <f>POWER($Q326,$E326)</f>
        <v/>
      </c>
      <c r="U326" s="68">
        <f>SUMIFS($T$5:$T$589,$A$5:$A$589,$A326)</f>
        <v/>
      </c>
      <c r="V326" s="67">
        <f>ROUNDDOWN(MAX(0,$P326-$H326*$G326)*$T326/MAX(1,$U326),0)</f>
        <v/>
      </c>
      <c r="W326" s="68">
        <f>POWER($S326,$E326)</f>
        <v/>
      </c>
      <c r="X326" s="68">
        <f>SUMIFS($W$5:$W$589,$A$5:$A$589,$A326)</f>
        <v/>
      </c>
      <c r="Y326" s="67">
        <f>ROUNDDOWN(MAX(0,$R326-$J326*$G326)*$W326/MAX(1,$X326),0)</f>
        <v/>
      </c>
    </row>
    <row r="327">
      <c r="A327" s="17" t="inlineStr">
        <is>
          <t>qiang_defense</t>
        </is>
      </c>
      <c r="B327" s="18" t="inlineStr">
        <is>
          <t>金钟罡气</t>
        </is>
      </c>
      <c r="C327" s="18" t="inlineStr">
        <is>
          <t>武艺技术</t>
        </is>
      </c>
      <c r="D327" s="18" t="inlineStr">
        <is>
          <t>枪类</t>
        </is>
      </c>
      <c r="E327" s="65" t="n">
        <v>7</v>
      </c>
      <c r="F327" s="66">
        <f>E327+1</f>
        <v/>
      </c>
      <c r="G327" s="65">
        <f>INDEX('个人技术总览'!$E$5:$E$46,MATCH($A327,'个人技术总览'!$A$5:$A$46,0))</f>
        <v/>
      </c>
      <c r="H327" s="59">
        <f>INDEX('个人技术总览'!$F$5:$F$46,MATCH($A327,'个人技术总览'!$A$5:$A$46,0))</f>
        <v/>
      </c>
      <c r="I327" s="60">
        <f>INDEX('个人技术总览'!$G$5:$G$46,MATCH($A327,'个人技术总览'!$A$5:$A$46,0))</f>
        <v/>
      </c>
      <c r="J327" s="59">
        <f>INDEX('个人技术总览'!$H$5:$H$46,MATCH($A327,'个人技术总览'!$A$5:$A$46,0))</f>
        <v/>
      </c>
      <c r="K327" s="60">
        <f>INDEX('个人技术总览'!$I$5:$I$46,MATCH($A327,'个人技术总览'!$A$5:$A$46,0))</f>
        <v/>
      </c>
      <c r="L327" s="67">
        <f>H327+V327+IF(E327=G327-1,MAX(0,P327-H327*G327-SUMIFS($V$5:$V$589,$A$5:$A$589,$A327)),0)</f>
        <v/>
      </c>
      <c r="M327" s="61">
        <f>MAX(1,ROUNDDOWN($L327/'参数与公式'!$B$5,0))</f>
        <v/>
      </c>
      <c r="N327" s="67">
        <f>J327+Y327+IF(E327=G327-1,MAX(0,R327-J327*G327-SUMIFS($Y$5:$Y$589,$A$5:$A$589,$A327)),0)</f>
        <v/>
      </c>
      <c r="O327" s="18" t="inlineStr">
        <is>
          <t>data/technology_templates.yaml; upgrade_profiles.martial; code: technology_rules.allocate_upgrade_budget</t>
        </is>
      </c>
      <c r="P327" s="67">
        <f>INDEX('个人技术总览'!$O$5:$O$46,MATCH($A327,'个人技术总览'!$A$5:$A$46,0))</f>
        <v/>
      </c>
      <c r="Q327" s="64">
        <f>INDEX('个人技术总览'!$P$5:$P$46,MATCH($A327,'个人技术总览'!$A$5:$A$46,0))</f>
        <v/>
      </c>
      <c r="R327" s="67">
        <f>INDEX('个人技术总览'!$Q$5:$Q$46,MATCH($A327,'个人技术总览'!$A$5:$A$46,0))</f>
        <v/>
      </c>
      <c r="S327" s="64">
        <f>INDEX('个人技术总览'!$R$5:$R$46,MATCH($A327,'个人技术总览'!$A$5:$A$46,0))</f>
        <v/>
      </c>
      <c r="T327" s="68">
        <f>POWER($Q327,$E327)</f>
        <v/>
      </c>
      <c r="U327" s="68">
        <f>SUMIFS($T$5:$T$589,$A$5:$A$589,$A327)</f>
        <v/>
      </c>
      <c r="V327" s="67">
        <f>ROUNDDOWN(MAX(0,$P327-$H327*$G327)*$T327/MAX(1,$U327),0)</f>
        <v/>
      </c>
      <c r="W327" s="68">
        <f>POWER($S327,$E327)</f>
        <v/>
      </c>
      <c r="X327" s="68">
        <f>SUMIFS($W$5:$W$589,$A$5:$A$589,$A327)</f>
        <v/>
      </c>
      <c r="Y327" s="67">
        <f>ROUNDDOWN(MAX(0,$R327-$J327*$G327)*$W327/MAX(1,$X327),0)</f>
        <v/>
      </c>
    </row>
    <row r="328">
      <c r="A328" s="17" t="inlineStr">
        <is>
          <t>qiang_defense</t>
        </is>
      </c>
      <c r="B328" s="18" t="inlineStr">
        <is>
          <t>金钟罡气</t>
        </is>
      </c>
      <c r="C328" s="18" t="inlineStr">
        <is>
          <t>武艺技术</t>
        </is>
      </c>
      <c r="D328" s="18" t="inlineStr">
        <is>
          <t>枪类</t>
        </is>
      </c>
      <c r="E328" s="65" t="n">
        <v>8</v>
      </c>
      <c r="F328" s="66">
        <f>E328+1</f>
        <v/>
      </c>
      <c r="G328" s="65">
        <f>INDEX('个人技术总览'!$E$5:$E$46,MATCH($A328,'个人技术总览'!$A$5:$A$46,0))</f>
        <v/>
      </c>
      <c r="H328" s="59">
        <f>INDEX('个人技术总览'!$F$5:$F$46,MATCH($A328,'个人技术总览'!$A$5:$A$46,0))</f>
        <v/>
      </c>
      <c r="I328" s="60">
        <f>INDEX('个人技术总览'!$G$5:$G$46,MATCH($A328,'个人技术总览'!$A$5:$A$46,0))</f>
        <v/>
      </c>
      <c r="J328" s="59">
        <f>INDEX('个人技术总览'!$H$5:$H$46,MATCH($A328,'个人技术总览'!$A$5:$A$46,0))</f>
        <v/>
      </c>
      <c r="K328" s="60">
        <f>INDEX('个人技术总览'!$I$5:$I$46,MATCH($A328,'个人技术总览'!$A$5:$A$46,0))</f>
        <v/>
      </c>
      <c r="L328" s="67">
        <f>H328+V328+IF(E328=G328-1,MAX(0,P328-H328*G328-SUMIFS($V$5:$V$589,$A$5:$A$589,$A328)),0)</f>
        <v/>
      </c>
      <c r="M328" s="61">
        <f>MAX(1,ROUNDDOWN($L328/'参数与公式'!$B$5,0))</f>
        <v/>
      </c>
      <c r="N328" s="67">
        <f>J328+Y328+IF(E328=G328-1,MAX(0,R328-J328*G328-SUMIFS($Y$5:$Y$589,$A$5:$A$589,$A328)),0)</f>
        <v/>
      </c>
      <c r="O328" s="18" t="inlineStr">
        <is>
          <t>data/technology_templates.yaml; upgrade_profiles.martial; code: technology_rules.allocate_upgrade_budget</t>
        </is>
      </c>
      <c r="P328" s="67">
        <f>INDEX('个人技术总览'!$O$5:$O$46,MATCH($A328,'个人技术总览'!$A$5:$A$46,0))</f>
        <v/>
      </c>
      <c r="Q328" s="64">
        <f>INDEX('个人技术总览'!$P$5:$P$46,MATCH($A328,'个人技术总览'!$A$5:$A$46,0))</f>
        <v/>
      </c>
      <c r="R328" s="67">
        <f>INDEX('个人技术总览'!$Q$5:$Q$46,MATCH($A328,'个人技术总览'!$A$5:$A$46,0))</f>
        <v/>
      </c>
      <c r="S328" s="64">
        <f>INDEX('个人技术总览'!$R$5:$R$46,MATCH($A328,'个人技术总览'!$A$5:$A$46,0))</f>
        <v/>
      </c>
      <c r="T328" s="68">
        <f>POWER($Q328,$E328)</f>
        <v/>
      </c>
      <c r="U328" s="68">
        <f>SUMIFS($T$5:$T$589,$A$5:$A$589,$A328)</f>
        <v/>
      </c>
      <c r="V328" s="67">
        <f>ROUNDDOWN(MAX(0,$P328-$H328*$G328)*$T328/MAX(1,$U328),0)</f>
        <v/>
      </c>
      <c r="W328" s="68">
        <f>POWER($S328,$E328)</f>
        <v/>
      </c>
      <c r="X328" s="68">
        <f>SUMIFS($W$5:$W$589,$A$5:$A$589,$A328)</f>
        <v/>
      </c>
      <c r="Y328" s="67">
        <f>ROUNDDOWN(MAX(0,$R328-$J328*$G328)*$W328/MAX(1,$X328),0)</f>
        <v/>
      </c>
    </row>
    <row r="329">
      <c r="A329" s="17" t="inlineStr">
        <is>
          <t>qiang_defense</t>
        </is>
      </c>
      <c r="B329" s="18" t="inlineStr">
        <is>
          <t>金钟罡气</t>
        </is>
      </c>
      <c r="C329" s="18" t="inlineStr">
        <is>
          <t>武艺技术</t>
        </is>
      </c>
      <c r="D329" s="18" t="inlineStr">
        <is>
          <t>枪类</t>
        </is>
      </c>
      <c r="E329" s="65" t="n">
        <v>9</v>
      </c>
      <c r="F329" s="66">
        <f>E329+1</f>
        <v/>
      </c>
      <c r="G329" s="65">
        <f>INDEX('个人技术总览'!$E$5:$E$46,MATCH($A329,'个人技术总览'!$A$5:$A$46,0))</f>
        <v/>
      </c>
      <c r="H329" s="59">
        <f>INDEX('个人技术总览'!$F$5:$F$46,MATCH($A329,'个人技术总览'!$A$5:$A$46,0))</f>
        <v/>
      </c>
      <c r="I329" s="60">
        <f>INDEX('个人技术总览'!$G$5:$G$46,MATCH($A329,'个人技术总览'!$A$5:$A$46,0))</f>
        <v/>
      </c>
      <c r="J329" s="59">
        <f>INDEX('个人技术总览'!$H$5:$H$46,MATCH($A329,'个人技术总览'!$A$5:$A$46,0))</f>
        <v/>
      </c>
      <c r="K329" s="60">
        <f>INDEX('个人技术总览'!$I$5:$I$46,MATCH($A329,'个人技术总览'!$A$5:$A$46,0))</f>
        <v/>
      </c>
      <c r="L329" s="67">
        <f>H329+V329+IF(E329=G329-1,MAX(0,P329-H329*G329-SUMIFS($V$5:$V$589,$A$5:$A$589,$A329)),0)</f>
        <v/>
      </c>
      <c r="M329" s="61">
        <f>MAX(1,ROUNDDOWN($L329/'参数与公式'!$B$5,0))</f>
        <v/>
      </c>
      <c r="N329" s="67">
        <f>J329+Y329+IF(E329=G329-1,MAX(0,R329-J329*G329-SUMIFS($Y$5:$Y$589,$A$5:$A$589,$A329)),0)</f>
        <v/>
      </c>
      <c r="O329" s="18" t="inlineStr">
        <is>
          <t>data/technology_templates.yaml; upgrade_profiles.martial; code: technology_rules.allocate_upgrade_budget</t>
        </is>
      </c>
      <c r="P329" s="67">
        <f>INDEX('个人技术总览'!$O$5:$O$46,MATCH($A329,'个人技术总览'!$A$5:$A$46,0))</f>
        <v/>
      </c>
      <c r="Q329" s="64">
        <f>INDEX('个人技术总览'!$P$5:$P$46,MATCH($A329,'个人技术总览'!$A$5:$A$46,0))</f>
        <v/>
      </c>
      <c r="R329" s="67">
        <f>INDEX('个人技术总览'!$Q$5:$Q$46,MATCH($A329,'个人技术总览'!$A$5:$A$46,0))</f>
        <v/>
      </c>
      <c r="S329" s="64">
        <f>INDEX('个人技术总览'!$R$5:$R$46,MATCH($A329,'个人技术总览'!$A$5:$A$46,0))</f>
        <v/>
      </c>
      <c r="T329" s="68">
        <f>POWER($Q329,$E329)</f>
        <v/>
      </c>
      <c r="U329" s="68">
        <f>SUMIFS($T$5:$T$589,$A$5:$A$589,$A329)</f>
        <v/>
      </c>
      <c r="V329" s="67">
        <f>ROUNDDOWN(MAX(0,$P329-$H329*$G329)*$T329/MAX(1,$U329),0)</f>
        <v/>
      </c>
      <c r="W329" s="68">
        <f>POWER($S329,$E329)</f>
        <v/>
      </c>
      <c r="X329" s="68">
        <f>SUMIFS($W$5:$W$589,$A$5:$A$589,$A329)</f>
        <v/>
      </c>
      <c r="Y329" s="67">
        <f>ROUNDDOWN(MAX(0,$R329-$J329*$G329)*$W329/MAX(1,$X329),0)</f>
        <v/>
      </c>
    </row>
    <row r="330">
      <c r="A330" s="17" t="inlineStr">
        <is>
          <t>qiang_agility</t>
        </is>
      </c>
      <c r="B330" s="18" t="inlineStr">
        <is>
          <t>乾坤挪移</t>
        </is>
      </c>
      <c r="C330" s="18" t="inlineStr">
        <is>
          <t>武艺技术</t>
        </is>
      </c>
      <c r="D330" s="18" t="inlineStr">
        <is>
          <t>枪类</t>
        </is>
      </c>
      <c r="E330" s="65" t="n">
        <v>0</v>
      </c>
      <c r="F330" s="66">
        <f>E330+1</f>
        <v/>
      </c>
      <c r="G330" s="65">
        <f>INDEX('个人技术总览'!$E$5:$E$46,MATCH($A330,'个人技术总览'!$A$5:$A$46,0))</f>
        <v/>
      </c>
      <c r="H330" s="59">
        <f>INDEX('个人技术总览'!$F$5:$F$46,MATCH($A330,'个人技术总览'!$A$5:$A$46,0))</f>
        <v/>
      </c>
      <c r="I330" s="60">
        <f>INDEX('个人技术总览'!$G$5:$G$46,MATCH($A330,'个人技术总览'!$A$5:$A$46,0))</f>
        <v/>
      </c>
      <c r="J330" s="59">
        <f>INDEX('个人技术总览'!$H$5:$H$46,MATCH($A330,'个人技术总览'!$A$5:$A$46,0))</f>
        <v/>
      </c>
      <c r="K330" s="60">
        <f>INDEX('个人技术总览'!$I$5:$I$46,MATCH($A330,'个人技术总览'!$A$5:$A$46,0))</f>
        <v/>
      </c>
      <c r="L330" s="67">
        <f>H330+V330+IF(E330=G330-1,MAX(0,P330-H330*G330-SUMIFS($V$5:$V$589,$A$5:$A$589,$A330)),0)</f>
        <v/>
      </c>
      <c r="M330" s="61">
        <f>MAX(1,ROUNDDOWN($L330/'参数与公式'!$B$5,0))</f>
        <v/>
      </c>
      <c r="N330" s="67">
        <f>J330+Y330+IF(E330=G330-1,MAX(0,R330-J330*G330-SUMIFS($Y$5:$Y$589,$A$5:$A$589,$A330)),0)</f>
        <v/>
      </c>
      <c r="O330" s="18" t="inlineStr">
        <is>
          <t>data/technology_templates.yaml; upgrade_profiles.martial; code: technology_rules.allocate_upgrade_budget</t>
        </is>
      </c>
      <c r="P330" s="67">
        <f>INDEX('个人技术总览'!$O$5:$O$46,MATCH($A330,'个人技术总览'!$A$5:$A$46,0))</f>
        <v/>
      </c>
      <c r="Q330" s="64">
        <f>INDEX('个人技术总览'!$P$5:$P$46,MATCH($A330,'个人技术总览'!$A$5:$A$46,0))</f>
        <v/>
      </c>
      <c r="R330" s="67">
        <f>INDEX('个人技术总览'!$Q$5:$Q$46,MATCH($A330,'个人技术总览'!$A$5:$A$46,0))</f>
        <v/>
      </c>
      <c r="S330" s="64">
        <f>INDEX('个人技术总览'!$R$5:$R$46,MATCH($A330,'个人技术总览'!$A$5:$A$46,0))</f>
        <v/>
      </c>
      <c r="T330" s="68">
        <f>POWER($Q330,$E330)</f>
        <v/>
      </c>
      <c r="U330" s="68">
        <f>SUMIFS($T$5:$T$589,$A$5:$A$589,$A330)</f>
        <v/>
      </c>
      <c r="V330" s="67">
        <f>ROUNDDOWN(MAX(0,$P330-$H330*$G330)*$T330/MAX(1,$U330),0)</f>
        <v/>
      </c>
      <c r="W330" s="68">
        <f>POWER($S330,$E330)</f>
        <v/>
      </c>
      <c r="X330" s="68">
        <f>SUMIFS($W$5:$W$589,$A$5:$A$589,$A330)</f>
        <v/>
      </c>
      <c r="Y330" s="67">
        <f>ROUNDDOWN(MAX(0,$R330-$J330*$G330)*$W330/MAX(1,$X330),0)</f>
        <v/>
      </c>
    </row>
    <row r="331">
      <c r="A331" s="17" t="inlineStr">
        <is>
          <t>qiang_agility</t>
        </is>
      </c>
      <c r="B331" s="18" t="inlineStr">
        <is>
          <t>乾坤挪移</t>
        </is>
      </c>
      <c r="C331" s="18" t="inlineStr">
        <is>
          <t>武艺技术</t>
        </is>
      </c>
      <c r="D331" s="18" t="inlineStr">
        <is>
          <t>枪类</t>
        </is>
      </c>
      <c r="E331" s="65" t="n">
        <v>1</v>
      </c>
      <c r="F331" s="66">
        <f>E331+1</f>
        <v/>
      </c>
      <c r="G331" s="65">
        <f>INDEX('个人技术总览'!$E$5:$E$46,MATCH($A331,'个人技术总览'!$A$5:$A$46,0))</f>
        <v/>
      </c>
      <c r="H331" s="59">
        <f>INDEX('个人技术总览'!$F$5:$F$46,MATCH($A331,'个人技术总览'!$A$5:$A$46,0))</f>
        <v/>
      </c>
      <c r="I331" s="60">
        <f>INDEX('个人技术总览'!$G$5:$G$46,MATCH($A331,'个人技术总览'!$A$5:$A$46,0))</f>
        <v/>
      </c>
      <c r="J331" s="59">
        <f>INDEX('个人技术总览'!$H$5:$H$46,MATCH($A331,'个人技术总览'!$A$5:$A$46,0))</f>
        <v/>
      </c>
      <c r="K331" s="60">
        <f>INDEX('个人技术总览'!$I$5:$I$46,MATCH($A331,'个人技术总览'!$A$5:$A$46,0))</f>
        <v/>
      </c>
      <c r="L331" s="67">
        <f>H331+V331+IF(E331=G331-1,MAX(0,P331-H331*G331-SUMIFS($V$5:$V$589,$A$5:$A$589,$A331)),0)</f>
        <v/>
      </c>
      <c r="M331" s="61">
        <f>MAX(1,ROUNDDOWN($L331/'参数与公式'!$B$5,0))</f>
        <v/>
      </c>
      <c r="N331" s="67">
        <f>J331+Y331+IF(E331=G331-1,MAX(0,R331-J331*G331-SUMIFS($Y$5:$Y$589,$A$5:$A$589,$A331)),0)</f>
        <v/>
      </c>
      <c r="O331" s="18" t="inlineStr">
        <is>
          <t>data/technology_templates.yaml; upgrade_profiles.martial; code: technology_rules.allocate_upgrade_budget</t>
        </is>
      </c>
      <c r="P331" s="67">
        <f>INDEX('个人技术总览'!$O$5:$O$46,MATCH($A331,'个人技术总览'!$A$5:$A$46,0))</f>
        <v/>
      </c>
      <c r="Q331" s="64">
        <f>INDEX('个人技术总览'!$P$5:$P$46,MATCH($A331,'个人技术总览'!$A$5:$A$46,0))</f>
        <v/>
      </c>
      <c r="R331" s="67">
        <f>INDEX('个人技术总览'!$Q$5:$Q$46,MATCH($A331,'个人技术总览'!$A$5:$A$46,0))</f>
        <v/>
      </c>
      <c r="S331" s="64">
        <f>INDEX('个人技术总览'!$R$5:$R$46,MATCH($A331,'个人技术总览'!$A$5:$A$46,0))</f>
        <v/>
      </c>
      <c r="T331" s="68">
        <f>POWER($Q331,$E331)</f>
        <v/>
      </c>
      <c r="U331" s="68">
        <f>SUMIFS($T$5:$T$589,$A$5:$A$589,$A331)</f>
        <v/>
      </c>
      <c r="V331" s="67">
        <f>ROUNDDOWN(MAX(0,$P331-$H331*$G331)*$T331/MAX(1,$U331),0)</f>
        <v/>
      </c>
      <c r="W331" s="68">
        <f>POWER($S331,$E331)</f>
        <v/>
      </c>
      <c r="X331" s="68">
        <f>SUMIFS($W$5:$W$589,$A$5:$A$589,$A331)</f>
        <v/>
      </c>
      <c r="Y331" s="67">
        <f>ROUNDDOWN(MAX(0,$R331-$J331*$G331)*$W331/MAX(1,$X331),0)</f>
        <v/>
      </c>
    </row>
    <row r="332">
      <c r="A332" s="17" t="inlineStr">
        <is>
          <t>qiang_agility</t>
        </is>
      </c>
      <c r="B332" s="18" t="inlineStr">
        <is>
          <t>乾坤挪移</t>
        </is>
      </c>
      <c r="C332" s="18" t="inlineStr">
        <is>
          <t>武艺技术</t>
        </is>
      </c>
      <c r="D332" s="18" t="inlineStr">
        <is>
          <t>枪类</t>
        </is>
      </c>
      <c r="E332" s="65" t="n">
        <v>2</v>
      </c>
      <c r="F332" s="66">
        <f>E332+1</f>
        <v/>
      </c>
      <c r="G332" s="65">
        <f>INDEX('个人技术总览'!$E$5:$E$46,MATCH($A332,'个人技术总览'!$A$5:$A$46,0))</f>
        <v/>
      </c>
      <c r="H332" s="59">
        <f>INDEX('个人技术总览'!$F$5:$F$46,MATCH($A332,'个人技术总览'!$A$5:$A$46,0))</f>
        <v/>
      </c>
      <c r="I332" s="60">
        <f>INDEX('个人技术总览'!$G$5:$G$46,MATCH($A332,'个人技术总览'!$A$5:$A$46,0))</f>
        <v/>
      </c>
      <c r="J332" s="59">
        <f>INDEX('个人技术总览'!$H$5:$H$46,MATCH($A332,'个人技术总览'!$A$5:$A$46,0))</f>
        <v/>
      </c>
      <c r="K332" s="60">
        <f>INDEX('个人技术总览'!$I$5:$I$46,MATCH($A332,'个人技术总览'!$A$5:$A$46,0))</f>
        <v/>
      </c>
      <c r="L332" s="67">
        <f>H332+V332+IF(E332=G332-1,MAX(0,P332-H332*G332-SUMIFS($V$5:$V$589,$A$5:$A$589,$A332)),0)</f>
        <v/>
      </c>
      <c r="M332" s="61">
        <f>MAX(1,ROUNDDOWN($L332/'参数与公式'!$B$5,0))</f>
        <v/>
      </c>
      <c r="N332" s="67">
        <f>J332+Y332+IF(E332=G332-1,MAX(0,R332-J332*G332-SUMIFS($Y$5:$Y$589,$A$5:$A$589,$A332)),0)</f>
        <v/>
      </c>
      <c r="O332" s="18" t="inlineStr">
        <is>
          <t>data/technology_templates.yaml; upgrade_profiles.martial; code: technology_rules.allocate_upgrade_budget</t>
        </is>
      </c>
      <c r="P332" s="67">
        <f>INDEX('个人技术总览'!$O$5:$O$46,MATCH($A332,'个人技术总览'!$A$5:$A$46,0))</f>
        <v/>
      </c>
      <c r="Q332" s="64">
        <f>INDEX('个人技术总览'!$P$5:$P$46,MATCH($A332,'个人技术总览'!$A$5:$A$46,0))</f>
        <v/>
      </c>
      <c r="R332" s="67">
        <f>INDEX('个人技术总览'!$Q$5:$Q$46,MATCH($A332,'个人技术总览'!$A$5:$A$46,0))</f>
        <v/>
      </c>
      <c r="S332" s="64">
        <f>INDEX('个人技术总览'!$R$5:$R$46,MATCH($A332,'个人技术总览'!$A$5:$A$46,0))</f>
        <v/>
      </c>
      <c r="T332" s="68">
        <f>POWER($Q332,$E332)</f>
        <v/>
      </c>
      <c r="U332" s="68">
        <f>SUMIFS($T$5:$T$589,$A$5:$A$589,$A332)</f>
        <v/>
      </c>
      <c r="V332" s="67">
        <f>ROUNDDOWN(MAX(0,$P332-$H332*$G332)*$T332/MAX(1,$U332),0)</f>
        <v/>
      </c>
      <c r="W332" s="68">
        <f>POWER($S332,$E332)</f>
        <v/>
      </c>
      <c r="X332" s="68">
        <f>SUMIFS($W$5:$W$589,$A$5:$A$589,$A332)</f>
        <v/>
      </c>
      <c r="Y332" s="67">
        <f>ROUNDDOWN(MAX(0,$R332-$J332*$G332)*$W332/MAX(1,$X332),0)</f>
        <v/>
      </c>
    </row>
    <row r="333">
      <c r="A333" s="17" t="inlineStr">
        <is>
          <t>qiang_agility</t>
        </is>
      </c>
      <c r="B333" s="18" t="inlineStr">
        <is>
          <t>乾坤挪移</t>
        </is>
      </c>
      <c r="C333" s="18" t="inlineStr">
        <is>
          <t>武艺技术</t>
        </is>
      </c>
      <c r="D333" s="18" t="inlineStr">
        <is>
          <t>枪类</t>
        </is>
      </c>
      <c r="E333" s="65" t="n">
        <v>3</v>
      </c>
      <c r="F333" s="66">
        <f>E333+1</f>
        <v/>
      </c>
      <c r="G333" s="65">
        <f>INDEX('个人技术总览'!$E$5:$E$46,MATCH($A333,'个人技术总览'!$A$5:$A$46,0))</f>
        <v/>
      </c>
      <c r="H333" s="59">
        <f>INDEX('个人技术总览'!$F$5:$F$46,MATCH($A333,'个人技术总览'!$A$5:$A$46,0))</f>
        <v/>
      </c>
      <c r="I333" s="60">
        <f>INDEX('个人技术总览'!$G$5:$G$46,MATCH($A333,'个人技术总览'!$A$5:$A$46,0))</f>
        <v/>
      </c>
      <c r="J333" s="59">
        <f>INDEX('个人技术总览'!$H$5:$H$46,MATCH($A333,'个人技术总览'!$A$5:$A$46,0))</f>
        <v/>
      </c>
      <c r="K333" s="60">
        <f>INDEX('个人技术总览'!$I$5:$I$46,MATCH($A333,'个人技术总览'!$A$5:$A$46,0))</f>
        <v/>
      </c>
      <c r="L333" s="67">
        <f>H333+V333+IF(E333=G333-1,MAX(0,P333-H333*G333-SUMIFS($V$5:$V$589,$A$5:$A$589,$A333)),0)</f>
        <v/>
      </c>
      <c r="M333" s="61">
        <f>MAX(1,ROUNDDOWN($L333/'参数与公式'!$B$5,0))</f>
        <v/>
      </c>
      <c r="N333" s="67">
        <f>J333+Y333+IF(E333=G333-1,MAX(0,R333-J333*G333-SUMIFS($Y$5:$Y$589,$A$5:$A$589,$A333)),0)</f>
        <v/>
      </c>
      <c r="O333" s="18" t="inlineStr">
        <is>
          <t>data/technology_templates.yaml; upgrade_profiles.martial; code: technology_rules.allocate_upgrade_budget</t>
        </is>
      </c>
      <c r="P333" s="67">
        <f>INDEX('个人技术总览'!$O$5:$O$46,MATCH($A333,'个人技术总览'!$A$5:$A$46,0))</f>
        <v/>
      </c>
      <c r="Q333" s="64">
        <f>INDEX('个人技术总览'!$P$5:$P$46,MATCH($A333,'个人技术总览'!$A$5:$A$46,0))</f>
        <v/>
      </c>
      <c r="R333" s="67">
        <f>INDEX('个人技术总览'!$Q$5:$Q$46,MATCH($A333,'个人技术总览'!$A$5:$A$46,0))</f>
        <v/>
      </c>
      <c r="S333" s="64">
        <f>INDEX('个人技术总览'!$R$5:$R$46,MATCH($A333,'个人技术总览'!$A$5:$A$46,0))</f>
        <v/>
      </c>
      <c r="T333" s="68">
        <f>POWER($Q333,$E333)</f>
        <v/>
      </c>
      <c r="U333" s="68">
        <f>SUMIFS($T$5:$T$589,$A$5:$A$589,$A333)</f>
        <v/>
      </c>
      <c r="V333" s="67">
        <f>ROUNDDOWN(MAX(0,$P333-$H333*$G333)*$T333/MAX(1,$U333),0)</f>
        <v/>
      </c>
      <c r="W333" s="68">
        <f>POWER($S333,$E333)</f>
        <v/>
      </c>
      <c r="X333" s="68">
        <f>SUMIFS($W$5:$W$589,$A$5:$A$589,$A333)</f>
        <v/>
      </c>
      <c r="Y333" s="67">
        <f>ROUNDDOWN(MAX(0,$R333-$J333*$G333)*$W333/MAX(1,$X333),0)</f>
        <v/>
      </c>
    </row>
    <row r="334">
      <c r="A334" s="17" t="inlineStr">
        <is>
          <t>qiang_agility</t>
        </is>
      </c>
      <c r="B334" s="18" t="inlineStr">
        <is>
          <t>乾坤挪移</t>
        </is>
      </c>
      <c r="C334" s="18" t="inlineStr">
        <is>
          <t>武艺技术</t>
        </is>
      </c>
      <c r="D334" s="18" t="inlineStr">
        <is>
          <t>枪类</t>
        </is>
      </c>
      <c r="E334" s="65" t="n">
        <v>4</v>
      </c>
      <c r="F334" s="66">
        <f>E334+1</f>
        <v/>
      </c>
      <c r="G334" s="65">
        <f>INDEX('个人技术总览'!$E$5:$E$46,MATCH($A334,'个人技术总览'!$A$5:$A$46,0))</f>
        <v/>
      </c>
      <c r="H334" s="59">
        <f>INDEX('个人技术总览'!$F$5:$F$46,MATCH($A334,'个人技术总览'!$A$5:$A$46,0))</f>
        <v/>
      </c>
      <c r="I334" s="60">
        <f>INDEX('个人技术总览'!$G$5:$G$46,MATCH($A334,'个人技术总览'!$A$5:$A$46,0))</f>
        <v/>
      </c>
      <c r="J334" s="59">
        <f>INDEX('个人技术总览'!$H$5:$H$46,MATCH($A334,'个人技术总览'!$A$5:$A$46,0))</f>
        <v/>
      </c>
      <c r="K334" s="60">
        <f>INDEX('个人技术总览'!$I$5:$I$46,MATCH($A334,'个人技术总览'!$A$5:$A$46,0))</f>
        <v/>
      </c>
      <c r="L334" s="67">
        <f>H334+V334+IF(E334=G334-1,MAX(0,P334-H334*G334-SUMIFS($V$5:$V$589,$A$5:$A$589,$A334)),0)</f>
        <v/>
      </c>
      <c r="M334" s="61">
        <f>MAX(1,ROUNDDOWN($L334/'参数与公式'!$B$5,0))</f>
        <v/>
      </c>
      <c r="N334" s="67">
        <f>J334+Y334+IF(E334=G334-1,MAX(0,R334-J334*G334-SUMIFS($Y$5:$Y$589,$A$5:$A$589,$A334)),0)</f>
        <v/>
      </c>
      <c r="O334" s="18" t="inlineStr">
        <is>
          <t>data/technology_templates.yaml; upgrade_profiles.martial; code: technology_rules.allocate_upgrade_budget</t>
        </is>
      </c>
      <c r="P334" s="67">
        <f>INDEX('个人技术总览'!$O$5:$O$46,MATCH($A334,'个人技术总览'!$A$5:$A$46,0))</f>
        <v/>
      </c>
      <c r="Q334" s="64">
        <f>INDEX('个人技术总览'!$P$5:$P$46,MATCH($A334,'个人技术总览'!$A$5:$A$46,0))</f>
        <v/>
      </c>
      <c r="R334" s="67">
        <f>INDEX('个人技术总览'!$Q$5:$Q$46,MATCH($A334,'个人技术总览'!$A$5:$A$46,0))</f>
        <v/>
      </c>
      <c r="S334" s="64">
        <f>INDEX('个人技术总览'!$R$5:$R$46,MATCH($A334,'个人技术总览'!$A$5:$A$46,0))</f>
        <v/>
      </c>
      <c r="T334" s="68">
        <f>POWER($Q334,$E334)</f>
        <v/>
      </c>
      <c r="U334" s="68">
        <f>SUMIFS($T$5:$T$589,$A$5:$A$589,$A334)</f>
        <v/>
      </c>
      <c r="V334" s="67">
        <f>ROUNDDOWN(MAX(0,$P334-$H334*$G334)*$T334/MAX(1,$U334),0)</f>
        <v/>
      </c>
      <c r="W334" s="68">
        <f>POWER($S334,$E334)</f>
        <v/>
      </c>
      <c r="X334" s="68">
        <f>SUMIFS($W$5:$W$589,$A$5:$A$589,$A334)</f>
        <v/>
      </c>
      <c r="Y334" s="67">
        <f>ROUNDDOWN(MAX(0,$R334-$J334*$G334)*$W334/MAX(1,$X334),0)</f>
        <v/>
      </c>
    </row>
    <row r="335">
      <c r="A335" s="17" t="inlineStr">
        <is>
          <t>qiang_agility</t>
        </is>
      </c>
      <c r="B335" s="18" t="inlineStr">
        <is>
          <t>乾坤挪移</t>
        </is>
      </c>
      <c r="C335" s="18" t="inlineStr">
        <is>
          <t>武艺技术</t>
        </is>
      </c>
      <c r="D335" s="18" t="inlineStr">
        <is>
          <t>枪类</t>
        </is>
      </c>
      <c r="E335" s="65" t="n">
        <v>5</v>
      </c>
      <c r="F335" s="66">
        <f>E335+1</f>
        <v/>
      </c>
      <c r="G335" s="65">
        <f>INDEX('个人技术总览'!$E$5:$E$46,MATCH($A335,'个人技术总览'!$A$5:$A$46,0))</f>
        <v/>
      </c>
      <c r="H335" s="59">
        <f>INDEX('个人技术总览'!$F$5:$F$46,MATCH($A335,'个人技术总览'!$A$5:$A$46,0))</f>
        <v/>
      </c>
      <c r="I335" s="60">
        <f>INDEX('个人技术总览'!$G$5:$G$46,MATCH($A335,'个人技术总览'!$A$5:$A$46,0))</f>
        <v/>
      </c>
      <c r="J335" s="59">
        <f>INDEX('个人技术总览'!$H$5:$H$46,MATCH($A335,'个人技术总览'!$A$5:$A$46,0))</f>
        <v/>
      </c>
      <c r="K335" s="60">
        <f>INDEX('个人技术总览'!$I$5:$I$46,MATCH($A335,'个人技术总览'!$A$5:$A$46,0))</f>
        <v/>
      </c>
      <c r="L335" s="67">
        <f>H335+V335+IF(E335=G335-1,MAX(0,P335-H335*G335-SUMIFS($V$5:$V$589,$A$5:$A$589,$A335)),0)</f>
        <v/>
      </c>
      <c r="M335" s="61">
        <f>MAX(1,ROUNDDOWN($L335/'参数与公式'!$B$5,0))</f>
        <v/>
      </c>
      <c r="N335" s="67">
        <f>J335+Y335+IF(E335=G335-1,MAX(0,R335-J335*G335-SUMIFS($Y$5:$Y$589,$A$5:$A$589,$A335)),0)</f>
        <v/>
      </c>
      <c r="O335" s="18" t="inlineStr">
        <is>
          <t>data/technology_templates.yaml; upgrade_profiles.martial; code: technology_rules.allocate_upgrade_budget</t>
        </is>
      </c>
      <c r="P335" s="67">
        <f>INDEX('个人技术总览'!$O$5:$O$46,MATCH($A335,'个人技术总览'!$A$5:$A$46,0))</f>
        <v/>
      </c>
      <c r="Q335" s="64">
        <f>INDEX('个人技术总览'!$P$5:$P$46,MATCH($A335,'个人技术总览'!$A$5:$A$46,0))</f>
        <v/>
      </c>
      <c r="R335" s="67">
        <f>INDEX('个人技术总览'!$Q$5:$Q$46,MATCH($A335,'个人技术总览'!$A$5:$A$46,0))</f>
        <v/>
      </c>
      <c r="S335" s="64">
        <f>INDEX('个人技术总览'!$R$5:$R$46,MATCH($A335,'个人技术总览'!$A$5:$A$46,0))</f>
        <v/>
      </c>
      <c r="T335" s="68">
        <f>POWER($Q335,$E335)</f>
        <v/>
      </c>
      <c r="U335" s="68">
        <f>SUMIFS($T$5:$T$589,$A$5:$A$589,$A335)</f>
        <v/>
      </c>
      <c r="V335" s="67">
        <f>ROUNDDOWN(MAX(0,$P335-$H335*$G335)*$T335/MAX(1,$U335),0)</f>
        <v/>
      </c>
      <c r="W335" s="68">
        <f>POWER($S335,$E335)</f>
        <v/>
      </c>
      <c r="X335" s="68">
        <f>SUMIFS($W$5:$W$589,$A$5:$A$589,$A335)</f>
        <v/>
      </c>
      <c r="Y335" s="67">
        <f>ROUNDDOWN(MAX(0,$R335-$J335*$G335)*$W335/MAX(1,$X335),0)</f>
        <v/>
      </c>
    </row>
    <row r="336">
      <c r="A336" s="17" t="inlineStr">
        <is>
          <t>qiang_agility</t>
        </is>
      </c>
      <c r="B336" s="18" t="inlineStr">
        <is>
          <t>乾坤挪移</t>
        </is>
      </c>
      <c r="C336" s="18" t="inlineStr">
        <is>
          <t>武艺技术</t>
        </is>
      </c>
      <c r="D336" s="18" t="inlineStr">
        <is>
          <t>枪类</t>
        </is>
      </c>
      <c r="E336" s="65" t="n">
        <v>6</v>
      </c>
      <c r="F336" s="66">
        <f>E336+1</f>
        <v/>
      </c>
      <c r="G336" s="65">
        <f>INDEX('个人技术总览'!$E$5:$E$46,MATCH($A336,'个人技术总览'!$A$5:$A$46,0))</f>
        <v/>
      </c>
      <c r="H336" s="59">
        <f>INDEX('个人技术总览'!$F$5:$F$46,MATCH($A336,'个人技术总览'!$A$5:$A$46,0))</f>
        <v/>
      </c>
      <c r="I336" s="60">
        <f>INDEX('个人技术总览'!$G$5:$G$46,MATCH($A336,'个人技术总览'!$A$5:$A$46,0))</f>
        <v/>
      </c>
      <c r="J336" s="59">
        <f>INDEX('个人技术总览'!$H$5:$H$46,MATCH($A336,'个人技术总览'!$A$5:$A$46,0))</f>
        <v/>
      </c>
      <c r="K336" s="60">
        <f>INDEX('个人技术总览'!$I$5:$I$46,MATCH($A336,'个人技术总览'!$A$5:$A$46,0))</f>
        <v/>
      </c>
      <c r="L336" s="67">
        <f>H336+V336+IF(E336=G336-1,MAX(0,P336-H336*G336-SUMIFS($V$5:$V$589,$A$5:$A$589,$A336)),0)</f>
        <v/>
      </c>
      <c r="M336" s="61">
        <f>MAX(1,ROUNDDOWN($L336/'参数与公式'!$B$5,0))</f>
        <v/>
      </c>
      <c r="N336" s="67">
        <f>J336+Y336+IF(E336=G336-1,MAX(0,R336-J336*G336-SUMIFS($Y$5:$Y$589,$A$5:$A$589,$A336)),0)</f>
        <v/>
      </c>
      <c r="O336" s="18" t="inlineStr">
        <is>
          <t>data/technology_templates.yaml; upgrade_profiles.martial; code: technology_rules.allocate_upgrade_budget</t>
        </is>
      </c>
      <c r="P336" s="67">
        <f>INDEX('个人技术总览'!$O$5:$O$46,MATCH($A336,'个人技术总览'!$A$5:$A$46,0))</f>
        <v/>
      </c>
      <c r="Q336" s="64">
        <f>INDEX('个人技术总览'!$P$5:$P$46,MATCH($A336,'个人技术总览'!$A$5:$A$46,0))</f>
        <v/>
      </c>
      <c r="R336" s="67">
        <f>INDEX('个人技术总览'!$Q$5:$Q$46,MATCH($A336,'个人技术总览'!$A$5:$A$46,0))</f>
        <v/>
      </c>
      <c r="S336" s="64">
        <f>INDEX('个人技术总览'!$R$5:$R$46,MATCH($A336,'个人技术总览'!$A$5:$A$46,0))</f>
        <v/>
      </c>
      <c r="T336" s="68">
        <f>POWER($Q336,$E336)</f>
        <v/>
      </c>
      <c r="U336" s="68">
        <f>SUMIFS($T$5:$T$589,$A$5:$A$589,$A336)</f>
        <v/>
      </c>
      <c r="V336" s="67">
        <f>ROUNDDOWN(MAX(0,$P336-$H336*$G336)*$T336/MAX(1,$U336),0)</f>
        <v/>
      </c>
      <c r="W336" s="68">
        <f>POWER($S336,$E336)</f>
        <v/>
      </c>
      <c r="X336" s="68">
        <f>SUMIFS($W$5:$W$589,$A$5:$A$589,$A336)</f>
        <v/>
      </c>
      <c r="Y336" s="67">
        <f>ROUNDDOWN(MAX(0,$R336-$J336*$G336)*$W336/MAX(1,$X336),0)</f>
        <v/>
      </c>
    </row>
    <row r="337">
      <c r="A337" s="17" t="inlineStr">
        <is>
          <t>qiang_agility</t>
        </is>
      </c>
      <c r="B337" s="18" t="inlineStr">
        <is>
          <t>乾坤挪移</t>
        </is>
      </c>
      <c r="C337" s="18" t="inlineStr">
        <is>
          <t>武艺技术</t>
        </is>
      </c>
      <c r="D337" s="18" t="inlineStr">
        <is>
          <t>枪类</t>
        </is>
      </c>
      <c r="E337" s="65" t="n">
        <v>7</v>
      </c>
      <c r="F337" s="66">
        <f>E337+1</f>
        <v/>
      </c>
      <c r="G337" s="65">
        <f>INDEX('个人技术总览'!$E$5:$E$46,MATCH($A337,'个人技术总览'!$A$5:$A$46,0))</f>
        <v/>
      </c>
      <c r="H337" s="59">
        <f>INDEX('个人技术总览'!$F$5:$F$46,MATCH($A337,'个人技术总览'!$A$5:$A$46,0))</f>
        <v/>
      </c>
      <c r="I337" s="60">
        <f>INDEX('个人技术总览'!$G$5:$G$46,MATCH($A337,'个人技术总览'!$A$5:$A$46,0))</f>
        <v/>
      </c>
      <c r="J337" s="59">
        <f>INDEX('个人技术总览'!$H$5:$H$46,MATCH($A337,'个人技术总览'!$A$5:$A$46,0))</f>
        <v/>
      </c>
      <c r="K337" s="60">
        <f>INDEX('个人技术总览'!$I$5:$I$46,MATCH($A337,'个人技术总览'!$A$5:$A$46,0))</f>
        <v/>
      </c>
      <c r="L337" s="67">
        <f>H337+V337+IF(E337=G337-1,MAX(0,P337-H337*G337-SUMIFS($V$5:$V$589,$A$5:$A$589,$A337)),0)</f>
        <v/>
      </c>
      <c r="M337" s="61">
        <f>MAX(1,ROUNDDOWN($L337/'参数与公式'!$B$5,0))</f>
        <v/>
      </c>
      <c r="N337" s="67">
        <f>J337+Y337+IF(E337=G337-1,MAX(0,R337-J337*G337-SUMIFS($Y$5:$Y$589,$A$5:$A$589,$A337)),0)</f>
        <v/>
      </c>
      <c r="O337" s="18" t="inlineStr">
        <is>
          <t>data/technology_templates.yaml; upgrade_profiles.martial; code: technology_rules.allocate_upgrade_budget</t>
        </is>
      </c>
      <c r="P337" s="67">
        <f>INDEX('个人技术总览'!$O$5:$O$46,MATCH($A337,'个人技术总览'!$A$5:$A$46,0))</f>
        <v/>
      </c>
      <c r="Q337" s="64">
        <f>INDEX('个人技术总览'!$P$5:$P$46,MATCH($A337,'个人技术总览'!$A$5:$A$46,0))</f>
        <v/>
      </c>
      <c r="R337" s="67">
        <f>INDEX('个人技术总览'!$Q$5:$Q$46,MATCH($A337,'个人技术总览'!$A$5:$A$46,0))</f>
        <v/>
      </c>
      <c r="S337" s="64">
        <f>INDEX('个人技术总览'!$R$5:$R$46,MATCH($A337,'个人技术总览'!$A$5:$A$46,0))</f>
        <v/>
      </c>
      <c r="T337" s="68">
        <f>POWER($Q337,$E337)</f>
        <v/>
      </c>
      <c r="U337" s="68">
        <f>SUMIFS($T$5:$T$589,$A$5:$A$589,$A337)</f>
        <v/>
      </c>
      <c r="V337" s="67">
        <f>ROUNDDOWN(MAX(0,$P337-$H337*$G337)*$T337/MAX(1,$U337),0)</f>
        <v/>
      </c>
      <c r="W337" s="68">
        <f>POWER($S337,$E337)</f>
        <v/>
      </c>
      <c r="X337" s="68">
        <f>SUMIFS($W$5:$W$589,$A$5:$A$589,$A337)</f>
        <v/>
      </c>
      <c r="Y337" s="67">
        <f>ROUNDDOWN(MAX(0,$R337-$J337*$G337)*$W337/MAX(1,$X337),0)</f>
        <v/>
      </c>
    </row>
    <row r="338">
      <c r="A338" s="17" t="inlineStr">
        <is>
          <t>qiang_agility</t>
        </is>
      </c>
      <c r="B338" s="18" t="inlineStr">
        <is>
          <t>乾坤挪移</t>
        </is>
      </c>
      <c r="C338" s="18" t="inlineStr">
        <is>
          <t>武艺技术</t>
        </is>
      </c>
      <c r="D338" s="18" t="inlineStr">
        <is>
          <t>枪类</t>
        </is>
      </c>
      <c r="E338" s="65" t="n">
        <v>8</v>
      </c>
      <c r="F338" s="66">
        <f>E338+1</f>
        <v/>
      </c>
      <c r="G338" s="65">
        <f>INDEX('个人技术总览'!$E$5:$E$46,MATCH($A338,'个人技术总览'!$A$5:$A$46,0))</f>
        <v/>
      </c>
      <c r="H338" s="59">
        <f>INDEX('个人技术总览'!$F$5:$F$46,MATCH($A338,'个人技术总览'!$A$5:$A$46,0))</f>
        <v/>
      </c>
      <c r="I338" s="60">
        <f>INDEX('个人技术总览'!$G$5:$G$46,MATCH($A338,'个人技术总览'!$A$5:$A$46,0))</f>
        <v/>
      </c>
      <c r="J338" s="59">
        <f>INDEX('个人技术总览'!$H$5:$H$46,MATCH($A338,'个人技术总览'!$A$5:$A$46,0))</f>
        <v/>
      </c>
      <c r="K338" s="60">
        <f>INDEX('个人技术总览'!$I$5:$I$46,MATCH($A338,'个人技术总览'!$A$5:$A$46,0))</f>
        <v/>
      </c>
      <c r="L338" s="67">
        <f>H338+V338+IF(E338=G338-1,MAX(0,P338-H338*G338-SUMIFS($V$5:$V$589,$A$5:$A$589,$A338)),0)</f>
        <v/>
      </c>
      <c r="M338" s="61">
        <f>MAX(1,ROUNDDOWN($L338/'参数与公式'!$B$5,0))</f>
        <v/>
      </c>
      <c r="N338" s="67">
        <f>J338+Y338+IF(E338=G338-1,MAX(0,R338-J338*G338-SUMIFS($Y$5:$Y$589,$A$5:$A$589,$A338)),0)</f>
        <v/>
      </c>
      <c r="O338" s="18" t="inlineStr">
        <is>
          <t>data/technology_templates.yaml; upgrade_profiles.martial; code: technology_rules.allocate_upgrade_budget</t>
        </is>
      </c>
      <c r="P338" s="67">
        <f>INDEX('个人技术总览'!$O$5:$O$46,MATCH($A338,'个人技术总览'!$A$5:$A$46,0))</f>
        <v/>
      </c>
      <c r="Q338" s="64">
        <f>INDEX('个人技术总览'!$P$5:$P$46,MATCH($A338,'个人技术总览'!$A$5:$A$46,0))</f>
        <v/>
      </c>
      <c r="R338" s="67">
        <f>INDEX('个人技术总览'!$Q$5:$Q$46,MATCH($A338,'个人技术总览'!$A$5:$A$46,0))</f>
        <v/>
      </c>
      <c r="S338" s="64">
        <f>INDEX('个人技术总览'!$R$5:$R$46,MATCH($A338,'个人技术总览'!$A$5:$A$46,0))</f>
        <v/>
      </c>
      <c r="T338" s="68">
        <f>POWER($Q338,$E338)</f>
        <v/>
      </c>
      <c r="U338" s="68">
        <f>SUMIFS($T$5:$T$589,$A$5:$A$589,$A338)</f>
        <v/>
      </c>
      <c r="V338" s="67">
        <f>ROUNDDOWN(MAX(0,$P338-$H338*$G338)*$T338/MAX(1,$U338),0)</f>
        <v/>
      </c>
      <c r="W338" s="68">
        <f>POWER($S338,$E338)</f>
        <v/>
      </c>
      <c r="X338" s="68">
        <f>SUMIFS($W$5:$W$589,$A$5:$A$589,$A338)</f>
        <v/>
      </c>
      <c r="Y338" s="67">
        <f>ROUNDDOWN(MAX(0,$R338-$J338*$G338)*$W338/MAX(1,$X338),0)</f>
        <v/>
      </c>
    </row>
    <row r="339">
      <c r="A339" s="17" t="inlineStr">
        <is>
          <t>qiang_agility</t>
        </is>
      </c>
      <c r="B339" s="18" t="inlineStr">
        <is>
          <t>乾坤挪移</t>
        </is>
      </c>
      <c r="C339" s="18" t="inlineStr">
        <is>
          <t>武艺技术</t>
        </is>
      </c>
      <c r="D339" s="18" t="inlineStr">
        <is>
          <t>枪类</t>
        </is>
      </c>
      <c r="E339" s="65" t="n">
        <v>9</v>
      </c>
      <c r="F339" s="66">
        <f>E339+1</f>
        <v/>
      </c>
      <c r="G339" s="65">
        <f>INDEX('个人技术总览'!$E$5:$E$46,MATCH($A339,'个人技术总览'!$A$5:$A$46,0))</f>
        <v/>
      </c>
      <c r="H339" s="59">
        <f>INDEX('个人技术总览'!$F$5:$F$46,MATCH($A339,'个人技术总览'!$A$5:$A$46,0))</f>
        <v/>
      </c>
      <c r="I339" s="60">
        <f>INDEX('个人技术总览'!$G$5:$G$46,MATCH($A339,'个人技术总览'!$A$5:$A$46,0))</f>
        <v/>
      </c>
      <c r="J339" s="59">
        <f>INDEX('个人技术总览'!$H$5:$H$46,MATCH($A339,'个人技术总览'!$A$5:$A$46,0))</f>
        <v/>
      </c>
      <c r="K339" s="60">
        <f>INDEX('个人技术总览'!$I$5:$I$46,MATCH($A339,'个人技术总览'!$A$5:$A$46,0))</f>
        <v/>
      </c>
      <c r="L339" s="67">
        <f>H339+V339+IF(E339=G339-1,MAX(0,P339-H339*G339-SUMIFS($V$5:$V$589,$A$5:$A$589,$A339)),0)</f>
        <v/>
      </c>
      <c r="M339" s="61">
        <f>MAX(1,ROUNDDOWN($L339/'参数与公式'!$B$5,0))</f>
        <v/>
      </c>
      <c r="N339" s="67">
        <f>J339+Y339+IF(E339=G339-1,MAX(0,R339-J339*G339-SUMIFS($Y$5:$Y$589,$A$5:$A$589,$A339)),0)</f>
        <v/>
      </c>
      <c r="O339" s="18" t="inlineStr">
        <is>
          <t>data/technology_templates.yaml; upgrade_profiles.martial; code: technology_rules.allocate_upgrade_budget</t>
        </is>
      </c>
      <c r="P339" s="67">
        <f>INDEX('个人技术总览'!$O$5:$O$46,MATCH($A339,'个人技术总览'!$A$5:$A$46,0))</f>
        <v/>
      </c>
      <c r="Q339" s="64">
        <f>INDEX('个人技术总览'!$P$5:$P$46,MATCH($A339,'个人技术总览'!$A$5:$A$46,0))</f>
        <v/>
      </c>
      <c r="R339" s="67">
        <f>INDEX('个人技术总览'!$Q$5:$Q$46,MATCH($A339,'个人技术总览'!$A$5:$A$46,0))</f>
        <v/>
      </c>
      <c r="S339" s="64">
        <f>INDEX('个人技术总览'!$R$5:$R$46,MATCH($A339,'个人技术总览'!$A$5:$A$46,0))</f>
        <v/>
      </c>
      <c r="T339" s="68">
        <f>POWER($Q339,$E339)</f>
        <v/>
      </c>
      <c r="U339" s="68">
        <f>SUMIFS($T$5:$T$589,$A$5:$A$589,$A339)</f>
        <v/>
      </c>
      <c r="V339" s="67">
        <f>ROUNDDOWN(MAX(0,$P339-$H339*$G339)*$T339/MAX(1,$U339),0)</f>
        <v/>
      </c>
      <c r="W339" s="68">
        <f>POWER($S339,$E339)</f>
        <v/>
      </c>
      <c r="X339" s="68">
        <f>SUMIFS($W$5:$W$589,$A$5:$A$589,$A339)</f>
        <v/>
      </c>
      <c r="Y339" s="67">
        <f>ROUNDDOWN(MAX(0,$R339-$J339*$G339)*$W339/MAX(1,$X339),0)</f>
        <v/>
      </c>
    </row>
    <row r="340">
      <c r="A340" s="17" t="inlineStr">
        <is>
          <t>qiang_hp</t>
        </is>
      </c>
      <c r="B340" s="18" t="inlineStr">
        <is>
          <t>体血倍增</t>
        </is>
      </c>
      <c r="C340" s="18" t="inlineStr">
        <is>
          <t>武艺技术</t>
        </is>
      </c>
      <c r="D340" s="18" t="inlineStr">
        <is>
          <t>枪类</t>
        </is>
      </c>
      <c r="E340" s="65" t="n">
        <v>0</v>
      </c>
      <c r="F340" s="66">
        <f>E340+1</f>
        <v/>
      </c>
      <c r="G340" s="65">
        <f>INDEX('个人技术总览'!$E$5:$E$46,MATCH($A340,'个人技术总览'!$A$5:$A$46,0))</f>
        <v/>
      </c>
      <c r="H340" s="59">
        <f>INDEX('个人技术总览'!$F$5:$F$46,MATCH($A340,'个人技术总览'!$A$5:$A$46,0))</f>
        <v/>
      </c>
      <c r="I340" s="60">
        <f>INDEX('个人技术总览'!$G$5:$G$46,MATCH($A340,'个人技术总览'!$A$5:$A$46,0))</f>
        <v/>
      </c>
      <c r="J340" s="59">
        <f>INDEX('个人技术总览'!$H$5:$H$46,MATCH($A340,'个人技术总览'!$A$5:$A$46,0))</f>
        <v/>
      </c>
      <c r="K340" s="60">
        <f>INDEX('个人技术总览'!$I$5:$I$46,MATCH($A340,'个人技术总览'!$A$5:$A$46,0))</f>
        <v/>
      </c>
      <c r="L340" s="67">
        <f>H340+V340+IF(E340=G340-1,MAX(0,P340-H340*G340-SUMIFS($V$5:$V$589,$A$5:$A$589,$A340)),0)</f>
        <v/>
      </c>
      <c r="M340" s="61">
        <f>MAX(1,ROUNDDOWN($L340/'参数与公式'!$B$5,0))</f>
        <v/>
      </c>
      <c r="N340" s="67">
        <f>J340+Y340+IF(E340=G340-1,MAX(0,R340-J340*G340-SUMIFS($Y$5:$Y$589,$A$5:$A$589,$A340)),0)</f>
        <v/>
      </c>
      <c r="O340" s="18" t="inlineStr">
        <is>
          <t>data/technology_templates.yaml; upgrade_profiles.martial; code: technology_rules.allocate_upgrade_budget</t>
        </is>
      </c>
      <c r="P340" s="67">
        <f>INDEX('个人技术总览'!$O$5:$O$46,MATCH($A340,'个人技术总览'!$A$5:$A$46,0))</f>
        <v/>
      </c>
      <c r="Q340" s="64">
        <f>INDEX('个人技术总览'!$P$5:$P$46,MATCH($A340,'个人技术总览'!$A$5:$A$46,0))</f>
        <v/>
      </c>
      <c r="R340" s="67">
        <f>INDEX('个人技术总览'!$Q$5:$Q$46,MATCH($A340,'个人技术总览'!$A$5:$A$46,0))</f>
        <v/>
      </c>
      <c r="S340" s="64">
        <f>INDEX('个人技术总览'!$R$5:$R$46,MATCH($A340,'个人技术总览'!$A$5:$A$46,0))</f>
        <v/>
      </c>
      <c r="T340" s="68">
        <f>POWER($Q340,$E340)</f>
        <v/>
      </c>
      <c r="U340" s="68">
        <f>SUMIFS($T$5:$T$589,$A$5:$A$589,$A340)</f>
        <v/>
      </c>
      <c r="V340" s="67">
        <f>ROUNDDOWN(MAX(0,$P340-$H340*$G340)*$T340/MAX(1,$U340),0)</f>
        <v/>
      </c>
      <c r="W340" s="68">
        <f>POWER($S340,$E340)</f>
        <v/>
      </c>
      <c r="X340" s="68">
        <f>SUMIFS($W$5:$W$589,$A$5:$A$589,$A340)</f>
        <v/>
      </c>
      <c r="Y340" s="67">
        <f>ROUNDDOWN(MAX(0,$R340-$J340*$G340)*$W340/MAX(1,$X340),0)</f>
        <v/>
      </c>
    </row>
    <row r="341">
      <c r="A341" s="17" t="inlineStr">
        <is>
          <t>qiang_hp</t>
        </is>
      </c>
      <c r="B341" s="18" t="inlineStr">
        <is>
          <t>体血倍增</t>
        </is>
      </c>
      <c r="C341" s="18" t="inlineStr">
        <is>
          <t>武艺技术</t>
        </is>
      </c>
      <c r="D341" s="18" t="inlineStr">
        <is>
          <t>枪类</t>
        </is>
      </c>
      <c r="E341" s="65" t="n">
        <v>1</v>
      </c>
      <c r="F341" s="66">
        <f>E341+1</f>
        <v/>
      </c>
      <c r="G341" s="65">
        <f>INDEX('个人技术总览'!$E$5:$E$46,MATCH($A341,'个人技术总览'!$A$5:$A$46,0))</f>
        <v/>
      </c>
      <c r="H341" s="59">
        <f>INDEX('个人技术总览'!$F$5:$F$46,MATCH($A341,'个人技术总览'!$A$5:$A$46,0))</f>
        <v/>
      </c>
      <c r="I341" s="60">
        <f>INDEX('个人技术总览'!$G$5:$G$46,MATCH($A341,'个人技术总览'!$A$5:$A$46,0))</f>
        <v/>
      </c>
      <c r="J341" s="59">
        <f>INDEX('个人技术总览'!$H$5:$H$46,MATCH($A341,'个人技术总览'!$A$5:$A$46,0))</f>
        <v/>
      </c>
      <c r="K341" s="60">
        <f>INDEX('个人技术总览'!$I$5:$I$46,MATCH($A341,'个人技术总览'!$A$5:$A$46,0))</f>
        <v/>
      </c>
      <c r="L341" s="67">
        <f>H341+V341+IF(E341=G341-1,MAX(0,P341-H341*G341-SUMIFS($V$5:$V$589,$A$5:$A$589,$A341)),0)</f>
        <v/>
      </c>
      <c r="M341" s="61">
        <f>MAX(1,ROUNDDOWN($L341/'参数与公式'!$B$5,0))</f>
        <v/>
      </c>
      <c r="N341" s="67">
        <f>J341+Y341+IF(E341=G341-1,MAX(0,R341-J341*G341-SUMIFS($Y$5:$Y$589,$A$5:$A$589,$A341)),0)</f>
        <v/>
      </c>
      <c r="O341" s="18" t="inlineStr">
        <is>
          <t>data/technology_templates.yaml; upgrade_profiles.martial; code: technology_rules.allocate_upgrade_budget</t>
        </is>
      </c>
      <c r="P341" s="67">
        <f>INDEX('个人技术总览'!$O$5:$O$46,MATCH($A341,'个人技术总览'!$A$5:$A$46,0))</f>
        <v/>
      </c>
      <c r="Q341" s="64">
        <f>INDEX('个人技术总览'!$P$5:$P$46,MATCH($A341,'个人技术总览'!$A$5:$A$46,0))</f>
        <v/>
      </c>
      <c r="R341" s="67">
        <f>INDEX('个人技术总览'!$Q$5:$Q$46,MATCH($A341,'个人技术总览'!$A$5:$A$46,0))</f>
        <v/>
      </c>
      <c r="S341" s="64">
        <f>INDEX('个人技术总览'!$R$5:$R$46,MATCH($A341,'个人技术总览'!$A$5:$A$46,0))</f>
        <v/>
      </c>
      <c r="T341" s="68">
        <f>POWER($Q341,$E341)</f>
        <v/>
      </c>
      <c r="U341" s="68">
        <f>SUMIFS($T$5:$T$589,$A$5:$A$589,$A341)</f>
        <v/>
      </c>
      <c r="V341" s="67">
        <f>ROUNDDOWN(MAX(0,$P341-$H341*$G341)*$T341/MAX(1,$U341),0)</f>
        <v/>
      </c>
      <c r="W341" s="68">
        <f>POWER($S341,$E341)</f>
        <v/>
      </c>
      <c r="X341" s="68">
        <f>SUMIFS($W$5:$W$589,$A$5:$A$589,$A341)</f>
        <v/>
      </c>
      <c r="Y341" s="67">
        <f>ROUNDDOWN(MAX(0,$R341-$J341*$G341)*$W341/MAX(1,$X341),0)</f>
        <v/>
      </c>
    </row>
    <row r="342">
      <c r="A342" s="17" t="inlineStr">
        <is>
          <t>qiang_hp</t>
        </is>
      </c>
      <c r="B342" s="18" t="inlineStr">
        <is>
          <t>体血倍增</t>
        </is>
      </c>
      <c r="C342" s="18" t="inlineStr">
        <is>
          <t>武艺技术</t>
        </is>
      </c>
      <c r="D342" s="18" t="inlineStr">
        <is>
          <t>枪类</t>
        </is>
      </c>
      <c r="E342" s="65" t="n">
        <v>2</v>
      </c>
      <c r="F342" s="66">
        <f>E342+1</f>
        <v/>
      </c>
      <c r="G342" s="65">
        <f>INDEX('个人技术总览'!$E$5:$E$46,MATCH($A342,'个人技术总览'!$A$5:$A$46,0))</f>
        <v/>
      </c>
      <c r="H342" s="59">
        <f>INDEX('个人技术总览'!$F$5:$F$46,MATCH($A342,'个人技术总览'!$A$5:$A$46,0))</f>
        <v/>
      </c>
      <c r="I342" s="60">
        <f>INDEX('个人技术总览'!$G$5:$G$46,MATCH($A342,'个人技术总览'!$A$5:$A$46,0))</f>
        <v/>
      </c>
      <c r="J342" s="59">
        <f>INDEX('个人技术总览'!$H$5:$H$46,MATCH($A342,'个人技术总览'!$A$5:$A$46,0))</f>
        <v/>
      </c>
      <c r="K342" s="60">
        <f>INDEX('个人技术总览'!$I$5:$I$46,MATCH($A342,'个人技术总览'!$A$5:$A$46,0))</f>
        <v/>
      </c>
      <c r="L342" s="67">
        <f>H342+V342+IF(E342=G342-1,MAX(0,P342-H342*G342-SUMIFS($V$5:$V$589,$A$5:$A$589,$A342)),0)</f>
        <v/>
      </c>
      <c r="M342" s="61">
        <f>MAX(1,ROUNDDOWN($L342/'参数与公式'!$B$5,0))</f>
        <v/>
      </c>
      <c r="N342" s="67">
        <f>J342+Y342+IF(E342=G342-1,MAX(0,R342-J342*G342-SUMIFS($Y$5:$Y$589,$A$5:$A$589,$A342)),0)</f>
        <v/>
      </c>
      <c r="O342" s="18" t="inlineStr">
        <is>
          <t>data/technology_templates.yaml; upgrade_profiles.martial; code: technology_rules.allocate_upgrade_budget</t>
        </is>
      </c>
      <c r="P342" s="67">
        <f>INDEX('个人技术总览'!$O$5:$O$46,MATCH($A342,'个人技术总览'!$A$5:$A$46,0))</f>
        <v/>
      </c>
      <c r="Q342" s="64">
        <f>INDEX('个人技术总览'!$P$5:$P$46,MATCH($A342,'个人技术总览'!$A$5:$A$46,0))</f>
        <v/>
      </c>
      <c r="R342" s="67">
        <f>INDEX('个人技术总览'!$Q$5:$Q$46,MATCH($A342,'个人技术总览'!$A$5:$A$46,0))</f>
        <v/>
      </c>
      <c r="S342" s="64">
        <f>INDEX('个人技术总览'!$R$5:$R$46,MATCH($A342,'个人技术总览'!$A$5:$A$46,0))</f>
        <v/>
      </c>
      <c r="T342" s="68">
        <f>POWER($Q342,$E342)</f>
        <v/>
      </c>
      <c r="U342" s="68">
        <f>SUMIFS($T$5:$T$589,$A$5:$A$589,$A342)</f>
        <v/>
      </c>
      <c r="V342" s="67">
        <f>ROUNDDOWN(MAX(0,$P342-$H342*$G342)*$T342/MAX(1,$U342),0)</f>
        <v/>
      </c>
      <c r="W342" s="68">
        <f>POWER($S342,$E342)</f>
        <v/>
      </c>
      <c r="X342" s="68">
        <f>SUMIFS($W$5:$W$589,$A$5:$A$589,$A342)</f>
        <v/>
      </c>
      <c r="Y342" s="67">
        <f>ROUNDDOWN(MAX(0,$R342-$J342*$G342)*$W342/MAX(1,$X342),0)</f>
        <v/>
      </c>
    </row>
    <row r="343">
      <c r="A343" s="17" t="inlineStr">
        <is>
          <t>qiang_hp</t>
        </is>
      </c>
      <c r="B343" s="18" t="inlineStr">
        <is>
          <t>体血倍增</t>
        </is>
      </c>
      <c r="C343" s="18" t="inlineStr">
        <is>
          <t>武艺技术</t>
        </is>
      </c>
      <c r="D343" s="18" t="inlineStr">
        <is>
          <t>枪类</t>
        </is>
      </c>
      <c r="E343" s="65" t="n">
        <v>3</v>
      </c>
      <c r="F343" s="66">
        <f>E343+1</f>
        <v/>
      </c>
      <c r="G343" s="65">
        <f>INDEX('个人技术总览'!$E$5:$E$46,MATCH($A343,'个人技术总览'!$A$5:$A$46,0))</f>
        <v/>
      </c>
      <c r="H343" s="59">
        <f>INDEX('个人技术总览'!$F$5:$F$46,MATCH($A343,'个人技术总览'!$A$5:$A$46,0))</f>
        <v/>
      </c>
      <c r="I343" s="60">
        <f>INDEX('个人技术总览'!$G$5:$G$46,MATCH($A343,'个人技术总览'!$A$5:$A$46,0))</f>
        <v/>
      </c>
      <c r="J343" s="59">
        <f>INDEX('个人技术总览'!$H$5:$H$46,MATCH($A343,'个人技术总览'!$A$5:$A$46,0))</f>
        <v/>
      </c>
      <c r="K343" s="60">
        <f>INDEX('个人技术总览'!$I$5:$I$46,MATCH($A343,'个人技术总览'!$A$5:$A$46,0))</f>
        <v/>
      </c>
      <c r="L343" s="67">
        <f>H343+V343+IF(E343=G343-1,MAX(0,P343-H343*G343-SUMIFS($V$5:$V$589,$A$5:$A$589,$A343)),0)</f>
        <v/>
      </c>
      <c r="M343" s="61">
        <f>MAX(1,ROUNDDOWN($L343/'参数与公式'!$B$5,0))</f>
        <v/>
      </c>
      <c r="N343" s="67">
        <f>J343+Y343+IF(E343=G343-1,MAX(0,R343-J343*G343-SUMIFS($Y$5:$Y$589,$A$5:$A$589,$A343)),0)</f>
        <v/>
      </c>
      <c r="O343" s="18" t="inlineStr">
        <is>
          <t>data/technology_templates.yaml; upgrade_profiles.martial; code: technology_rules.allocate_upgrade_budget</t>
        </is>
      </c>
      <c r="P343" s="67">
        <f>INDEX('个人技术总览'!$O$5:$O$46,MATCH($A343,'个人技术总览'!$A$5:$A$46,0))</f>
        <v/>
      </c>
      <c r="Q343" s="64">
        <f>INDEX('个人技术总览'!$P$5:$P$46,MATCH($A343,'个人技术总览'!$A$5:$A$46,0))</f>
        <v/>
      </c>
      <c r="R343" s="67">
        <f>INDEX('个人技术总览'!$Q$5:$Q$46,MATCH($A343,'个人技术总览'!$A$5:$A$46,0))</f>
        <v/>
      </c>
      <c r="S343" s="64">
        <f>INDEX('个人技术总览'!$R$5:$R$46,MATCH($A343,'个人技术总览'!$A$5:$A$46,0))</f>
        <v/>
      </c>
      <c r="T343" s="68">
        <f>POWER($Q343,$E343)</f>
        <v/>
      </c>
      <c r="U343" s="68">
        <f>SUMIFS($T$5:$T$589,$A$5:$A$589,$A343)</f>
        <v/>
      </c>
      <c r="V343" s="67">
        <f>ROUNDDOWN(MAX(0,$P343-$H343*$G343)*$T343/MAX(1,$U343),0)</f>
        <v/>
      </c>
      <c r="W343" s="68">
        <f>POWER($S343,$E343)</f>
        <v/>
      </c>
      <c r="X343" s="68">
        <f>SUMIFS($W$5:$W$589,$A$5:$A$589,$A343)</f>
        <v/>
      </c>
      <c r="Y343" s="67">
        <f>ROUNDDOWN(MAX(0,$R343-$J343*$G343)*$W343/MAX(1,$X343),0)</f>
        <v/>
      </c>
    </row>
    <row r="344">
      <c r="A344" s="17" t="inlineStr">
        <is>
          <t>qiang_hp</t>
        </is>
      </c>
      <c r="B344" s="18" t="inlineStr">
        <is>
          <t>体血倍增</t>
        </is>
      </c>
      <c r="C344" s="18" t="inlineStr">
        <is>
          <t>武艺技术</t>
        </is>
      </c>
      <c r="D344" s="18" t="inlineStr">
        <is>
          <t>枪类</t>
        </is>
      </c>
      <c r="E344" s="65" t="n">
        <v>4</v>
      </c>
      <c r="F344" s="66">
        <f>E344+1</f>
        <v/>
      </c>
      <c r="G344" s="65">
        <f>INDEX('个人技术总览'!$E$5:$E$46,MATCH($A344,'个人技术总览'!$A$5:$A$46,0))</f>
        <v/>
      </c>
      <c r="H344" s="59">
        <f>INDEX('个人技术总览'!$F$5:$F$46,MATCH($A344,'个人技术总览'!$A$5:$A$46,0))</f>
        <v/>
      </c>
      <c r="I344" s="60">
        <f>INDEX('个人技术总览'!$G$5:$G$46,MATCH($A344,'个人技术总览'!$A$5:$A$46,0))</f>
        <v/>
      </c>
      <c r="J344" s="59">
        <f>INDEX('个人技术总览'!$H$5:$H$46,MATCH($A344,'个人技术总览'!$A$5:$A$46,0))</f>
        <v/>
      </c>
      <c r="K344" s="60">
        <f>INDEX('个人技术总览'!$I$5:$I$46,MATCH($A344,'个人技术总览'!$A$5:$A$46,0))</f>
        <v/>
      </c>
      <c r="L344" s="67">
        <f>H344+V344+IF(E344=G344-1,MAX(0,P344-H344*G344-SUMIFS($V$5:$V$589,$A$5:$A$589,$A344)),0)</f>
        <v/>
      </c>
      <c r="M344" s="61">
        <f>MAX(1,ROUNDDOWN($L344/'参数与公式'!$B$5,0))</f>
        <v/>
      </c>
      <c r="N344" s="67">
        <f>J344+Y344+IF(E344=G344-1,MAX(0,R344-J344*G344-SUMIFS($Y$5:$Y$589,$A$5:$A$589,$A344)),0)</f>
        <v/>
      </c>
      <c r="O344" s="18" t="inlineStr">
        <is>
          <t>data/technology_templates.yaml; upgrade_profiles.martial; code: technology_rules.allocate_upgrade_budget</t>
        </is>
      </c>
      <c r="P344" s="67">
        <f>INDEX('个人技术总览'!$O$5:$O$46,MATCH($A344,'个人技术总览'!$A$5:$A$46,0))</f>
        <v/>
      </c>
      <c r="Q344" s="64">
        <f>INDEX('个人技术总览'!$P$5:$P$46,MATCH($A344,'个人技术总览'!$A$5:$A$46,0))</f>
        <v/>
      </c>
      <c r="R344" s="67">
        <f>INDEX('个人技术总览'!$Q$5:$Q$46,MATCH($A344,'个人技术总览'!$A$5:$A$46,0))</f>
        <v/>
      </c>
      <c r="S344" s="64">
        <f>INDEX('个人技术总览'!$R$5:$R$46,MATCH($A344,'个人技术总览'!$A$5:$A$46,0))</f>
        <v/>
      </c>
      <c r="T344" s="68">
        <f>POWER($Q344,$E344)</f>
        <v/>
      </c>
      <c r="U344" s="68">
        <f>SUMIFS($T$5:$T$589,$A$5:$A$589,$A344)</f>
        <v/>
      </c>
      <c r="V344" s="67">
        <f>ROUNDDOWN(MAX(0,$P344-$H344*$G344)*$T344/MAX(1,$U344),0)</f>
        <v/>
      </c>
      <c r="W344" s="68">
        <f>POWER($S344,$E344)</f>
        <v/>
      </c>
      <c r="X344" s="68">
        <f>SUMIFS($W$5:$W$589,$A$5:$A$589,$A344)</f>
        <v/>
      </c>
      <c r="Y344" s="67">
        <f>ROUNDDOWN(MAX(0,$R344-$J344*$G344)*$W344/MAX(1,$X344),0)</f>
        <v/>
      </c>
    </row>
    <row r="345">
      <c r="A345" s="17" t="inlineStr">
        <is>
          <t>qiang_hp</t>
        </is>
      </c>
      <c r="B345" s="18" t="inlineStr">
        <is>
          <t>体血倍增</t>
        </is>
      </c>
      <c r="C345" s="18" t="inlineStr">
        <is>
          <t>武艺技术</t>
        </is>
      </c>
      <c r="D345" s="18" t="inlineStr">
        <is>
          <t>枪类</t>
        </is>
      </c>
      <c r="E345" s="65" t="n">
        <v>5</v>
      </c>
      <c r="F345" s="66">
        <f>E345+1</f>
        <v/>
      </c>
      <c r="G345" s="65">
        <f>INDEX('个人技术总览'!$E$5:$E$46,MATCH($A345,'个人技术总览'!$A$5:$A$46,0))</f>
        <v/>
      </c>
      <c r="H345" s="59">
        <f>INDEX('个人技术总览'!$F$5:$F$46,MATCH($A345,'个人技术总览'!$A$5:$A$46,0))</f>
        <v/>
      </c>
      <c r="I345" s="60">
        <f>INDEX('个人技术总览'!$G$5:$G$46,MATCH($A345,'个人技术总览'!$A$5:$A$46,0))</f>
        <v/>
      </c>
      <c r="J345" s="59">
        <f>INDEX('个人技术总览'!$H$5:$H$46,MATCH($A345,'个人技术总览'!$A$5:$A$46,0))</f>
        <v/>
      </c>
      <c r="K345" s="60">
        <f>INDEX('个人技术总览'!$I$5:$I$46,MATCH($A345,'个人技术总览'!$A$5:$A$46,0))</f>
        <v/>
      </c>
      <c r="L345" s="67">
        <f>H345+V345+IF(E345=G345-1,MAX(0,P345-H345*G345-SUMIFS($V$5:$V$589,$A$5:$A$589,$A345)),0)</f>
        <v/>
      </c>
      <c r="M345" s="61">
        <f>MAX(1,ROUNDDOWN($L345/'参数与公式'!$B$5,0))</f>
        <v/>
      </c>
      <c r="N345" s="67">
        <f>J345+Y345+IF(E345=G345-1,MAX(0,R345-J345*G345-SUMIFS($Y$5:$Y$589,$A$5:$A$589,$A345)),0)</f>
        <v/>
      </c>
      <c r="O345" s="18" t="inlineStr">
        <is>
          <t>data/technology_templates.yaml; upgrade_profiles.martial; code: technology_rules.allocate_upgrade_budget</t>
        </is>
      </c>
      <c r="P345" s="67">
        <f>INDEX('个人技术总览'!$O$5:$O$46,MATCH($A345,'个人技术总览'!$A$5:$A$46,0))</f>
        <v/>
      </c>
      <c r="Q345" s="64">
        <f>INDEX('个人技术总览'!$P$5:$P$46,MATCH($A345,'个人技术总览'!$A$5:$A$46,0))</f>
        <v/>
      </c>
      <c r="R345" s="67">
        <f>INDEX('个人技术总览'!$Q$5:$Q$46,MATCH($A345,'个人技术总览'!$A$5:$A$46,0))</f>
        <v/>
      </c>
      <c r="S345" s="64">
        <f>INDEX('个人技术总览'!$R$5:$R$46,MATCH($A345,'个人技术总览'!$A$5:$A$46,0))</f>
        <v/>
      </c>
      <c r="T345" s="68">
        <f>POWER($Q345,$E345)</f>
        <v/>
      </c>
      <c r="U345" s="68">
        <f>SUMIFS($T$5:$T$589,$A$5:$A$589,$A345)</f>
        <v/>
      </c>
      <c r="V345" s="67">
        <f>ROUNDDOWN(MAX(0,$P345-$H345*$G345)*$T345/MAX(1,$U345),0)</f>
        <v/>
      </c>
      <c r="W345" s="68">
        <f>POWER($S345,$E345)</f>
        <v/>
      </c>
      <c r="X345" s="68">
        <f>SUMIFS($W$5:$W$589,$A$5:$A$589,$A345)</f>
        <v/>
      </c>
      <c r="Y345" s="67">
        <f>ROUNDDOWN(MAX(0,$R345-$J345*$G345)*$W345/MAX(1,$X345),0)</f>
        <v/>
      </c>
    </row>
    <row r="346">
      <c r="A346" s="17" t="inlineStr">
        <is>
          <t>qiang_hp</t>
        </is>
      </c>
      <c r="B346" s="18" t="inlineStr">
        <is>
          <t>体血倍增</t>
        </is>
      </c>
      <c r="C346" s="18" t="inlineStr">
        <is>
          <t>武艺技术</t>
        </is>
      </c>
      <c r="D346" s="18" t="inlineStr">
        <is>
          <t>枪类</t>
        </is>
      </c>
      <c r="E346" s="65" t="n">
        <v>6</v>
      </c>
      <c r="F346" s="66">
        <f>E346+1</f>
        <v/>
      </c>
      <c r="G346" s="65">
        <f>INDEX('个人技术总览'!$E$5:$E$46,MATCH($A346,'个人技术总览'!$A$5:$A$46,0))</f>
        <v/>
      </c>
      <c r="H346" s="59">
        <f>INDEX('个人技术总览'!$F$5:$F$46,MATCH($A346,'个人技术总览'!$A$5:$A$46,0))</f>
        <v/>
      </c>
      <c r="I346" s="60">
        <f>INDEX('个人技术总览'!$G$5:$G$46,MATCH($A346,'个人技术总览'!$A$5:$A$46,0))</f>
        <v/>
      </c>
      <c r="J346" s="59">
        <f>INDEX('个人技术总览'!$H$5:$H$46,MATCH($A346,'个人技术总览'!$A$5:$A$46,0))</f>
        <v/>
      </c>
      <c r="K346" s="60">
        <f>INDEX('个人技术总览'!$I$5:$I$46,MATCH($A346,'个人技术总览'!$A$5:$A$46,0))</f>
        <v/>
      </c>
      <c r="L346" s="67">
        <f>H346+V346+IF(E346=G346-1,MAX(0,P346-H346*G346-SUMIFS($V$5:$V$589,$A$5:$A$589,$A346)),0)</f>
        <v/>
      </c>
      <c r="M346" s="61">
        <f>MAX(1,ROUNDDOWN($L346/'参数与公式'!$B$5,0))</f>
        <v/>
      </c>
      <c r="N346" s="67">
        <f>J346+Y346+IF(E346=G346-1,MAX(0,R346-J346*G346-SUMIFS($Y$5:$Y$589,$A$5:$A$589,$A346)),0)</f>
        <v/>
      </c>
      <c r="O346" s="18" t="inlineStr">
        <is>
          <t>data/technology_templates.yaml; upgrade_profiles.martial; code: technology_rules.allocate_upgrade_budget</t>
        </is>
      </c>
      <c r="P346" s="67">
        <f>INDEX('个人技术总览'!$O$5:$O$46,MATCH($A346,'个人技术总览'!$A$5:$A$46,0))</f>
        <v/>
      </c>
      <c r="Q346" s="64">
        <f>INDEX('个人技术总览'!$P$5:$P$46,MATCH($A346,'个人技术总览'!$A$5:$A$46,0))</f>
        <v/>
      </c>
      <c r="R346" s="67">
        <f>INDEX('个人技术总览'!$Q$5:$Q$46,MATCH($A346,'个人技术总览'!$A$5:$A$46,0))</f>
        <v/>
      </c>
      <c r="S346" s="64">
        <f>INDEX('个人技术总览'!$R$5:$R$46,MATCH($A346,'个人技术总览'!$A$5:$A$46,0))</f>
        <v/>
      </c>
      <c r="T346" s="68">
        <f>POWER($Q346,$E346)</f>
        <v/>
      </c>
      <c r="U346" s="68">
        <f>SUMIFS($T$5:$T$589,$A$5:$A$589,$A346)</f>
        <v/>
      </c>
      <c r="V346" s="67">
        <f>ROUNDDOWN(MAX(0,$P346-$H346*$G346)*$T346/MAX(1,$U346),0)</f>
        <v/>
      </c>
      <c r="W346" s="68">
        <f>POWER($S346,$E346)</f>
        <v/>
      </c>
      <c r="X346" s="68">
        <f>SUMIFS($W$5:$W$589,$A$5:$A$589,$A346)</f>
        <v/>
      </c>
      <c r="Y346" s="67">
        <f>ROUNDDOWN(MAX(0,$R346-$J346*$G346)*$W346/MAX(1,$X346),0)</f>
        <v/>
      </c>
    </row>
    <row r="347">
      <c r="A347" s="17" t="inlineStr">
        <is>
          <t>qiang_hp</t>
        </is>
      </c>
      <c r="B347" s="18" t="inlineStr">
        <is>
          <t>体血倍增</t>
        </is>
      </c>
      <c r="C347" s="18" t="inlineStr">
        <is>
          <t>武艺技术</t>
        </is>
      </c>
      <c r="D347" s="18" t="inlineStr">
        <is>
          <t>枪类</t>
        </is>
      </c>
      <c r="E347" s="65" t="n">
        <v>7</v>
      </c>
      <c r="F347" s="66">
        <f>E347+1</f>
        <v/>
      </c>
      <c r="G347" s="65">
        <f>INDEX('个人技术总览'!$E$5:$E$46,MATCH($A347,'个人技术总览'!$A$5:$A$46,0))</f>
        <v/>
      </c>
      <c r="H347" s="59">
        <f>INDEX('个人技术总览'!$F$5:$F$46,MATCH($A347,'个人技术总览'!$A$5:$A$46,0))</f>
        <v/>
      </c>
      <c r="I347" s="60">
        <f>INDEX('个人技术总览'!$G$5:$G$46,MATCH($A347,'个人技术总览'!$A$5:$A$46,0))</f>
        <v/>
      </c>
      <c r="J347" s="59">
        <f>INDEX('个人技术总览'!$H$5:$H$46,MATCH($A347,'个人技术总览'!$A$5:$A$46,0))</f>
        <v/>
      </c>
      <c r="K347" s="60">
        <f>INDEX('个人技术总览'!$I$5:$I$46,MATCH($A347,'个人技术总览'!$A$5:$A$46,0))</f>
        <v/>
      </c>
      <c r="L347" s="67">
        <f>H347+V347+IF(E347=G347-1,MAX(0,P347-H347*G347-SUMIFS($V$5:$V$589,$A$5:$A$589,$A347)),0)</f>
        <v/>
      </c>
      <c r="M347" s="61">
        <f>MAX(1,ROUNDDOWN($L347/'参数与公式'!$B$5,0))</f>
        <v/>
      </c>
      <c r="N347" s="67">
        <f>J347+Y347+IF(E347=G347-1,MAX(0,R347-J347*G347-SUMIFS($Y$5:$Y$589,$A$5:$A$589,$A347)),0)</f>
        <v/>
      </c>
      <c r="O347" s="18" t="inlineStr">
        <is>
          <t>data/technology_templates.yaml; upgrade_profiles.martial; code: technology_rules.allocate_upgrade_budget</t>
        </is>
      </c>
      <c r="P347" s="67">
        <f>INDEX('个人技术总览'!$O$5:$O$46,MATCH($A347,'个人技术总览'!$A$5:$A$46,0))</f>
        <v/>
      </c>
      <c r="Q347" s="64">
        <f>INDEX('个人技术总览'!$P$5:$P$46,MATCH($A347,'个人技术总览'!$A$5:$A$46,0))</f>
        <v/>
      </c>
      <c r="R347" s="67">
        <f>INDEX('个人技术总览'!$Q$5:$Q$46,MATCH($A347,'个人技术总览'!$A$5:$A$46,0))</f>
        <v/>
      </c>
      <c r="S347" s="64">
        <f>INDEX('个人技术总览'!$R$5:$R$46,MATCH($A347,'个人技术总览'!$A$5:$A$46,0))</f>
        <v/>
      </c>
      <c r="T347" s="68">
        <f>POWER($Q347,$E347)</f>
        <v/>
      </c>
      <c r="U347" s="68">
        <f>SUMIFS($T$5:$T$589,$A$5:$A$589,$A347)</f>
        <v/>
      </c>
      <c r="V347" s="67">
        <f>ROUNDDOWN(MAX(0,$P347-$H347*$G347)*$T347/MAX(1,$U347),0)</f>
        <v/>
      </c>
      <c r="W347" s="68">
        <f>POWER($S347,$E347)</f>
        <v/>
      </c>
      <c r="X347" s="68">
        <f>SUMIFS($W$5:$W$589,$A$5:$A$589,$A347)</f>
        <v/>
      </c>
      <c r="Y347" s="67">
        <f>ROUNDDOWN(MAX(0,$R347-$J347*$G347)*$W347/MAX(1,$X347),0)</f>
        <v/>
      </c>
    </row>
    <row r="348">
      <c r="A348" s="17" t="inlineStr">
        <is>
          <t>qiang_hp</t>
        </is>
      </c>
      <c r="B348" s="18" t="inlineStr">
        <is>
          <t>体血倍增</t>
        </is>
      </c>
      <c r="C348" s="18" t="inlineStr">
        <is>
          <t>武艺技术</t>
        </is>
      </c>
      <c r="D348" s="18" t="inlineStr">
        <is>
          <t>枪类</t>
        </is>
      </c>
      <c r="E348" s="65" t="n">
        <v>8</v>
      </c>
      <c r="F348" s="66">
        <f>E348+1</f>
        <v/>
      </c>
      <c r="G348" s="65">
        <f>INDEX('个人技术总览'!$E$5:$E$46,MATCH($A348,'个人技术总览'!$A$5:$A$46,0))</f>
        <v/>
      </c>
      <c r="H348" s="59">
        <f>INDEX('个人技术总览'!$F$5:$F$46,MATCH($A348,'个人技术总览'!$A$5:$A$46,0))</f>
        <v/>
      </c>
      <c r="I348" s="60">
        <f>INDEX('个人技术总览'!$G$5:$G$46,MATCH($A348,'个人技术总览'!$A$5:$A$46,0))</f>
        <v/>
      </c>
      <c r="J348" s="59">
        <f>INDEX('个人技术总览'!$H$5:$H$46,MATCH($A348,'个人技术总览'!$A$5:$A$46,0))</f>
        <v/>
      </c>
      <c r="K348" s="60">
        <f>INDEX('个人技术总览'!$I$5:$I$46,MATCH($A348,'个人技术总览'!$A$5:$A$46,0))</f>
        <v/>
      </c>
      <c r="L348" s="67">
        <f>H348+V348+IF(E348=G348-1,MAX(0,P348-H348*G348-SUMIFS($V$5:$V$589,$A$5:$A$589,$A348)),0)</f>
        <v/>
      </c>
      <c r="M348" s="61">
        <f>MAX(1,ROUNDDOWN($L348/'参数与公式'!$B$5,0))</f>
        <v/>
      </c>
      <c r="N348" s="67">
        <f>J348+Y348+IF(E348=G348-1,MAX(0,R348-J348*G348-SUMIFS($Y$5:$Y$589,$A$5:$A$589,$A348)),0)</f>
        <v/>
      </c>
      <c r="O348" s="18" t="inlineStr">
        <is>
          <t>data/technology_templates.yaml; upgrade_profiles.martial; code: technology_rules.allocate_upgrade_budget</t>
        </is>
      </c>
      <c r="P348" s="67">
        <f>INDEX('个人技术总览'!$O$5:$O$46,MATCH($A348,'个人技术总览'!$A$5:$A$46,0))</f>
        <v/>
      </c>
      <c r="Q348" s="64">
        <f>INDEX('个人技术总览'!$P$5:$P$46,MATCH($A348,'个人技术总览'!$A$5:$A$46,0))</f>
        <v/>
      </c>
      <c r="R348" s="67">
        <f>INDEX('个人技术总览'!$Q$5:$Q$46,MATCH($A348,'个人技术总览'!$A$5:$A$46,0))</f>
        <v/>
      </c>
      <c r="S348" s="64">
        <f>INDEX('个人技术总览'!$R$5:$R$46,MATCH($A348,'个人技术总览'!$A$5:$A$46,0))</f>
        <v/>
      </c>
      <c r="T348" s="68">
        <f>POWER($Q348,$E348)</f>
        <v/>
      </c>
      <c r="U348" s="68">
        <f>SUMIFS($T$5:$T$589,$A$5:$A$589,$A348)</f>
        <v/>
      </c>
      <c r="V348" s="67">
        <f>ROUNDDOWN(MAX(0,$P348-$H348*$G348)*$T348/MAX(1,$U348),0)</f>
        <v/>
      </c>
      <c r="W348" s="68">
        <f>POWER($S348,$E348)</f>
        <v/>
      </c>
      <c r="X348" s="68">
        <f>SUMIFS($W$5:$W$589,$A$5:$A$589,$A348)</f>
        <v/>
      </c>
      <c r="Y348" s="67">
        <f>ROUNDDOWN(MAX(0,$R348-$J348*$G348)*$W348/MAX(1,$X348),0)</f>
        <v/>
      </c>
    </row>
    <row r="349">
      <c r="A349" s="17" t="inlineStr">
        <is>
          <t>qiang_hp</t>
        </is>
      </c>
      <c r="B349" s="18" t="inlineStr">
        <is>
          <t>体血倍增</t>
        </is>
      </c>
      <c r="C349" s="18" t="inlineStr">
        <is>
          <t>武艺技术</t>
        </is>
      </c>
      <c r="D349" s="18" t="inlineStr">
        <is>
          <t>枪类</t>
        </is>
      </c>
      <c r="E349" s="65" t="n">
        <v>9</v>
      </c>
      <c r="F349" s="66">
        <f>E349+1</f>
        <v/>
      </c>
      <c r="G349" s="65">
        <f>INDEX('个人技术总览'!$E$5:$E$46,MATCH($A349,'个人技术总览'!$A$5:$A$46,0))</f>
        <v/>
      </c>
      <c r="H349" s="59">
        <f>INDEX('个人技术总览'!$F$5:$F$46,MATCH($A349,'个人技术总览'!$A$5:$A$46,0))</f>
        <v/>
      </c>
      <c r="I349" s="60">
        <f>INDEX('个人技术总览'!$G$5:$G$46,MATCH($A349,'个人技术总览'!$A$5:$A$46,0))</f>
        <v/>
      </c>
      <c r="J349" s="59">
        <f>INDEX('个人技术总览'!$H$5:$H$46,MATCH($A349,'个人技术总览'!$A$5:$A$46,0))</f>
        <v/>
      </c>
      <c r="K349" s="60">
        <f>INDEX('个人技术总览'!$I$5:$I$46,MATCH($A349,'个人技术总览'!$A$5:$A$46,0))</f>
        <v/>
      </c>
      <c r="L349" s="67">
        <f>H349+V349+IF(E349=G349-1,MAX(0,P349-H349*G349-SUMIFS($V$5:$V$589,$A$5:$A$589,$A349)),0)</f>
        <v/>
      </c>
      <c r="M349" s="61">
        <f>MAX(1,ROUNDDOWN($L349/'参数与公式'!$B$5,0))</f>
        <v/>
      </c>
      <c r="N349" s="67">
        <f>J349+Y349+IF(E349=G349-1,MAX(0,R349-J349*G349-SUMIFS($Y$5:$Y$589,$A$5:$A$589,$A349)),0)</f>
        <v/>
      </c>
      <c r="O349" s="18" t="inlineStr">
        <is>
          <t>data/technology_templates.yaml; upgrade_profiles.martial; code: technology_rules.allocate_upgrade_budget</t>
        </is>
      </c>
      <c r="P349" s="67">
        <f>INDEX('个人技术总览'!$O$5:$O$46,MATCH($A349,'个人技术总览'!$A$5:$A$46,0))</f>
        <v/>
      </c>
      <c r="Q349" s="64">
        <f>INDEX('个人技术总览'!$P$5:$P$46,MATCH($A349,'个人技术总览'!$A$5:$A$46,0))</f>
        <v/>
      </c>
      <c r="R349" s="67">
        <f>INDEX('个人技术总览'!$Q$5:$Q$46,MATCH($A349,'个人技术总览'!$A$5:$A$46,0))</f>
        <v/>
      </c>
      <c r="S349" s="64">
        <f>INDEX('个人技术总览'!$R$5:$R$46,MATCH($A349,'个人技术总览'!$A$5:$A$46,0))</f>
        <v/>
      </c>
      <c r="T349" s="68">
        <f>POWER($Q349,$E349)</f>
        <v/>
      </c>
      <c r="U349" s="68">
        <f>SUMIFS($T$5:$T$589,$A$5:$A$589,$A349)</f>
        <v/>
      </c>
      <c r="V349" s="67">
        <f>ROUNDDOWN(MAX(0,$P349-$H349*$G349)*$T349/MAX(1,$U349),0)</f>
        <v/>
      </c>
      <c r="W349" s="68">
        <f>POWER($S349,$E349)</f>
        <v/>
      </c>
      <c r="X349" s="68">
        <f>SUMIFS($W$5:$W$589,$A$5:$A$589,$A349)</f>
        <v/>
      </c>
      <c r="Y349" s="67">
        <f>ROUNDDOWN(MAX(0,$R349-$J349*$G349)*$W349/MAX(1,$X349),0)</f>
        <v/>
      </c>
    </row>
    <row r="350">
      <c r="A350" s="17" t="inlineStr">
        <is>
          <t>qiang_siege</t>
        </is>
      </c>
      <c r="B350" s="18" t="inlineStr">
        <is>
          <t>攻坚破城</t>
        </is>
      </c>
      <c r="C350" s="18" t="inlineStr">
        <is>
          <t>武艺技术</t>
        </is>
      </c>
      <c r="D350" s="18" t="inlineStr">
        <is>
          <t>枪类</t>
        </is>
      </c>
      <c r="E350" s="65" t="n">
        <v>0</v>
      </c>
      <c r="F350" s="66">
        <f>E350+1</f>
        <v/>
      </c>
      <c r="G350" s="65">
        <f>INDEX('个人技术总览'!$E$5:$E$46,MATCH($A350,'个人技术总览'!$A$5:$A$46,0))</f>
        <v/>
      </c>
      <c r="H350" s="59">
        <f>INDEX('个人技术总览'!$F$5:$F$46,MATCH($A350,'个人技术总览'!$A$5:$A$46,0))</f>
        <v/>
      </c>
      <c r="I350" s="60">
        <f>INDEX('个人技术总览'!$G$5:$G$46,MATCH($A350,'个人技术总览'!$A$5:$A$46,0))</f>
        <v/>
      </c>
      <c r="J350" s="59">
        <f>INDEX('个人技术总览'!$H$5:$H$46,MATCH($A350,'个人技术总览'!$A$5:$A$46,0))</f>
        <v/>
      </c>
      <c r="K350" s="60">
        <f>INDEX('个人技术总览'!$I$5:$I$46,MATCH($A350,'个人技术总览'!$A$5:$A$46,0))</f>
        <v/>
      </c>
      <c r="L350" s="67">
        <f>H350+V350+IF(E350=G350-1,MAX(0,P350-H350*G350-SUMIFS($V$5:$V$589,$A$5:$A$589,$A350)),0)</f>
        <v/>
      </c>
      <c r="M350" s="61">
        <f>MAX(1,ROUNDDOWN($L350/'参数与公式'!$B$5,0))</f>
        <v/>
      </c>
      <c r="N350" s="67">
        <f>J350+Y350+IF(E350=G350-1,MAX(0,R350-J350*G350-SUMIFS($Y$5:$Y$589,$A$5:$A$589,$A350)),0)</f>
        <v/>
      </c>
      <c r="O350" s="18" t="inlineStr">
        <is>
          <t>data/technology_templates.yaml; upgrade_profiles.martial; code: technology_rules.allocate_upgrade_budget</t>
        </is>
      </c>
      <c r="P350" s="67">
        <f>INDEX('个人技术总览'!$O$5:$O$46,MATCH($A350,'个人技术总览'!$A$5:$A$46,0))</f>
        <v/>
      </c>
      <c r="Q350" s="64">
        <f>INDEX('个人技术总览'!$P$5:$P$46,MATCH($A350,'个人技术总览'!$A$5:$A$46,0))</f>
        <v/>
      </c>
      <c r="R350" s="67">
        <f>INDEX('个人技术总览'!$Q$5:$Q$46,MATCH($A350,'个人技术总览'!$A$5:$A$46,0))</f>
        <v/>
      </c>
      <c r="S350" s="64">
        <f>INDEX('个人技术总览'!$R$5:$R$46,MATCH($A350,'个人技术总览'!$A$5:$A$46,0))</f>
        <v/>
      </c>
      <c r="T350" s="68">
        <f>POWER($Q350,$E350)</f>
        <v/>
      </c>
      <c r="U350" s="68">
        <f>SUMIFS($T$5:$T$589,$A$5:$A$589,$A350)</f>
        <v/>
      </c>
      <c r="V350" s="67">
        <f>ROUNDDOWN(MAX(0,$P350-$H350*$G350)*$T350/MAX(1,$U350),0)</f>
        <v/>
      </c>
      <c r="W350" s="68">
        <f>POWER($S350,$E350)</f>
        <v/>
      </c>
      <c r="X350" s="68">
        <f>SUMIFS($W$5:$W$589,$A$5:$A$589,$A350)</f>
        <v/>
      </c>
      <c r="Y350" s="67">
        <f>ROUNDDOWN(MAX(0,$R350-$J350*$G350)*$W350/MAX(1,$X350),0)</f>
        <v/>
      </c>
    </row>
    <row r="351">
      <c r="A351" s="17" t="inlineStr">
        <is>
          <t>qiang_siege</t>
        </is>
      </c>
      <c r="B351" s="18" t="inlineStr">
        <is>
          <t>攻坚破城</t>
        </is>
      </c>
      <c r="C351" s="18" t="inlineStr">
        <is>
          <t>武艺技术</t>
        </is>
      </c>
      <c r="D351" s="18" t="inlineStr">
        <is>
          <t>枪类</t>
        </is>
      </c>
      <c r="E351" s="65" t="n">
        <v>1</v>
      </c>
      <c r="F351" s="66">
        <f>E351+1</f>
        <v/>
      </c>
      <c r="G351" s="65">
        <f>INDEX('个人技术总览'!$E$5:$E$46,MATCH($A351,'个人技术总览'!$A$5:$A$46,0))</f>
        <v/>
      </c>
      <c r="H351" s="59">
        <f>INDEX('个人技术总览'!$F$5:$F$46,MATCH($A351,'个人技术总览'!$A$5:$A$46,0))</f>
        <v/>
      </c>
      <c r="I351" s="60">
        <f>INDEX('个人技术总览'!$G$5:$G$46,MATCH($A351,'个人技术总览'!$A$5:$A$46,0))</f>
        <v/>
      </c>
      <c r="J351" s="59">
        <f>INDEX('个人技术总览'!$H$5:$H$46,MATCH($A351,'个人技术总览'!$A$5:$A$46,0))</f>
        <v/>
      </c>
      <c r="K351" s="60">
        <f>INDEX('个人技术总览'!$I$5:$I$46,MATCH($A351,'个人技术总览'!$A$5:$A$46,0))</f>
        <v/>
      </c>
      <c r="L351" s="67">
        <f>H351+V351+IF(E351=G351-1,MAX(0,P351-H351*G351-SUMIFS($V$5:$V$589,$A$5:$A$589,$A351)),0)</f>
        <v/>
      </c>
      <c r="M351" s="61">
        <f>MAX(1,ROUNDDOWN($L351/'参数与公式'!$B$5,0))</f>
        <v/>
      </c>
      <c r="N351" s="67">
        <f>J351+Y351+IF(E351=G351-1,MAX(0,R351-J351*G351-SUMIFS($Y$5:$Y$589,$A$5:$A$589,$A351)),0)</f>
        <v/>
      </c>
      <c r="O351" s="18" t="inlineStr">
        <is>
          <t>data/technology_templates.yaml; upgrade_profiles.martial; code: technology_rules.allocate_upgrade_budget</t>
        </is>
      </c>
      <c r="P351" s="67">
        <f>INDEX('个人技术总览'!$O$5:$O$46,MATCH($A351,'个人技术总览'!$A$5:$A$46,0))</f>
        <v/>
      </c>
      <c r="Q351" s="64">
        <f>INDEX('个人技术总览'!$P$5:$P$46,MATCH($A351,'个人技术总览'!$A$5:$A$46,0))</f>
        <v/>
      </c>
      <c r="R351" s="67">
        <f>INDEX('个人技术总览'!$Q$5:$Q$46,MATCH($A351,'个人技术总览'!$A$5:$A$46,0))</f>
        <v/>
      </c>
      <c r="S351" s="64">
        <f>INDEX('个人技术总览'!$R$5:$R$46,MATCH($A351,'个人技术总览'!$A$5:$A$46,0))</f>
        <v/>
      </c>
      <c r="T351" s="68">
        <f>POWER($Q351,$E351)</f>
        <v/>
      </c>
      <c r="U351" s="68">
        <f>SUMIFS($T$5:$T$589,$A$5:$A$589,$A351)</f>
        <v/>
      </c>
      <c r="V351" s="67">
        <f>ROUNDDOWN(MAX(0,$P351-$H351*$G351)*$T351/MAX(1,$U351),0)</f>
        <v/>
      </c>
      <c r="W351" s="68">
        <f>POWER($S351,$E351)</f>
        <v/>
      </c>
      <c r="X351" s="68">
        <f>SUMIFS($W$5:$W$589,$A$5:$A$589,$A351)</f>
        <v/>
      </c>
      <c r="Y351" s="67">
        <f>ROUNDDOWN(MAX(0,$R351-$J351*$G351)*$W351/MAX(1,$X351),0)</f>
        <v/>
      </c>
    </row>
    <row r="352">
      <c r="A352" s="17" t="inlineStr">
        <is>
          <t>qiang_siege</t>
        </is>
      </c>
      <c r="B352" s="18" t="inlineStr">
        <is>
          <t>攻坚破城</t>
        </is>
      </c>
      <c r="C352" s="18" t="inlineStr">
        <is>
          <t>武艺技术</t>
        </is>
      </c>
      <c r="D352" s="18" t="inlineStr">
        <is>
          <t>枪类</t>
        </is>
      </c>
      <c r="E352" s="65" t="n">
        <v>2</v>
      </c>
      <c r="F352" s="66">
        <f>E352+1</f>
        <v/>
      </c>
      <c r="G352" s="65">
        <f>INDEX('个人技术总览'!$E$5:$E$46,MATCH($A352,'个人技术总览'!$A$5:$A$46,0))</f>
        <v/>
      </c>
      <c r="H352" s="59">
        <f>INDEX('个人技术总览'!$F$5:$F$46,MATCH($A352,'个人技术总览'!$A$5:$A$46,0))</f>
        <v/>
      </c>
      <c r="I352" s="60">
        <f>INDEX('个人技术总览'!$G$5:$G$46,MATCH($A352,'个人技术总览'!$A$5:$A$46,0))</f>
        <v/>
      </c>
      <c r="J352" s="59">
        <f>INDEX('个人技术总览'!$H$5:$H$46,MATCH($A352,'个人技术总览'!$A$5:$A$46,0))</f>
        <v/>
      </c>
      <c r="K352" s="60">
        <f>INDEX('个人技术总览'!$I$5:$I$46,MATCH($A352,'个人技术总览'!$A$5:$A$46,0))</f>
        <v/>
      </c>
      <c r="L352" s="67">
        <f>H352+V352+IF(E352=G352-1,MAX(0,P352-H352*G352-SUMIFS($V$5:$V$589,$A$5:$A$589,$A352)),0)</f>
        <v/>
      </c>
      <c r="M352" s="61">
        <f>MAX(1,ROUNDDOWN($L352/'参数与公式'!$B$5,0))</f>
        <v/>
      </c>
      <c r="N352" s="67">
        <f>J352+Y352+IF(E352=G352-1,MAX(0,R352-J352*G352-SUMIFS($Y$5:$Y$589,$A$5:$A$589,$A352)),0)</f>
        <v/>
      </c>
      <c r="O352" s="18" t="inlineStr">
        <is>
          <t>data/technology_templates.yaml; upgrade_profiles.martial; code: technology_rules.allocate_upgrade_budget</t>
        </is>
      </c>
      <c r="P352" s="67">
        <f>INDEX('个人技术总览'!$O$5:$O$46,MATCH($A352,'个人技术总览'!$A$5:$A$46,0))</f>
        <v/>
      </c>
      <c r="Q352" s="64">
        <f>INDEX('个人技术总览'!$P$5:$P$46,MATCH($A352,'个人技术总览'!$A$5:$A$46,0))</f>
        <v/>
      </c>
      <c r="R352" s="67">
        <f>INDEX('个人技术总览'!$Q$5:$Q$46,MATCH($A352,'个人技术总览'!$A$5:$A$46,0))</f>
        <v/>
      </c>
      <c r="S352" s="64">
        <f>INDEX('个人技术总览'!$R$5:$R$46,MATCH($A352,'个人技术总览'!$A$5:$A$46,0))</f>
        <v/>
      </c>
      <c r="T352" s="68">
        <f>POWER($Q352,$E352)</f>
        <v/>
      </c>
      <c r="U352" s="68">
        <f>SUMIFS($T$5:$T$589,$A$5:$A$589,$A352)</f>
        <v/>
      </c>
      <c r="V352" s="67">
        <f>ROUNDDOWN(MAX(0,$P352-$H352*$G352)*$T352/MAX(1,$U352),0)</f>
        <v/>
      </c>
      <c r="W352" s="68">
        <f>POWER($S352,$E352)</f>
        <v/>
      </c>
      <c r="X352" s="68">
        <f>SUMIFS($W$5:$W$589,$A$5:$A$589,$A352)</f>
        <v/>
      </c>
      <c r="Y352" s="67">
        <f>ROUNDDOWN(MAX(0,$R352-$J352*$G352)*$W352/MAX(1,$X352),0)</f>
        <v/>
      </c>
    </row>
    <row r="353">
      <c r="A353" s="17" t="inlineStr">
        <is>
          <t>qiang_siege</t>
        </is>
      </c>
      <c r="B353" s="18" t="inlineStr">
        <is>
          <t>攻坚破城</t>
        </is>
      </c>
      <c r="C353" s="18" t="inlineStr">
        <is>
          <t>武艺技术</t>
        </is>
      </c>
      <c r="D353" s="18" t="inlineStr">
        <is>
          <t>枪类</t>
        </is>
      </c>
      <c r="E353" s="65" t="n">
        <v>3</v>
      </c>
      <c r="F353" s="66">
        <f>E353+1</f>
        <v/>
      </c>
      <c r="G353" s="65">
        <f>INDEX('个人技术总览'!$E$5:$E$46,MATCH($A353,'个人技术总览'!$A$5:$A$46,0))</f>
        <v/>
      </c>
      <c r="H353" s="59">
        <f>INDEX('个人技术总览'!$F$5:$F$46,MATCH($A353,'个人技术总览'!$A$5:$A$46,0))</f>
        <v/>
      </c>
      <c r="I353" s="60">
        <f>INDEX('个人技术总览'!$G$5:$G$46,MATCH($A353,'个人技术总览'!$A$5:$A$46,0))</f>
        <v/>
      </c>
      <c r="J353" s="59">
        <f>INDEX('个人技术总览'!$H$5:$H$46,MATCH($A353,'个人技术总览'!$A$5:$A$46,0))</f>
        <v/>
      </c>
      <c r="K353" s="60">
        <f>INDEX('个人技术总览'!$I$5:$I$46,MATCH($A353,'个人技术总览'!$A$5:$A$46,0))</f>
        <v/>
      </c>
      <c r="L353" s="67">
        <f>H353+V353+IF(E353=G353-1,MAX(0,P353-H353*G353-SUMIFS($V$5:$V$589,$A$5:$A$589,$A353)),0)</f>
        <v/>
      </c>
      <c r="M353" s="61">
        <f>MAX(1,ROUNDDOWN($L353/'参数与公式'!$B$5,0))</f>
        <v/>
      </c>
      <c r="N353" s="67">
        <f>J353+Y353+IF(E353=G353-1,MAX(0,R353-J353*G353-SUMIFS($Y$5:$Y$589,$A$5:$A$589,$A353)),0)</f>
        <v/>
      </c>
      <c r="O353" s="18" t="inlineStr">
        <is>
          <t>data/technology_templates.yaml; upgrade_profiles.martial; code: technology_rules.allocate_upgrade_budget</t>
        </is>
      </c>
      <c r="P353" s="67">
        <f>INDEX('个人技术总览'!$O$5:$O$46,MATCH($A353,'个人技术总览'!$A$5:$A$46,0))</f>
        <v/>
      </c>
      <c r="Q353" s="64">
        <f>INDEX('个人技术总览'!$P$5:$P$46,MATCH($A353,'个人技术总览'!$A$5:$A$46,0))</f>
        <v/>
      </c>
      <c r="R353" s="67">
        <f>INDEX('个人技术总览'!$Q$5:$Q$46,MATCH($A353,'个人技术总览'!$A$5:$A$46,0))</f>
        <v/>
      </c>
      <c r="S353" s="64">
        <f>INDEX('个人技术总览'!$R$5:$R$46,MATCH($A353,'个人技术总览'!$A$5:$A$46,0))</f>
        <v/>
      </c>
      <c r="T353" s="68">
        <f>POWER($Q353,$E353)</f>
        <v/>
      </c>
      <c r="U353" s="68">
        <f>SUMIFS($T$5:$T$589,$A$5:$A$589,$A353)</f>
        <v/>
      </c>
      <c r="V353" s="67">
        <f>ROUNDDOWN(MAX(0,$P353-$H353*$G353)*$T353/MAX(1,$U353),0)</f>
        <v/>
      </c>
      <c r="W353" s="68">
        <f>POWER($S353,$E353)</f>
        <v/>
      </c>
      <c r="X353" s="68">
        <f>SUMIFS($W$5:$W$589,$A$5:$A$589,$A353)</f>
        <v/>
      </c>
      <c r="Y353" s="67">
        <f>ROUNDDOWN(MAX(0,$R353-$J353*$G353)*$W353/MAX(1,$X353),0)</f>
        <v/>
      </c>
    </row>
    <row r="354">
      <c r="A354" s="17" t="inlineStr">
        <is>
          <t>qiang_siege</t>
        </is>
      </c>
      <c r="B354" s="18" t="inlineStr">
        <is>
          <t>攻坚破城</t>
        </is>
      </c>
      <c r="C354" s="18" t="inlineStr">
        <is>
          <t>武艺技术</t>
        </is>
      </c>
      <c r="D354" s="18" t="inlineStr">
        <is>
          <t>枪类</t>
        </is>
      </c>
      <c r="E354" s="65" t="n">
        <v>4</v>
      </c>
      <c r="F354" s="66">
        <f>E354+1</f>
        <v/>
      </c>
      <c r="G354" s="65">
        <f>INDEX('个人技术总览'!$E$5:$E$46,MATCH($A354,'个人技术总览'!$A$5:$A$46,0))</f>
        <v/>
      </c>
      <c r="H354" s="59">
        <f>INDEX('个人技术总览'!$F$5:$F$46,MATCH($A354,'个人技术总览'!$A$5:$A$46,0))</f>
        <v/>
      </c>
      <c r="I354" s="60">
        <f>INDEX('个人技术总览'!$G$5:$G$46,MATCH($A354,'个人技术总览'!$A$5:$A$46,0))</f>
        <v/>
      </c>
      <c r="J354" s="59">
        <f>INDEX('个人技术总览'!$H$5:$H$46,MATCH($A354,'个人技术总览'!$A$5:$A$46,0))</f>
        <v/>
      </c>
      <c r="K354" s="60">
        <f>INDEX('个人技术总览'!$I$5:$I$46,MATCH($A354,'个人技术总览'!$A$5:$A$46,0))</f>
        <v/>
      </c>
      <c r="L354" s="67">
        <f>H354+V354+IF(E354=G354-1,MAX(0,P354-H354*G354-SUMIFS($V$5:$V$589,$A$5:$A$589,$A354)),0)</f>
        <v/>
      </c>
      <c r="M354" s="61">
        <f>MAX(1,ROUNDDOWN($L354/'参数与公式'!$B$5,0))</f>
        <v/>
      </c>
      <c r="N354" s="67">
        <f>J354+Y354+IF(E354=G354-1,MAX(0,R354-J354*G354-SUMIFS($Y$5:$Y$589,$A$5:$A$589,$A354)),0)</f>
        <v/>
      </c>
      <c r="O354" s="18" t="inlineStr">
        <is>
          <t>data/technology_templates.yaml; upgrade_profiles.martial; code: technology_rules.allocate_upgrade_budget</t>
        </is>
      </c>
      <c r="P354" s="67">
        <f>INDEX('个人技术总览'!$O$5:$O$46,MATCH($A354,'个人技术总览'!$A$5:$A$46,0))</f>
        <v/>
      </c>
      <c r="Q354" s="64">
        <f>INDEX('个人技术总览'!$P$5:$P$46,MATCH($A354,'个人技术总览'!$A$5:$A$46,0))</f>
        <v/>
      </c>
      <c r="R354" s="67">
        <f>INDEX('个人技术总览'!$Q$5:$Q$46,MATCH($A354,'个人技术总览'!$A$5:$A$46,0))</f>
        <v/>
      </c>
      <c r="S354" s="64">
        <f>INDEX('个人技术总览'!$R$5:$R$46,MATCH($A354,'个人技术总览'!$A$5:$A$46,0))</f>
        <v/>
      </c>
      <c r="T354" s="68">
        <f>POWER($Q354,$E354)</f>
        <v/>
      </c>
      <c r="U354" s="68">
        <f>SUMIFS($T$5:$T$589,$A$5:$A$589,$A354)</f>
        <v/>
      </c>
      <c r="V354" s="67">
        <f>ROUNDDOWN(MAX(0,$P354-$H354*$G354)*$T354/MAX(1,$U354),0)</f>
        <v/>
      </c>
      <c r="W354" s="68">
        <f>POWER($S354,$E354)</f>
        <v/>
      </c>
      <c r="X354" s="68">
        <f>SUMIFS($W$5:$W$589,$A$5:$A$589,$A354)</f>
        <v/>
      </c>
      <c r="Y354" s="67">
        <f>ROUNDDOWN(MAX(0,$R354-$J354*$G354)*$W354/MAX(1,$X354),0)</f>
        <v/>
      </c>
    </row>
    <row r="355">
      <c r="A355" s="17" t="inlineStr">
        <is>
          <t>qiang_siege</t>
        </is>
      </c>
      <c r="B355" s="18" t="inlineStr">
        <is>
          <t>攻坚破城</t>
        </is>
      </c>
      <c r="C355" s="18" t="inlineStr">
        <is>
          <t>武艺技术</t>
        </is>
      </c>
      <c r="D355" s="18" t="inlineStr">
        <is>
          <t>枪类</t>
        </is>
      </c>
      <c r="E355" s="65" t="n">
        <v>5</v>
      </c>
      <c r="F355" s="66">
        <f>E355+1</f>
        <v/>
      </c>
      <c r="G355" s="65">
        <f>INDEX('个人技术总览'!$E$5:$E$46,MATCH($A355,'个人技术总览'!$A$5:$A$46,0))</f>
        <v/>
      </c>
      <c r="H355" s="59">
        <f>INDEX('个人技术总览'!$F$5:$F$46,MATCH($A355,'个人技术总览'!$A$5:$A$46,0))</f>
        <v/>
      </c>
      <c r="I355" s="60">
        <f>INDEX('个人技术总览'!$G$5:$G$46,MATCH($A355,'个人技术总览'!$A$5:$A$46,0))</f>
        <v/>
      </c>
      <c r="J355" s="59">
        <f>INDEX('个人技术总览'!$H$5:$H$46,MATCH($A355,'个人技术总览'!$A$5:$A$46,0))</f>
        <v/>
      </c>
      <c r="K355" s="60">
        <f>INDEX('个人技术总览'!$I$5:$I$46,MATCH($A355,'个人技术总览'!$A$5:$A$46,0))</f>
        <v/>
      </c>
      <c r="L355" s="67">
        <f>H355+V355+IF(E355=G355-1,MAX(0,P355-H355*G355-SUMIFS($V$5:$V$589,$A$5:$A$589,$A355)),0)</f>
        <v/>
      </c>
      <c r="M355" s="61">
        <f>MAX(1,ROUNDDOWN($L355/'参数与公式'!$B$5,0))</f>
        <v/>
      </c>
      <c r="N355" s="67">
        <f>J355+Y355+IF(E355=G355-1,MAX(0,R355-J355*G355-SUMIFS($Y$5:$Y$589,$A$5:$A$589,$A355)),0)</f>
        <v/>
      </c>
      <c r="O355" s="18" t="inlineStr">
        <is>
          <t>data/technology_templates.yaml; upgrade_profiles.martial; code: technology_rules.allocate_upgrade_budget</t>
        </is>
      </c>
      <c r="P355" s="67">
        <f>INDEX('个人技术总览'!$O$5:$O$46,MATCH($A355,'个人技术总览'!$A$5:$A$46,0))</f>
        <v/>
      </c>
      <c r="Q355" s="64">
        <f>INDEX('个人技术总览'!$P$5:$P$46,MATCH($A355,'个人技术总览'!$A$5:$A$46,0))</f>
        <v/>
      </c>
      <c r="R355" s="67">
        <f>INDEX('个人技术总览'!$Q$5:$Q$46,MATCH($A355,'个人技术总览'!$A$5:$A$46,0))</f>
        <v/>
      </c>
      <c r="S355" s="64">
        <f>INDEX('个人技术总览'!$R$5:$R$46,MATCH($A355,'个人技术总览'!$A$5:$A$46,0))</f>
        <v/>
      </c>
      <c r="T355" s="68">
        <f>POWER($Q355,$E355)</f>
        <v/>
      </c>
      <c r="U355" s="68">
        <f>SUMIFS($T$5:$T$589,$A$5:$A$589,$A355)</f>
        <v/>
      </c>
      <c r="V355" s="67">
        <f>ROUNDDOWN(MAX(0,$P355-$H355*$G355)*$T355/MAX(1,$U355),0)</f>
        <v/>
      </c>
      <c r="W355" s="68">
        <f>POWER($S355,$E355)</f>
        <v/>
      </c>
      <c r="X355" s="68">
        <f>SUMIFS($W$5:$W$589,$A$5:$A$589,$A355)</f>
        <v/>
      </c>
      <c r="Y355" s="67">
        <f>ROUNDDOWN(MAX(0,$R355-$J355*$G355)*$W355/MAX(1,$X355),0)</f>
        <v/>
      </c>
    </row>
    <row r="356">
      <c r="A356" s="17" t="inlineStr">
        <is>
          <t>qiang_siege</t>
        </is>
      </c>
      <c r="B356" s="18" t="inlineStr">
        <is>
          <t>攻坚破城</t>
        </is>
      </c>
      <c r="C356" s="18" t="inlineStr">
        <is>
          <t>武艺技术</t>
        </is>
      </c>
      <c r="D356" s="18" t="inlineStr">
        <is>
          <t>枪类</t>
        </is>
      </c>
      <c r="E356" s="65" t="n">
        <v>6</v>
      </c>
      <c r="F356" s="66">
        <f>E356+1</f>
        <v/>
      </c>
      <c r="G356" s="65">
        <f>INDEX('个人技术总览'!$E$5:$E$46,MATCH($A356,'个人技术总览'!$A$5:$A$46,0))</f>
        <v/>
      </c>
      <c r="H356" s="59">
        <f>INDEX('个人技术总览'!$F$5:$F$46,MATCH($A356,'个人技术总览'!$A$5:$A$46,0))</f>
        <v/>
      </c>
      <c r="I356" s="60">
        <f>INDEX('个人技术总览'!$G$5:$G$46,MATCH($A356,'个人技术总览'!$A$5:$A$46,0))</f>
        <v/>
      </c>
      <c r="J356" s="59">
        <f>INDEX('个人技术总览'!$H$5:$H$46,MATCH($A356,'个人技术总览'!$A$5:$A$46,0))</f>
        <v/>
      </c>
      <c r="K356" s="60">
        <f>INDEX('个人技术总览'!$I$5:$I$46,MATCH($A356,'个人技术总览'!$A$5:$A$46,0))</f>
        <v/>
      </c>
      <c r="L356" s="67">
        <f>H356+V356+IF(E356=G356-1,MAX(0,P356-H356*G356-SUMIFS($V$5:$V$589,$A$5:$A$589,$A356)),0)</f>
        <v/>
      </c>
      <c r="M356" s="61">
        <f>MAX(1,ROUNDDOWN($L356/'参数与公式'!$B$5,0))</f>
        <v/>
      </c>
      <c r="N356" s="67">
        <f>J356+Y356+IF(E356=G356-1,MAX(0,R356-J356*G356-SUMIFS($Y$5:$Y$589,$A$5:$A$589,$A356)),0)</f>
        <v/>
      </c>
      <c r="O356" s="18" t="inlineStr">
        <is>
          <t>data/technology_templates.yaml; upgrade_profiles.martial; code: technology_rules.allocate_upgrade_budget</t>
        </is>
      </c>
      <c r="P356" s="67">
        <f>INDEX('个人技术总览'!$O$5:$O$46,MATCH($A356,'个人技术总览'!$A$5:$A$46,0))</f>
        <v/>
      </c>
      <c r="Q356" s="64">
        <f>INDEX('个人技术总览'!$P$5:$P$46,MATCH($A356,'个人技术总览'!$A$5:$A$46,0))</f>
        <v/>
      </c>
      <c r="R356" s="67">
        <f>INDEX('个人技术总览'!$Q$5:$Q$46,MATCH($A356,'个人技术总览'!$A$5:$A$46,0))</f>
        <v/>
      </c>
      <c r="S356" s="64">
        <f>INDEX('个人技术总览'!$R$5:$R$46,MATCH($A356,'个人技术总览'!$A$5:$A$46,0))</f>
        <v/>
      </c>
      <c r="T356" s="68">
        <f>POWER($Q356,$E356)</f>
        <v/>
      </c>
      <c r="U356" s="68">
        <f>SUMIFS($T$5:$T$589,$A$5:$A$589,$A356)</f>
        <v/>
      </c>
      <c r="V356" s="67">
        <f>ROUNDDOWN(MAX(0,$P356-$H356*$G356)*$T356/MAX(1,$U356),0)</f>
        <v/>
      </c>
      <c r="W356" s="68">
        <f>POWER($S356,$E356)</f>
        <v/>
      </c>
      <c r="X356" s="68">
        <f>SUMIFS($W$5:$W$589,$A$5:$A$589,$A356)</f>
        <v/>
      </c>
      <c r="Y356" s="67">
        <f>ROUNDDOWN(MAX(0,$R356-$J356*$G356)*$W356/MAX(1,$X356),0)</f>
        <v/>
      </c>
    </row>
    <row r="357">
      <c r="A357" s="17" t="inlineStr">
        <is>
          <t>qiang_siege</t>
        </is>
      </c>
      <c r="B357" s="18" t="inlineStr">
        <is>
          <t>攻坚破城</t>
        </is>
      </c>
      <c r="C357" s="18" t="inlineStr">
        <is>
          <t>武艺技术</t>
        </is>
      </c>
      <c r="D357" s="18" t="inlineStr">
        <is>
          <t>枪类</t>
        </is>
      </c>
      <c r="E357" s="65" t="n">
        <v>7</v>
      </c>
      <c r="F357" s="66">
        <f>E357+1</f>
        <v/>
      </c>
      <c r="G357" s="65">
        <f>INDEX('个人技术总览'!$E$5:$E$46,MATCH($A357,'个人技术总览'!$A$5:$A$46,0))</f>
        <v/>
      </c>
      <c r="H357" s="59">
        <f>INDEX('个人技术总览'!$F$5:$F$46,MATCH($A357,'个人技术总览'!$A$5:$A$46,0))</f>
        <v/>
      </c>
      <c r="I357" s="60">
        <f>INDEX('个人技术总览'!$G$5:$G$46,MATCH($A357,'个人技术总览'!$A$5:$A$46,0))</f>
        <v/>
      </c>
      <c r="J357" s="59">
        <f>INDEX('个人技术总览'!$H$5:$H$46,MATCH($A357,'个人技术总览'!$A$5:$A$46,0))</f>
        <v/>
      </c>
      <c r="K357" s="60">
        <f>INDEX('个人技术总览'!$I$5:$I$46,MATCH($A357,'个人技术总览'!$A$5:$A$46,0))</f>
        <v/>
      </c>
      <c r="L357" s="67">
        <f>H357+V357+IF(E357=G357-1,MAX(0,P357-H357*G357-SUMIFS($V$5:$V$589,$A$5:$A$589,$A357)),0)</f>
        <v/>
      </c>
      <c r="M357" s="61">
        <f>MAX(1,ROUNDDOWN($L357/'参数与公式'!$B$5,0))</f>
        <v/>
      </c>
      <c r="N357" s="67">
        <f>J357+Y357+IF(E357=G357-1,MAX(0,R357-J357*G357-SUMIFS($Y$5:$Y$589,$A$5:$A$589,$A357)),0)</f>
        <v/>
      </c>
      <c r="O357" s="18" t="inlineStr">
        <is>
          <t>data/technology_templates.yaml; upgrade_profiles.martial; code: technology_rules.allocate_upgrade_budget</t>
        </is>
      </c>
      <c r="P357" s="67">
        <f>INDEX('个人技术总览'!$O$5:$O$46,MATCH($A357,'个人技术总览'!$A$5:$A$46,0))</f>
        <v/>
      </c>
      <c r="Q357" s="64">
        <f>INDEX('个人技术总览'!$P$5:$P$46,MATCH($A357,'个人技术总览'!$A$5:$A$46,0))</f>
        <v/>
      </c>
      <c r="R357" s="67">
        <f>INDEX('个人技术总览'!$Q$5:$Q$46,MATCH($A357,'个人技术总览'!$A$5:$A$46,0))</f>
        <v/>
      </c>
      <c r="S357" s="64">
        <f>INDEX('个人技术总览'!$R$5:$R$46,MATCH($A357,'个人技术总览'!$A$5:$A$46,0))</f>
        <v/>
      </c>
      <c r="T357" s="68">
        <f>POWER($Q357,$E357)</f>
        <v/>
      </c>
      <c r="U357" s="68">
        <f>SUMIFS($T$5:$T$589,$A$5:$A$589,$A357)</f>
        <v/>
      </c>
      <c r="V357" s="67">
        <f>ROUNDDOWN(MAX(0,$P357-$H357*$G357)*$T357/MAX(1,$U357),0)</f>
        <v/>
      </c>
      <c r="W357" s="68">
        <f>POWER($S357,$E357)</f>
        <v/>
      </c>
      <c r="X357" s="68">
        <f>SUMIFS($W$5:$W$589,$A$5:$A$589,$A357)</f>
        <v/>
      </c>
      <c r="Y357" s="67">
        <f>ROUNDDOWN(MAX(0,$R357-$J357*$G357)*$W357/MAX(1,$X357),0)</f>
        <v/>
      </c>
    </row>
    <row r="358">
      <c r="A358" s="17" t="inlineStr">
        <is>
          <t>qiang_siege</t>
        </is>
      </c>
      <c r="B358" s="18" t="inlineStr">
        <is>
          <t>攻坚破城</t>
        </is>
      </c>
      <c r="C358" s="18" t="inlineStr">
        <is>
          <t>武艺技术</t>
        </is>
      </c>
      <c r="D358" s="18" t="inlineStr">
        <is>
          <t>枪类</t>
        </is>
      </c>
      <c r="E358" s="65" t="n">
        <v>8</v>
      </c>
      <c r="F358" s="66">
        <f>E358+1</f>
        <v/>
      </c>
      <c r="G358" s="65">
        <f>INDEX('个人技术总览'!$E$5:$E$46,MATCH($A358,'个人技术总览'!$A$5:$A$46,0))</f>
        <v/>
      </c>
      <c r="H358" s="59">
        <f>INDEX('个人技术总览'!$F$5:$F$46,MATCH($A358,'个人技术总览'!$A$5:$A$46,0))</f>
        <v/>
      </c>
      <c r="I358" s="60">
        <f>INDEX('个人技术总览'!$G$5:$G$46,MATCH($A358,'个人技术总览'!$A$5:$A$46,0))</f>
        <v/>
      </c>
      <c r="J358" s="59">
        <f>INDEX('个人技术总览'!$H$5:$H$46,MATCH($A358,'个人技术总览'!$A$5:$A$46,0))</f>
        <v/>
      </c>
      <c r="K358" s="60">
        <f>INDEX('个人技术总览'!$I$5:$I$46,MATCH($A358,'个人技术总览'!$A$5:$A$46,0))</f>
        <v/>
      </c>
      <c r="L358" s="67">
        <f>H358+V358+IF(E358=G358-1,MAX(0,P358-H358*G358-SUMIFS($V$5:$V$589,$A$5:$A$589,$A358)),0)</f>
        <v/>
      </c>
      <c r="M358" s="61">
        <f>MAX(1,ROUNDDOWN($L358/'参数与公式'!$B$5,0))</f>
        <v/>
      </c>
      <c r="N358" s="67">
        <f>J358+Y358+IF(E358=G358-1,MAX(0,R358-J358*G358-SUMIFS($Y$5:$Y$589,$A$5:$A$589,$A358)),0)</f>
        <v/>
      </c>
      <c r="O358" s="18" t="inlineStr">
        <is>
          <t>data/technology_templates.yaml; upgrade_profiles.martial; code: technology_rules.allocate_upgrade_budget</t>
        </is>
      </c>
      <c r="P358" s="67">
        <f>INDEX('个人技术总览'!$O$5:$O$46,MATCH($A358,'个人技术总览'!$A$5:$A$46,0))</f>
        <v/>
      </c>
      <c r="Q358" s="64">
        <f>INDEX('个人技术总览'!$P$5:$P$46,MATCH($A358,'个人技术总览'!$A$5:$A$46,0))</f>
        <v/>
      </c>
      <c r="R358" s="67">
        <f>INDEX('个人技术总览'!$Q$5:$Q$46,MATCH($A358,'个人技术总览'!$A$5:$A$46,0))</f>
        <v/>
      </c>
      <c r="S358" s="64">
        <f>INDEX('个人技术总览'!$R$5:$R$46,MATCH($A358,'个人技术总览'!$A$5:$A$46,0))</f>
        <v/>
      </c>
      <c r="T358" s="68">
        <f>POWER($Q358,$E358)</f>
        <v/>
      </c>
      <c r="U358" s="68">
        <f>SUMIFS($T$5:$T$589,$A$5:$A$589,$A358)</f>
        <v/>
      </c>
      <c r="V358" s="67">
        <f>ROUNDDOWN(MAX(0,$P358-$H358*$G358)*$T358/MAX(1,$U358),0)</f>
        <v/>
      </c>
      <c r="W358" s="68">
        <f>POWER($S358,$E358)</f>
        <v/>
      </c>
      <c r="X358" s="68">
        <f>SUMIFS($W$5:$W$589,$A$5:$A$589,$A358)</f>
        <v/>
      </c>
      <c r="Y358" s="67">
        <f>ROUNDDOWN(MAX(0,$R358-$J358*$G358)*$W358/MAX(1,$X358),0)</f>
        <v/>
      </c>
    </row>
    <row r="359">
      <c r="A359" s="17" t="inlineStr">
        <is>
          <t>qiang_siege</t>
        </is>
      </c>
      <c r="B359" s="18" t="inlineStr">
        <is>
          <t>攻坚破城</t>
        </is>
      </c>
      <c r="C359" s="18" t="inlineStr">
        <is>
          <t>武艺技术</t>
        </is>
      </c>
      <c r="D359" s="18" t="inlineStr">
        <is>
          <t>枪类</t>
        </is>
      </c>
      <c r="E359" s="65" t="n">
        <v>9</v>
      </c>
      <c r="F359" s="66">
        <f>E359+1</f>
        <v/>
      </c>
      <c r="G359" s="65">
        <f>INDEX('个人技术总览'!$E$5:$E$46,MATCH($A359,'个人技术总览'!$A$5:$A$46,0))</f>
        <v/>
      </c>
      <c r="H359" s="59">
        <f>INDEX('个人技术总览'!$F$5:$F$46,MATCH($A359,'个人技术总览'!$A$5:$A$46,0))</f>
        <v/>
      </c>
      <c r="I359" s="60">
        <f>INDEX('个人技术总览'!$G$5:$G$46,MATCH($A359,'个人技术总览'!$A$5:$A$46,0))</f>
        <v/>
      </c>
      <c r="J359" s="59">
        <f>INDEX('个人技术总览'!$H$5:$H$46,MATCH($A359,'个人技术总览'!$A$5:$A$46,0))</f>
        <v/>
      </c>
      <c r="K359" s="60">
        <f>INDEX('个人技术总览'!$I$5:$I$46,MATCH($A359,'个人技术总览'!$A$5:$A$46,0))</f>
        <v/>
      </c>
      <c r="L359" s="67">
        <f>H359+V359+IF(E359=G359-1,MAX(0,P359-H359*G359-SUMIFS($V$5:$V$589,$A$5:$A$589,$A359)),0)</f>
        <v/>
      </c>
      <c r="M359" s="61">
        <f>MAX(1,ROUNDDOWN($L359/'参数与公式'!$B$5,0))</f>
        <v/>
      </c>
      <c r="N359" s="67">
        <f>J359+Y359+IF(E359=G359-1,MAX(0,R359-J359*G359-SUMIFS($Y$5:$Y$589,$A$5:$A$589,$A359)),0)</f>
        <v/>
      </c>
      <c r="O359" s="18" t="inlineStr">
        <is>
          <t>data/technology_templates.yaml; upgrade_profiles.martial; code: technology_rules.allocate_upgrade_budget</t>
        </is>
      </c>
      <c r="P359" s="67">
        <f>INDEX('个人技术总览'!$O$5:$O$46,MATCH($A359,'个人技术总览'!$A$5:$A$46,0))</f>
        <v/>
      </c>
      <c r="Q359" s="64">
        <f>INDEX('个人技术总览'!$P$5:$P$46,MATCH($A359,'个人技术总览'!$A$5:$A$46,0))</f>
        <v/>
      </c>
      <c r="R359" s="67">
        <f>INDEX('个人技术总览'!$Q$5:$Q$46,MATCH($A359,'个人技术总览'!$A$5:$A$46,0))</f>
        <v/>
      </c>
      <c r="S359" s="64">
        <f>INDEX('个人技术总览'!$R$5:$R$46,MATCH($A359,'个人技术总览'!$A$5:$A$46,0))</f>
        <v/>
      </c>
      <c r="T359" s="68">
        <f>POWER($Q359,$E359)</f>
        <v/>
      </c>
      <c r="U359" s="68">
        <f>SUMIFS($T$5:$T$589,$A$5:$A$589,$A359)</f>
        <v/>
      </c>
      <c r="V359" s="67">
        <f>ROUNDDOWN(MAX(0,$P359-$H359*$G359)*$T359/MAX(1,$U359),0)</f>
        <v/>
      </c>
      <c r="W359" s="68">
        <f>POWER($S359,$E359)</f>
        <v/>
      </c>
      <c r="X359" s="68">
        <f>SUMIFS($W$5:$W$589,$A$5:$A$589,$A359)</f>
        <v/>
      </c>
      <c r="Y359" s="67">
        <f>ROUNDDOWN(MAX(0,$R359-$J359*$G359)*$W359/MAX(1,$X359),0)</f>
        <v/>
      </c>
    </row>
    <row r="360">
      <c r="A360" s="17" t="inlineStr">
        <is>
          <t>qiang_counter</t>
        </is>
      </c>
      <c r="B360" s="18" t="inlineStr">
        <is>
          <t>反戈一击</t>
        </is>
      </c>
      <c r="C360" s="18" t="inlineStr">
        <is>
          <t>武艺技术</t>
        </is>
      </c>
      <c r="D360" s="18" t="inlineStr">
        <is>
          <t>枪类</t>
        </is>
      </c>
      <c r="E360" s="65" t="n">
        <v>0</v>
      </c>
      <c r="F360" s="66">
        <f>E360+1</f>
        <v/>
      </c>
      <c r="G360" s="65">
        <f>INDEX('个人技术总览'!$E$5:$E$46,MATCH($A360,'个人技术总览'!$A$5:$A$46,0))</f>
        <v/>
      </c>
      <c r="H360" s="59">
        <f>INDEX('个人技术总览'!$F$5:$F$46,MATCH($A360,'个人技术总览'!$A$5:$A$46,0))</f>
        <v/>
      </c>
      <c r="I360" s="60">
        <f>INDEX('个人技术总览'!$G$5:$G$46,MATCH($A360,'个人技术总览'!$A$5:$A$46,0))</f>
        <v/>
      </c>
      <c r="J360" s="59">
        <f>INDEX('个人技术总览'!$H$5:$H$46,MATCH($A360,'个人技术总览'!$A$5:$A$46,0))</f>
        <v/>
      </c>
      <c r="K360" s="60">
        <f>INDEX('个人技术总览'!$I$5:$I$46,MATCH($A360,'个人技术总览'!$A$5:$A$46,0))</f>
        <v/>
      </c>
      <c r="L360" s="67">
        <f>H360+V360+IF(E360=G360-1,MAX(0,P360-H360*G360-SUMIFS($V$5:$V$589,$A$5:$A$589,$A360)),0)</f>
        <v/>
      </c>
      <c r="M360" s="61">
        <f>MAX(1,ROUNDDOWN($L360/'参数与公式'!$B$5,0))</f>
        <v/>
      </c>
      <c r="N360" s="67">
        <f>J360+Y360+IF(E360=G360-1,MAX(0,R360-J360*G360-SUMIFS($Y$5:$Y$589,$A$5:$A$589,$A360)),0)</f>
        <v/>
      </c>
      <c r="O360" s="18" t="inlineStr">
        <is>
          <t>data/technology_templates.yaml; upgrade_profiles.martial; code: technology_rules.allocate_upgrade_budget</t>
        </is>
      </c>
      <c r="P360" s="67">
        <f>INDEX('个人技术总览'!$O$5:$O$46,MATCH($A360,'个人技术总览'!$A$5:$A$46,0))</f>
        <v/>
      </c>
      <c r="Q360" s="64">
        <f>INDEX('个人技术总览'!$P$5:$P$46,MATCH($A360,'个人技术总览'!$A$5:$A$46,0))</f>
        <v/>
      </c>
      <c r="R360" s="67">
        <f>INDEX('个人技术总览'!$Q$5:$Q$46,MATCH($A360,'个人技术总览'!$A$5:$A$46,0))</f>
        <v/>
      </c>
      <c r="S360" s="64">
        <f>INDEX('个人技术总览'!$R$5:$R$46,MATCH($A360,'个人技术总览'!$A$5:$A$46,0))</f>
        <v/>
      </c>
      <c r="T360" s="68">
        <f>POWER($Q360,$E360)</f>
        <v/>
      </c>
      <c r="U360" s="68">
        <f>SUMIFS($T$5:$T$589,$A$5:$A$589,$A360)</f>
        <v/>
      </c>
      <c r="V360" s="67">
        <f>ROUNDDOWN(MAX(0,$P360-$H360*$G360)*$T360/MAX(1,$U360),0)</f>
        <v/>
      </c>
      <c r="W360" s="68">
        <f>POWER($S360,$E360)</f>
        <v/>
      </c>
      <c r="X360" s="68">
        <f>SUMIFS($W$5:$W$589,$A$5:$A$589,$A360)</f>
        <v/>
      </c>
      <c r="Y360" s="67">
        <f>ROUNDDOWN(MAX(0,$R360-$J360*$G360)*$W360/MAX(1,$X360),0)</f>
        <v/>
      </c>
    </row>
    <row r="361">
      <c r="A361" s="17" t="inlineStr">
        <is>
          <t>qiang_counter</t>
        </is>
      </c>
      <c r="B361" s="18" t="inlineStr">
        <is>
          <t>反戈一击</t>
        </is>
      </c>
      <c r="C361" s="18" t="inlineStr">
        <is>
          <t>武艺技术</t>
        </is>
      </c>
      <c r="D361" s="18" t="inlineStr">
        <is>
          <t>枪类</t>
        </is>
      </c>
      <c r="E361" s="65" t="n">
        <v>1</v>
      </c>
      <c r="F361" s="66">
        <f>E361+1</f>
        <v/>
      </c>
      <c r="G361" s="65">
        <f>INDEX('个人技术总览'!$E$5:$E$46,MATCH($A361,'个人技术总览'!$A$5:$A$46,0))</f>
        <v/>
      </c>
      <c r="H361" s="59">
        <f>INDEX('个人技术总览'!$F$5:$F$46,MATCH($A361,'个人技术总览'!$A$5:$A$46,0))</f>
        <v/>
      </c>
      <c r="I361" s="60">
        <f>INDEX('个人技术总览'!$G$5:$G$46,MATCH($A361,'个人技术总览'!$A$5:$A$46,0))</f>
        <v/>
      </c>
      <c r="J361" s="59">
        <f>INDEX('个人技术总览'!$H$5:$H$46,MATCH($A361,'个人技术总览'!$A$5:$A$46,0))</f>
        <v/>
      </c>
      <c r="K361" s="60">
        <f>INDEX('个人技术总览'!$I$5:$I$46,MATCH($A361,'个人技术总览'!$A$5:$A$46,0))</f>
        <v/>
      </c>
      <c r="L361" s="67">
        <f>H361+V361+IF(E361=G361-1,MAX(0,P361-H361*G361-SUMIFS($V$5:$V$589,$A$5:$A$589,$A361)),0)</f>
        <v/>
      </c>
      <c r="M361" s="61">
        <f>MAX(1,ROUNDDOWN($L361/'参数与公式'!$B$5,0))</f>
        <v/>
      </c>
      <c r="N361" s="67">
        <f>J361+Y361+IF(E361=G361-1,MAX(0,R361-J361*G361-SUMIFS($Y$5:$Y$589,$A$5:$A$589,$A361)),0)</f>
        <v/>
      </c>
      <c r="O361" s="18" t="inlineStr">
        <is>
          <t>data/technology_templates.yaml; upgrade_profiles.martial; code: technology_rules.allocate_upgrade_budget</t>
        </is>
      </c>
      <c r="P361" s="67">
        <f>INDEX('个人技术总览'!$O$5:$O$46,MATCH($A361,'个人技术总览'!$A$5:$A$46,0))</f>
        <v/>
      </c>
      <c r="Q361" s="64">
        <f>INDEX('个人技术总览'!$P$5:$P$46,MATCH($A361,'个人技术总览'!$A$5:$A$46,0))</f>
        <v/>
      </c>
      <c r="R361" s="67">
        <f>INDEX('个人技术总览'!$Q$5:$Q$46,MATCH($A361,'个人技术总览'!$A$5:$A$46,0))</f>
        <v/>
      </c>
      <c r="S361" s="64">
        <f>INDEX('个人技术总览'!$R$5:$R$46,MATCH($A361,'个人技术总览'!$A$5:$A$46,0))</f>
        <v/>
      </c>
      <c r="T361" s="68">
        <f>POWER($Q361,$E361)</f>
        <v/>
      </c>
      <c r="U361" s="68">
        <f>SUMIFS($T$5:$T$589,$A$5:$A$589,$A361)</f>
        <v/>
      </c>
      <c r="V361" s="67">
        <f>ROUNDDOWN(MAX(0,$P361-$H361*$G361)*$T361/MAX(1,$U361),0)</f>
        <v/>
      </c>
      <c r="W361" s="68">
        <f>POWER($S361,$E361)</f>
        <v/>
      </c>
      <c r="X361" s="68">
        <f>SUMIFS($W$5:$W$589,$A$5:$A$589,$A361)</f>
        <v/>
      </c>
      <c r="Y361" s="67">
        <f>ROUNDDOWN(MAX(0,$R361-$J361*$G361)*$W361/MAX(1,$X361),0)</f>
        <v/>
      </c>
    </row>
    <row r="362">
      <c r="A362" s="17" t="inlineStr">
        <is>
          <t>qiang_counter</t>
        </is>
      </c>
      <c r="B362" s="18" t="inlineStr">
        <is>
          <t>反戈一击</t>
        </is>
      </c>
      <c r="C362" s="18" t="inlineStr">
        <is>
          <t>武艺技术</t>
        </is>
      </c>
      <c r="D362" s="18" t="inlineStr">
        <is>
          <t>枪类</t>
        </is>
      </c>
      <c r="E362" s="65" t="n">
        <v>2</v>
      </c>
      <c r="F362" s="66">
        <f>E362+1</f>
        <v/>
      </c>
      <c r="G362" s="65">
        <f>INDEX('个人技术总览'!$E$5:$E$46,MATCH($A362,'个人技术总览'!$A$5:$A$46,0))</f>
        <v/>
      </c>
      <c r="H362" s="59">
        <f>INDEX('个人技术总览'!$F$5:$F$46,MATCH($A362,'个人技术总览'!$A$5:$A$46,0))</f>
        <v/>
      </c>
      <c r="I362" s="60">
        <f>INDEX('个人技术总览'!$G$5:$G$46,MATCH($A362,'个人技术总览'!$A$5:$A$46,0))</f>
        <v/>
      </c>
      <c r="J362" s="59">
        <f>INDEX('个人技术总览'!$H$5:$H$46,MATCH($A362,'个人技术总览'!$A$5:$A$46,0))</f>
        <v/>
      </c>
      <c r="K362" s="60">
        <f>INDEX('个人技术总览'!$I$5:$I$46,MATCH($A362,'个人技术总览'!$A$5:$A$46,0))</f>
        <v/>
      </c>
      <c r="L362" s="67">
        <f>H362+V362+IF(E362=G362-1,MAX(0,P362-H362*G362-SUMIFS($V$5:$V$589,$A$5:$A$589,$A362)),0)</f>
        <v/>
      </c>
      <c r="M362" s="61">
        <f>MAX(1,ROUNDDOWN($L362/'参数与公式'!$B$5,0))</f>
        <v/>
      </c>
      <c r="N362" s="67">
        <f>J362+Y362+IF(E362=G362-1,MAX(0,R362-J362*G362-SUMIFS($Y$5:$Y$589,$A$5:$A$589,$A362)),0)</f>
        <v/>
      </c>
      <c r="O362" s="18" t="inlineStr">
        <is>
          <t>data/technology_templates.yaml; upgrade_profiles.martial; code: technology_rules.allocate_upgrade_budget</t>
        </is>
      </c>
      <c r="P362" s="67">
        <f>INDEX('个人技术总览'!$O$5:$O$46,MATCH($A362,'个人技术总览'!$A$5:$A$46,0))</f>
        <v/>
      </c>
      <c r="Q362" s="64">
        <f>INDEX('个人技术总览'!$P$5:$P$46,MATCH($A362,'个人技术总览'!$A$5:$A$46,0))</f>
        <v/>
      </c>
      <c r="R362" s="67">
        <f>INDEX('个人技术总览'!$Q$5:$Q$46,MATCH($A362,'个人技术总览'!$A$5:$A$46,0))</f>
        <v/>
      </c>
      <c r="S362" s="64">
        <f>INDEX('个人技术总览'!$R$5:$R$46,MATCH($A362,'个人技术总览'!$A$5:$A$46,0))</f>
        <v/>
      </c>
      <c r="T362" s="68">
        <f>POWER($Q362,$E362)</f>
        <v/>
      </c>
      <c r="U362" s="68">
        <f>SUMIFS($T$5:$T$589,$A$5:$A$589,$A362)</f>
        <v/>
      </c>
      <c r="V362" s="67">
        <f>ROUNDDOWN(MAX(0,$P362-$H362*$G362)*$T362/MAX(1,$U362),0)</f>
        <v/>
      </c>
      <c r="W362" s="68">
        <f>POWER($S362,$E362)</f>
        <v/>
      </c>
      <c r="X362" s="68">
        <f>SUMIFS($W$5:$W$589,$A$5:$A$589,$A362)</f>
        <v/>
      </c>
      <c r="Y362" s="67">
        <f>ROUNDDOWN(MAX(0,$R362-$J362*$G362)*$W362/MAX(1,$X362),0)</f>
        <v/>
      </c>
    </row>
    <row r="363">
      <c r="A363" s="17" t="inlineStr">
        <is>
          <t>qiang_counter</t>
        </is>
      </c>
      <c r="B363" s="18" t="inlineStr">
        <is>
          <t>反戈一击</t>
        </is>
      </c>
      <c r="C363" s="18" t="inlineStr">
        <is>
          <t>武艺技术</t>
        </is>
      </c>
      <c r="D363" s="18" t="inlineStr">
        <is>
          <t>枪类</t>
        </is>
      </c>
      <c r="E363" s="65" t="n">
        <v>3</v>
      </c>
      <c r="F363" s="66">
        <f>E363+1</f>
        <v/>
      </c>
      <c r="G363" s="65">
        <f>INDEX('个人技术总览'!$E$5:$E$46,MATCH($A363,'个人技术总览'!$A$5:$A$46,0))</f>
        <v/>
      </c>
      <c r="H363" s="59">
        <f>INDEX('个人技术总览'!$F$5:$F$46,MATCH($A363,'个人技术总览'!$A$5:$A$46,0))</f>
        <v/>
      </c>
      <c r="I363" s="60">
        <f>INDEX('个人技术总览'!$G$5:$G$46,MATCH($A363,'个人技术总览'!$A$5:$A$46,0))</f>
        <v/>
      </c>
      <c r="J363" s="59">
        <f>INDEX('个人技术总览'!$H$5:$H$46,MATCH($A363,'个人技术总览'!$A$5:$A$46,0))</f>
        <v/>
      </c>
      <c r="K363" s="60">
        <f>INDEX('个人技术总览'!$I$5:$I$46,MATCH($A363,'个人技术总览'!$A$5:$A$46,0))</f>
        <v/>
      </c>
      <c r="L363" s="67">
        <f>H363+V363+IF(E363=G363-1,MAX(0,P363-H363*G363-SUMIFS($V$5:$V$589,$A$5:$A$589,$A363)),0)</f>
        <v/>
      </c>
      <c r="M363" s="61">
        <f>MAX(1,ROUNDDOWN($L363/'参数与公式'!$B$5,0))</f>
        <v/>
      </c>
      <c r="N363" s="67">
        <f>J363+Y363+IF(E363=G363-1,MAX(0,R363-J363*G363-SUMIFS($Y$5:$Y$589,$A$5:$A$589,$A363)),0)</f>
        <v/>
      </c>
      <c r="O363" s="18" t="inlineStr">
        <is>
          <t>data/technology_templates.yaml; upgrade_profiles.martial; code: technology_rules.allocate_upgrade_budget</t>
        </is>
      </c>
      <c r="P363" s="67">
        <f>INDEX('个人技术总览'!$O$5:$O$46,MATCH($A363,'个人技术总览'!$A$5:$A$46,0))</f>
        <v/>
      </c>
      <c r="Q363" s="64">
        <f>INDEX('个人技术总览'!$P$5:$P$46,MATCH($A363,'个人技术总览'!$A$5:$A$46,0))</f>
        <v/>
      </c>
      <c r="R363" s="67">
        <f>INDEX('个人技术总览'!$Q$5:$Q$46,MATCH($A363,'个人技术总览'!$A$5:$A$46,0))</f>
        <v/>
      </c>
      <c r="S363" s="64">
        <f>INDEX('个人技术总览'!$R$5:$R$46,MATCH($A363,'个人技术总览'!$A$5:$A$46,0))</f>
        <v/>
      </c>
      <c r="T363" s="68">
        <f>POWER($Q363,$E363)</f>
        <v/>
      </c>
      <c r="U363" s="68">
        <f>SUMIFS($T$5:$T$589,$A$5:$A$589,$A363)</f>
        <v/>
      </c>
      <c r="V363" s="67">
        <f>ROUNDDOWN(MAX(0,$P363-$H363*$G363)*$T363/MAX(1,$U363),0)</f>
        <v/>
      </c>
      <c r="W363" s="68">
        <f>POWER($S363,$E363)</f>
        <v/>
      </c>
      <c r="X363" s="68">
        <f>SUMIFS($W$5:$W$589,$A$5:$A$589,$A363)</f>
        <v/>
      </c>
      <c r="Y363" s="67">
        <f>ROUNDDOWN(MAX(0,$R363-$J363*$G363)*$W363/MAX(1,$X363),0)</f>
        <v/>
      </c>
    </row>
    <row r="364">
      <c r="A364" s="17" t="inlineStr">
        <is>
          <t>qiang_counter</t>
        </is>
      </c>
      <c r="B364" s="18" t="inlineStr">
        <is>
          <t>反戈一击</t>
        </is>
      </c>
      <c r="C364" s="18" t="inlineStr">
        <is>
          <t>武艺技术</t>
        </is>
      </c>
      <c r="D364" s="18" t="inlineStr">
        <is>
          <t>枪类</t>
        </is>
      </c>
      <c r="E364" s="65" t="n">
        <v>4</v>
      </c>
      <c r="F364" s="66">
        <f>E364+1</f>
        <v/>
      </c>
      <c r="G364" s="65">
        <f>INDEX('个人技术总览'!$E$5:$E$46,MATCH($A364,'个人技术总览'!$A$5:$A$46,0))</f>
        <v/>
      </c>
      <c r="H364" s="59">
        <f>INDEX('个人技术总览'!$F$5:$F$46,MATCH($A364,'个人技术总览'!$A$5:$A$46,0))</f>
        <v/>
      </c>
      <c r="I364" s="60">
        <f>INDEX('个人技术总览'!$G$5:$G$46,MATCH($A364,'个人技术总览'!$A$5:$A$46,0))</f>
        <v/>
      </c>
      <c r="J364" s="59">
        <f>INDEX('个人技术总览'!$H$5:$H$46,MATCH($A364,'个人技术总览'!$A$5:$A$46,0))</f>
        <v/>
      </c>
      <c r="K364" s="60">
        <f>INDEX('个人技术总览'!$I$5:$I$46,MATCH($A364,'个人技术总览'!$A$5:$A$46,0))</f>
        <v/>
      </c>
      <c r="L364" s="67">
        <f>H364+V364+IF(E364=G364-1,MAX(0,P364-H364*G364-SUMIFS($V$5:$V$589,$A$5:$A$589,$A364)),0)</f>
        <v/>
      </c>
      <c r="M364" s="61">
        <f>MAX(1,ROUNDDOWN($L364/'参数与公式'!$B$5,0))</f>
        <v/>
      </c>
      <c r="N364" s="67">
        <f>J364+Y364+IF(E364=G364-1,MAX(0,R364-J364*G364-SUMIFS($Y$5:$Y$589,$A$5:$A$589,$A364)),0)</f>
        <v/>
      </c>
      <c r="O364" s="18" t="inlineStr">
        <is>
          <t>data/technology_templates.yaml; upgrade_profiles.martial; code: technology_rules.allocate_upgrade_budget</t>
        </is>
      </c>
      <c r="P364" s="67">
        <f>INDEX('个人技术总览'!$O$5:$O$46,MATCH($A364,'个人技术总览'!$A$5:$A$46,0))</f>
        <v/>
      </c>
      <c r="Q364" s="64">
        <f>INDEX('个人技术总览'!$P$5:$P$46,MATCH($A364,'个人技术总览'!$A$5:$A$46,0))</f>
        <v/>
      </c>
      <c r="R364" s="67">
        <f>INDEX('个人技术总览'!$Q$5:$Q$46,MATCH($A364,'个人技术总览'!$A$5:$A$46,0))</f>
        <v/>
      </c>
      <c r="S364" s="64">
        <f>INDEX('个人技术总览'!$R$5:$R$46,MATCH($A364,'个人技术总览'!$A$5:$A$46,0))</f>
        <v/>
      </c>
      <c r="T364" s="68">
        <f>POWER($Q364,$E364)</f>
        <v/>
      </c>
      <c r="U364" s="68">
        <f>SUMIFS($T$5:$T$589,$A$5:$A$589,$A364)</f>
        <v/>
      </c>
      <c r="V364" s="67">
        <f>ROUNDDOWN(MAX(0,$P364-$H364*$G364)*$T364/MAX(1,$U364),0)</f>
        <v/>
      </c>
      <c r="W364" s="68">
        <f>POWER($S364,$E364)</f>
        <v/>
      </c>
      <c r="X364" s="68">
        <f>SUMIFS($W$5:$W$589,$A$5:$A$589,$A364)</f>
        <v/>
      </c>
      <c r="Y364" s="67">
        <f>ROUNDDOWN(MAX(0,$R364-$J364*$G364)*$W364/MAX(1,$X364),0)</f>
        <v/>
      </c>
    </row>
    <row r="365">
      <c r="A365" s="17" t="inlineStr">
        <is>
          <t>jian_attack</t>
        </is>
      </c>
      <c r="B365" s="18" t="inlineStr">
        <is>
          <t>长虹贯日</t>
        </is>
      </c>
      <c r="C365" s="18" t="inlineStr">
        <is>
          <t>武艺技术</t>
        </is>
      </c>
      <c r="D365" s="18" t="inlineStr">
        <is>
          <t>剑类</t>
        </is>
      </c>
      <c r="E365" s="65" t="n">
        <v>0</v>
      </c>
      <c r="F365" s="66">
        <f>E365+1</f>
        <v/>
      </c>
      <c r="G365" s="65">
        <f>INDEX('个人技术总览'!$E$5:$E$46,MATCH($A365,'个人技术总览'!$A$5:$A$46,0))</f>
        <v/>
      </c>
      <c r="H365" s="59">
        <f>INDEX('个人技术总览'!$F$5:$F$46,MATCH($A365,'个人技术总览'!$A$5:$A$46,0))</f>
        <v/>
      </c>
      <c r="I365" s="60">
        <f>INDEX('个人技术总览'!$G$5:$G$46,MATCH($A365,'个人技术总览'!$A$5:$A$46,0))</f>
        <v/>
      </c>
      <c r="J365" s="59">
        <f>INDEX('个人技术总览'!$H$5:$H$46,MATCH($A365,'个人技术总览'!$A$5:$A$46,0))</f>
        <v/>
      </c>
      <c r="K365" s="60">
        <f>INDEX('个人技术总览'!$I$5:$I$46,MATCH($A365,'个人技术总览'!$A$5:$A$46,0))</f>
        <v/>
      </c>
      <c r="L365" s="67">
        <f>H365+V365+IF(E365=G365-1,MAX(0,P365-H365*G365-SUMIFS($V$5:$V$589,$A$5:$A$589,$A365)),0)</f>
        <v/>
      </c>
      <c r="M365" s="61">
        <f>MAX(1,ROUNDDOWN($L365/'参数与公式'!$B$5,0))</f>
        <v/>
      </c>
      <c r="N365" s="67">
        <f>J365+Y365+IF(E365=G365-1,MAX(0,R365-J365*G365-SUMIFS($Y$5:$Y$589,$A$5:$A$589,$A365)),0)</f>
        <v/>
      </c>
      <c r="O365" s="18" t="inlineStr">
        <is>
          <t>data/technology_templates.yaml; upgrade_profiles.martial; code: technology_rules.allocate_upgrade_budget</t>
        </is>
      </c>
      <c r="P365" s="67">
        <f>INDEX('个人技术总览'!$O$5:$O$46,MATCH($A365,'个人技术总览'!$A$5:$A$46,0))</f>
        <v/>
      </c>
      <c r="Q365" s="64">
        <f>INDEX('个人技术总览'!$P$5:$P$46,MATCH($A365,'个人技术总览'!$A$5:$A$46,0))</f>
        <v/>
      </c>
      <c r="R365" s="67">
        <f>INDEX('个人技术总览'!$Q$5:$Q$46,MATCH($A365,'个人技术总览'!$A$5:$A$46,0))</f>
        <v/>
      </c>
      <c r="S365" s="64">
        <f>INDEX('个人技术总览'!$R$5:$R$46,MATCH($A365,'个人技术总览'!$A$5:$A$46,0))</f>
        <v/>
      </c>
      <c r="T365" s="68">
        <f>POWER($Q365,$E365)</f>
        <v/>
      </c>
      <c r="U365" s="68">
        <f>SUMIFS($T$5:$T$589,$A$5:$A$589,$A365)</f>
        <v/>
      </c>
      <c r="V365" s="67">
        <f>ROUNDDOWN(MAX(0,$P365-$H365*$G365)*$T365/MAX(1,$U365),0)</f>
        <v/>
      </c>
      <c r="W365" s="68">
        <f>POWER($S365,$E365)</f>
        <v/>
      </c>
      <c r="X365" s="68">
        <f>SUMIFS($W$5:$W$589,$A$5:$A$589,$A365)</f>
        <v/>
      </c>
      <c r="Y365" s="67">
        <f>ROUNDDOWN(MAX(0,$R365-$J365*$G365)*$W365/MAX(1,$X365),0)</f>
        <v/>
      </c>
    </row>
    <row r="366">
      <c r="A366" s="17" t="inlineStr">
        <is>
          <t>jian_attack</t>
        </is>
      </c>
      <c r="B366" s="18" t="inlineStr">
        <is>
          <t>长虹贯日</t>
        </is>
      </c>
      <c r="C366" s="18" t="inlineStr">
        <is>
          <t>武艺技术</t>
        </is>
      </c>
      <c r="D366" s="18" t="inlineStr">
        <is>
          <t>剑类</t>
        </is>
      </c>
      <c r="E366" s="65" t="n">
        <v>1</v>
      </c>
      <c r="F366" s="66">
        <f>E366+1</f>
        <v/>
      </c>
      <c r="G366" s="65">
        <f>INDEX('个人技术总览'!$E$5:$E$46,MATCH($A366,'个人技术总览'!$A$5:$A$46,0))</f>
        <v/>
      </c>
      <c r="H366" s="59">
        <f>INDEX('个人技术总览'!$F$5:$F$46,MATCH($A366,'个人技术总览'!$A$5:$A$46,0))</f>
        <v/>
      </c>
      <c r="I366" s="60">
        <f>INDEX('个人技术总览'!$G$5:$G$46,MATCH($A366,'个人技术总览'!$A$5:$A$46,0))</f>
        <v/>
      </c>
      <c r="J366" s="59">
        <f>INDEX('个人技术总览'!$H$5:$H$46,MATCH($A366,'个人技术总览'!$A$5:$A$46,0))</f>
        <v/>
      </c>
      <c r="K366" s="60">
        <f>INDEX('个人技术总览'!$I$5:$I$46,MATCH($A366,'个人技术总览'!$A$5:$A$46,0))</f>
        <v/>
      </c>
      <c r="L366" s="67">
        <f>H366+V366+IF(E366=G366-1,MAX(0,P366-H366*G366-SUMIFS($V$5:$V$589,$A$5:$A$589,$A366)),0)</f>
        <v/>
      </c>
      <c r="M366" s="61">
        <f>MAX(1,ROUNDDOWN($L366/'参数与公式'!$B$5,0))</f>
        <v/>
      </c>
      <c r="N366" s="67">
        <f>J366+Y366+IF(E366=G366-1,MAX(0,R366-J366*G366-SUMIFS($Y$5:$Y$589,$A$5:$A$589,$A366)),0)</f>
        <v/>
      </c>
      <c r="O366" s="18" t="inlineStr">
        <is>
          <t>data/technology_templates.yaml; upgrade_profiles.martial; code: technology_rules.allocate_upgrade_budget</t>
        </is>
      </c>
      <c r="P366" s="67">
        <f>INDEX('个人技术总览'!$O$5:$O$46,MATCH($A366,'个人技术总览'!$A$5:$A$46,0))</f>
        <v/>
      </c>
      <c r="Q366" s="64">
        <f>INDEX('个人技术总览'!$P$5:$P$46,MATCH($A366,'个人技术总览'!$A$5:$A$46,0))</f>
        <v/>
      </c>
      <c r="R366" s="67">
        <f>INDEX('个人技术总览'!$Q$5:$Q$46,MATCH($A366,'个人技术总览'!$A$5:$A$46,0))</f>
        <v/>
      </c>
      <c r="S366" s="64">
        <f>INDEX('个人技术总览'!$R$5:$R$46,MATCH($A366,'个人技术总览'!$A$5:$A$46,0))</f>
        <v/>
      </c>
      <c r="T366" s="68">
        <f>POWER($Q366,$E366)</f>
        <v/>
      </c>
      <c r="U366" s="68">
        <f>SUMIFS($T$5:$T$589,$A$5:$A$589,$A366)</f>
        <v/>
      </c>
      <c r="V366" s="67">
        <f>ROUNDDOWN(MAX(0,$P366-$H366*$G366)*$T366/MAX(1,$U366),0)</f>
        <v/>
      </c>
      <c r="W366" s="68">
        <f>POWER($S366,$E366)</f>
        <v/>
      </c>
      <c r="X366" s="68">
        <f>SUMIFS($W$5:$W$589,$A$5:$A$589,$A366)</f>
        <v/>
      </c>
      <c r="Y366" s="67">
        <f>ROUNDDOWN(MAX(0,$R366-$J366*$G366)*$W366/MAX(1,$X366),0)</f>
        <v/>
      </c>
    </row>
    <row r="367">
      <c r="A367" s="17" t="inlineStr">
        <is>
          <t>jian_attack</t>
        </is>
      </c>
      <c r="B367" s="18" t="inlineStr">
        <is>
          <t>长虹贯日</t>
        </is>
      </c>
      <c r="C367" s="18" t="inlineStr">
        <is>
          <t>武艺技术</t>
        </is>
      </c>
      <c r="D367" s="18" t="inlineStr">
        <is>
          <t>剑类</t>
        </is>
      </c>
      <c r="E367" s="65" t="n">
        <v>2</v>
      </c>
      <c r="F367" s="66">
        <f>E367+1</f>
        <v/>
      </c>
      <c r="G367" s="65">
        <f>INDEX('个人技术总览'!$E$5:$E$46,MATCH($A367,'个人技术总览'!$A$5:$A$46,0))</f>
        <v/>
      </c>
      <c r="H367" s="59">
        <f>INDEX('个人技术总览'!$F$5:$F$46,MATCH($A367,'个人技术总览'!$A$5:$A$46,0))</f>
        <v/>
      </c>
      <c r="I367" s="60">
        <f>INDEX('个人技术总览'!$G$5:$G$46,MATCH($A367,'个人技术总览'!$A$5:$A$46,0))</f>
        <v/>
      </c>
      <c r="J367" s="59">
        <f>INDEX('个人技术总览'!$H$5:$H$46,MATCH($A367,'个人技术总览'!$A$5:$A$46,0))</f>
        <v/>
      </c>
      <c r="K367" s="60">
        <f>INDEX('个人技术总览'!$I$5:$I$46,MATCH($A367,'个人技术总览'!$A$5:$A$46,0))</f>
        <v/>
      </c>
      <c r="L367" s="67">
        <f>H367+V367+IF(E367=G367-1,MAX(0,P367-H367*G367-SUMIFS($V$5:$V$589,$A$5:$A$589,$A367)),0)</f>
        <v/>
      </c>
      <c r="M367" s="61">
        <f>MAX(1,ROUNDDOWN($L367/'参数与公式'!$B$5,0))</f>
        <v/>
      </c>
      <c r="N367" s="67">
        <f>J367+Y367+IF(E367=G367-1,MAX(0,R367-J367*G367-SUMIFS($Y$5:$Y$589,$A$5:$A$589,$A367)),0)</f>
        <v/>
      </c>
      <c r="O367" s="18" t="inlineStr">
        <is>
          <t>data/technology_templates.yaml; upgrade_profiles.martial; code: technology_rules.allocate_upgrade_budget</t>
        </is>
      </c>
      <c r="P367" s="67">
        <f>INDEX('个人技术总览'!$O$5:$O$46,MATCH($A367,'个人技术总览'!$A$5:$A$46,0))</f>
        <v/>
      </c>
      <c r="Q367" s="64">
        <f>INDEX('个人技术总览'!$P$5:$P$46,MATCH($A367,'个人技术总览'!$A$5:$A$46,0))</f>
        <v/>
      </c>
      <c r="R367" s="67">
        <f>INDEX('个人技术总览'!$Q$5:$Q$46,MATCH($A367,'个人技术总览'!$A$5:$A$46,0))</f>
        <v/>
      </c>
      <c r="S367" s="64">
        <f>INDEX('个人技术总览'!$R$5:$R$46,MATCH($A367,'个人技术总览'!$A$5:$A$46,0))</f>
        <v/>
      </c>
      <c r="T367" s="68">
        <f>POWER($Q367,$E367)</f>
        <v/>
      </c>
      <c r="U367" s="68">
        <f>SUMIFS($T$5:$T$589,$A$5:$A$589,$A367)</f>
        <v/>
      </c>
      <c r="V367" s="67">
        <f>ROUNDDOWN(MAX(0,$P367-$H367*$G367)*$T367/MAX(1,$U367),0)</f>
        <v/>
      </c>
      <c r="W367" s="68">
        <f>POWER($S367,$E367)</f>
        <v/>
      </c>
      <c r="X367" s="68">
        <f>SUMIFS($W$5:$W$589,$A$5:$A$589,$A367)</f>
        <v/>
      </c>
      <c r="Y367" s="67">
        <f>ROUNDDOWN(MAX(0,$R367-$J367*$G367)*$W367/MAX(1,$X367),0)</f>
        <v/>
      </c>
    </row>
    <row r="368">
      <c r="A368" s="17" t="inlineStr">
        <is>
          <t>jian_attack</t>
        </is>
      </c>
      <c r="B368" s="18" t="inlineStr">
        <is>
          <t>长虹贯日</t>
        </is>
      </c>
      <c r="C368" s="18" t="inlineStr">
        <is>
          <t>武艺技术</t>
        </is>
      </c>
      <c r="D368" s="18" t="inlineStr">
        <is>
          <t>剑类</t>
        </is>
      </c>
      <c r="E368" s="65" t="n">
        <v>3</v>
      </c>
      <c r="F368" s="66">
        <f>E368+1</f>
        <v/>
      </c>
      <c r="G368" s="65">
        <f>INDEX('个人技术总览'!$E$5:$E$46,MATCH($A368,'个人技术总览'!$A$5:$A$46,0))</f>
        <v/>
      </c>
      <c r="H368" s="59">
        <f>INDEX('个人技术总览'!$F$5:$F$46,MATCH($A368,'个人技术总览'!$A$5:$A$46,0))</f>
        <v/>
      </c>
      <c r="I368" s="60">
        <f>INDEX('个人技术总览'!$G$5:$G$46,MATCH($A368,'个人技术总览'!$A$5:$A$46,0))</f>
        <v/>
      </c>
      <c r="J368" s="59">
        <f>INDEX('个人技术总览'!$H$5:$H$46,MATCH($A368,'个人技术总览'!$A$5:$A$46,0))</f>
        <v/>
      </c>
      <c r="K368" s="60">
        <f>INDEX('个人技术总览'!$I$5:$I$46,MATCH($A368,'个人技术总览'!$A$5:$A$46,0))</f>
        <v/>
      </c>
      <c r="L368" s="67">
        <f>H368+V368+IF(E368=G368-1,MAX(0,P368-H368*G368-SUMIFS($V$5:$V$589,$A$5:$A$589,$A368)),0)</f>
        <v/>
      </c>
      <c r="M368" s="61">
        <f>MAX(1,ROUNDDOWN($L368/'参数与公式'!$B$5,0))</f>
        <v/>
      </c>
      <c r="N368" s="67">
        <f>J368+Y368+IF(E368=G368-1,MAX(0,R368-J368*G368-SUMIFS($Y$5:$Y$589,$A$5:$A$589,$A368)),0)</f>
        <v/>
      </c>
      <c r="O368" s="18" t="inlineStr">
        <is>
          <t>data/technology_templates.yaml; upgrade_profiles.martial; code: technology_rules.allocate_upgrade_budget</t>
        </is>
      </c>
      <c r="P368" s="67">
        <f>INDEX('个人技术总览'!$O$5:$O$46,MATCH($A368,'个人技术总览'!$A$5:$A$46,0))</f>
        <v/>
      </c>
      <c r="Q368" s="64">
        <f>INDEX('个人技术总览'!$P$5:$P$46,MATCH($A368,'个人技术总览'!$A$5:$A$46,0))</f>
        <v/>
      </c>
      <c r="R368" s="67">
        <f>INDEX('个人技术总览'!$Q$5:$Q$46,MATCH($A368,'个人技术总览'!$A$5:$A$46,0))</f>
        <v/>
      </c>
      <c r="S368" s="64">
        <f>INDEX('个人技术总览'!$R$5:$R$46,MATCH($A368,'个人技术总览'!$A$5:$A$46,0))</f>
        <v/>
      </c>
      <c r="T368" s="68">
        <f>POWER($Q368,$E368)</f>
        <v/>
      </c>
      <c r="U368" s="68">
        <f>SUMIFS($T$5:$T$589,$A$5:$A$589,$A368)</f>
        <v/>
      </c>
      <c r="V368" s="67">
        <f>ROUNDDOWN(MAX(0,$P368-$H368*$G368)*$T368/MAX(1,$U368),0)</f>
        <v/>
      </c>
      <c r="W368" s="68">
        <f>POWER($S368,$E368)</f>
        <v/>
      </c>
      <c r="X368" s="68">
        <f>SUMIFS($W$5:$W$589,$A$5:$A$589,$A368)</f>
        <v/>
      </c>
      <c r="Y368" s="67">
        <f>ROUNDDOWN(MAX(0,$R368-$J368*$G368)*$W368/MAX(1,$X368),0)</f>
        <v/>
      </c>
    </row>
    <row r="369">
      <c r="A369" s="17" t="inlineStr">
        <is>
          <t>jian_attack</t>
        </is>
      </c>
      <c r="B369" s="18" t="inlineStr">
        <is>
          <t>长虹贯日</t>
        </is>
      </c>
      <c r="C369" s="18" t="inlineStr">
        <is>
          <t>武艺技术</t>
        </is>
      </c>
      <c r="D369" s="18" t="inlineStr">
        <is>
          <t>剑类</t>
        </is>
      </c>
      <c r="E369" s="65" t="n">
        <v>4</v>
      </c>
      <c r="F369" s="66">
        <f>E369+1</f>
        <v/>
      </c>
      <c r="G369" s="65">
        <f>INDEX('个人技术总览'!$E$5:$E$46,MATCH($A369,'个人技术总览'!$A$5:$A$46,0))</f>
        <v/>
      </c>
      <c r="H369" s="59">
        <f>INDEX('个人技术总览'!$F$5:$F$46,MATCH($A369,'个人技术总览'!$A$5:$A$46,0))</f>
        <v/>
      </c>
      <c r="I369" s="60">
        <f>INDEX('个人技术总览'!$G$5:$G$46,MATCH($A369,'个人技术总览'!$A$5:$A$46,0))</f>
        <v/>
      </c>
      <c r="J369" s="59">
        <f>INDEX('个人技术总览'!$H$5:$H$46,MATCH($A369,'个人技术总览'!$A$5:$A$46,0))</f>
        <v/>
      </c>
      <c r="K369" s="60">
        <f>INDEX('个人技术总览'!$I$5:$I$46,MATCH($A369,'个人技术总览'!$A$5:$A$46,0))</f>
        <v/>
      </c>
      <c r="L369" s="67">
        <f>H369+V369+IF(E369=G369-1,MAX(0,P369-H369*G369-SUMIFS($V$5:$V$589,$A$5:$A$589,$A369)),0)</f>
        <v/>
      </c>
      <c r="M369" s="61">
        <f>MAX(1,ROUNDDOWN($L369/'参数与公式'!$B$5,0))</f>
        <v/>
      </c>
      <c r="N369" s="67">
        <f>J369+Y369+IF(E369=G369-1,MAX(0,R369-J369*G369-SUMIFS($Y$5:$Y$589,$A$5:$A$589,$A369)),0)</f>
        <v/>
      </c>
      <c r="O369" s="18" t="inlineStr">
        <is>
          <t>data/technology_templates.yaml; upgrade_profiles.martial; code: technology_rules.allocate_upgrade_budget</t>
        </is>
      </c>
      <c r="P369" s="67">
        <f>INDEX('个人技术总览'!$O$5:$O$46,MATCH($A369,'个人技术总览'!$A$5:$A$46,0))</f>
        <v/>
      </c>
      <c r="Q369" s="64">
        <f>INDEX('个人技术总览'!$P$5:$P$46,MATCH($A369,'个人技术总览'!$A$5:$A$46,0))</f>
        <v/>
      </c>
      <c r="R369" s="67">
        <f>INDEX('个人技术总览'!$Q$5:$Q$46,MATCH($A369,'个人技术总览'!$A$5:$A$46,0))</f>
        <v/>
      </c>
      <c r="S369" s="64">
        <f>INDEX('个人技术总览'!$R$5:$R$46,MATCH($A369,'个人技术总览'!$A$5:$A$46,0))</f>
        <v/>
      </c>
      <c r="T369" s="68">
        <f>POWER($Q369,$E369)</f>
        <v/>
      </c>
      <c r="U369" s="68">
        <f>SUMIFS($T$5:$T$589,$A$5:$A$589,$A369)</f>
        <v/>
      </c>
      <c r="V369" s="67">
        <f>ROUNDDOWN(MAX(0,$P369-$H369*$G369)*$T369/MAX(1,$U369),0)</f>
        <v/>
      </c>
      <c r="W369" s="68">
        <f>POWER($S369,$E369)</f>
        <v/>
      </c>
      <c r="X369" s="68">
        <f>SUMIFS($W$5:$W$589,$A$5:$A$589,$A369)</f>
        <v/>
      </c>
      <c r="Y369" s="67">
        <f>ROUNDDOWN(MAX(0,$R369-$J369*$G369)*$W369/MAX(1,$X369),0)</f>
        <v/>
      </c>
    </row>
    <row r="370">
      <c r="A370" s="17" t="inlineStr">
        <is>
          <t>jian_attack</t>
        </is>
      </c>
      <c r="B370" s="18" t="inlineStr">
        <is>
          <t>长虹贯日</t>
        </is>
      </c>
      <c r="C370" s="18" t="inlineStr">
        <is>
          <t>武艺技术</t>
        </is>
      </c>
      <c r="D370" s="18" t="inlineStr">
        <is>
          <t>剑类</t>
        </is>
      </c>
      <c r="E370" s="65" t="n">
        <v>5</v>
      </c>
      <c r="F370" s="66">
        <f>E370+1</f>
        <v/>
      </c>
      <c r="G370" s="65">
        <f>INDEX('个人技术总览'!$E$5:$E$46,MATCH($A370,'个人技术总览'!$A$5:$A$46,0))</f>
        <v/>
      </c>
      <c r="H370" s="59">
        <f>INDEX('个人技术总览'!$F$5:$F$46,MATCH($A370,'个人技术总览'!$A$5:$A$46,0))</f>
        <v/>
      </c>
      <c r="I370" s="60">
        <f>INDEX('个人技术总览'!$G$5:$G$46,MATCH($A370,'个人技术总览'!$A$5:$A$46,0))</f>
        <v/>
      </c>
      <c r="J370" s="59">
        <f>INDEX('个人技术总览'!$H$5:$H$46,MATCH($A370,'个人技术总览'!$A$5:$A$46,0))</f>
        <v/>
      </c>
      <c r="K370" s="60">
        <f>INDEX('个人技术总览'!$I$5:$I$46,MATCH($A370,'个人技术总览'!$A$5:$A$46,0))</f>
        <v/>
      </c>
      <c r="L370" s="67">
        <f>H370+V370+IF(E370=G370-1,MAX(0,P370-H370*G370-SUMIFS($V$5:$V$589,$A$5:$A$589,$A370)),0)</f>
        <v/>
      </c>
      <c r="M370" s="61">
        <f>MAX(1,ROUNDDOWN($L370/'参数与公式'!$B$5,0))</f>
        <v/>
      </c>
      <c r="N370" s="67">
        <f>J370+Y370+IF(E370=G370-1,MAX(0,R370-J370*G370-SUMIFS($Y$5:$Y$589,$A$5:$A$589,$A370)),0)</f>
        <v/>
      </c>
      <c r="O370" s="18" t="inlineStr">
        <is>
          <t>data/technology_templates.yaml; upgrade_profiles.martial; code: technology_rules.allocate_upgrade_budget</t>
        </is>
      </c>
      <c r="P370" s="67">
        <f>INDEX('个人技术总览'!$O$5:$O$46,MATCH($A370,'个人技术总览'!$A$5:$A$46,0))</f>
        <v/>
      </c>
      <c r="Q370" s="64">
        <f>INDEX('个人技术总览'!$P$5:$P$46,MATCH($A370,'个人技术总览'!$A$5:$A$46,0))</f>
        <v/>
      </c>
      <c r="R370" s="67">
        <f>INDEX('个人技术总览'!$Q$5:$Q$46,MATCH($A370,'个人技术总览'!$A$5:$A$46,0))</f>
        <v/>
      </c>
      <c r="S370" s="64">
        <f>INDEX('个人技术总览'!$R$5:$R$46,MATCH($A370,'个人技术总览'!$A$5:$A$46,0))</f>
        <v/>
      </c>
      <c r="T370" s="68">
        <f>POWER($Q370,$E370)</f>
        <v/>
      </c>
      <c r="U370" s="68">
        <f>SUMIFS($T$5:$T$589,$A$5:$A$589,$A370)</f>
        <v/>
      </c>
      <c r="V370" s="67">
        <f>ROUNDDOWN(MAX(0,$P370-$H370*$G370)*$T370/MAX(1,$U370),0)</f>
        <v/>
      </c>
      <c r="W370" s="68">
        <f>POWER($S370,$E370)</f>
        <v/>
      </c>
      <c r="X370" s="68">
        <f>SUMIFS($W$5:$W$589,$A$5:$A$589,$A370)</f>
        <v/>
      </c>
      <c r="Y370" s="67">
        <f>ROUNDDOWN(MAX(0,$R370-$J370*$G370)*$W370/MAX(1,$X370),0)</f>
        <v/>
      </c>
    </row>
    <row r="371">
      <c r="A371" s="17" t="inlineStr">
        <is>
          <t>jian_attack</t>
        </is>
      </c>
      <c r="B371" s="18" t="inlineStr">
        <is>
          <t>长虹贯日</t>
        </is>
      </c>
      <c r="C371" s="18" t="inlineStr">
        <is>
          <t>武艺技术</t>
        </is>
      </c>
      <c r="D371" s="18" t="inlineStr">
        <is>
          <t>剑类</t>
        </is>
      </c>
      <c r="E371" s="65" t="n">
        <v>6</v>
      </c>
      <c r="F371" s="66">
        <f>E371+1</f>
        <v/>
      </c>
      <c r="G371" s="65">
        <f>INDEX('个人技术总览'!$E$5:$E$46,MATCH($A371,'个人技术总览'!$A$5:$A$46,0))</f>
        <v/>
      </c>
      <c r="H371" s="59">
        <f>INDEX('个人技术总览'!$F$5:$F$46,MATCH($A371,'个人技术总览'!$A$5:$A$46,0))</f>
        <v/>
      </c>
      <c r="I371" s="60">
        <f>INDEX('个人技术总览'!$G$5:$G$46,MATCH($A371,'个人技术总览'!$A$5:$A$46,0))</f>
        <v/>
      </c>
      <c r="J371" s="59">
        <f>INDEX('个人技术总览'!$H$5:$H$46,MATCH($A371,'个人技术总览'!$A$5:$A$46,0))</f>
        <v/>
      </c>
      <c r="K371" s="60">
        <f>INDEX('个人技术总览'!$I$5:$I$46,MATCH($A371,'个人技术总览'!$A$5:$A$46,0))</f>
        <v/>
      </c>
      <c r="L371" s="67">
        <f>H371+V371+IF(E371=G371-1,MAX(0,P371-H371*G371-SUMIFS($V$5:$V$589,$A$5:$A$589,$A371)),0)</f>
        <v/>
      </c>
      <c r="M371" s="61">
        <f>MAX(1,ROUNDDOWN($L371/'参数与公式'!$B$5,0))</f>
        <v/>
      </c>
      <c r="N371" s="67">
        <f>J371+Y371+IF(E371=G371-1,MAX(0,R371-J371*G371-SUMIFS($Y$5:$Y$589,$A$5:$A$589,$A371)),0)</f>
        <v/>
      </c>
      <c r="O371" s="18" t="inlineStr">
        <is>
          <t>data/technology_templates.yaml; upgrade_profiles.martial; code: technology_rules.allocate_upgrade_budget</t>
        </is>
      </c>
      <c r="P371" s="67">
        <f>INDEX('个人技术总览'!$O$5:$O$46,MATCH($A371,'个人技术总览'!$A$5:$A$46,0))</f>
        <v/>
      </c>
      <c r="Q371" s="64">
        <f>INDEX('个人技术总览'!$P$5:$P$46,MATCH($A371,'个人技术总览'!$A$5:$A$46,0))</f>
        <v/>
      </c>
      <c r="R371" s="67">
        <f>INDEX('个人技术总览'!$Q$5:$Q$46,MATCH($A371,'个人技术总览'!$A$5:$A$46,0))</f>
        <v/>
      </c>
      <c r="S371" s="64">
        <f>INDEX('个人技术总览'!$R$5:$R$46,MATCH($A371,'个人技术总览'!$A$5:$A$46,0))</f>
        <v/>
      </c>
      <c r="T371" s="68">
        <f>POWER($Q371,$E371)</f>
        <v/>
      </c>
      <c r="U371" s="68">
        <f>SUMIFS($T$5:$T$589,$A$5:$A$589,$A371)</f>
        <v/>
      </c>
      <c r="V371" s="67">
        <f>ROUNDDOWN(MAX(0,$P371-$H371*$G371)*$T371/MAX(1,$U371),0)</f>
        <v/>
      </c>
      <c r="W371" s="68">
        <f>POWER($S371,$E371)</f>
        <v/>
      </c>
      <c r="X371" s="68">
        <f>SUMIFS($W$5:$W$589,$A$5:$A$589,$A371)</f>
        <v/>
      </c>
      <c r="Y371" s="67">
        <f>ROUNDDOWN(MAX(0,$R371-$J371*$G371)*$W371/MAX(1,$X371),0)</f>
        <v/>
      </c>
    </row>
    <row r="372">
      <c r="A372" s="17" t="inlineStr">
        <is>
          <t>jian_attack</t>
        </is>
      </c>
      <c r="B372" s="18" t="inlineStr">
        <is>
          <t>长虹贯日</t>
        </is>
      </c>
      <c r="C372" s="18" t="inlineStr">
        <is>
          <t>武艺技术</t>
        </is>
      </c>
      <c r="D372" s="18" t="inlineStr">
        <is>
          <t>剑类</t>
        </is>
      </c>
      <c r="E372" s="65" t="n">
        <v>7</v>
      </c>
      <c r="F372" s="66">
        <f>E372+1</f>
        <v/>
      </c>
      <c r="G372" s="65">
        <f>INDEX('个人技术总览'!$E$5:$E$46,MATCH($A372,'个人技术总览'!$A$5:$A$46,0))</f>
        <v/>
      </c>
      <c r="H372" s="59">
        <f>INDEX('个人技术总览'!$F$5:$F$46,MATCH($A372,'个人技术总览'!$A$5:$A$46,0))</f>
        <v/>
      </c>
      <c r="I372" s="60">
        <f>INDEX('个人技术总览'!$G$5:$G$46,MATCH($A372,'个人技术总览'!$A$5:$A$46,0))</f>
        <v/>
      </c>
      <c r="J372" s="59">
        <f>INDEX('个人技术总览'!$H$5:$H$46,MATCH($A372,'个人技术总览'!$A$5:$A$46,0))</f>
        <v/>
      </c>
      <c r="K372" s="60">
        <f>INDEX('个人技术总览'!$I$5:$I$46,MATCH($A372,'个人技术总览'!$A$5:$A$46,0))</f>
        <v/>
      </c>
      <c r="L372" s="67">
        <f>H372+V372+IF(E372=G372-1,MAX(0,P372-H372*G372-SUMIFS($V$5:$V$589,$A$5:$A$589,$A372)),0)</f>
        <v/>
      </c>
      <c r="M372" s="61">
        <f>MAX(1,ROUNDDOWN($L372/'参数与公式'!$B$5,0))</f>
        <v/>
      </c>
      <c r="N372" s="67">
        <f>J372+Y372+IF(E372=G372-1,MAX(0,R372-J372*G372-SUMIFS($Y$5:$Y$589,$A$5:$A$589,$A372)),0)</f>
        <v/>
      </c>
      <c r="O372" s="18" t="inlineStr">
        <is>
          <t>data/technology_templates.yaml; upgrade_profiles.martial; code: technology_rules.allocate_upgrade_budget</t>
        </is>
      </c>
      <c r="P372" s="67">
        <f>INDEX('个人技术总览'!$O$5:$O$46,MATCH($A372,'个人技术总览'!$A$5:$A$46,0))</f>
        <v/>
      </c>
      <c r="Q372" s="64">
        <f>INDEX('个人技术总览'!$P$5:$P$46,MATCH($A372,'个人技术总览'!$A$5:$A$46,0))</f>
        <v/>
      </c>
      <c r="R372" s="67">
        <f>INDEX('个人技术总览'!$Q$5:$Q$46,MATCH($A372,'个人技术总览'!$A$5:$A$46,0))</f>
        <v/>
      </c>
      <c r="S372" s="64">
        <f>INDEX('个人技术总览'!$R$5:$R$46,MATCH($A372,'个人技术总览'!$A$5:$A$46,0))</f>
        <v/>
      </c>
      <c r="T372" s="68">
        <f>POWER($Q372,$E372)</f>
        <v/>
      </c>
      <c r="U372" s="68">
        <f>SUMIFS($T$5:$T$589,$A$5:$A$589,$A372)</f>
        <v/>
      </c>
      <c r="V372" s="67">
        <f>ROUNDDOWN(MAX(0,$P372-$H372*$G372)*$T372/MAX(1,$U372),0)</f>
        <v/>
      </c>
      <c r="W372" s="68">
        <f>POWER($S372,$E372)</f>
        <v/>
      </c>
      <c r="X372" s="68">
        <f>SUMIFS($W$5:$W$589,$A$5:$A$589,$A372)</f>
        <v/>
      </c>
      <c r="Y372" s="67">
        <f>ROUNDDOWN(MAX(0,$R372-$J372*$G372)*$W372/MAX(1,$X372),0)</f>
        <v/>
      </c>
    </row>
    <row r="373">
      <c r="A373" s="17" t="inlineStr">
        <is>
          <t>jian_attack</t>
        </is>
      </c>
      <c r="B373" s="18" t="inlineStr">
        <is>
          <t>长虹贯日</t>
        </is>
      </c>
      <c r="C373" s="18" t="inlineStr">
        <is>
          <t>武艺技术</t>
        </is>
      </c>
      <c r="D373" s="18" t="inlineStr">
        <is>
          <t>剑类</t>
        </is>
      </c>
      <c r="E373" s="65" t="n">
        <v>8</v>
      </c>
      <c r="F373" s="66">
        <f>E373+1</f>
        <v/>
      </c>
      <c r="G373" s="65">
        <f>INDEX('个人技术总览'!$E$5:$E$46,MATCH($A373,'个人技术总览'!$A$5:$A$46,0))</f>
        <v/>
      </c>
      <c r="H373" s="59">
        <f>INDEX('个人技术总览'!$F$5:$F$46,MATCH($A373,'个人技术总览'!$A$5:$A$46,0))</f>
        <v/>
      </c>
      <c r="I373" s="60">
        <f>INDEX('个人技术总览'!$G$5:$G$46,MATCH($A373,'个人技术总览'!$A$5:$A$46,0))</f>
        <v/>
      </c>
      <c r="J373" s="59">
        <f>INDEX('个人技术总览'!$H$5:$H$46,MATCH($A373,'个人技术总览'!$A$5:$A$46,0))</f>
        <v/>
      </c>
      <c r="K373" s="60">
        <f>INDEX('个人技术总览'!$I$5:$I$46,MATCH($A373,'个人技术总览'!$A$5:$A$46,0))</f>
        <v/>
      </c>
      <c r="L373" s="67">
        <f>H373+V373+IF(E373=G373-1,MAX(0,P373-H373*G373-SUMIFS($V$5:$V$589,$A$5:$A$589,$A373)),0)</f>
        <v/>
      </c>
      <c r="M373" s="61">
        <f>MAX(1,ROUNDDOWN($L373/'参数与公式'!$B$5,0))</f>
        <v/>
      </c>
      <c r="N373" s="67">
        <f>J373+Y373+IF(E373=G373-1,MAX(0,R373-J373*G373-SUMIFS($Y$5:$Y$589,$A$5:$A$589,$A373)),0)</f>
        <v/>
      </c>
      <c r="O373" s="18" t="inlineStr">
        <is>
          <t>data/technology_templates.yaml; upgrade_profiles.martial; code: technology_rules.allocate_upgrade_budget</t>
        </is>
      </c>
      <c r="P373" s="67">
        <f>INDEX('个人技术总览'!$O$5:$O$46,MATCH($A373,'个人技术总览'!$A$5:$A$46,0))</f>
        <v/>
      </c>
      <c r="Q373" s="64">
        <f>INDEX('个人技术总览'!$P$5:$P$46,MATCH($A373,'个人技术总览'!$A$5:$A$46,0))</f>
        <v/>
      </c>
      <c r="R373" s="67">
        <f>INDEX('个人技术总览'!$Q$5:$Q$46,MATCH($A373,'个人技术总览'!$A$5:$A$46,0))</f>
        <v/>
      </c>
      <c r="S373" s="64">
        <f>INDEX('个人技术总览'!$R$5:$R$46,MATCH($A373,'个人技术总览'!$A$5:$A$46,0))</f>
        <v/>
      </c>
      <c r="T373" s="68">
        <f>POWER($Q373,$E373)</f>
        <v/>
      </c>
      <c r="U373" s="68">
        <f>SUMIFS($T$5:$T$589,$A$5:$A$589,$A373)</f>
        <v/>
      </c>
      <c r="V373" s="67">
        <f>ROUNDDOWN(MAX(0,$P373-$H373*$G373)*$T373/MAX(1,$U373),0)</f>
        <v/>
      </c>
      <c r="W373" s="68">
        <f>POWER($S373,$E373)</f>
        <v/>
      </c>
      <c r="X373" s="68">
        <f>SUMIFS($W$5:$W$589,$A$5:$A$589,$A373)</f>
        <v/>
      </c>
      <c r="Y373" s="67">
        <f>ROUNDDOWN(MAX(0,$R373-$J373*$G373)*$W373/MAX(1,$X373),0)</f>
        <v/>
      </c>
    </row>
    <row r="374">
      <c r="A374" s="17" t="inlineStr">
        <is>
          <t>jian_attack</t>
        </is>
      </c>
      <c r="B374" s="18" t="inlineStr">
        <is>
          <t>长虹贯日</t>
        </is>
      </c>
      <c r="C374" s="18" t="inlineStr">
        <is>
          <t>武艺技术</t>
        </is>
      </c>
      <c r="D374" s="18" t="inlineStr">
        <is>
          <t>剑类</t>
        </is>
      </c>
      <c r="E374" s="65" t="n">
        <v>9</v>
      </c>
      <c r="F374" s="66">
        <f>E374+1</f>
        <v/>
      </c>
      <c r="G374" s="65">
        <f>INDEX('个人技术总览'!$E$5:$E$46,MATCH($A374,'个人技术总览'!$A$5:$A$46,0))</f>
        <v/>
      </c>
      <c r="H374" s="59">
        <f>INDEX('个人技术总览'!$F$5:$F$46,MATCH($A374,'个人技术总览'!$A$5:$A$46,0))</f>
        <v/>
      </c>
      <c r="I374" s="60">
        <f>INDEX('个人技术总览'!$G$5:$G$46,MATCH($A374,'个人技术总览'!$A$5:$A$46,0))</f>
        <v/>
      </c>
      <c r="J374" s="59">
        <f>INDEX('个人技术总览'!$H$5:$H$46,MATCH($A374,'个人技术总览'!$A$5:$A$46,0))</f>
        <v/>
      </c>
      <c r="K374" s="60">
        <f>INDEX('个人技术总览'!$I$5:$I$46,MATCH($A374,'个人技术总览'!$A$5:$A$46,0))</f>
        <v/>
      </c>
      <c r="L374" s="67">
        <f>H374+V374+IF(E374=G374-1,MAX(0,P374-H374*G374-SUMIFS($V$5:$V$589,$A$5:$A$589,$A374)),0)</f>
        <v/>
      </c>
      <c r="M374" s="61">
        <f>MAX(1,ROUNDDOWN($L374/'参数与公式'!$B$5,0))</f>
        <v/>
      </c>
      <c r="N374" s="67">
        <f>J374+Y374+IF(E374=G374-1,MAX(0,R374-J374*G374-SUMIFS($Y$5:$Y$589,$A$5:$A$589,$A374)),0)</f>
        <v/>
      </c>
      <c r="O374" s="18" t="inlineStr">
        <is>
          <t>data/technology_templates.yaml; upgrade_profiles.martial; code: technology_rules.allocate_upgrade_budget</t>
        </is>
      </c>
      <c r="P374" s="67">
        <f>INDEX('个人技术总览'!$O$5:$O$46,MATCH($A374,'个人技术总览'!$A$5:$A$46,0))</f>
        <v/>
      </c>
      <c r="Q374" s="64">
        <f>INDEX('个人技术总览'!$P$5:$P$46,MATCH($A374,'个人技术总览'!$A$5:$A$46,0))</f>
        <v/>
      </c>
      <c r="R374" s="67">
        <f>INDEX('个人技术总览'!$Q$5:$Q$46,MATCH($A374,'个人技术总览'!$A$5:$A$46,0))</f>
        <v/>
      </c>
      <c r="S374" s="64">
        <f>INDEX('个人技术总览'!$R$5:$R$46,MATCH($A374,'个人技术总览'!$A$5:$A$46,0))</f>
        <v/>
      </c>
      <c r="T374" s="68">
        <f>POWER($Q374,$E374)</f>
        <v/>
      </c>
      <c r="U374" s="68">
        <f>SUMIFS($T$5:$T$589,$A$5:$A$589,$A374)</f>
        <v/>
      </c>
      <c r="V374" s="67">
        <f>ROUNDDOWN(MAX(0,$P374-$H374*$G374)*$T374/MAX(1,$U374),0)</f>
        <v/>
      </c>
      <c r="W374" s="68">
        <f>POWER($S374,$E374)</f>
        <v/>
      </c>
      <c r="X374" s="68">
        <f>SUMIFS($W$5:$W$589,$A$5:$A$589,$A374)</f>
        <v/>
      </c>
      <c r="Y374" s="67">
        <f>ROUNDDOWN(MAX(0,$R374-$J374*$G374)*$W374/MAX(1,$X374),0)</f>
        <v/>
      </c>
    </row>
    <row r="375">
      <c r="A375" s="17" t="inlineStr">
        <is>
          <t>jian_defense</t>
        </is>
      </c>
      <c r="B375" s="18" t="inlineStr">
        <is>
          <t>纯阳护体</t>
        </is>
      </c>
      <c r="C375" s="18" t="inlineStr">
        <is>
          <t>武艺技术</t>
        </is>
      </c>
      <c r="D375" s="18" t="inlineStr">
        <is>
          <t>剑类</t>
        </is>
      </c>
      <c r="E375" s="65" t="n">
        <v>0</v>
      </c>
      <c r="F375" s="66">
        <f>E375+1</f>
        <v/>
      </c>
      <c r="G375" s="65">
        <f>INDEX('个人技术总览'!$E$5:$E$46,MATCH($A375,'个人技术总览'!$A$5:$A$46,0))</f>
        <v/>
      </c>
      <c r="H375" s="59">
        <f>INDEX('个人技术总览'!$F$5:$F$46,MATCH($A375,'个人技术总览'!$A$5:$A$46,0))</f>
        <v/>
      </c>
      <c r="I375" s="60">
        <f>INDEX('个人技术总览'!$G$5:$G$46,MATCH($A375,'个人技术总览'!$A$5:$A$46,0))</f>
        <v/>
      </c>
      <c r="J375" s="59">
        <f>INDEX('个人技术总览'!$H$5:$H$46,MATCH($A375,'个人技术总览'!$A$5:$A$46,0))</f>
        <v/>
      </c>
      <c r="K375" s="60">
        <f>INDEX('个人技术总览'!$I$5:$I$46,MATCH($A375,'个人技术总览'!$A$5:$A$46,0))</f>
        <v/>
      </c>
      <c r="L375" s="67">
        <f>H375+V375+IF(E375=G375-1,MAX(0,P375-H375*G375-SUMIFS($V$5:$V$589,$A$5:$A$589,$A375)),0)</f>
        <v/>
      </c>
      <c r="M375" s="61">
        <f>MAX(1,ROUNDDOWN($L375/'参数与公式'!$B$5,0))</f>
        <v/>
      </c>
      <c r="N375" s="67">
        <f>J375+Y375+IF(E375=G375-1,MAX(0,R375-J375*G375-SUMIFS($Y$5:$Y$589,$A$5:$A$589,$A375)),0)</f>
        <v/>
      </c>
      <c r="O375" s="18" t="inlineStr">
        <is>
          <t>data/technology_templates.yaml; upgrade_profiles.martial; code: technology_rules.allocate_upgrade_budget</t>
        </is>
      </c>
      <c r="P375" s="67">
        <f>INDEX('个人技术总览'!$O$5:$O$46,MATCH($A375,'个人技术总览'!$A$5:$A$46,0))</f>
        <v/>
      </c>
      <c r="Q375" s="64">
        <f>INDEX('个人技术总览'!$P$5:$P$46,MATCH($A375,'个人技术总览'!$A$5:$A$46,0))</f>
        <v/>
      </c>
      <c r="R375" s="67">
        <f>INDEX('个人技术总览'!$Q$5:$Q$46,MATCH($A375,'个人技术总览'!$A$5:$A$46,0))</f>
        <v/>
      </c>
      <c r="S375" s="64">
        <f>INDEX('个人技术总览'!$R$5:$R$46,MATCH($A375,'个人技术总览'!$A$5:$A$46,0))</f>
        <v/>
      </c>
      <c r="T375" s="68">
        <f>POWER($Q375,$E375)</f>
        <v/>
      </c>
      <c r="U375" s="68">
        <f>SUMIFS($T$5:$T$589,$A$5:$A$589,$A375)</f>
        <v/>
      </c>
      <c r="V375" s="67">
        <f>ROUNDDOWN(MAX(0,$P375-$H375*$G375)*$T375/MAX(1,$U375),0)</f>
        <v/>
      </c>
      <c r="W375" s="68">
        <f>POWER($S375,$E375)</f>
        <v/>
      </c>
      <c r="X375" s="68">
        <f>SUMIFS($W$5:$W$589,$A$5:$A$589,$A375)</f>
        <v/>
      </c>
      <c r="Y375" s="67">
        <f>ROUNDDOWN(MAX(0,$R375-$J375*$G375)*$W375/MAX(1,$X375),0)</f>
        <v/>
      </c>
    </row>
    <row r="376">
      <c r="A376" s="17" t="inlineStr">
        <is>
          <t>jian_defense</t>
        </is>
      </c>
      <c r="B376" s="18" t="inlineStr">
        <is>
          <t>纯阳护体</t>
        </is>
      </c>
      <c r="C376" s="18" t="inlineStr">
        <is>
          <t>武艺技术</t>
        </is>
      </c>
      <c r="D376" s="18" t="inlineStr">
        <is>
          <t>剑类</t>
        </is>
      </c>
      <c r="E376" s="65" t="n">
        <v>1</v>
      </c>
      <c r="F376" s="66">
        <f>E376+1</f>
        <v/>
      </c>
      <c r="G376" s="65">
        <f>INDEX('个人技术总览'!$E$5:$E$46,MATCH($A376,'个人技术总览'!$A$5:$A$46,0))</f>
        <v/>
      </c>
      <c r="H376" s="59">
        <f>INDEX('个人技术总览'!$F$5:$F$46,MATCH($A376,'个人技术总览'!$A$5:$A$46,0))</f>
        <v/>
      </c>
      <c r="I376" s="60">
        <f>INDEX('个人技术总览'!$G$5:$G$46,MATCH($A376,'个人技术总览'!$A$5:$A$46,0))</f>
        <v/>
      </c>
      <c r="J376" s="59">
        <f>INDEX('个人技术总览'!$H$5:$H$46,MATCH($A376,'个人技术总览'!$A$5:$A$46,0))</f>
        <v/>
      </c>
      <c r="K376" s="60">
        <f>INDEX('个人技术总览'!$I$5:$I$46,MATCH($A376,'个人技术总览'!$A$5:$A$46,0))</f>
        <v/>
      </c>
      <c r="L376" s="67">
        <f>H376+V376+IF(E376=G376-1,MAX(0,P376-H376*G376-SUMIFS($V$5:$V$589,$A$5:$A$589,$A376)),0)</f>
        <v/>
      </c>
      <c r="M376" s="61">
        <f>MAX(1,ROUNDDOWN($L376/'参数与公式'!$B$5,0))</f>
        <v/>
      </c>
      <c r="N376" s="67">
        <f>J376+Y376+IF(E376=G376-1,MAX(0,R376-J376*G376-SUMIFS($Y$5:$Y$589,$A$5:$A$589,$A376)),0)</f>
        <v/>
      </c>
      <c r="O376" s="18" t="inlineStr">
        <is>
          <t>data/technology_templates.yaml; upgrade_profiles.martial; code: technology_rules.allocate_upgrade_budget</t>
        </is>
      </c>
      <c r="P376" s="67">
        <f>INDEX('个人技术总览'!$O$5:$O$46,MATCH($A376,'个人技术总览'!$A$5:$A$46,0))</f>
        <v/>
      </c>
      <c r="Q376" s="64">
        <f>INDEX('个人技术总览'!$P$5:$P$46,MATCH($A376,'个人技术总览'!$A$5:$A$46,0))</f>
        <v/>
      </c>
      <c r="R376" s="67">
        <f>INDEX('个人技术总览'!$Q$5:$Q$46,MATCH($A376,'个人技术总览'!$A$5:$A$46,0))</f>
        <v/>
      </c>
      <c r="S376" s="64">
        <f>INDEX('个人技术总览'!$R$5:$R$46,MATCH($A376,'个人技术总览'!$A$5:$A$46,0))</f>
        <v/>
      </c>
      <c r="T376" s="68">
        <f>POWER($Q376,$E376)</f>
        <v/>
      </c>
      <c r="U376" s="68">
        <f>SUMIFS($T$5:$T$589,$A$5:$A$589,$A376)</f>
        <v/>
      </c>
      <c r="V376" s="67">
        <f>ROUNDDOWN(MAX(0,$P376-$H376*$G376)*$T376/MAX(1,$U376),0)</f>
        <v/>
      </c>
      <c r="W376" s="68">
        <f>POWER($S376,$E376)</f>
        <v/>
      </c>
      <c r="X376" s="68">
        <f>SUMIFS($W$5:$W$589,$A$5:$A$589,$A376)</f>
        <v/>
      </c>
      <c r="Y376" s="67">
        <f>ROUNDDOWN(MAX(0,$R376-$J376*$G376)*$W376/MAX(1,$X376),0)</f>
        <v/>
      </c>
    </row>
    <row r="377">
      <c r="A377" s="17" t="inlineStr">
        <is>
          <t>jian_defense</t>
        </is>
      </c>
      <c r="B377" s="18" t="inlineStr">
        <is>
          <t>纯阳护体</t>
        </is>
      </c>
      <c r="C377" s="18" t="inlineStr">
        <is>
          <t>武艺技术</t>
        </is>
      </c>
      <c r="D377" s="18" t="inlineStr">
        <is>
          <t>剑类</t>
        </is>
      </c>
      <c r="E377" s="65" t="n">
        <v>2</v>
      </c>
      <c r="F377" s="66">
        <f>E377+1</f>
        <v/>
      </c>
      <c r="G377" s="65">
        <f>INDEX('个人技术总览'!$E$5:$E$46,MATCH($A377,'个人技术总览'!$A$5:$A$46,0))</f>
        <v/>
      </c>
      <c r="H377" s="59">
        <f>INDEX('个人技术总览'!$F$5:$F$46,MATCH($A377,'个人技术总览'!$A$5:$A$46,0))</f>
        <v/>
      </c>
      <c r="I377" s="60">
        <f>INDEX('个人技术总览'!$G$5:$G$46,MATCH($A377,'个人技术总览'!$A$5:$A$46,0))</f>
        <v/>
      </c>
      <c r="J377" s="59">
        <f>INDEX('个人技术总览'!$H$5:$H$46,MATCH($A377,'个人技术总览'!$A$5:$A$46,0))</f>
        <v/>
      </c>
      <c r="K377" s="60">
        <f>INDEX('个人技术总览'!$I$5:$I$46,MATCH($A377,'个人技术总览'!$A$5:$A$46,0))</f>
        <v/>
      </c>
      <c r="L377" s="67">
        <f>H377+V377+IF(E377=G377-1,MAX(0,P377-H377*G377-SUMIFS($V$5:$V$589,$A$5:$A$589,$A377)),0)</f>
        <v/>
      </c>
      <c r="M377" s="61">
        <f>MAX(1,ROUNDDOWN($L377/'参数与公式'!$B$5,0))</f>
        <v/>
      </c>
      <c r="N377" s="67">
        <f>J377+Y377+IF(E377=G377-1,MAX(0,R377-J377*G377-SUMIFS($Y$5:$Y$589,$A$5:$A$589,$A377)),0)</f>
        <v/>
      </c>
      <c r="O377" s="18" t="inlineStr">
        <is>
          <t>data/technology_templates.yaml; upgrade_profiles.martial; code: technology_rules.allocate_upgrade_budget</t>
        </is>
      </c>
      <c r="P377" s="67">
        <f>INDEX('个人技术总览'!$O$5:$O$46,MATCH($A377,'个人技术总览'!$A$5:$A$46,0))</f>
        <v/>
      </c>
      <c r="Q377" s="64">
        <f>INDEX('个人技术总览'!$P$5:$P$46,MATCH($A377,'个人技术总览'!$A$5:$A$46,0))</f>
        <v/>
      </c>
      <c r="R377" s="67">
        <f>INDEX('个人技术总览'!$Q$5:$Q$46,MATCH($A377,'个人技术总览'!$A$5:$A$46,0))</f>
        <v/>
      </c>
      <c r="S377" s="64">
        <f>INDEX('个人技术总览'!$R$5:$R$46,MATCH($A377,'个人技术总览'!$A$5:$A$46,0))</f>
        <v/>
      </c>
      <c r="T377" s="68">
        <f>POWER($Q377,$E377)</f>
        <v/>
      </c>
      <c r="U377" s="68">
        <f>SUMIFS($T$5:$T$589,$A$5:$A$589,$A377)</f>
        <v/>
      </c>
      <c r="V377" s="67">
        <f>ROUNDDOWN(MAX(0,$P377-$H377*$G377)*$T377/MAX(1,$U377),0)</f>
        <v/>
      </c>
      <c r="W377" s="68">
        <f>POWER($S377,$E377)</f>
        <v/>
      </c>
      <c r="X377" s="68">
        <f>SUMIFS($W$5:$W$589,$A$5:$A$589,$A377)</f>
        <v/>
      </c>
      <c r="Y377" s="67">
        <f>ROUNDDOWN(MAX(0,$R377-$J377*$G377)*$W377/MAX(1,$X377),0)</f>
        <v/>
      </c>
    </row>
    <row r="378">
      <c r="A378" s="17" t="inlineStr">
        <is>
          <t>jian_defense</t>
        </is>
      </c>
      <c r="B378" s="18" t="inlineStr">
        <is>
          <t>纯阳护体</t>
        </is>
      </c>
      <c r="C378" s="18" t="inlineStr">
        <is>
          <t>武艺技术</t>
        </is>
      </c>
      <c r="D378" s="18" t="inlineStr">
        <is>
          <t>剑类</t>
        </is>
      </c>
      <c r="E378" s="65" t="n">
        <v>3</v>
      </c>
      <c r="F378" s="66">
        <f>E378+1</f>
        <v/>
      </c>
      <c r="G378" s="65">
        <f>INDEX('个人技术总览'!$E$5:$E$46,MATCH($A378,'个人技术总览'!$A$5:$A$46,0))</f>
        <v/>
      </c>
      <c r="H378" s="59">
        <f>INDEX('个人技术总览'!$F$5:$F$46,MATCH($A378,'个人技术总览'!$A$5:$A$46,0))</f>
        <v/>
      </c>
      <c r="I378" s="60">
        <f>INDEX('个人技术总览'!$G$5:$G$46,MATCH($A378,'个人技术总览'!$A$5:$A$46,0))</f>
        <v/>
      </c>
      <c r="J378" s="59">
        <f>INDEX('个人技术总览'!$H$5:$H$46,MATCH($A378,'个人技术总览'!$A$5:$A$46,0))</f>
        <v/>
      </c>
      <c r="K378" s="60">
        <f>INDEX('个人技术总览'!$I$5:$I$46,MATCH($A378,'个人技术总览'!$A$5:$A$46,0))</f>
        <v/>
      </c>
      <c r="L378" s="67">
        <f>H378+V378+IF(E378=G378-1,MAX(0,P378-H378*G378-SUMIFS($V$5:$V$589,$A$5:$A$589,$A378)),0)</f>
        <v/>
      </c>
      <c r="M378" s="61">
        <f>MAX(1,ROUNDDOWN($L378/'参数与公式'!$B$5,0))</f>
        <v/>
      </c>
      <c r="N378" s="67">
        <f>J378+Y378+IF(E378=G378-1,MAX(0,R378-J378*G378-SUMIFS($Y$5:$Y$589,$A$5:$A$589,$A378)),0)</f>
        <v/>
      </c>
      <c r="O378" s="18" t="inlineStr">
        <is>
          <t>data/technology_templates.yaml; upgrade_profiles.martial; code: technology_rules.allocate_upgrade_budget</t>
        </is>
      </c>
      <c r="P378" s="67">
        <f>INDEX('个人技术总览'!$O$5:$O$46,MATCH($A378,'个人技术总览'!$A$5:$A$46,0))</f>
        <v/>
      </c>
      <c r="Q378" s="64">
        <f>INDEX('个人技术总览'!$P$5:$P$46,MATCH($A378,'个人技术总览'!$A$5:$A$46,0))</f>
        <v/>
      </c>
      <c r="R378" s="67">
        <f>INDEX('个人技术总览'!$Q$5:$Q$46,MATCH($A378,'个人技术总览'!$A$5:$A$46,0))</f>
        <v/>
      </c>
      <c r="S378" s="64">
        <f>INDEX('个人技术总览'!$R$5:$R$46,MATCH($A378,'个人技术总览'!$A$5:$A$46,0))</f>
        <v/>
      </c>
      <c r="T378" s="68">
        <f>POWER($Q378,$E378)</f>
        <v/>
      </c>
      <c r="U378" s="68">
        <f>SUMIFS($T$5:$T$589,$A$5:$A$589,$A378)</f>
        <v/>
      </c>
      <c r="V378" s="67">
        <f>ROUNDDOWN(MAX(0,$P378-$H378*$G378)*$T378/MAX(1,$U378),0)</f>
        <v/>
      </c>
      <c r="W378" s="68">
        <f>POWER($S378,$E378)</f>
        <v/>
      </c>
      <c r="X378" s="68">
        <f>SUMIFS($W$5:$W$589,$A$5:$A$589,$A378)</f>
        <v/>
      </c>
      <c r="Y378" s="67">
        <f>ROUNDDOWN(MAX(0,$R378-$J378*$G378)*$W378/MAX(1,$X378),0)</f>
        <v/>
      </c>
    </row>
    <row r="379">
      <c r="A379" s="17" t="inlineStr">
        <is>
          <t>jian_defense</t>
        </is>
      </c>
      <c r="B379" s="18" t="inlineStr">
        <is>
          <t>纯阳护体</t>
        </is>
      </c>
      <c r="C379" s="18" t="inlineStr">
        <is>
          <t>武艺技术</t>
        </is>
      </c>
      <c r="D379" s="18" t="inlineStr">
        <is>
          <t>剑类</t>
        </is>
      </c>
      <c r="E379" s="65" t="n">
        <v>4</v>
      </c>
      <c r="F379" s="66">
        <f>E379+1</f>
        <v/>
      </c>
      <c r="G379" s="65">
        <f>INDEX('个人技术总览'!$E$5:$E$46,MATCH($A379,'个人技术总览'!$A$5:$A$46,0))</f>
        <v/>
      </c>
      <c r="H379" s="59">
        <f>INDEX('个人技术总览'!$F$5:$F$46,MATCH($A379,'个人技术总览'!$A$5:$A$46,0))</f>
        <v/>
      </c>
      <c r="I379" s="60">
        <f>INDEX('个人技术总览'!$G$5:$G$46,MATCH($A379,'个人技术总览'!$A$5:$A$46,0))</f>
        <v/>
      </c>
      <c r="J379" s="59">
        <f>INDEX('个人技术总览'!$H$5:$H$46,MATCH($A379,'个人技术总览'!$A$5:$A$46,0))</f>
        <v/>
      </c>
      <c r="K379" s="60">
        <f>INDEX('个人技术总览'!$I$5:$I$46,MATCH($A379,'个人技术总览'!$A$5:$A$46,0))</f>
        <v/>
      </c>
      <c r="L379" s="67">
        <f>H379+V379+IF(E379=G379-1,MAX(0,P379-H379*G379-SUMIFS($V$5:$V$589,$A$5:$A$589,$A379)),0)</f>
        <v/>
      </c>
      <c r="M379" s="61">
        <f>MAX(1,ROUNDDOWN($L379/'参数与公式'!$B$5,0))</f>
        <v/>
      </c>
      <c r="N379" s="67">
        <f>J379+Y379+IF(E379=G379-1,MAX(0,R379-J379*G379-SUMIFS($Y$5:$Y$589,$A$5:$A$589,$A379)),0)</f>
        <v/>
      </c>
      <c r="O379" s="18" t="inlineStr">
        <is>
          <t>data/technology_templates.yaml; upgrade_profiles.martial; code: technology_rules.allocate_upgrade_budget</t>
        </is>
      </c>
      <c r="P379" s="67">
        <f>INDEX('个人技术总览'!$O$5:$O$46,MATCH($A379,'个人技术总览'!$A$5:$A$46,0))</f>
        <v/>
      </c>
      <c r="Q379" s="64">
        <f>INDEX('个人技术总览'!$P$5:$P$46,MATCH($A379,'个人技术总览'!$A$5:$A$46,0))</f>
        <v/>
      </c>
      <c r="R379" s="67">
        <f>INDEX('个人技术总览'!$Q$5:$Q$46,MATCH($A379,'个人技术总览'!$A$5:$A$46,0))</f>
        <v/>
      </c>
      <c r="S379" s="64">
        <f>INDEX('个人技术总览'!$R$5:$R$46,MATCH($A379,'个人技术总览'!$A$5:$A$46,0))</f>
        <v/>
      </c>
      <c r="T379" s="68">
        <f>POWER($Q379,$E379)</f>
        <v/>
      </c>
      <c r="U379" s="68">
        <f>SUMIFS($T$5:$T$589,$A$5:$A$589,$A379)</f>
        <v/>
      </c>
      <c r="V379" s="67">
        <f>ROUNDDOWN(MAX(0,$P379-$H379*$G379)*$T379/MAX(1,$U379),0)</f>
        <v/>
      </c>
      <c r="W379" s="68">
        <f>POWER($S379,$E379)</f>
        <v/>
      </c>
      <c r="X379" s="68">
        <f>SUMIFS($W$5:$W$589,$A$5:$A$589,$A379)</f>
        <v/>
      </c>
      <c r="Y379" s="67">
        <f>ROUNDDOWN(MAX(0,$R379-$J379*$G379)*$W379/MAX(1,$X379),0)</f>
        <v/>
      </c>
    </row>
    <row r="380">
      <c r="A380" s="17" t="inlineStr">
        <is>
          <t>jian_defense</t>
        </is>
      </c>
      <c r="B380" s="18" t="inlineStr">
        <is>
          <t>纯阳护体</t>
        </is>
      </c>
      <c r="C380" s="18" t="inlineStr">
        <is>
          <t>武艺技术</t>
        </is>
      </c>
      <c r="D380" s="18" t="inlineStr">
        <is>
          <t>剑类</t>
        </is>
      </c>
      <c r="E380" s="65" t="n">
        <v>5</v>
      </c>
      <c r="F380" s="66">
        <f>E380+1</f>
        <v/>
      </c>
      <c r="G380" s="65">
        <f>INDEX('个人技术总览'!$E$5:$E$46,MATCH($A380,'个人技术总览'!$A$5:$A$46,0))</f>
        <v/>
      </c>
      <c r="H380" s="59">
        <f>INDEX('个人技术总览'!$F$5:$F$46,MATCH($A380,'个人技术总览'!$A$5:$A$46,0))</f>
        <v/>
      </c>
      <c r="I380" s="60">
        <f>INDEX('个人技术总览'!$G$5:$G$46,MATCH($A380,'个人技术总览'!$A$5:$A$46,0))</f>
        <v/>
      </c>
      <c r="J380" s="59">
        <f>INDEX('个人技术总览'!$H$5:$H$46,MATCH($A380,'个人技术总览'!$A$5:$A$46,0))</f>
        <v/>
      </c>
      <c r="K380" s="60">
        <f>INDEX('个人技术总览'!$I$5:$I$46,MATCH($A380,'个人技术总览'!$A$5:$A$46,0))</f>
        <v/>
      </c>
      <c r="L380" s="67">
        <f>H380+V380+IF(E380=G380-1,MAX(0,P380-H380*G380-SUMIFS($V$5:$V$589,$A$5:$A$589,$A380)),0)</f>
        <v/>
      </c>
      <c r="M380" s="61">
        <f>MAX(1,ROUNDDOWN($L380/'参数与公式'!$B$5,0))</f>
        <v/>
      </c>
      <c r="N380" s="67">
        <f>J380+Y380+IF(E380=G380-1,MAX(0,R380-J380*G380-SUMIFS($Y$5:$Y$589,$A$5:$A$589,$A380)),0)</f>
        <v/>
      </c>
      <c r="O380" s="18" t="inlineStr">
        <is>
          <t>data/technology_templates.yaml; upgrade_profiles.martial; code: technology_rules.allocate_upgrade_budget</t>
        </is>
      </c>
      <c r="P380" s="67">
        <f>INDEX('个人技术总览'!$O$5:$O$46,MATCH($A380,'个人技术总览'!$A$5:$A$46,0))</f>
        <v/>
      </c>
      <c r="Q380" s="64">
        <f>INDEX('个人技术总览'!$P$5:$P$46,MATCH($A380,'个人技术总览'!$A$5:$A$46,0))</f>
        <v/>
      </c>
      <c r="R380" s="67">
        <f>INDEX('个人技术总览'!$Q$5:$Q$46,MATCH($A380,'个人技术总览'!$A$5:$A$46,0))</f>
        <v/>
      </c>
      <c r="S380" s="64">
        <f>INDEX('个人技术总览'!$R$5:$R$46,MATCH($A380,'个人技术总览'!$A$5:$A$46,0))</f>
        <v/>
      </c>
      <c r="T380" s="68">
        <f>POWER($Q380,$E380)</f>
        <v/>
      </c>
      <c r="U380" s="68">
        <f>SUMIFS($T$5:$T$589,$A$5:$A$589,$A380)</f>
        <v/>
      </c>
      <c r="V380" s="67">
        <f>ROUNDDOWN(MAX(0,$P380-$H380*$G380)*$T380/MAX(1,$U380),0)</f>
        <v/>
      </c>
      <c r="W380" s="68">
        <f>POWER($S380,$E380)</f>
        <v/>
      </c>
      <c r="X380" s="68">
        <f>SUMIFS($W$5:$W$589,$A$5:$A$589,$A380)</f>
        <v/>
      </c>
      <c r="Y380" s="67">
        <f>ROUNDDOWN(MAX(0,$R380-$J380*$G380)*$W380/MAX(1,$X380),0)</f>
        <v/>
      </c>
    </row>
    <row r="381">
      <c r="A381" s="17" t="inlineStr">
        <is>
          <t>jian_defense</t>
        </is>
      </c>
      <c r="B381" s="18" t="inlineStr">
        <is>
          <t>纯阳护体</t>
        </is>
      </c>
      <c r="C381" s="18" t="inlineStr">
        <is>
          <t>武艺技术</t>
        </is>
      </c>
      <c r="D381" s="18" t="inlineStr">
        <is>
          <t>剑类</t>
        </is>
      </c>
      <c r="E381" s="65" t="n">
        <v>6</v>
      </c>
      <c r="F381" s="66">
        <f>E381+1</f>
        <v/>
      </c>
      <c r="G381" s="65">
        <f>INDEX('个人技术总览'!$E$5:$E$46,MATCH($A381,'个人技术总览'!$A$5:$A$46,0))</f>
        <v/>
      </c>
      <c r="H381" s="59">
        <f>INDEX('个人技术总览'!$F$5:$F$46,MATCH($A381,'个人技术总览'!$A$5:$A$46,0))</f>
        <v/>
      </c>
      <c r="I381" s="60">
        <f>INDEX('个人技术总览'!$G$5:$G$46,MATCH($A381,'个人技术总览'!$A$5:$A$46,0))</f>
        <v/>
      </c>
      <c r="J381" s="59">
        <f>INDEX('个人技术总览'!$H$5:$H$46,MATCH($A381,'个人技术总览'!$A$5:$A$46,0))</f>
        <v/>
      </c>
      <c r="K381" s="60">
        <f>INDEX('个人技术总览'!$I$5:$I$46,MATCH($A381,'个人技术总览'!$A$5:$A$46,0))</f>
        <v/>
      </c>
      <c r="L381" s="67">
        <f>H381+V381+IF(E381=G381-1,MAX(0,P381-H381*G381-SUMIFS($V$5:$V$589,$A$5:$A$589,$A381)),0)</f>
        <v/>
      </c>
      <c r="M381" s="61">
        <f>MAX(1,ROUNDDOWN($L381/'参数与公式'!$B$5,0))</f>
        <v/>
      </c>
      <c r="N381" s="67">
        <f>J381+Y381+IF(E381=G381-1,MAX(0,R381-J381*G381-SUMIFS($Y$5:$Y$589,$A$5:$A$589,$A381)),0)</f>
        <v/>
      </c>
      <c r="O381" s="18" t="inlineStr">
        <is>
          <t>data/technology_templates.yaml; upgrade_profiles.martial; code: technology_rules.allocate_upgrade_budget</t>
        </is>
      </c>
      <c r="P381" s="67">
        <f>INDEX('个人技术总览'!$O$5:$O$46,MATCH($A381,'个人技术总览'!$A$5:$A$46,0))</f>
        <v/>
      </c>
      <c r="Q381" s="64">
        <f>INDEX('个人技术总览'!$P$5:$P$46,MATCH($A381,'个人技术总览'!$A$5:$A$46,0))</f>
        <v/>
      </c>
      <c r="R381" s="67">
        <f>INDEX('个人技术总览'!$Q$5:$Q$46,MATCH($A381,'个人技术总览'!$A$5:$A$46,0))</f>
        <v/>
      </c>
      <c r="S381" s="64">
        <f>INDEX('个人技术总览'!$R$5:$R$46,MATCH($A381,'个人技术总览'!$A$5:$A$46,0))</f>
        <v/>
      </c>
      <c r="T381" s="68">
        <f>POWER($Q381,$E381)</f>
        <v/>
      </c>
      <c r="U381" s="68">
        <f>SUMIFS($T$5:$T$589,$A$5:$A$589,$A381)</f>
        <v/>
      </c>
      <c r="V381" s="67">
        <f>ROUNDDOWN(MAX(0,$P381-$H381*$G381)*$T381/MAX(1,$U381),0)</f>
        <v/>
      </c>
      <c r="W381" s="68">
        <f>POWER($S381,$E381)</f>
        <v/>
      </c>
      <c r="X381" s="68">
        <f>SUMIFS($W$5:$W$589,$A$5:$A$589,$A381)</f>
        <v/>
      </c>
      <c r="Y381" s="67">
        <f>ROUNDDOWN(MAX(0,$R381-$J381*$G381)*$W381/MAX(1,$X381),0)</f>
        <v/>
      </c>
    </row>
    <row r="382">
      <c r="A382" s="17" t="inlineStr">
        <is>
          <t>jian_defense</t>
        </is>
      </c>
      <c r="B382" s="18" t="inlineStr">
        <is>
          <t>纯阳护体</t>
        </is>
      </c>
      <c r="C382" s="18" t="inlineStr">
        <is>
          <t>武艺技术</t>
        </is>
      </c>
      <c r="D382" s="18" t="inlineStr">
        <is>
          <t>剑类</t>
        </is>
      </c>
      <c r="E382" s="65" t="n">
        <v>7</v>
      </c>
      <c r="F382" s="66">
        <f>E382+1</f>
        <v/>
      </c>
      <c r="G382" s="65">
        <f>INDEX('个人技术总览'!$E$5:$E$46,MATCH($A382,'个人技术总览'!$A$5:$A$46,0))</f>
        <v/>
      </c>
      <c r="H382" s="59">
        <f>INDEX('个人技术总览'!$F$5:$F$46,MATCH($A382,'个人技术总览'!$A$5:$A$46,0))</f>
        <v/>
      </c>
      <c r="I382" s="60">
        <f>INDEX('个人技术总览'!$G$5:$G$46,MATCH($A382,'个人技术总览'!$A$5:$A$46,0))</f>
        <v/>
      </c>
      <c r="J382" s="59">
        <f>INDEX('个人技术总览'!$H$5:$H$46,MATCH($A382,'个人技术总览'!$A$5:$A$46,0))</f>
        <v/>
      </c>
      <c r="K382" s="60">
        <f>INDEX('个人技术总览'!$I$5:$I$46,MATCH($A382,'个人技术总览'!$A$5:$A$46,0))</f>
        <v/>
      </c>
      <c r="L382" s="67">
        <f>H382+V382+IF(E382=G382-1,MAX(0,P382-H382*G382-SUMIFS($V$5:$V$589,$A$5:$A$589,$A382)),0)</f>
        <v/>
      </c>
      <c r="M382" s="61">
        <f>MAX(1,ROUNDDOWN($L382/'参数与公式'!$B$5,0))</f>
        <v/>
      </c>
      <c r="N382" s="67">
        <f>J382+Y382+IF(E382=G382-1,MAX(0,R382-J382*G382-SUMIFS($Y$5:$Y$589,$A$5:$A$589,$A382)),0)</f>
        <v/>
      </c>
      <c r="O382" s="18" t="inlineStr">
        <is>
          <t>data/technology_templates.yaml; upgrade_profiles.martial; code: technology_rules.allocate_upgrade_budget</t>
        </is>
      </c>
      <c r="P382" s="67">
        <f>INDEX('个人技术总览'!$O$5:$O$46,MATCH($A382,'个人技术总览'!$A$5:$A$46,0))</f>
        <v/>
      </c>
      <c r="Q382" s="64">
        <f>INDEX('个人技术总览'!$P$5:$P$46,MATCH($A382,'个人技术总览'!$A$5:$A$46,0))</f>
        <v/>
      </c>
      <c r="R382" s="67">
        <f>INDEX('个人技术总览'!$Q$5:$Q$46,MATCH($A382,'个人技术总览'!$A$5:$A$46,0))</f>
        <v/>
      </c>
      <c r="S382" s="64">
        <f>INDEX('个人技术总览'!$R$5:$R$46,MATCH($A382,'个人技术总览'!$A$5:$A$46,0))</f>
        <v/>
      </c>
      <c r="T382" s="68">
        <f>POWER($Q382,$E382)</f>
        <v/>
      </c>
      <c r="U382" s="68">
        <f>SUMIFS($T$5:$T$589,$A$5:$A$589,$A382)</f>
        <v/>
      </c>
      <c r="V382" s="67">
        <f>ROUNDDOWN(MAX(0,$P382-$H382*$G382)*$T382/MAX(1,$U382),0)</f>
        <v/>
      </c>
      <c r="W382" s="68">
        <f>POWER($S382,$E382)</f>
        <v/>
      </c>
      <c r="X382" s="68">
        <f>SUMIFS($W$5:$W$589,$A$5:$A$589,$A382)</f>
        <v/>
      </c>
      <c r="Y382" s="67">
        <f>ROUNDDOWN(MAX(0,$R382-$J382*$G382)*$W382/MAX(1,$X382),0)</f>
        <v/>
      </c>
    </row>
    <row r="383">
      <c r="A383" s="17" t="inlineStr">
        <is>
          <t>jian_defense</t>
        </is>
      </c>
      <c r="B383" s="18" t="inlineStr">
        <is>
          <t>纯阳护体</t>
        </is>
      </c>
      <c r="C383" s="18" t="inlineStr">
        <is>
          <t>武艺技术</t>
        </is>
      </c>
      <c r="D383" s="18" t="inlineStr">
        <is>
          <t>剑类</t>
        </is>
      </c>
      <c r="E383" s="65" t="n">
        <v>8</v>
      </c>
      <c r="F383" s="66">
        <f>E383+1</f>
        <v/>
      </c>
      <c r="G383" s="65">
        <f>INDEX('个人技术总览'!$E$5:$E$46,MATCH($A383,'个人技术总览'!$A$5:$A$46,0))</f>
        <v/>
      </c>
      <c r="H383" s="59">
        <f>INDEX('个人技术总览'!$F$5:$F$46,MATCH($A383,'个人技术总览'!$A$5:$A$46,0))</f>
        <v/>
      </c>
      <c r="I383" s="60">
        <f>INDEX('个人技术总览'!$G$5:$G$46,MATCH($A383,'个人技术总览'!$A$5:$A$46,0))</f>
        <v/>
      </c>
      <c r="J383" s="59">
        <f>INDEX('个人技术总览'!$H$5:$H$46,MATCH($A383,'个人技术总览'!$A$5:$A$46,0))</f>
        <v/>
      </c>
      <c r="K383" s="60">
        <f>INDEX('个人技术总览'!$I$5:$I$46,MATCH($A383,'个人技术总览'!$A$5:$A$46,0))</f>
        <v/>
      </c>
      <c r="L383" s="67">
        <f>H383+V383+IF(E383=G383-1,MAX(0,P383-H383*G383-SUMIFS($V$5:$V$589,$A$5:$A$589,$A383)),0)</f>
        <v/>
      </c>
      <c r="M383" s="61">
        <f>MAX(1,ROUNDDOWN($L383/'参数与公式'!$B$5,0))</f>
        <v/>
      </c>
      <c r="N383" s="67">
        <f>J383+Y383+IF(E383=G383-1,MAX(0,R383-J383*G383-SUMIFS($Y$5:$Y$589,$A$5:$A$589,$A383)),0)</f>
        <v/>
      </c>
      <c r="O383" s="18" t="inlineStr">
        <is>
          <t>data/technology_templates.yaml; upgrade_profiles.martial; code: technology_rules.allocate_upgrade_budget</t>
        </is>
      </c>
      <c r="P383" s="67">
        <f>INDEX('个人技术总览'!$O$5:$O$46,MATCH($A383,'个人技术总览'!$A$5:$A$46,0))</f>
        <v/>
      </c>
      <c r="Q383" s="64">
        <f>INDEX('个人技术总览'!$P$5:$P$46,MATCH($A383,'个人技术总览'!$A$5:$A$46,0))</f>
        <v/>
      </c>
      <c r="R383" s="67">
        <f>INDEX('个人技术总览'!$Q$5:$Q$46,MATCH($A383,'个人技术总览'!$A$5:$A$46,0))</f>
        <v/>
      </c>
      <c r="S383" s="64">
        <f>INDEX('个人技术总览'!$R$5:$R$46,MATCH($A383,'个人技术总览'!$A$5:$A$46,0))</f>
        <v/>
      </c>
      <c r="T383" s="68">
        <f>POWER($Q383,$E383)</f>
        <v/>
      </c>
      <c r="U383" s="68">
        <f>SUMIFS($T$5:$T$589,$A$5:$A$589,$A383)</f>
        <v/>
      </c>
      <c r="V383" s="67">
        <f>ROUNDDOWN(MAX(0,$P383-$H383*$G383)*$T383/MAX(1,$U383),0)</f>
        <v/>
      </c>
      <c r="W383" s="68">
        <f>POWER($S383,$E383)</f>
        <v/>
      </c>
      <c r="X383" s="68">
        <f>SUMIFS($W$5:$W$589,$A$5:$A$589,$A383)</f>
        <v/>
      </c>
      <c r="Y383" s="67">
        <f>ROUNDDOWN(MAX(0,$R383-$J383*$G383)*$W383/MAX(1,$X383),0)</f>
        <v/>
      </c>
    </row>
    <row r="384">
      <c r="A384" s="17" t="inlineStr">
        <is>
          <t>jian_defense</t>
        </is>
      </c>
      <c r="B384" s="18" t="inlineStr">
        <is>
          <t>纯阳护体</t>
        </is>
      </c>
      <c r="C384" s="18" t="inlineStr">
        <is>
          <t>武艺技术</t>
        </is>
      </c>
      <c r="D384" s="18" t="inlineStr">
        <is>
          <t>剑类</t>
        </is>
      </c>
      <c r="E384" s="65" t="n">
        <v>9</v>
      </c>
      <c r="F384" s="66">
        <f>E384+1</f>
        <v/>
      </c>
      <c r="G384" s="65">
        <f>INDEX('个人技术总览'!$E$5:$E$46,MATCH($A384,'个人技术总览'!$A$5:$A$46,0))</f>
        <v/>
      </c>
      <c r="H384" s="59">
        <f>INDEX('个人技术总览'!$F$5:$F$46,MATCH($A384,'个人技术总览'!$A$5:$A$46,0))</f>
        <v/>
      </c>
      <c r="I384" s="60">
        <f>INDEX('个人技术总览'!$G$5:$G$46,MATCH($A384,'个人技术总览'!$A$5:$A$46,0))</f>
        <v/>
      </c>
      <c r="J384" s="59">
        <f>INDEX('个人技术总览'!$H$5:$H$46,MATCH($A384,'个人技术总览'!$A$5:$A$46,0))</f>
        <v/>
      </c>
      <c r="K384" s="60">
        <f>INDEX('个人技术总览'!$I$5:$I$46,MATCH($A384,'个人技术总览'!$A$5:$A$46,0))</f>
        <v/>
      </c>
      <c r="L384" s="67">
        <f>H384+V384+IF(E384=G384-1,MAX(0,P384-H384*G384-SUMIFS($V$5:$V$589,$A$5:$A$589,$A384)),0)</f>
        <v/>
      </c>
      <c r="M384" s="61">
        <f>MAX(1,ROUNDDOWN($L384/'参数与公式'!$B$5,0))</f>
        <v/>
      </c>
      <c r="N384" s="67">
        <f>J384+Y384+IF(E384=G384-1,MAX(0,R384-J384*G384-SUMIFS($Y$5:$Y$589,$A$5:$A$589,$A384)),0)</f>
        <v/>
      </c>
      <c r="O384" s="18" t="inlineStr">
        <is>
          <t>data/technology_templates.yaml; upgrade_profiles.martial; code: technology_rules.allocate_upgrade_budget</t>
        </is>
      </c>
      <c r="P384" s="67">
        <f>INDEX('个人技术总览'!$O$5:$O$46,MATCH($A384,'个人技术总览'!$A$5:$A$46,0))</f>
        <v/>
      </c>
      <c r="Q384" s="64">
        <f>INDEX('个人技术总览'!$P$5:$P$46,MATCH($A384,'个人技术总览'!$A$5:$A$46,0))</f>
        <v/>
      </c>
      <c r="R384" s="67">
        <f>INDEX('个人技术总览'!$Q$5:$Q$46,MATCH($A384,'个人技术总览'!$A$5:$A$46,0))</f>
        <v/>
      </c>
      <c r="S384" s="64">
        <f>INDEX('个人技术总览'!$R$5:$R$46,MATCH($A384,'个人技术总览'!$A$5:$A$46,0))</f>
        <v/>
      </c>
      <c r="T384" s="68">
        <f>POWER($Q384,$E384)</f>
        <v/>
      </c>
      <c r="U384" s="68">
        <f>SUMIFS($T$5:$T$589,$A$5:$A$589,$A384)</f>
        <v/>
      </c>
      <c r="V384" s="67">
        <f>ROUNDDOWN(MAX(0,$P384-$H384*$G384)*$T384/MAX(1,$U384),0)</f>
        <v/>
      </c>
      <c r="W384" s="68">
        <f>POWER($S384,$E384)</f>
        <v/>
      </c>
      <c r="X384" s="68">
        <f>SUMIFS($W$5:$W$589,$A$5:$A$589,$A384)</f>
        <v/>
      </c>
      <c r="Y384" s="67">
        <f>ROUNDDOWN(MAX(0,$R384-$J384*$G384)*$W384/MAX(1,$X384),0)</f>
        <v/>
      </c>
    </row>
    <row r="385">
      <c r="A385" s="17" t="inlineStr">
        <is>
          <t>jian_agility</t>
        </is>
      </c>
      <c r="B385" s="18" t="inlineStr">
        <is>
          <t>飘絮身法</t>
        </is>
      </c>
      <c r="C385" s="18" t="inlineStr">
        <is>
          <t>武艺技术</t>
        </is>
      </c>
      <c r="D385" s="18" t="inlineStr">
        <is>
          <t>剑类</t>
        </is>
      </c>
      <c r="E385" s="65" t="n">
        <v>0</v>
      </c>
      <c r="F385" s="66">
        <f>E385+1</f>
        <v/>
      </c>
      <c r="G385" s="65">
        <f>INDEX('个人技术总览'!$E$5:$E$46,MATCH($A385,'个人技术总览'!$A$5:$A$46,0))</f>
        <v/>
      </c>
      <c r="H385" s="59">
        <f>INDEX('个人技术总览'!$F$5:$F$46,MATCH($A385,'个人技术总览'!$A$5:$A$46,0))</f>
        <v/>
      </c>
      <c r="I385" s="60">
        <f>INDEX('个人技术总览'!$G$5:$G$46,MATCH($A385,'个人技术总览'!$A$5:$A$46,0))</f>
        <v/>
      </c>
      <c r="J385" s="59">
        <f>INDEX('个人技术总览'!$H$5:$H$46,MATCH($A385,'个人技术总览'!$A$5:$A$46,0))</f>
        <v/>
      </c>
      <c r="K385" s="60">
        <f>INDEX('个人技术总览'!$I$5:$I$46,MATCH($A385,'个人技术总览'!$A$5:$A$46,0))</f>
        <v/>
      </c>
      <c r="L385" s="67">
        <f>H385+V385+IF(E385=G385-1,MAX(0,P385-H385*G385-SUMIFS($V$5:$V$589,$A$5:$A$589,$A385)),0)</f>
        <v/>
      </c>
      <c r="M385" s="61">
        <f>MAX(1,ROUNDDOWN($L385/'参数与公式'!$B$5,0))</f>
        <v/>
      </c>
      <c r="N385" s="67">
        <f>J385+Y385+IF(E385=G385-1,MAX(0,R385-J385*G385-SUMIFS($Y$5:$Y$589,$A$5:$A$589,$A385)),0)</f>
        <v/>
      </c>
      <c r="O385" s="18" t="inlineStr">
        <is>
          <t>data/technology_templates.yaml; upgrade_profiles.martial; code: technology_rules.allocate_upgrade_budget</t>
        </is>
      </c>
      <c r="P385" s="67">
        <f>INDEX('个人技术总览'!$O$5:$O$46,MATCH($A385,'个人技术总览'!$A$5:$A$46,0))</f>
        <v/>
      </c>
      <c r="Q385" s="64">
        <f>INDEX('个人技术总览'!$P$5:$P$46,MATCH($A385,'个人技术总览'!$A$5:$A$46,0))</f>
        <v/>
      </c>
      <c r="R385" s="67">
        <f>INDEX('个人技术总览'!$Q$5:$Q$46,MATCH($A385,'个人技术总览'!$A$5:$A$46,0))</f>
        <v/>
      </c>
      <c r="S385" s="64">
        <f>INDEX('个人技术总览'!$R$5:$R$46,MATCH($A385,'个人技术总览'!$A$5:$A$46,0))</f>
        <v/>
      </c>
      <c r="T385" s="68">
        <f>POWER($Q385,$E385)</f>
        <v/>
      </c>
      <c r="U385" s="68">
        <f>SUMIFS($T$5:$T$589,$A$5:$A$589,$A385)</f>
        <v/>
      </c>
      <c r="V385" s="67">
        <f>ROUNDDOWN(MAX(0,$P385-$H385*$G385)*$T385/MAX(1,$U385),0)</f>
        <v/>
      </c>
      <c r="W385" s="68">
        <f>POWER($S385,$E385)</f>
        <v/>
      </c>
      <c r="X385" s="68">
        <f>SUMIFS($W$5:$W$589,$A$5:$A$589,$A385)</f>
        <v/>
      </c>
      <c r="Y385" s="67">
        <f>ROUNDDOWN(MAX(0,$R385-$J385*$G385)*$W385/MAX(1,$X385),0)</f>
        <v/>
      </c>
    </row>
    <row r="386">
      <c r="A386" s="17" t="inlineStr">
        <is>
          <t>jian_agility</t>
        </is>
      </c>
      <c r="B386" s="18" t="inlineStr">
        <is>
          <t>飘絮身法</t>
        </is>
      </c>
      <c r="C386" s="18" t="inlineStr">
        <is>
          <t>武艺技术</t>
        </is>
      </c>
      <c r="D386" s="18" t="inlineStr">
        <is>
          <t>剑类</t>
        </is>
      </c>
      <c r="E386" s="65" t="n">
        <v>1</v>
      </c>
      <c r="F386" s="66">
        <f>E386+1</f>
        <v/>
      </c>
      <c r="G386" s="65">
        <f>INDEX('个人技术总览'!$E$5:$E$46,MATCH($A386,'个人技术总览'!$A$5:$A$46,0))</f>
        <v/>
      </c>
      <c r="H386" s="59">
        <f>INDEX('个人技术总览'!$F$5:$F$46,MATCH($A386,'个人技术总览'!$A$5:$A$46,0))</f>
        <v/>
      </c>
      <c r="I386" s="60">
        <f>INDEX('个人技术总览'!$G$5:$G$46,MATCH($A386,'个人技术总览'!$A$5:$A$46,0))</f>
        <v/>
      </c>
      <c r="J386" s="59">
        <f>INDEX('个人技术总览'!$H$5:$H$46,MATCH($A386,'个人技术总览'!$A$5:$A$46,0))</f>
        <v/>
      </c>
      <c r="K386" s="60">
        <f>INDEX('个人技术总览'!$I$5:$I$46,MATCH($A386,'个人技术总览'!$A$5:$A$46,0))</f>
        <v/>
      </c>
      <c r="L386" s="67">
        <f>H386+V386+IF(E386=G386-1,MAX(0,P386-H386*G386-SUMIFS($V$5:$V$589,$A$5:$A$589,$A386)),0)</f>
        <v/>
      </c>
      <c r="M386" s="61">
        <f>MAX(1,ROUNDDOWN($L386/'参数与公式'!$B$5,0))</f>
        <v/>
      </c>
      <c r="N386" s="67">
        <f>J386+Y386+IF(E386=G386-1,MAX(0,R386-J386*G386-SUMIFS($Y$5:$Y$589,$A$5:$A$589,$A386)),0)</f>
        <v/>
      </c>
      <c r="O386" s="18" t="inlineStr">
        <is>
          <t>data/technology_templates.yaml; upgrade_profiles.martial; code: technology_rules.allocate_upgrade_budget</t>
        </is>
      </c>
      <c r="P386" s="67">
        <f>INDEX('个人技术总览'!$O$5:$O$46,MATCH($A386,'个人技术总览'!$A$5:$A$46,0))</f>
        <v/>
      </c>
      <c r="Q386" s="64">
        <f>INDEX('个人技术总览'!$P$5:$P$46,MATCH($A386,'个人技术总览'!$A$5:$A$46,0))</f>
        <v/>
      </c>
      <c r="R386" s="67">
        <f>INDEX('个人技术总览'!$Q$5:$Q$46,MATCH($A386,'个人技术总览'!$A$5:$A$46,0))</f>
        <v/>
      </c>
      <c r="S386" s="64">
        <f>INDEX('个人技术总览'!$R$5:$R$46,MATCH($A386,'个人技术总览'!$A$5:$A$46,0))</f>
        <v/>
      </c>
      <c r="T386" s="68">
        <f>POWER($Q386,$E386)</f>
        <v/>
      </c>
      <c r="U386" s="68">
        <f>SUMIFS($T$5:$T$589,$A$5:$A$589,$A386)</f>
        <v/>
      </c>
      <c r="V386" s="67">
        <f>ROUNDDOWN(MAX(0,$P386-$H386*$G386)*$T386/MAX(1,$U386),0)</f>
        <v/>
      </c>
      <c r="W386" s="68">
        <f>POWER($S386,$E386)</f>
        <v/>
      </c>
      <c r="X386" s="68">
        <f>SUMIFS($W$5:$W$589,$A$5:$A$589,$A386)</f>
        <v/>
      </c>
      <c r="Y386" s="67">
        <f>ROUNDDOWN(MAX(0,$R386-$J386*$G386)*$W386/MAX(1,$X386),0)</f>
        <v/>
      </c>
    </row>
    <row r="387">
      <c r="A387" s="17" t="inlineStr">
        <is>
          <t>jian_agility</t>
        </is>
      </c>
      <c r="B387" s="18" t="inlineStr">
        <is>
          <t>飘絮身法</t>
        </is>
      </c>
      <c r="C387" s="18" t="inlineStr">
        <is>
          <t>武艺技术</t>
        </is>
      </c>
      <c r="D387" s="18" t="inlineStr">
        <is>
          <t>剑类</t>
        </is>
      </c>
      <c r="E387" s="65" t="n">
        <v>2</v>
      </c>
      <c r="F387" s="66">
        <f>E387+1</f>
        <v/>
      </c>
      <c r="G387" s="65">
        <f>INDEX('个人技术总览'!$E$5:$E$46,MATCH($A387,'个人技术总览'!$A$5:$A$46,0))</f>
        <v/>
      </c>
      <c r="H387" s="59">
        <f>INDEX('个人技术总览'!$F$5:$F$46,MATCH($A387,'个人技术总览'!$A$5:$A$46,0))</f>
        <v/>
      </c>
      <c r="I387" s="60">
        <f>INDEX('个人技术总览'!$G$5:$G$46,MATCH($A387,'个人技术总览'!$A$5:$A$46,0))</f>
        <v/>
      </c>
      <c r="J387" s="59">
        <f>INDEX('个人技术总览'!$H$5:$H$46,MATCH($A387,'个人技术总览'!$A$5:$A$46,0))</f>
        <v/>
      </c>
      <c r="K387" s="60">
        <f>INDEX('个人技术总览'!$I$5:$I$46,MATCH($A387,'个人技术总览'!$A$5:$A$46,0))</f>
        <v/>
      </c>
      <c r="L387" s="67">
        <f>H387+V387+IF(E387=G387-1,MAX(0,P387-H387*G387-SUMIFS($V$5:$V$589,$A$5:$A$589,$A387)),0)</f>
        <v/>
      </c>
      <c r="M387" s="61">
        <f>MAX(1,ROUNDDOWN($L387/'参数与公式'!$B$5,0))</f>
        <v/>
      </c>
      <c r="N387" s="67">
        <f>J387+Y387+IF(E387=G387-1,MAX(0,R387-J387*G387-SUMIFS($Y$5:$Y$589,$A$5:$A$589,$A387)),0)</f>
        <v/>
      </c>
      <c r="O387" s="18" t="inlineStr">
        <is>
          <t>data/technology_templates.yaml; upgrade_profiles.martial; code: technology_rules.allocate_upgrade_budget</t>
        </is>
      </c>
      <c r="P387" s="67">
        <f>INDEX('个人技术总览'!$O$5:$O$46,MATCH($A387,'个人技术总览'!$A$5:$A$46,0))</f>
        <v/>
      </c>
      <c r="Q387" s="64">
        <f>INDEX('个人技术总览'!$P$5:$P$46,MATCH($A387,'个人技术总览'!$A$5:$A$46,0))</f>
        <v/>
      </c>
      <c r="R387" s="67">
        <f>INDEX('个人技术总览'!$Q$5:$Q$46,MATCH($A387,'个人技术总览'!$A$5:$A$46,0))</f>
        <v/>
      </c>
      <c r="S387" s="64">
        <f>INDEX('个人技术总览'!$R$5:$R$46,MATCH($A387,'个人技术总览'!$A$5:$A$46,0))</f>
        <v/>
      </c>
      <c r="T387" s="68">
        <f>POWER($Q387,$E387)</f>
        <v/>
      </c>
      <c r="U387" s="68">
        <f>SUMIFS($T$5:$T$589,$A$5:$A$589,$A387)</f>
        <v/>
      </c>
      <c r="V387" s="67">
        <f>ROUNDDOWN(MAX(0,$P387-$H387*$G387)*$T387/MAX(1,$U387),0)</f>
        <v/>
      </c>
      <c r="W387" s="68">
        <f>POWER($S387,$E387)</f>
        <v/>
      </c>
      <c r="X387" s="68">
        <f>SUMIFS($W$5:$W$589,$A$5:$A$589,$A387)</f>
        <v/>
      </c>
      <c r="Y387" s="67">
        <f>ROUNDDOWN(MAX(0,$R387-$J387*$G387)*$W387/MAX(1,$X387),0)</f>
        <v/>
      </c>
    </row>
    <row r="388">
      <c r="A388" s="17" t="inlineStr">
        <is>
          <t>jian_agility</t>
        </is>
      </c>
      <c r="B388" s="18" t="inlineStr">
        <is>
          <t>飘絮身法</t>
        </is>
      </c>
      <c r="C388" s="18" t="inlineStr">
        <is>
          <t>武艺技术</t>
        </is>
      </c>
      <c r="D388" s="18" t="inlineStr">
        <is>
          <t>剑类</t>
        </is>
      </c>
      <c r="E388" s="65" t="n">
        <v>3</v>
      </c>
      <c r="F388" s="66">
        <f>E388+1</f>
        <v/>
      </c>
      <c r="G388" s="65">
        <f>INDEX('个人技术总览'!$E$5:$E$46,MATCH($A388,'个人技术总览'!$A$5:$A$46,0))</f>
        <v/>
      </c>
      <c r="H388" s="59">
        <f>INDEX('个人技术总览'!$F$5:$F$46,MATCH($A388,'个人技术总览'!$A$5:$A$46,0))</f>
        <v/>
      </c>
      <c r="I388" s="60">
        <f>INDEX('个人技术总览'!$G$5:$G$46,MATCH($A388,'个人技术总览'!$A$5:$A$46,0))</f>
        <v/>
      </c>
      <c r="J388" s="59">
        <f>INDEX('个人技术总览'!$H$5:$H$46,MATCH($A388,'个人技术总览'!$A$5:$A$46,0))</f>
        <v/>
      </c>
      <c r="K388" s="60">
        <f>INDEX('个人技术总览'!$I$5:$I$46,MATCH($A388,'个人技术总览'!$A$5:$A$46,0))</f>
        <v/>
      </c>
      <c r="L388" s="67">
        <f>H388+V388+IF(E388=G388-1,MAX(0,P388-H388*G388-SUMIFS($V$5:$V$589,$A$5:$A$589,$A388)),0)</f>
        <v/>
      </c>
      <c r="M388" s="61">
        <f>MAX(1,ROUNDDOWN($L388/'参数与公式'!$B$5,0))</f>
        <v/>
      </c>
      <c r="N388" s="67">
        <f>J388+Y388+IF(E388=G388-1,MAX(0,R388-J388*G388-SUMIFS($Y$5:$Y$589,$A$5:$A$589,$A388)),0)</f>
        <v/>
      </c>
      <c r="O388" s="18" t="inlineStr">
        <is>
          <t>data/technology_templates.yaml; upgrade_profiles.martial; code: technology_rules.allocate_upgrade_budget</t>
        </is>
      </c>
      <c r="P388" s="67">
        <f>INDEX('个人技术总览'!$O$5:$O$46,MATCH($A388,'个人技术总览'!$A$5:$A$46,0))</f>
        <v/>
      </c>
      <c r="Q388" s="64">
        <f>INDEX('个人技术总览'!$P$5:$P$46,MATCH($A388,'个人技术总览'!$A$5:$A$46,0))</f>
        <v/>
      </c>
      <c r="R388" s="67">
        <f>INDEX('个人技术总览'!$Q$5:$Q$46,MATCH($A388,'个人技术总览'!$A$5:$A$46,0))</f>
        <v/>
      </c>
      <c r="S388" s="64">
        <f>INDEX('个人技术总览'!$R$5:$R$46,MATCH($A388,'个人技术总览'!$A$5:$A$46,0))</f>
        <v/>
      </c>
      <c r="T388" s="68">
        <f>POWER($Q388,$E388)</f>
        <v/>
      </c>
      <c r="U388" s="68">
        <f>SUMIFS($T$5:$T$589,$A$5:$A$589,$A388)</f>
        <v/>
      </c>
      <c r="V388" s="67">
        <f>ROUNDDOWN(MAX(0,$P388-$H388*$G388)*$T388/MAX(1,$U388),0)</f>
        <v/>
      </c>
      <c r="W388" s="68">
        <f>POWER($S388,$E388)</f>
        <v/>
      </c>
      <c r="X388" s="68">
        <f>SUMIFS($W$5:$W$589,$A$5:$A$589,$A388)</f>
        <v/>
      </c>
      <c r="Y388" s="67">
        <f>ROUNDDOWN(MAX(0,$R388-$J388*$G388)*$W388/MAX(1,$X388),0)</f>
        <v/>
      </c>
    </row>
    <row r="389">
      <c r="A389" s="17" t="inlineStr">
        <is>
          <t>jian_agility</t>
        </is>
      </c>
      <c r="B389" s="18" t="inlineStr">
        <is>
          <t>飘絮身法</t>
        </is>
      </c>
      <c r="C389" s="18" t="inlineStr">
        <is>
          <t>武艺技术</t>
        </is>
      </c>
      <c r="D389" s="18" t="inlineStr">
        <is>
          <t>剑类</t>
        </is>
      </c>
      <c r="E389" s="65" t="n">
        <v>4</v>
      </c>
      <c r="F389" s="66">
        <f>E389+1</f>
        <v/>
      </c>
      <c r="G389" s="65">
        <f>INDEX('个人技术总览'!$E$5:$E$46,MATCH($A389,'个人技术总览'!$A$5:$A$46,0))</f>
        <v/>
      </c>
      <c r="H389" s="59">
        <f>INDEX('个人技术总览'!$F$5:$F$46,MATCH($A389,'个人技术总览'!$A$5:$A$46,0))</f>
        <v/>
      </c>
      <c r="I389" s="60">
        <f>INDEX('个人技术总览'!$G$5:$G$46,MATCH($A389,'个人技术总览'!$A$5:$A$46,0))</f>
        <v/>
      </c>
      <c r="J389" s="59">
        <f>INDEX('个人技术总览'!$H$5:$H$46,MATCH($A389,'个人技术总览'!$A$5:$A$46,0))</f>
        <v/>
      </c>
      <c r="K389" s="60">
        <f>INDEX('个人技术总览'!$I$5:$I$46,MATCH($A389,'个人技术总览'!$A$5:$A$46,0))</f>
        <v/>
      </c>
      <c r="L389" s="67">
        <f>H389+V389+IF(E389=G389-1,MAX(0,P389-H389*G389-SUMIFS($V$5:$V$589,$A$5:$A$589,$A389)),0)</f>
        <v/>
      </c>
      <c r="M389" s="61">
        <f>MAX(1,ROUNDDOWN($L389/'参数与公式'!$B$5,0))</f>
        <v/>
      </c>
      <c r="N389" s="67">
        <f>J389+Y389+IF(E389=G389-1,MAX(0,R389-J389*G389-SUMIFS($Y$5:$Y$589,$A$5:$A$589,$A389)),0)</f>
        <v/>
      </c>
      <c r="O389" s="18" t="inlineStr">
        <is>
          <t>data/technology_templates.yaml; upgrade_profiles.martial; code: technology_rules.allocate_upgrade_budget</t>
        </is>
      </c>
      <c r="P389" s="67">
        <f>INDEX('个人技术总览'!$O$5:$O$46,MATCH($A389,'个人技术总览'!$A$5:$A$46,0))</f>
        <v/>
      </c>
      <c r="Q389" s="64">
        <f>INDEX('个人技术总览'!$P$5:$P$46,MATCH($A389,'个人技术总览'!$A$5:$A$46,0))</f>
        <v/>
      </c>
      <c r="R389" s="67">
        <f>INDEX('个人技术总览'!$Q$5:$Q$46,MATCH($A389,'个人技术总览'!$A$5:$A$46,0))</f>
        <v/>
      </c>
      <c r="S389" s="64">
        <f>INDEX('个人技术总览'!$R$5:$R$46,MATCH($A389,'个人技术总览'!$A$5:$A$46,0))</f>
        <v/>
      </c>
      <c r="T389" s="68">
        <f>POWER($Q389,$E389)</f>
        <v/>
      </c>
      <c r="U389" s="68">
        <f>SUMIFS($T$5:$T$589,$A$5:$A$589,$A389)</f>
        <v/>
      </c>
      <c r="V389" s="67">
        <f>ROUNDDOWN(MAX(0,$P389-$H389*$G389)*$T389/MAX(1,$U389),0)</f>
        <v/>
      </c>
      <c r="W389" s="68">
        <f>POWER($S389,$E389)</f>
        <v/>
      </c>
      <c r="X389" s="68">
        <f>SUMIFS($W$5:$W$589,$A$5:$A$589,$A389)</f>
        <v/>
      </c>
      <c r="Y389" s="67">
        <f>ROUNDDOWN(MAX(0,$R389-$J389*$G389)*$W389/MAX(1,$X389),0)</f>
        <v/>
      </c>
    </row>
    <row r="390">
      <c r="A390" s="17" t="inlineStr">
        <is>
          <t>jian_agility</t>
        </is>
      </c>
      <c r="B390" s="18" t="inlineStr">
        <is>
          <t>飘絮身法</t>
        </is>
      </c>
      <c r="C390" s="18" t="inlineStr">
        <is>
          <t>武艺技术</t>
        </is>
      </c>
      <c r="D390" s="18" t="inlineStr">
        <is>
          <t>剑类</t>
        </is>
      </c>
      <c r="E390" s="65" t="n">
        <v>5</v>
      </c>
      <c r="F390" s="66">
        <f>E390+1</f>
        <v/>
      </c>
      <c r="G390" s="65">
        <f>INDEX('个人技术总览'!$E$5:$E$46,MATCH($A390,'个人技术总览'!$A$5:$A$46,0))</f>
        <v/>
      </c>
      <c r="H390" s="59">
        <f>INDEX('个人技术总览'!$F$5:$F$46,MATCH($A390,'个人技术总览'!$A$5:$A$46,0))</f>
        <v/>
      </c>
      <c r="I390" s="60">
        <f>INDEX('个人技术总览'!$G$5:$G$46,MATCH($A390,'个人技术总览'!$A$5:$A$46,0))</f>
        <v/>
      </c>
      <c r="J390" s="59">
        <f>INDEX('个人技术总览'!$H$5:$H$46,MATCH($A390,'个人技术总览'!$A$5:$A$46,0))</f>
        <v/>
      </c>
      <c r="K390" s="60">
        <f>INDEX('个人技术总览'!$I$5:$I$46,MATCH($A390,'个人技术总览'!$A$5:$A$46,0))</f>
        <v/>
      </c>
      <c r="L390" s="67">
        <f>H390+V390+IF(E390=G390-1,MAX(0,P390-H390*G390-SUMIFS($V$5:$V$589,$A$5:$A$589,$A390)),0)</f>
        <v/>
      </c>
      <c r="M390" s="61">
        <f>MAX(1,ROUNDDOWN($L390/'参数与公式'!$B$5,0))</f>
        <v/>
      </c>
      <c r="N390" s="67">
        <f>J390+Y390+IF(E390=G390-1,MAX(0,R390-J390*G390-SUMIFS($Y$5:$Y$589,$A$5:$A$589,$A390)),0)</f>
        <v/>
      </c>
      <c r="O390" s="18" t="inlineStr">
        <is>
          <t>data/technology_templates.yaml; upgrade_profiles.martial; code: technology_rules.allocate_upgrade_budget</t>
        </is>
      </c>
      <c r="P390" s="67">
        <f>INDEX('个人技术总览'!$O$5:$O$46,MATCH($A390,'个人技术总览'!$A$5:$A$46,0))</f>
        <v/>
      </c>
      <c r="Q390" s="64">
        <f>INDEX('个人技术总览'!$P$5:$P$46,MATCH($A390,'个人技术总览'!$A$5:$A$46,0))</f>
        <v/>
      </c>
      <c r="R390" s="67">
        <f>INDEX('个人技术总览'!$Q$5:$Q$46,MATCH($A390,'个人技术总览'!$A$5:$A$46,0))</f>
        <v/>
      </c>
      <c r="S390" s="64">
        <f>INDEX('个人技术总览'!$R$5:$R$46,MATCH($A390,'个人技术总览'!$A$5:$A$46,0))</f>
        <v/>
      </c>
      <c r="T390" s="68">
        <f>POWER($Q390,$E390)</f>
        <v/>
      </c>
      <c r="U390" s="68">
        <f>SUMIFS($T$5:$T$589,$A$5:$A$589,$A390)</f>
        <v/>
      </c>
      <c r="V390" s="67">
        <f>ROUNDDOWN(MAX(0,$P390-$H390*$G390)*$T390/MAX(1,$U390),0)</f>
        <v/>
      </c>
      <c r="W390" s="68">
        <f>POWER($S390,$E390)</f>
        <v/>
      </c>
      <c r="X390" s="68">
        <f>SUMIFS($W$5:$W$589,$A$5:$A$589,$A390)</f>
        <v/>
      </c>
      <c r="Y390" s="67">
        <f>ROUNDDOWN(MAX(0,$R390-$J390*$G390)*$W390/MAX(1,$X390),0)</f>
        <v/>
      </c>
    </row>
    <row r="391">
      <c r="A391" s="17" t="inlineStr">
        <is>
          <t>jian_agility</t>
        </is>
      </c>
      <c r="B391" s="18" t="inlineStr">
        <is>
          <t>飘絮身法</t>
        </is>
      </c>
      <c r="C391" s="18" t="inlineStr">
        <is>
          <t>武艺技术</t>
        </is>
      </c>
      <c r="D391" s="18" t="inlineStr">
        <is>
          <t>剑类</t>
        </is>
      </c>
      <c r="E391" s="65" t="n">
        <v>6</v>
      </c>
      <c r="F391" s="66">
        <f>E391+1</f>
        <v/>
      </c>
      <c r="G391" s="65">
        <f>INDEX('个人技术总览'!$E$5:$E$46,MATCH($A391,'个人技术总览'!$A$5:$A$46,0))</f>
        <v/>
      </c>
      <c r="H391" s="59">
        <f>INDEX('个人技术总览'!$F$5:$F$46,MATCH($A391,'个人技术总览'!$A$5:$A$46,0))</f>
        <v/>
      </c>
      <c r="I391" s="60">
        <f>INDEX('个人技术总览'!$G$5:$G$46,MATCH($A391,'个人技术总览'!$A$5:$A$46,0))</f>
        <v/>
      </c>
      <c r="J391" s="59">
        <f>INDEX('个人技术总览'!$H$5:$H$46,MATCH($A391,'个人技术总览'!$A$5:$A$46,0))</f>
        <v/>
      </c>
      <c r="K391" s="60">
        <f>INDEX('个人技术总览'!$I$5:$I$46,MATCH($A391,'个人技术总览'!$A$5:$A$46,0))</f>
        <v/>
      </c>
      <c r="L391" s="67">
        <f>H391+V391+IF(E391=G391-1,MAX(0,P391-H391*G391-SUMIFS($V$5:$V$589,$A$5:$A$589,$A391)),0)</f>
        <v/>
      </c>
      <c r="M391" s="61">
        <f>MAX(1,ROUNDDOWN($L391/'参数与公式'!$B$5,0))</f>
        <v/>
      </c>
      <c r="N391" s="67">
        <f>J391+Y391+IF(E391=G391-1,MAX(0,R391-J391*G391-SUMIFS($Y$5:$Y$589,$A$5:$A$589,$A391)),0)</f>
        <v/>
      </c>
      <c r="O391" s="18" t="inlineStr">
        <is>
          <t>data/technology_templates.yaml; upgrade_profiles.martial; code: technology_rules.allocate_upgrade_budget</t>
        </is>
      </c>
      <c r="P391" s="67">
        <f>INDEX('个人技术总览'!$O$5:$O$46,MATCH($A391,'个人技术总览'!$A$5:$A$46,0))</f>
        <v/>
      </c>
      <c r="Q391" s="64">
        <f>INDEX('个人技术总览'!$P$5:$P$46,MATCH($A391,'个人技术总览'!$A$5:$A$46,0))</f>
        <v/>
      </c>
      <c r="R391" s="67">
        <f>INDEX('个人技术总览'!$Q$5:$Q$46,MATCH($A391,'个人技术总览'!$A$5:$A$46,0))</f>
        <v/>
      </c>
      <c r="S391" s="64">
        <f>INDEX('个人技术总览'!$R$5:$R$46,MATCH($A391,'个人技术总览'!$A$5:$A$46,0))</f>
        <v/>
      </c>
      <c r="T391" s="68">
        <f>POWER($Q391,$E391)</f>
        <v/>
      </c>
      <c r="U391" s="68">
        <f>SUMIFS($T$5:$T$589,$A$5:$A$589,$A391)</f>
        <v/>
      </c>
      <c r="V391" s="67">
        <f>ROUNDDOWN(MAX(0,$P391-$H391*$G391)*$T391/MAX(1,$U391),0)</f>
        <v/>
      </c>
      <c r="W391" s="68">
        <f>POWER($S391,$E391)</f>
        <v/>
      </c>
      <c r="X391" s="68">
        <f>SUMIFS($W$5:$W$589,$A$5:$A$589,$A391)</f>
        <v/>
      </c>
      <c r="Y391" s="67">
        <f>ROUNDDOWN(MAX(0,$R391-$J391*$G391)*$W391/MAX(1,$X391),0)</f>
        <v/>
      </c>
    </row>
    <row r="392">
      <c r="A392" s="17" t="inlineStr">
        <is>
          <t>jian_agility</t>
        </is>
      </c>
      <c r="B392" s="18" t="inlineStr">
        <is>
          <t>飘絮身法</t>
        </is>
      </c>
      <c r="C392" s="18" t="inlineStr">
        <is>
          <t>武艺技术</t>
        </is>
      </c>
      <c r="D392" s="18" t="inlineStr">
        <is>
          <t>剑类</t>
        </is>
      </c>
      <c r="E392" s="65" t="n">
        <v>7</v>
      </c>
      <c r="F392" s="66">
        <f>E392+1</f>
        <v/>
      </c>
      <c r="G392" s="65">
        <f>INDEX('个人技术总览'!$E$5:$E$46,MATCH($A392,'个人技术总览'!$A$5:$A$46,0))</f>
        <v/>
      </c>
      <c r="H392" s="59">
        <f>INDEX('个人技术总览'!$F$5:$F$46,MATCH($A392,'个人技术总览'!$A$5:$A$46,0))</f>
        <v/>
      </c>
      <c r="I392" s="60">
        <f>INDEX('个人技术总览'!$G$5:$G$46,MATCH($A392,'个人技术总览'!$A$5:$A$46,0))</f>
        <v/>
      </c>
      <c r="J392" s="59">
        <f>INDEX('个人技术总览'!$H$5:$H$46,MATCH($A392,'个人技术总览'!$A$5:$A$46,0))</f>
        <v/>
      </c>
      <c r="K392" s="60">
        <f>INDEX('个人技术总览'!$I$5:$I$46,MATCH($A392,'个人技术总览'!$A$5:$A$46,0))</f>
        <v/>
      </c>
      <c r="L392" s="67">
        <f>H392+V392+IF(E392=G392-1,MAX(0,P392-H392*G392-SUMIFS($V$5:$V$589,$A$5:$A$589,$A392)),0)</f>
        <v/>
      </c>
      <c r="M392" s="61">
        <f>MAX(1,ROUNDDOWN($L392/'参数与公式'!$B$5,0))</f>
        <v/>
      </c>
      <c r="N392" s="67">
        <f>J392+Y392+IF(E392=G392-1,MAX(0,R392-J392*G392-SUMIFS($Y$5:$Y$589,$A$5:$A$589,$A392)),0)</f>
        <v/>
      </c>
      <c r="O392" s="18" t="inlineStr">
        <is>
          <t>data/technology_templates.yaml; upgrade_profiles.martial; code: technology_rules.allocate_upgrade_budget</t>
        </is>
      </c>
      <c r="P392" s="67">
        <f>INDEX('个人技术总览'!$O$5:$O$46,MATCH($A392,'个人技术总览'!$A$5:$A$46,0))</f>
        <v/>
      </c>
      <c r="Q392" s="64">
        <f>INDEX('个人技术总览'!$P$5:$P$46,MATCH($A392,'个人技术总览'!$A$5:$A$46,0))</f>
        <v/>
      </c>
      <c r="R392" s="67">
        <f>INDEX('个人技术总览'!$Q$5:$Q$46,MATCH($A392,'个人技术总览'!$A$5:$A$46,0))</f>
        <v/>
      </c>
      <c r="S392" s="64">
        <f>INDEX('个人技术总览'!$R$5:$R$46,MATCH($A392,'个人技术总览'!$A$5:$A$46,0))</f>
        <v/>
      </c>
      <c r="T392" s="68">
        <f>POWER($Q392,$E392)</f>
        <v/>
      </c>
      <c r="U392" s="68">
        <f>SUMIFS($T$5:$T$589,$A$5:$A$589,$A392)</f>
        <v/>
      </c>
      <c r="V392" s="67">
        <f>ROUNDDOWN(MAX(0,$P392-$H392*$G392)*$T392/MAX(1,$U392),0)</f>
        <v/>
      </c>
      <c r="W392" s="68">
        <f>POWER($S392,$E392)</f>
        <v/>
      </c>
      <c r="X392" s="68">
        <f>SUMIFS($W$5:$W$589,$A$5:$A$589,$A392)</f>
        <v/>
      </c>
      <c r="Y392" s="67">
        <f>ROUNDDOWN(MAX(0,$R392-$J392*$G392)*$W392/MAX(1,$X392),0)</f>
        <v/>
      </c>
    </row>
    <row r="393">
      <c r="A393" s="17" t="inlineStr">
        <is>
          <t>jian_agility</t>
        </is>
      </c>
      <c r="B393" s="18" t="inlineStr">
        <is>
          <t>飘絮身法</t>
        </is>
      </c>
      <c r="C393" s="18" t="inlineStr">
        <is>
          <t>武艺技术</t>
        </is>
      </c>
      <c r="D393" s="18" t="inlineStr">
        <is>
          <t>剑类</t>
        </is>
      </c>
      <c r="E393" s="65" t="n">
        <v>8</v>
      </c>
      <c r="F393" s="66">
        <f>E393+1</f>
        <v/>
      </c>
      <c r="G393" s="65">
        <f>INDEX('个人技术总览'!$E$5:$E$46,MATCH($A393,'个人技术总览'!$A$5:$A$46,0))</f>
        <v/>
      </c>
      <c r="H393" s="59">
        <f>INDEX('个人技术总览'!$F$5:$F$46,MATCH($A393,'个人技术总览'!$A$5:$A$46,0))</f>
        <v/>
      </c>
      <c r="I393" s="60">
        <f>INDEX('个人技术总览'!$G$5:$G$46,MATCH($A393,'个人技术总览'!$A$5:$A$46,0))</f>
        <v/>
      </c>
      <c r="J393" s="59">
        <f>INDEX('个人技术总览'!$H$5:$H$46,MATCH($A393,'个人技术总览'!$A$5:$A$46,0))</f>
        <v/>
      </c>
      <c r="K393" s="60">
        <f>INDEX('个人技术总览'!$I$5:$I$46,MATCH($A393,'个人技术总览'!$A$5:$A$46,0))</f>
        <v/>
      </c>
      <c r="L393" s="67">
        <f>H393+V393+IF(E393=G393-1,MAX(0,P393-H393*G393-SUMIFS($V$5:$V$589,$A$5:$A$589,$A393)),0)</f>
        <v/>
      </c>
      <c r="M393" s="61">
        <f>MAX(1,ROUNDDOWN($L393/'参数与公式'!$B$5,0))</f>
        <v/>
      </c>
      <c r="N393" s="67">
        <f>J393+Y393+IF(E393=G393-1,MAX(0,R393-J393*G393-SUMIFS($Y$5:$Y$589,$A$5:$A$589,$A393)),0)</f>
        <v/>
      </c>
      <c r="O393" s="18" t="inlineStr">
        <is>
          <t>data/technology_templates.yaml; upgrade_profiles.martial; code: technology_rules.allocate_upgrade_budget</t>
        </is>
      </c>
      <c r="P393" s="67">
        <f>INDEX('个人技术总览'!$O$5:$O$46,MATCH($A393,'个人技术总览'!$A$5:$A$46,0))</f>
        <v/>
      </c>
      <c r="Q393" s="64">
        <f>INDEX('个人技术总览'!$P$5:$P$46,MATCH($A393,'个人技术总览'!$A$5:$A$46,0))</f>
        <v/>
      </c>
      <c r="R393" s="67">
        <f>INDEX('个人技术总览'!$Q$5:$Q$46,MATCH($A393,'个人技术总览'!$A$5:$A$46,0))</f>
        <v/>
      </c>
      <c r="S393" s="64">
        <f>INDEX('个人技术总览'!$R$5:$R$46,MATCH($A393,'个人技术总览'!$A$5:$A$46,0))</f>
        <v/>
      </c>
      <c r="T393" s="68">
        <f>POWER($Q393,$E393)</f>
        <v/>
      </c>
      <c r="U393" s="68">
        <f>SUMIFS($T$5:$T$589,$A$5:$A$589,$A393)</f>
        <v/>
      </c>
      <c r="V393" s="67">
        <f>ROUNDDOWN(MAX(0,$P393-$H393*$G393)*$T393/MAX(1,$U393),0)</f>
        <v/>
      </c>
      <c r="W393" s="68">
        <f>POWER($S393,$E393)</f>
        <v/>
      </c>
      <c r="X393" s="68">
        <f>SUMIFS($W$5:$W$589,$A$5:$A$589,$A393)</f>
        <v/>
      </c>
      <c r="Y393" s="67">
        <f>ROUNDDOWN(MAX(0,$R393-$J393*$G393)*$W393/MAX(1,$X393),0)</f>
        <v/>
      </c>
    </row>
    <row r="394">
      <c r="A394" s="17" t="inlineStr">
        <is>
          <t>jian_agility</t>
        </is>
      </c>
      <c r="B394" s="18" t="inlineStr">
        <is>
          <t>飘絮身法</t>
        </is>
      </c>
      <c r="C394" s="18" t="inlineStr">
        <is>
          <t>武艺技术</t>
        </is>
      </c>
      <c r="D394" s="18" t="inlineStr">
        <is>
          <t>剑类</t>
        </is>
      </c>
      <c r="E394" s="65" t="n">
        <v>9</v>
      </c>
      <c r="F394" s="66">
        <f>E394+1</f>
        <v/>
      </c>
      <c r="G394" s="65">
        <f>INDEX('个人技术总览'!$E$5:$E$46,MATCH($A394,'个人技术总览'!$A$5:$A$46,0))</f>
        <v/>
      </c>
      <c r="H394" s="59">
        <f>INDEX('个人技术总览'!$F$5:$F$46,MATCH($A394,'个人技术总览'!$A$5:$A$46,0))</f>
        <v/>
      </c>
      <c r="I394" s="60">
        <f>INDEX('个人技术总览'!$G$5:$G$46,MATCH($A394,'个人技术总览'!$A$5:$A$46,0))</f>
        <v/>
      </c>
      <c r="J394" s="59">
        <f>INDEX('个人技术总览'!$H$5:$H$46,MATCH($A394,'个人技术总览'!$A$5:$A$46,0))</f>
        <v/>
      </c>
      <c r="K394" s="60">
        <f>INDEX('个人技术总览'!$I$5:$I$46,MATCH($A394,'个人技术总览'!$A$5:$A$46,0))</f>
        <v/>
      </c>
      <c r="L394" s="67">
        <f>H394+V394+IF(E394=G394-1,MAX(0,P394-H394*G394-SUMIFS($V$5:$V$589,$A$5:$A$589,$A394)),0)</f>
        <v/>
      </c>
      <c r="M394" s="61">
        <f>MAX(1,ROUNDDOWN($L394/'参数与公式'!$B$5,0))</f>
        <v/>
      </c>
      <c r="N394" s="67">
        <f>J394+Y394+IF(E394=G394-1,MAX(0,R394-J394*G394-SUMIFS($Y$5:$Y$589,$A$5:$A$589,$A394)),0)</f>
        <v/>
      </c>
      <c r="O394" s="18" t="inlineStr">
        <is>
          <t>data/technology_templates.yaml; upgrade_profiles.martial; code: technology_rules.allocate_upgrade_budget</t>
        </is>
      </c>
      <c r="P394" s="67">
        <f>INDEX('个人技术总览'!$O$5:$O$46,MATCH($A394,'个人技术总览'!$A$5:$A$46,0))</f>
        <v/>
      </c>
      <c r="Q394" s="64">
        <f>INDEX('个人技术总览'!$P$5:$P$46,MATCH($A394,'个人技术总览'!$A$5:$A$46,0))</f>
        <v/>
      </c>
      <c r="R394" s="67">
        <f>INDEX('个人技术总览'!$Q$5:$Q$46,MATCH($A394,'个人技术总览'!$A$5:$A$46,0))</f>
        <v/>
      </c>
      <c r="S394" s="64">
        <f>INDEX('个人技术总览'!$R$5:$R$46,MATCH($A394,'个人技术总览'!$A$5:$A$46,0))</f>
        <v/>
      </c>
      <c r="T394" s="68">
        <f>POWER($Q394,$E394)</f>
        <v/>
      </c>
      <c r="U394" s="68">
        <f>SUMIFS($T$5:$T$589,$A$5:$A$589,$A394)</f>
        <v/>
      </c>
      <c r="V394" s="67">
        <f>ROUNDDOWN(MAX(0,$P394-$H394*$G394)*$T394/MAX(1,$U394),0)</f>
        <v/>
      </c>
      <c r="W394" s="68">
        <f>POWER($S394,$E394)</f>
        <v/>
      </c>
      <c r="X394" s="68">
        <f>SUMIFS($W$5:$W$589,$A$5:$A$589,$A394)</f>
        <v/>
      </c>
      <c r="Y394" s="67">
        <f>ROUNDDOWN(MAX(0,$R394-$J394*$G394)*$W394/MAX(1,$X394),0)</f>
        <v/>
      </c>
    </row>
    <row r="395">
      <c r="A395" s="17" t="inlineStr">
        <is>
          <t>jian_hp</t>
        </is>
      </c>
      <c r="B395" s="18" t="inlineStr">
        <is>
          <t>回春转气</t>
        </is>
      </c>
      <c r="C395" s="18" t="inlineStr">
        <is>
          <t>武艺技术</t>
        </is>
      </c>
      <c r="D395" s="18" t="inlineStr">
        <is>
          <t>剑类</t>
        </is>
      </c>
      <c r="E395" s="65" t="n">
        <v>0</v>
      </c>
      <c r="F395" s="66">
        <f>E395+1</f>
        <v/>
      </c>
      <c r="G395" s="65">
        <f>INDEX('个人技术总览'!$E$5:$E$46,MATCH($A395,'个人技术总览'!$A$5:$A$46,0))</f>
        <v/>
      </c>
      <c r="H395" s="59">
        <f>INDEX('个人技术总览'!$F$5:$F$46,MATCH($A395,'个人技术总览'!$A$5:$A$46,0))</f>
        <v/>
      </c>
      <c r="I395" s="60">
        <f>INDEX('个人技术总览'!$G$5:$G$46,MATCH($A395,'个人技术总览'!$A$5:$A$46,0))</f>
        <v/>
      </c>
      <c r="J395" s="59">
        <f>INDEX('个人技术总览'!$H$5:$H$46,MATCH($A395,'个人技术总览'!$A$5:$A$46,0))</f>
        <v/>
      </c>
      <c r="K395" s="60">
        <f>INDEX('个人技术总览'!$I$5:$I$46,MATCH($A395,'个人技术总览'!$A$5:$A$46,0))</f>
        <v/>
      </c>
      <c r="L395" s="67">
        <f>H395+V395+IF(E395=G395-1,MAX(0,P395-H395*G395-SUMIFS($V$5:$V$589,$A$5:$A$589,$A395)),0)</f>
        <v/>
      </c>
      <c r="M395" s="61">
        <f>MAX(1,ROUNDDOWN($L395/'参数与公式'!$B$5,0))</f>
        <v/>
      </c>
      <c r="N395" s="67">
        <f>J395+Y395+IF(E395=G395-1,MAX(0,R395-J395*G395-SUMIFS($Y$5:$Y$589,$A$5:$A$589,$A395)),0)</f>
        <v/>
      </c>
      <c r="O395" s="18" t="inlineStr">
        <is>
          <t>data/technology_templates.yaml; upgrade_profiles.martial; code: technology_rules.allocate_upgrade_budget</t>
        </is>
      </c>
      <c r="P395" s="67">
        <f>INDEX('个人技术总览'!$O$5:$O$46,MATCH($A395,'个人技术总览'!$A$5:$A$46,0))</f>
        <v/>
      </c>
      <c r="Q395" s="64">
        <f>INDEX('个人技术总览'!$P$5:$P$46,MATCH($A395,'个人技术总览'!$A$5:$A$46,0))</f>
        <v/>
      </c>
      <c r="R395" s="67">
        <f>INDEX('个人技术总览'!$Q$5:$Q$46,MATCH($A395,'个人技术总览'!$A$5:$A$46,0))</f>
        <v/>
      </c>
      <c r="S395" s="64">
        <f>INDEX('个人技术总览'!$R$5:$R$46,MATCH($A395,'个人技术总览'!$A$5:$A$46,0))</f>
        <v/>
      </c>
      <c r="T395" s="68">
        <f>POWER($Q395,$E395)</f>
        <v/>
      </c>
      <c r="U395" s="68">
        <f>SUMIFS($T$5:$T$589,$A$5:$A$589,$A395)</f>
        <v/>
      </c>
      <c r="V395" s="67">
        <f>ROUNDDOWN(MAX(0,$P395-$H395*$G395)*$T395/MAX(1,$U395),0)</f>
        <v/>
      </c>
      <c r="W395" s="68">
        <f>POWER($S395,$E395)</f>
        <v/>
      </c>
      <c r="X395" s="68">
        <f>SUMIFS($W$5:$W$589,$A$5:$A$589,$A395)</f>
        <v/>
      </c>
      <c r="Y395" s="67">
        <f>ROUNDDOWN(MAX(0,$R395-$J395*$G395)*$W395/MAX(1,$X395),0)</f>
        <v/>
      </c>
    </row>
    <row r="396">
      <c r="A396" s="17" t="inlineStr">
        <is>
          <t>jian_hp</t>
        </is>
      </c>
      <c r="B396" s="18" t="inlineStr">
        <is>
          <t>回春转气</t>
        </is>
      </c>
      <c r="C396" s="18" t="inlineStr">
        <is>
          <t>武艺技术</t>
        </is>
      </c>
      <c r="D396" s="18" t="inlineStr">
        <is>
          <t>剑类</t>
        </is>
      </c>
      <c r="E396" s="65" t="n">
        <v>1</v>
      </c>
      <c r="F396" s="66">
        <f>E396+1</f>
        <v/>
      </c>
      <c r="G396" s="65">
        <f>INDEX('个人技术总览'!$E$5:$E$46,MATCH($A396,'个人技术总览'!$A$5:$A$46,0))</f>
        <v/>
      </c>
      <c r="H396" s="59">
        <f>INDEX('个人技术总览'!$F$5:$F$46,MATCH($A396,'个人技术总览'!$A$5:$A$46,0))</f>
        <v/>
      </c>
      <c r="I396" s="60">
        <f>INDEX('个人技术总览'!$G$5:$G$46,MATCH($A396,'个人技术总览'!$A$5:$A$46,0))</f>
        <v/>
      </c>
      <c r="J396" s="59">
        <f>INDEX('个人技术总览'!$H$5:$H$46,MATCH($A396,'个人技术总览'!$A$5:$A$46,0))</f>
        <v/>
      </c>
      <c r="K396" s="60">
        <f>INDEX('个人技术总览'!$I$5:$I$46,MATCH($A396,'个人技术总览'!$A$5:$A$46,0))</f>
        <v/>
      </c>
      <c r="L396" s="67">
        <f>H396+V396+IF(E396=G396-1,MAX(0,P396-H396*G396-SUMIFS($V$5:$V$589,$A$5:$A$589,$A396)),0)</f>
        <v/>
      </c>
      <c r="M396" s="61">
        <f>MAX(1,ROUNDDOWN($L396/'参数与公式'!$B$5,0))</f>
        <v/>
      </c>
      <c r="N396" s="67">
        <f>J396+Y396+IF(E396=G396-1,MAX(0,R396-J396*G396-SUMIFS($Y$5:$Y$589,$A$5:$A$589,$A396)),0)</f>
        <v/>
      </c>
      <c r="O396" s="18" t="inlineStr">
        <is>
          <t>data/technology_templates.yaml; upgrade_profiles.martial; code: technology_rules.allocate_upgrade_budget</t>
        </is>
      </c>
      <c r="P396" s="67">
        <f>INDEX('个人技术总览'!$O$5:$O$46,MATCH($A396,'个人技术总览'!$A$5:$A$46,0))</f>
        <v/>
      </c>
      <c r="Q396" s="64">
        <f>INDEX('个人技术总览'!$P$5:$P$46,MATCH($A396,'个人技术总览'!$A$5:$A$46,0))</f>
        <v/>
      </c>
      <c r="R396" s="67">
        <f>INDEX('个人技术总览'!$Q$5:$Q$46,MATCH($A396,'个人技术总览'!$A$5:$A$46,0))</f>
        <v/>
      </c>
      <c r="S396" s="64">
        <f>INDEX('个人技术总览'!$R$5:$R$46,MATCH($A396,'个人技术总览'!$A$5:$A$46,0))</f>
        <v/>
      </c>
      <c r="T396" s="68">
        <f>POWER($Q396,$E396)</f>
        <v/>
      </c>
      <c r="U396" s="68">
        <f>SUMIFS($T$5:$T$589,$A$5:$A$589,$A396)</f>
        <v/>
      </c>
      <c r="V396" s="67">
        <f>ROUNDDOWN(MAX(0,$P396-$H396*$G396)*$T396/MAX(1,$U396),0)</f>
        <v/>
      </c>
      <c r="W396" s="68">
        <f>POWER($S396,$E396)</f>
        <v/>
      </c>
      <c r="X396" s="68">
        <f>SUMIFS($W$5:$W$589,$A$5:$A$589,$A396)</f>
        <v/>
      </c>
      <c r="Y396" s="67">
        <f>ROUNDDOWN(MAX(0,$R396-$J396*$G396)*$W396/MAX(1,$X396),0)</f>
        <v/>
      </c>
    </row>
    <row r="397">
      <c r="A397" s="17" t="inlineStr">
        <is>
          <t>jian_hp</t>
        </is>
      </c>
      <c r="B397" s="18" t="inlineStr">
        <is>
          <t>回春转气</t>
        </is>
      </c>
      <c r="C397" s="18" t="inlineStr">
        <is>
          <t>武艺技术</t>
        </is>
      </c>
      <c r="D397" s="18" t="inlineStr">
        <is>
          <t>剑类</t>
        </is>
      </c>
      <c r="E397" s="65" t="n">
        <v>2</v>
      </c>
      <c r="F397" s="66">
        <f>E397+1</f>
        <v/>
      </c>
      <c r="G397" s="65">
        <f>INDEX('个人技术总览'!$E$5:$E$46,MATCH($A397,'个人技术总览'!$A$5:$A$46,0))</f>
        <v/>
      </c>
      <c r="H397" s="59">
        <f>INDEX('个人技术总览'!$F$5:$F$46,MATCH($A397,'个人技术总览'!$A$5:$A$46,0))</f>
        <v/>
      </c>
      <c r="I397" s="60">
        <f>INDEX('个人技术总览'!$G$5:$G$46,MATCH($A397,'个人技术总览'!$A$5:$A$46,0))</f>
        <v/>
      </c>
      <c r="J397" s="59">
        <f>INDEX('个人技术总览'!$H$5:$H$46,MATCH($A397,'个人技术总览'!$A$5:$A$46,0))</f>
        <v/>
      </c>
      <c r="K397" s="60">
        <f>INDEX('个人技术总览'!$I$5:$I$46,MATCH($A397,'个人技术总览'!$A$5:$A$46,0))</f>
        <v/>
      </c>
      <c r="L397" s="67">
        <f>H397+V397+IF(E397=G397-1,MAX(0,P397-H397*G397-SUMIFS($V$5:$V$589,$A$5:$A$589,$A397)),0)</f>
        <v/>
      </c>
      <c r="M397" s="61">
        <f>MAX(1,ROUNDDOWN($L397/'参数与公式'!$B$5,0))</f>
        <v/>
      </c>
      <c r="N397" s="67">
        <f>J397+Y397+IF(E397=G397-1,MAX(0,R397-J397*G397-SUMIFS($Y$5:$Y$589,$A$5:$A$589,$A397)),0)</f>
        <v/>
      </c>
      <c r="O397" s="18" t="inlineStr">
        <is>
          <t>data/technology_templates.yaml; upgrade_profiles.martial; code: technology_rules.allocate_upgrade_budget</t>
        </is>
      </c>
      <c r="P397" s="67">
        <f>INDEX('个人技术总览'!$O$5:$O$46,MATCH($A397,'个人技术总览'!$A$5:$A$46,0))</f>
        <v/>
      </c>
      <c r="Q397" s="64">
        <f>INDEX('个人技术总览'!$P$5:$P$46,MATCH($A397,'个人技术总览'!$A$5:$A$46,0))</f>
        <v/>
      </c>
      <c r="R397" s="67">
        <f>INDEX('个人技术总览'!$Q$5:$Q$46,MATCH($A397,'个人技术总览'!$A$5:$A$46,0))</f>
        <v/>
      </c>
      <c r="S397" s="64">
        <f>INDEX('个人技术总览'!$R$5:$R$46,MATCH($A397,'个人技术总览'!$A$5:$A$46,0))</f>
        <v/>
      </c>
      <c r="T397" s="68">
        <f>POWER($Q397,$E397)</f>
        <v/>
      </c>
      <c r="U397" s="68">
        <f>SUMIFS($T$5:$T$589,$A$5:$A$589,$A397)</f>
        <v/>
      </c>
      <c r="V397" s="67">
        <f>ROUNDDOWN(MAX(0,$P397-$H397*$G397)*$T397/MAX(1,$U397),0)</f>
        <v/>
      </c>
      <c r="W397" s="68">
        <f>POWER($S397,$E397)</f>
        <v/>
      </c>
      <c r="X397" s="68">
        <f>SUMIFS($W$5:$W$589,$A$5:$A$589,$A397)</f>
        <v/>
      </c>
      <c r="Y397" s="67">
        <f>ROUNDDOWN(MAX(0,$R397-$J397*$G397)*$W397/MAX(1,$X397),0)</f>
        <v/>
      </c>
    </row>
    <row r="398">
      <c r="A398" s="17" t="inlineStr">
        <is>
          <t>jian_hp</t>
        </is>
      </c>
      <c r="B398" s="18" t="inlineStr">
        <is>
          <t>回春转气</t>
        </is>
      </c>
      <c r="C398" s="18" t="inlineStr">
        <is>
          <t>武艺技术</t>
        </is>
      </c>
      <c r="D398" s="18" t="inlineStr">
        <is>
          <t>剑类</t>
        </is>
      </c>
      <c r="E398" s="65" t="n">
        <v>3</v>
      </c>
      <c r="F398" s="66">
        <f>E398+1</f>
        <v/>
      </c>
      <c r="G398" s="65">
        <f>INDEX('个人技术总览'!$E$5:$E$46,MATCH($A398,'个人技术总览'!$A$5:$A$46,0))</f>
        <v/>
      </c>
      <c r="H398" s="59">
        <f>INDEX('个人技术总览'!$F$5:$F$46,MATCH($A398,'个人技术总览'!$A$5:$A$46,0))</f>
        <v/>
      </c>
      <c r="I398" s="60">
        <f>INDEX('个人技术总览'!$G$5:$G$46,MATCH($A398,'个人技术总览'!$A$5:$A$46,0))</f>
        <v/>
      </c>
      <c r="J398" s="59">
        <f>INDEX('个人技术总览'!$H$5:$H$46,MATCH($A398,'个人技术总览'!$A$5:$A$46,0))</f>
        <v/>
      </c>
      <c r="K398" s="60">
        <f>INDEX('个人技术总览'!$I$5:$I$46,MATCH($A398,'个人技术总览'!$A$5:$A$46,0))</f>
        <v/>
      </c>
      <c r="L398" s="67">
        <f>H398+V398+IF(E398=G398-1,MAX(0,P398-H398*G398-SUMIFS($V$5:$V$589,$A$5:$A$589,$A398)),0)</f>
        <v/>
      </c>
      <c r="M398" s="61">
        <f>MAX(1,ROUNDDOWN($L398/'参数与公式'!$B$5,0))</f>
        <v/>
      </c>
      <c r="N398" s="67">
        <f>J398+Y398+IF(E398=G398-1,MAX(0,R398-J398*G398-SUMIFS($Y$5:$Y$589,$A$5:$A$589,$A398)),0)</f>
        <v/>
      </c>
      <c r="O398" s="18" t="inlineStr">
        <is>
          <t>data/technology_templates.yaml; upgrade_profiles.martial; code: technology_rules.allocate_upgrade_budget</t>
        </is>
      </c>
      <c r="P398" s="67">
        <f>INDEX('个人技术总览'!$O$5:$O$46,MATCH($A398,'个人技术总览'!$A$5:$A$46,0))</f>
        <v/>
      </c>
      <c r="Q398" s="64">
        <f>INDEX('个人技术总览'!$P$5:$P$46,MATCH($A398,'个人技术总览'!$A$5:$A$46,0))</f>
        <v/>
      </c>
      <c r="R398" s="67">
        <f>INDEX('个人技术总览'!$Q$5:$Q$46,MATCH($A398,'个人技术总览'!$A$5:$A$46,0))</f>
        <v/>
      </c>
      <c r="S398" s="64">
        <f>INDEX('个人技术总览'!$R$5:$R$46,MATCH($A398,'个人技术总览'!$A$5:$A$46,0))</f>
        <v/>
      </c>
      <c r="T398" s="68">
        <f>POWER($Q398,$E398)</f>
        <v/>
      </c>
      <c r="U398" s="68">
        <f>SUMIFS($T$5:$T$589,$A$5:$A$589,$A398)</f>
        <v/>
      </c>
      <c r="V398" s="67">
        <f>ROUNDDOWN(MAX(0,$P398-$H398*$G398)*$T398/MAX(1,$U398),0)</f>
        <v/>
      </c>
      <c r="W398" s="68">
        <f>POWER($S398,$E398)</f>
        <v/>
      </c>
      <c r="X398" s="68">
        <f>SUMIFS($W$5:$W$589,$A$5:$A$589,$A398)</f>
        <v/>
      </c>
      <c r="Y398" s="67">
        <f>ROUNDDOWN(MAX(0,$R398-$J398*$G398)*$W398/MAX(1,$X398),0)</f>
        <v/>
      </c>
    </row>
    <row r="399">
      <c r="A399" s="17" t="inlineStr">
        <is>
          <t>jian_hp</t>
        </is>
      </c>
      <c r="B399" s="18" t="inlineStr">
        <is>
          <t>回春转气</t>
        </is>
      </c>
      <c r="C399" s="18" t="inlineStr">
        <is>
          <t>武艺技术</t>
        </is>
      </c>
      <c r="D399" s="18" t="inlineStr">
        <is>
          <t>剑类</t>
        </is>
      </c>
      <c r="E399" s="65" t="n">
        <v>4</v>
      </c>
      <c r="F399" s="66">
        <f>E399+1</f>
        <v/>
      </c>
      <c r="G399" s="65">
        <f>INDEX('个人技术总览'!$E$5:$E$46,MATCH($A399,'个人技术总览'!$A$5:$A$46,0))</f>
        <v/>
      </c>
      <c r="H399" s="59">
        <f>INDEX('个人技术总览'!$F$5:$F$46,MATCH($A399,'个人技术总览'!$A$5:$A$46,0))</f>
        <v/>
      </c>
      <c r="I399" s="60">
        <f>INDEX('个人技术总览'!$G$5:$G$46,MATCH($A399,'个人技术总览'!$A$5:$A$46,0))</f>
        <v/>
      </c>
      <c r="J399" s="59">
        <f>INDEX('个人技术总览'!$H$5:$H$46,MATCH($A399,'个人技术总览'!$A$5:$A$46,0))</f>
        <v/>
      </c>
      <c r="K399" s="60">
        <f>INDEX('个人技术总览'!$I$5:$I$46,MATCH($A399,'个人技术总览'!$A$5:$A$46,0))</f>
        <v/>
      </c>
      <c r="L399" s="67">
        <f>H399+V399+IF(E399=G399-1,MAX(0,P399-H399*G399-SUMIFS($V$5:$V$589,$A$5:$A$589,$A399)),0)</f>
        <v/>
      </c>
      <c r="M399" s="61">
        <f>MAX(1,ROUNDDOWN($L399/'参数与公式'!$B$5,0))</f>
        <v/>
      </c>
      <c r="N399" s="67">
        <f>J399+Y399+IF(E399=G399-1,MAX(0,R399-J399*G399-SUMIFS($Y$5:$Y$589,$A$5:$A$589,$A399)),0)</f>
        <v/>
      </c>
      <c r="O399" s="18" t="inlineStr">
        <is>
          <t>data/technology_templates.yaml; upgrade_profiles.martial; code: technology_rules.allocate_upgrade_budget</t>
        </is>
      </c>
      <c r="P399" s="67">
        <f>INDEX('个人技术总览'!$O$5:$O$46,MATCH($A399,'个人技术总览'!$A$5:$A$46,0))</f>
        <v/>
      </c>
      <c r="Q399" s="64">
        <f>INDEX('个人技术总览'!$P$5:$P$46,MATCH($A399,'个人技术总览'!$A$5:$A$46,0))</f>
        <v/>
      </c>
      <c r="R399" s="67">
        <f>INDEX('个人技术总览'!$Q$5:$Q$46,MATCH($A399,'个人技术总览'!$A$5:$A$46,0))</f>
        <v/>
      </c>
      <c r="S399" s="64">
        <f>INDEX('个人技术总览'!$R$5:$R$46,MATCH($A399,'个人技术总览'!$A$5:$A$46,0))</f>
        <v/>
      </c>
      <c r="T399" s="68">
        <f>POWER($Q399,$E399)</f>
        <v/>
      </c>
      <c r="U399" s="68">
        <f>SUMIFS($T$5:$T$589,$A$5:$A$589,$A399)</f>
        <v/>
      </c>
      <c r="V399" s="67">
        <f>ROUNDDOWN(MAX(0,$P399-$H399*$G399)*$T399/MAX(1,$U399),0)</f>
        <v/>
      </c>
      <c r="W399" s="68">
        <f>POWER($S399,$E399)</f>
        <v/>
      </c>
      <c r="X399" s="68">
        <f>SUMIFS($W$5:$W$589,$A$5:$A$589,$A399)</f>
        <v/>
      </c>
      <c r="Y399" s="67">
        <f>ROUNDDOWN(MAX(0,$R399-$J399*$G399)*$W399/MAX(1,$X399),0)</f>
        <v/>
      </c>
    </row>
    <row r="400">
      <c r="A400" s="17" t="inlineStr">
        <is>
          <t>jian_hp</t>
        </is>
      </c>
      <c r="B400" s="18" t="inlineStr">
        <is>
          <t>回春转气</t>
        </is>
      </c>
      <c r="C400" s="18" t="inlineStr">
        <is>
          <t>武艺技术</t>
        </is>
      </c>
      <c r="D400" s="18" t="inlineStr">
        <is>
          <t>剑类</t>
        </is>
      </c>
      <c r="E400" s="65" t="n">
        <v>5</v>
      </c>
      <c r="F400" s="66">
        <f>E400+1</f>
        <v/>
      </c>
      <c r="G400" s="65">
        <f>INDEX('个人技术总览'!$E$5:$E$46,MATCH($A400,'个人技术总览'!$A$5:$A$46,0))</f>
        <v/>
      </c>
      <c r="H400" s="59">
        <f>INDEX('个人技术总览'!$F$5:$F$46,MATCH($A400,'个人技术总览'!$A$5:$A$46,0))</f>
        <v/>
      </c>
      <c r="I400" s="60">
        <f>INDEX('个人技术总览'!$G$5:$G$46,MATCH($A400,'个人技术总览'!$A$5:$A$46,0))</f>
        <v/>
      </c>
      <c r="J400" s="59">
        <f>INDEX('个人技术总览'!$H$5:$H$46,MATCH($A400,'个人技术总览'!$A$5:$A$46,0))</f>
        <v/>
      </c>
      <c r="K400" s="60">
        <f>INDEX('个人技术总览'!$I$5:$I$46,MATCH($A400,'个人技术总览'!$A$5:$A$46,0))</f>
        <v/>
      </c>
      <c r="L400" s="67">
        <f>H400+V400+IF(E400=G400-1,MAX(0,P400-H400*G400-SUMIFS($V$5:$V$589,$A$5:$A$589,$A400)),0)</f>
        <v/>
      </c>
      <c r="M400" s="61">
        <f>MAX(1,ROUNDDOWN($L400/'参数与公式'!$B$5,0))</f>
        <v/>
      </c>
      <c r="N400" s="67">
        <f>J400+Y400+IF(E400=G400-1,MAX(0,R400-J400*G400-SUMIFS($Y$5:$Y$589,$A$5:$A$589,$A400)),0)</f>
        <v/>
      </c>
      <c r="O400" s="18" t="inlineStr">
        <is>
          <t>data/technology_templates.yaml; upgrade_profiles.martial; code: technology_rules.allocate_upgrade_budget</t>
        </is>
      </c>
      <c r="P400" s="67">
        <f>INDEX('个人技术总览'!$O$5:$O$46,MATCH($A400,'个人技术总览'!$A$5:$A$46,0))</f>
        <v/>
      </c>
      <c r="Q400" s="64">
        <f>INDEX('个人技术总览'!$P$5:$P$46,MATCH($A400,'个人技术总览'!$A$5:$A$46,0))</f>
        <v/>
      </c>
      <c r="R400" s="67">
        <f>INDEX('个人技术总览'!$Q$5:$Q$46,MATCH($A400,'个人技术总览'!$A$5:$A$46,0))</f>
        <v/>
      </c>
      <c r="S400" s="64">
        <f>INDEX('个人技术总览'!$R$5:$R$46,MATCH($A400,'个人技术总览'!$A$5:$A$46,0))</f>
        <v/>
      </c>
      <c r="T400" s="68">
        <f>POWER($Q400,$E400)</f>
        <v/>
      </c>
      <c r="U400" s="68">
        <f>SUMIFS($T$5:$T$589,$A$5:$A$589,$A400)</f>
        <v/>
      </c>
      <c r="V400" s="67">
        <f>ROUNDDOWN(MAX(0,$P400-$H400*$G400)*$T400/MAX(1,$U400),0)</f>
        <v/>
      </c>
      <c r="W400" s="68">
        <f>POWER($S400,$E400)</f>
        <v/>
      </c>
      <c r="X400" s="68">
        <f>SUMIFS($W$5:$W$589,$A$5:$A$589,$A400)</f>
        <v/>
      </c>
      <c r="Y400" s="67">
        <f>ROUNDDOWN(MAX(0,$R400-$J400*$G400)*$W400/MAX(1,$X400),0)</f>
        <v/>
      </c>
    </row>
    <row r="401">
      <c r="A401" s="17" t="inlineStr">
        <is>
          <t>jian_hp</t>
        </is>
      </c>
      <c r="B401" s="18" t="inlineStr">
        <is>
          <t>回春转气</t>
        </is>
      </c>
      <c r="C401" s="18" t="inlineStr">
        <is>
          <t>武艺技术</t>
        </is>
      </c>
      <c r="D401" s="18" t="inlineStr">
        <is>
          <t>剑类</t>
        </is>
      </c>
      <c r="E401" s="65" t="n">
        <v>6</v>
      </c>
      <c r="F401" s="66">
        <f>E401+1</f>
        <v/>
      </c>
      <c r="G401" s="65">
        <f>INDEX('个人技术总览'!$E$5:$E$46,MATCH($A401,'个人技术总览'!$A$5:$A$46,0))</f>
        <v/>
      </c>
      <c r="H401" s="59">
        <f>INDEX('个人技术总览'!$F$5:$F$46,MATCH($A401,'个人技术总览'!$A$5:$A$46,0))</f>
        <v/>
      </c>
      <c r="I401" s="60">
        <f>INDEX('个人技术总览'!$G$5:$G$46,MATCH($A401,'个人技术总览'!$A$5:$A$46,0))</f>
        <v/>
      </c>
      <c r="J401" s="59">
        <f>INDEX('个人技术总览'!$H$5:$H$46,MATCH($A401,'个人技术总览'!$A$5:$A$46,0))</f>
        <v/>
      </c>
      <c r="K401" s="60">
        <f>INDEX('个人技术总览'!$I$5:$I$46,MATCH($A401,'个人技术总览'!$A$5:$A$46,0))</f>
        <v/>
      </c>
      <c r="L401" s="67">
        <f>H401+V401+IF(E401=G401-1,MAX(0,P401-H401*G401-SUMIFS($V$5:$V$589,$A$5:$A$589,$A401)),0)</f>
        <v/>
      </c>
      <c r="M401" s="61">
        <f>MAX(1,ROUNDDOWN($L401/'参数与公式'!$B$5,0))</f>
        <v/>
      </c>
      <c r="N401" s="67">
        <f>J401+Y401+IF(E401=G401-1,MAX(0,R401-J401*G401-SUMIFS($Y$5:$Y$589,$A$5:$A$589,$A401)),0)</f>
        <v/>
      </c>
      <c r="O401" s="18" t="inlineStr">
        <is>
          <t>data/technology_templates.yaml; upgrade_profiles.martial; code: technology_rules.allocate_upgrade_budget</t>
        </is>
      </c>
      <c r="P401" s="67">
        <f>INDEX('个人技术总览'!$O$5:$O$46,MATCH($A401,'个人技术总览'!$A$5:$A$46,0))</f>
        <v/>
      </c>
      <c r="Q401" s="64">
        <f>INDEX('个人技术总览'!$P$5:$P$46,MATCH($A401,'个人技术总览'!$A$5:$A$46,0))</f>
        <v/>
      </c>
      <c r="R401" s="67">
        <f>INDEX('个人技术总览'!$Q$5:$Q$46,MATCH($A401,'个人技术总览'!$A$5:$A$46,0))</f>
        <v/>
      </c>
      <c r="S401" s="64">
        <f>INDEX('个人技术总览'!$R$5:$R$46,MATCH($A401,'个人技术总览'!$A$5:$A$46,0))</f>
        <v/>
      </c>
      <c r="T401" s="68">
        <f>POWER($Q401,$E401)</f>
        <v/>
      </c>
      <c r="U401" s="68">
        <f>SUMIFS($T$5:$T$589,$A$5:$A$589,$A401)</f>
        <v/>
      </c>
      <c r="V401" s="67">
        <f>ROUNDDOWN(MAX(0,$P401-$H401*$G401)*$T401/MAX(1,$U401),0)</f>
        <v/>
      </c>
      <c r="W401" s="68">
        <f>POWER($S401,$E401)</f>
        <v/>
      </c>
      <c r="X401" s="68">
        <f>SUMIFS($W$5:$W$589,$A$5:$A$589,$A401)</f>
        <v/>
      </c>
      <c r="Y401" s="67">
        <f>ROUNDDOWN(MAX(0,$R401-$J401*$G401)*$W401/MAX(1,$X401),0)</f>
        <v/>
      </c>
    </row>
    <row r="402">
      <c r="A402" s="17" t="inlineStr">
        <is>
          <t>jian_hp</t>
        </is>
      </c>
      <c r="B402" s="18" t="inlineStr">
        <is>
          <t>回春转气</t>
        </is>
      </c>
      <c r="C402" s="18" t="inlineStr">
        <is>
          <t>武艺技术</t>
        </is>
      </c>
      <c r="D402" s="18" t="inlineStr">
        <is>
          <t>剑类</t>
        </is>
      </c>
      <c r="E402" s="65" t="n">
        <v>7</v>
      </c>
      <c r="F402" s="66">
        <f>E402+1</f>
        <v/>
      </c>
      <c r="G402" s="65">
        <f>INDEX('个人技术总览'!$E$5:$E$46,MATCH($A402,'个人技术总览'!$A$5:$A$46,0))</f>
        <v/>
      </c>
      <c r="H402" s="59">
        <f>INDEX('个人技术总览'!$F$5:$F$46,MATCH($A402,'个人技术总览'!$A$5:$A$46,0))</f>
        <v/>
      </c>
      <c r="I402" s="60">
        <f>INDEX('个人技术总览'!$G$5:$G$46,MATCH($A402,'个人技术总览'!$A$5:$A$46,0))</f>
        <v/>
      </c>
      <c r="J402" s="59">
        <f>INDEX('个人技术总览'!$H$5:$H$46,MATCH($A402,'个人技术总览'!$A$5:$A$46,0))</f>
        <v/>
      </c>
      <c r="K402" s="60">
        <f>INDEX('个人技术总览'!$I$5:$I$46,MATCH($A402,'个人技术总览'!$A$5:$A$46,0))</f>
        <v/>
      </c>
      <c r="L402" s="67">
        <f>H402+V402+IF(E402=G402-1,MAX(0,P402-H402*G402-SUMIFS($V$5:$V$589,$A$5:$A$589,$A402)),0)</f>
        <v/>
      </c>
      <c r="M402" s="61">
        <f>MAX(1,ROUNDDOWN($L402/'参数与公式'!$B$5,0))</f>
        <v/>
      </c>
      <c r="N402" s="67">
        <f>J402+Y402+IF(E402=G402-1,MAX(0,R402-J402*G402-SUMIFS($Y$5:$Y$589,$A$5:$A$589,$A402)),0)</f>
        <v/>
      </c>
      <c r="O402" s="18" t="inlineStr">
        <is>
          <t>data/technology_templates.yaml; upgrade_profiles.martial; code: technology_rules.allocate_upgrade_budget</t>
        </is>
      </c>
      <c r="P402" s="67">
        <f>INDEX('个人技术总览'!$O$5:$O$46,MATCH($A402,'个人技术总览'!$A$5:$A$46,0))</f>
        <v/>
      </c>
      <c r="Q402" s="64">
        <f>INDEX('个人技术总览'!$P$5:$P$46,MATCH($A402,'个人技术总览'!$A$5:$A$46,0))</f>
        <v/>
      </c>
      <c r="R402" s="67">
        <f>INDEX('个人技术总览'!$Q$5:$Q$46,MATCH($A402,'个人技术总览'!$A$5:$A$46,0))</f>
        <v/>
      </c>
      <c r="S402" s="64">
        <f>INDEX('个人技术总览'!$R$5:$R$46,MATCH($A402,'个人技术总览'!$A$5:$A$46,0))</f>
        <v/>
      </c>
      <c r="T402" s="68">
        <f>POWER($Q402,$E402)</f>
        <v/>
      </c>
      <c r="U402" s="68">
        <f>SUMIFS($T$5:$T$589,$A$5:$A$589,$A402)</f>
        <v/>
      </c>
      <c r="V402" s="67">
        <f>ROUNDDOWN(MAX(0,$P402-$H402*$G402)*$T402/MAX(1,$U402),0)</f>
        <v/>
      </c>
      <c r="W402" s="68">
        <f>POWER($S402,$E402)</f>
        <v/>
      </c>
      <c r="X402" s="68">
        <f>SUMIFS($W$5:$W$589,$A$5:$A$589,$A402)</f>
        <v/>
      </c>
      <c r="Y402" s="67">
        <f>ROUNDDOWN(MAX(0,$R402-$J402*$G402)*$W402/MAX(1,$X402),0)</f>
        <v/>
      </c>
    </row>
    <row r="403">
      <c r="A403" s="17" t="inlineStr">
        <is>
          <t>jian_hp</t>
        </is>
      </c>
      <c r="B403" s="18" t="inlineStr">
        <is>
          <t>回春转气</t>
        </is>
      </c>
      <c r="C403" s="18" t="inlineStr">
        <is>
          <t>武艺技术</t>
        </is>
      </c>
      <c r="D403" s="18" t="inlineStr">
        <is>
          <t>剑类</t>
        </is>
      </c>
      <c r="E403" s="65" t="n">
        <v>8</v>
      </c>
      <c r="F403" s="66">
        <f>E403+1</f>
        <v/>
      </c>
      <c r="G403" s="65">
        <f>INDEX('个人技术总览'!$E$5:$E$46,MATCH($A403,'个人技术总览'!$A$5:$A$46,0))</f>
        <v/>
      </c>
      <c r="H403" s="59">
        <f>INDEX('个人技术总览'!$F$5:$F$46,MATCH($A403,'个人技术总览'!$A$5:$A$46,0))</f>
        <v/>
      </c>
      <c r="I403" s="60">
        <f>INDEX('个人技术总览'!$G$5:$G$46,MATCH($A403,'个人技术总览'!$A$5:$A$46,0))</f>
        <v/>
      </c>
      <c r="J403" s="59">
        <f>INDEX('个人技术总览'!$H$5:$H$46,MATCH($A403,'个人技术总览'!$A$5:$A$46,0))</f>
        <v/>
      </c>
      <c r="K403" s="60">
        <f>INDEX('个人技术总览'!$I$5:$I$46,MATCH($A403,'个人技术总览'!$A$5:$A$46,0))</f>
        <v/>
      </c>
      <c r="L403" s="67">
        <f>H403+V403+IF(E403=G403-1,MAX(0,P403-H403*G403-SUMIFS($V$5:$V$589,$A$5:$A$589,$A403)),0)</f>
        <v/>
      </c>
      <c r="M403" s="61">
        <f>MAX(1,ROUNDDOWN($L403/'参数与公式'!$B$5,0))</f>
        <v/>
      </c>
      <c r="N403" s="67">
        <f>J403+Y403+IF(E403=G403-1,MAX(0,R403-J403*G403-SUMIFS($Y$5:$Y$589,$A$5:$A$589,$A403)),0)</f>
        <v/>
      </c>
      <c r="O403" s="18" t="inlineStr">
        <is>
          <t>data/technology_templates.yaml; upgrade_profiles.martial; code: technology_rules.allocate_upgrade_budget</t>
        </is>
      </c>
      <c r="P403" s="67">
        <f>INDEX('个人技术总览'!$O$5:$O$46,MATCH($A403,'个人技术总览'!$A$5:$A$46,0))</f>
        <v/>
      </c>
      <c r="Q403" s="64">
        <f>INDEX('个人技术总览'!$P$5:$P$46,MATCH($A403,'个人技术总览'!$A$5:$A$46,0))</f>
        <v/>
      </c>
      <c r="R403" s="67">
        <f>INDEX('个人技术总览'!$Q$5:$Q$46,MATCH($A403,'个人技术总览'!$A$5:$A$46,0))</f>
        <v/>
      </c>
      <c r="S403" s="64">
        <f>INDEX('个人技术总览'!$R$5:$R$46,MATCH($A403,'个人技术总览'!$A$5:$A$46,0))</f>
        <v/>
      </c>
      <c r="T403" s="68">
        <f>POWER($Q403,$E403)</f>
        <v/>
      </c>
      <c r="U403" s="68">
        <f>SUMIFS($T$5:$T$589,$A$5:$A$589,$A403)</f>
        <v/>
      </c>
      <c r="V403" s="67">
        <f>ROUNDDOWN(MAX(0,$P403-$H403*$G403)*$T403/MAX(1,$U403),0)</f>
        <v/>
      </c>
      <c r="W403" s="68">
        <f>POWER($S403,$E403)</f>
        <v/>
      </c>
      <c r="X403" s="68">
        <f>SUMIFS($W$5:$W$589,$A$5:$A$589,$A403)</f>
        <v/>
      </c>
      <c r="Y403" s="67">
        <f>ROUNDDOWN(MAX(0,$R403-$J403*$G403)*$W403/MAX(1,$X403),0)</f>
        <v/>
      </c>
    </row>
    <row r="404">
      <c r="A404" s="17" t="inlineStr">
        <is>
          <t>jian_hp</t>
        </is>
      </c>
      <c r="B404" s="18" t="inlineStr">
        <is>
          <t>回春转气</t>
        </is>
      </c>
      <c r="C404" s="18" t="inlineStr">
        <is>
          <t>武艺技术</t>
        </is>
      </c>
      <c r="D404" s="18" t="inlineStr">
        <is>
          <t>剑类</t>
        </is>
      </c>
      <c r="E404" s="65" t="n">
        <v>9</v>
      </c>
      <c r="F404" s="66">
        <f>E404+1</f>
        <v/>
      </c>
      <c r="G404" s="65">
        <f>INDEX('个人技术总览'!$E$5:$E$46,MATCH($A404,'个人技术总览'!$A$5:$A$46,0))</f>
        <v/>
      </c>
      <c r="H404" s="59">
        <f>INDEX('个人技术总览'!$F$5:$F$46,MATCH($A404,'个人技术总览'!$A$5:$A$46,0))</f>
        <v/>
      </c>
      <c r="I404" s="60">
        <f>INDEX('个人技术总览'!$G$5:$G$46,MATCH($A404,'个人技术总览'!$A$5:$A$46,0))</f>
        <v/>
      </c>
      <c r="J404" s="59">
        <f>INDEX('个人技术总览'!$H$5:$H$46,MATCH($A404,'个人技术总览'!$A$5:$A$46,0))</f>
        <v/>
      </c>
      <c r="K404" s="60">
        <f>INDEX('个人技术总览'!$I$5:$I$46,MATCH($A404,'个人技术总览'!$A$5:$A$46,0))</f>
        <v/>
      </c>
      <c r="L404" s="67">
        <f>H404+V404+IF(E404=G404-1,MAX(0,P404-H404*G404-SUMIFS($V$5:$V$589,$A$5:$A$589,$A404)),0)</f>
        <v/>
      </c>
      <c r="M404" s="61">
        <f>MAX(1,ROUNDDOWN($L404/'参数与公式'!$B$5,0))</f>
        <v/>
      </c>
      <c r="N404" s="67">
        <f>J404+Y404+IF(E404=G404-1,MAX(0,R404-J404*G404-SUMIFS($Y$5:$Y$589,$A$5:$A$589,$A404)),0)</f>
        <v/>
      </c>
      <c r="O404" s="18" t="inlineStr">
        <is>
          <t>data/technology_templates.yaml; upgrade_profiles.martial; code: technology_rules.allocate_upgrade_budget</t>
        </is>
      </c>
      <c r="P404" s="67">
        <f>INDEX('个人技术总览'!$O$5:$O$46,MATCH($A404,'个人技术总览'!$A$5:$A$46,0))</f>
        <v/>
      </c>
      <c r="Q404" s="64">
        <f>INDEX('个人技术总览'!$P$5:$P$46,MATCH($A404,'个人技术总览'!$A$5:$A$46,0))</f>
        <v/>
      </c>
      <c r="R404" s="67">
        <f>INDEX('个人技术总览'!$Q$5:$Q$46,MATCH($A404,'个人技术总览'!$A$5:$A$46,0))</f>
        <v/>
      </c>
      <c r="S404" s="64">
        <f>INDEX('个人技术总览'!$R$5:$R$46,MATCH($A404,'个人技术总览'!$A$5:$A$46,0))</f>
        <v/>
      </c>
      <c r="T404" s="68">
        <f>POWER($Q404,$E404)</f>
        <v/>
      </c>
      <c r="U404" s="68">
        <f>SUMIFS($T$5:$T$589,$A$5:$A$589,$A404)</f>
        <v/>
      </c>
      <c r="V404" s="67">
        <f>ROUNDDOWN(MAX(0,$P404-$H404*$G404)*$T404/MAX(1,$U404),0)</f>
        <v/>
      </c>
      <c r="W404" s="68">
        <f>POWER($S404,$E404)</f>
        <v/>
      </c>
      <c r="X404" s="68">
        <f>SUMIFS($W$5:$W$589,$A$5:$A$589,$A404)</f>
        <v/>
      </c>
      <c r="Y404" s="67">
        <f>ROUNDDOWN(MAX(0,$R404-$J404*$G404)*$W404/MAX(1,$X404),0)</f>
        <v/>
      </c>
    </row>
    <row r="405">
      <c r="A405" s="17" t="inlineStr">
        <is>
          <t>jian_reflect</t>
        </is>
      </c>
      <c r="B405" s="18" t="inlineStr">
        <is>
          <t>护身剑罡</t>
        </is>
      </c>
      <c r="C405" s="18" t="inlineStr">
        <is>
          <t>武艺技术</t>
        </is>
      </c>
      <c r="D405" s="18" t="inlineStr">
        <is>
          <t>剑类</t>
        </is>
      </c>
      <c r="E405" s="65" t="n">
        <v>0</v>
      </c>
      <c r="F405" s="66">
        <f>E405+1</f>
        <v/>
      </c>
      <c r="G405" s="65">
        <f>INDEX('个人技术总览'!$E$5:$E$46,MATCH($A405,'个人技术总览'!$A$5:$A$46,0))</f>
        <v/>
      </c>
      <c r="H405" s="59">
        <f>INDEX('个人技术总览'!$F$5:$F$46,MATCH($A405,'个人技术总览'!$A$5:$A$46,0))</f>
        <v/>
      </c>
      <c r="I405" s="60">
        <f>INDEX('个人技术总览'!$G$5:$G$46,MATCH($A405,'个人技术总览'!$A$5:$A$46,0))</f>
        <v/>
      </c>
      <c r="J405" s="59">
        <f>INDEX('个人技术总览'!$H$5:$H$46,MATCH($A405,'个人技术总览'!$A$5:$A$46,0))</f>
        <v/>
      </c>
      <c r="K405" s="60">
        <f>INDEX('个人技术总览'!$I$5:$I$46,MATCH($A405,'个人技术总览'!$A$5:$A$46,0))</f>
        <v/>
      </c>
      <c r="L405" s="67">
        <f>H405+V405+IF(E405=G405-1,MAX(0,P405-H405*G405-SUMIFS($V$5:$V$589,$A$5:$A$589,$A405)),0)</f>
        <v/>
      </c>
      <c r="M405" s="61">
        <f>MAX(1,ROUNDDOWN($L405/'参数与公式'!$B$5,0))</f>
        <v/>
      </c>
      <c r="N405" s="67">
        <f>J405+Y405+IF(E405=G405-1,MAX(0,R405-J405*G405-SUMIFS($Y$5:$Y$589,$A$5:$A$589,$A405)),0)</f>
        <v/>
      </c>
      <c r="O405" s="18" t="inlineStr">
        <is>
          <t>data/technology_templates.yaml; upgrade_profiles.martial; code: technology_rules.allocate_upgrade_budget</t>
        </is>
      </c>
      <c r="P405" s="67">
        <f>INDEX('个人技术总览'!$O$5:$O$46,MATCH($A405,'个人技术总览'!$A$5:$A$46,0))</f>
        <v/>
      </c>
      <c r="Q405" s="64">
        <f>INDEX('个人技术总览'!$P$5:$P$46,MATCH($A405,'个人技术总览'!$A$5:$A$46,0))</f>
        <v/>
      </c>
      <c r="R405" s="67">
        <f>INDEX('个人技术总览'!$Q$5:$Q$46,MATCH($A405,'个人技术总览'!$A$5:$A$46,0))</f>
        <v/>
      </c>
      <c r="S405" s="64">
        <f>INDEX('个人技术总览'!$R$5:$R$46,MATCH($A405,'个人技术总览'!$A$5:$A$46,0))</f>
        <v/>
      </c>
      <c r="T405" s="68">
        <f>POWER($Q405,$E405)</f>
        <v/>
      </c>
      <c r="U405" s="68">
        <f>SUMIFS($T$5:$T$589,$A$5:$A$589,$A405)</f>
        <v/>
      </c>
      <c r="V405" s="67">
        <f>ROUNDDOWN(MAX(0,$P405-$H405*$G405)*$T405/MAX(1,$U405),0)</f>
        <v/>
      </c>
      <c r="W405" s="68">
        <f>POWER($S405,$E405)</f>
        <v/>
      </c>
      <c r="X405" s="68">
        <f>SUMIFS($W$5:$W$589,$A$5:$A$589,$A405)</f>
        <v/>
      </c>
      <c r="Y405" s="67">
        <f>ROUNDDOWN(MAX(0,$R405-$J405*$G405)*$W405/MAX(1,$X405),0)</f>
        <v/>
      </c>
    </row>
    <row r="406">
      <c r="A406" s="17" t="inlineStr">
        <is>
          <t>jian_reflect</t>
        </is>
      </c>
      <c r="B406" s="18" t="inlineStr">
        <is>
          <t>护身剑罡</t>
        </is>
      </c>
      <c r="C406" s="18" t="inlineStr">
        <is>
          <t>武艺技术</t>
        </is>
      </c>
      <c r="D406" s="18" t="inlineStr">
        <is>
          <t>剑类</t>
        </is>
      </c>
      <c r="E406" s="65" t="n">
        <v>1</v>
      </c>
      <c r="F406" s="66">
        <f>E406+1</f>
        <v/>
      </c>
      <c r="G406" s="65">
        <f>INDEX('个人技术总览'!$E$5:$E$46,MATCH($A406,'个人技术总览'!$A$5:$A$46,0))</f>
        <v/>
      </c>
      <c r="H406" s="59">
        <f>INDEX('个人技术总览'!$F$5:$F$46,MATCH($A406,'个人技术总览'!$A$5:$A$46,0))</f>
        <v/>
      </c>
      <c r="I406" s="60">
        <f>INDEX('个人技术总览'!$G$5:$G$46,MATCH($A406,'个人技术总览'!$A$5:$A$46,0))</f>
        <v/>
      </c>
      <c r="J406" s="59">
        <f>INDEX('个人技术总览'!$H$5:$H$46,MATCH($A406,'个人技术总览'!$A$5:$A$46,0))</f>
        <v/>
      </c>
      <c r="K406" s="60">
        <f>INDEX('个人技术总览'!$I$5:$I$46,MATCH($A406,'个人技术总览'!$A$5:$A$46,0))</f>
        <v/>
      </c>
      <c r="L406" s="67">
        <f>H406+V406+IF(E406=G406-1,MAX(0,P406-H406*G406-SUMIFS($V$5:$V$589,$A$5:$A$589,$A406)),0)</f>
        <v/>
      </c>
      <c r="M406" s="61">
        <f>MAX(1,ROUNDDOWN($L406/'参数与公式'!$B$5,0))</f>
        <v/>
      </c>
      <c r="N406" s="67">
        <f>J406+Y406+IF(E406=G406-1,MAX(0,R406-J406*G406-SUMIFS($Y$5:$Y$589,$A$5:$A$589,$A406)),0)</f>
        <v/>
      </c>
      <c r="O406" s="18" t="inlineStr">
        <is>
          <t>data/technology_templates.yaml; upgrade_profiles.martial; code: technology_rules.allocate_upgrade_budget</t>
        </is>
      </c>
      <c r="P406" s="67">
        <f>INDEX('个人技术总览'!$O$5:$O$46,MATCH($A406,'个人技术总览'!$A$5:$A$46,0))</f>
        <v/>
      </c>
      <c r="Q406" s="64">
        <f>INDEX('个人技术总览'!$P$5:$P$46,MATCH($A406,'个人技术总览'!$A$5:$A$46,0))</f>
        <v/>
      </c>
      <c r="R406" s="67">
        <f>INDEX('个人技术总览'!$Q$5:$Q$46,MATCH($A406,'个人技术总览'!$A$5:$A$46,0))</f>
        <v/>
      </c>
      <c r="S406" s="64">
        <f>INDEX('个人技术总览'!$R$5:$R$46,MATCH($A406,'个人技术总览'!$A$5:$A$46,0))</f>
        <v/>
      </c>
      <c r="T406" s="68">
        <f>POWER($Q406,$E406)</f>
        <v/>
      </c>
      <c r="U406" s="68">
        <f>SUMIFS($T$5:$T$589,$A$5:$A$589,$A406)</f>
        <v/>
      </c>
      <c r="V406" s="67">
        <f>ROUNDDOWN(MAX(0,$P406-$H406*$G406)*$T406/MAX(1,$U406),0)</f>
        <v/>
      </c>
      <c r="W406" s="68">
        <f>POWER($S406,$E406)</f>
        <v/>
      </c>
      <c r="X406" s="68">
        <f>SUMIFS($W$5:$W$589,$A$5:$A$589,$A406)</f>
        <v/>
      </c>
      <c r="Y406" s="67">
        <f>ROUNDDOWN(MAX(0,$R406-$J406*$G406)*$W406/MAX(1,$X406),0)</f>
        <v/>
      </c>
    </row>
    <row r="407">
      <c r="A407" s="17" t="inlineStr">
        <is>
          <t>jian_reflect</t>
        </is>
      </c>
      <c r="B407" s="18" t="inlineStr">
        <is>
          <t>护身剑罡</t>
        </is>
      </c>
      <c r="C407" s="18" t="inlineStr">
        <is>
          <t>武艺技术</t>
        </is>
      </c>
      <c r="D407" s="18" t="inlineStr">
        <is>
          <t>剑类</t>
        </is>
      </c>
      <c r="E407" s="65" t="n">
        <v>2</v>
      </c>
      <c r="F407" s="66">
        <f>E407+1</f>
        <v/>
      </c>
      <c r="G407" s="65">
        <f>INDEX('个人技术总览'!$E$5:$E$46,MATCH($A407,'个人技术总览'!$A$5:$A$46,0))</f>
        <v/>
      </c>
      <c r="H407" s="59">
        <f>INDEX('个人技术总览'!$F$5:$F$46,MATCH($A407,'个人技术总览'!$A$5:$A$46,0))</f>
        <v/>
      </c>
      <c r="I407" s="60">
        <f>INDEX('个人技术总览'!$G$5:$G$46,MATCH($A407,'个人技术总览'!$A$5:$A$46,0))</f>
        <v/>
      </c>
      <c r="J407" s="59">
        <f>INDEX('个人技术总览'!$H$5:$H$46,MATCH($A407,'个人技术总览'!$A$5:$A$46,0))</f>
        <v/>
      </c>
      <c r="K407" s="60">
        <f>INDEX('个人技术总览'!$I$5:$I$46,MATCH($A407,'个人技术总览'!$A$5:$A$46,0))</f>
        <v/>
      </c>
      <c r="L407" s="67">
        <f>H407+V407+IF(E407=G407-1,MAX(0,P407-H407*G407-SUMIFS($V$5:$V$589,$A$5:$A$589,$A407)),0)</f>
        <v/>
      </c>
      <c r="M407" s="61">
        <f>MAX(1,ROUNDDOWN($L407/'参数与公式'!$B$5,0))</f>
        <v/>
      </c>
      <c r="N407" s="67">
        <f>J407+Y407+IF(E407=G407-1,MAX(0,R407-J407*G407-SUMIFS($Y$5:$Y$589,$A$5:$A$589,$A407)),0)</f>
        <v/>
      </c>
      <c r="O407" s="18" t="inlineStr">
        <is>
          <t>data/technology_templates.yaml; upgrade_profiles.martial; code: technology_rules.allocate_upgrade_budget</t>
        </is>
      </c>
      <c r="P407" s="67">
        <f>INDEX('个人技术总览'!$O$5:$O$46,MATCH($A407,'个人技术总览'!$A$5:$A$46,0))</f>
        <v/>
      </c>
      <c r="Q407" s="64">
        <f>INDEX('个人技术总览'!$P$5:$P$46,MATCH($A407,'个人技术总览'!$A$5:$A$46,0))</f>
        <v/>
      </c>
      <c r="R407" s="67">
        <f>INDEX('个人技术总览'!$Q$5:$Q$46,MATCH($A407,'个人技术总览'!$A$5:$A$46,0))</f>
        <v/>
      </c>
      <c r="S407" s="64">
        <f>INDEX('个人技术总览'!$R$5:$R$46,MATCH($A407,'个人技术总览'!$A$5:$A$46,0))</f>
        <v/>
      </c>
      <c r="T407" s="68">
        <f>POWER($Q407,$E407)</f>
        <v/>
      </c>
      <c r="U407" s="68">
        <f>SUMIFS($T$5:$T$589,$A$5:$A$589,$A407)</f>
        <v/>
      </c>
      <c r="V407" s="67">
        <f>ROUNDDOWN(MAX(0,$P407-$H407*$G407)*$T407/MAX(1,$U407),0)</f>
        <v/>
      </c>
      <c r="W407" s="68">
        <f>POWER($S407,$E407)</f>
        <v/>
      </c>
      <c r="X407" s="68">
        <f>SUMIFS($W$5:$W$589,$A$5:$A$589,$A407)</f>
        <v/>
      </c>
      <c r="Y407" s="67">
        <f>ROUNDDOWN(MAX(0,$R407-$J407*$G407)*$W407/MAX(1,$X407),0)</f>
        <v/>
      </c>
    </row>
    <row r="408">
      <c r="A408" s="17" t="inlineStr">
        <is>
          <t>jian_reflect</t>
        </is>
      </c>
      <c r="B408" s="18" t="inlineStr">
        <is>
          <t>护身剑罡</t>
        </is>
      </c>
      <c r="C408" s="18" t="inlineStr">
        <is>
          <t>武艺技术</t>
        </is>
      </c>
      <c r="D408" s="18" t="inlineStr">
        <is>
          <t>剑类</t>
        </is>
      </c>
      <c r="E408" s="65" t="n">
        <v>3</v>
      </c>
      <c r="F408" s="66">
        <f>E408+1</f>
        <v/>
      </c>
      <c r="G408" s="65">
        <f>INDEX('个人技术总览'!$E$5:$E$46,MATCH($A408,'个人技术总览'!$A$5:$A$46,0))</f>
        <v/>
      </c>
      <c r="H408" s="59">
        <f>INDEX('个人技术总览'!$F$5:$F$46,MATCH($A408,'个人技术总览'!$A$5:$A$46,0))</f>
        <v/>
      </c>
      <c r="I408" s="60">
        <f>INDEX('个人技术总览'!$G$5:$G$46,MATCH($A408,'个人技术总览'!$A$5:$A$46,0))</f>
        <v/>
      </c>
      <c r="J408" s="59">
        <f>INDEX('个人技术总览'!$H$5:$H$46,MATCH($A408,'个人技术总览'!$A$5:$A$46,0))</f>
        <v/>
      </c>
      <c r="K408" s="60">
        <f>INDEX('个人技术总览'!$I$5:$I$46,MATCH($A408,'个人技术总览'!$A$5:$A$46,0))</f>
        <v/>
      </c>
      <c r="L408" s="67">
        <f>H408+V408+IF(E408=G408-1,MAX(0,P408-H408*G408-SUMIFS($V$5:$V$589,$A$5:$A$589,$A408)),0)</f>
        <v/>
      </c>
      <c r="M408" s="61">
        <f>MAX(1,ROUNDDOWN($L408/'参数与公式'!$B$5,0))</f>
        <v/>
      </c>
      <c r="N408" s="67">
        <f>J408+Y408+IF(E408=G408-1,MAX(0,R408-J408*G408-SUMIFS($Y$5:$Y$589,$A$5:$A$589,$A408)),0)</f>
        <v/>
      </c>
      <c r="O408" s="18" t="inlineStr">
        <is>
          <t>data/technology_templates.yaml; upgrade_profiles.martial; code: technology_rules.allocate_upgrade_budget</t>
        </is>
      </c>
      <c r="P408" s="67">
        <f>INDEX('个人技术总览'!$O$5:$O$46,MATCH($A408,'个人技术总览'!$A$5:$A$46,0))</f>
        <v/>
      </c>
      <c r="Q408" s="64">
        <f>INDEX('个人技术总览'!$P$5:$P$46,MATCH($A408,'个人技术总览'!$A$5:$A$46,0))</f>
        <v/>
      </c>
      <c r="R408" s="67">
        <f>INDEX('个人技术总览'!$Q$5:$Q$46,MATCH($A408,'个人技术总览'!$A$5:$A$46,0))</f>
        <v/>
      </c>
      <c r="S408" s="64">
        <f>INDEX('个人技术总览'!$R$5:$R$46,MATCH($A408,'个人技术总览'!$A$5:$A$46,0))</f>
        <v/>
      </c>
      <c r="T408" s="68">
        <f>POWER($Q408,$E408)</f>
        <v/>
      </c>
      <c r="U408" s="68">
        <f>SUMIFS($T$5:$T$589,$A$5:$A$589,$A408)</f>
        <v/>
      </c>
      <c r="V408" s="67">
        <f>ROUNDDOWN(MAX(0,$P408-$H408*$G408)*$T408/MAX(1,$U408),0)</f>
        <v/>
      </c>
      <c r="W408" s="68">
        <f>POWER($S408,$E408)</f>
        <v/>
      </c>
      <c r="X408" s="68">
        <f>SUMIFS($W$5:$W$589,$A$5:$A$589,$A408)</f>
        <v/>
      </c>
      <c r="Y408" s="67">
        <f>ROUNDDOWN(MAX(0,$R408-$J408*$G408)*$W408/MAX(1,$X408),0)</f>
        <v/>
      </c>
    </row>
    <row r="409">
      <c r="A409" s="17" t="inlineStr">
        <is>
          <t>jian_reflect</t>
        </is>
      </c>
      <c r="B409" s="18" t="inlineStr">
        <is>
          <t>护身剑罡</t>
        </is>
      </c>
      <c r="C409" s="18" t="inlineStr">
        <is>
          <t>武艺技术</t>
        </is>
      </c>
      <c r="D409" s="18" t="inlineStr">
        <is>
          <t>剑类</t>
        </is>
      </c>
      <c r="E409" s="65" t="n">
        <v>4</v>
      </c>
      <c r="F409" s="66">
        <f>E409+1</f>
        <v/>
      </c>
      <c r="G409" s="65">
        <f>INDEX('个人技术总览'!$E$5:$E$46,MATCH($A409,'个人技术总览'!$A$5:$A$46,0))</f>
        <v/>
      </c>
      <c r="H409" s="59">
        <f>INDEX('个人技术总览'!$F$5:$F$46,MATCH($A409,'个人技术总览'!$A$5:$A$46,0))</f>
        <v/>
      </c>
      <c r="I409" s="60">
        <f>INDEX('个人技术总览'!$G$5:$G$46,MATCH($A409,'个人技术总览'!$A$5:$A$46,0))</f>
        <v/>
      </c>
      <c r="J409" s="59">
        <f>INDEX('个人技术总览'!$H$5:$H$46,MATCH($A409,'个人技术总览'!$A$5:$A$46,0))</f>
        <v/>
      </c>
      <c r="K409" s="60">
        <f>INDEX('个人技术总览'!$I$5:$I$46,MATCH($A409,'个人技术总览'!$A$5:$A$46,0))</f>
        <v/>
      </c>
      <c r="L409" s="67">
        <f>H409+V409+IF(E409=G409-1,MAX(0,P409-H409*G409-SUMIFS($V$5:$V$589,$A$5:$A$589,$A409)),0)</f>
        <v/>
      </c>
      <c r="M409" s="61">
        <f>MAX(1,ROUNDDOWN($L409/'参数与公式'!$B$5,0))</f>
        <v/>
      </c>
      <c r="N409" s="67">
        <f>J409+Y409+IF(E409=G409-1,MAX(0,R409-J409*G409-SUMIFS($Y$5:$Y$589,$A$5:$A$589,$A409)),0)</f>
        <v/>
      </c>
      <c r="O409" s="18" t="inlineStr">
        <is>
          <t>data/technology_templates.yaml; upgrade_profiles.martial; code: technology_rules.allocate_upgrade_budget</t>
        </is>
      </c>
      <c r="P409" s="67">
        <f>INDEX('个人技术总览'!$O$5:$O$46,MATCH($A409,'个人技术总览'!$A$5:$A$46,0))</f>
        <v/>
      </c>
      <c r="Q409" s="64">
        <f>INDEX('个人技术总览'!$P$5:$P$46,MATCH($A409,'个人技术总览'!$A$5:$A$46,0))</f>
        <v/>
      </c>
      <c r="R409" s="67">
        <f>INDEX('个人技术总览'!$Q$5:$Q$46,MATCH($A409,'个人技术总览'!$A$5:$A$46,0))</f>
        <v/>
      </c>
      <c r="S409" s="64">
        <f>INDEX('个人技术总览'!$R$5:$R$46,MATCH($A409,'个人技术总览'!$A$5:$A$46,0))</f>
        <v/>
      </c>
      <c r="T409" s="68">
        <f>POWER($Q409,$E409)</f>
        <v/>
      </c>
      <c r="U409" s="68">
        <f>SUMIFS($T$5:$T$589,$A$5:$A$589,$A409)</f>
        <v/>
      </c>
      <c r="V409" s="67">
        <f>ROUNDDOWN(MAX(0,$P409-$H409*$G409)*$T409/MAX(1,$U409),0)</f>
        <v/>
      </c>
      <c r="W409" s="68">
        <f>POWER($S409,$E409)</f>
        <v/>
      </c>
      <c r="X409" s="68">
        <f>SUMIFS($W$5:$W$589,$A$5:$A$589,$A409)</f>
        <v/>
      </c>
      <c r="Y409" s="67">
        <f>ROUNDDOWN(MAX(0,$R409-$J409*$G409)*$W409/MAX(1,$X409),0)</f>
        <v/>
      </c>
    </row>
    <row r="410">
      <c r="A410" s="17" t="inlineStr">
        <is>
          <t>jian_preempt</t>
        </is>
      </c>
      <c r="B410" s="18" t="inlineStr">
        <is>
          <t>驭剑之术</t>
        </is>
      </c>
      <c r="C410" s="18" t="inlineStr">
        <is>
          <t>武艺技术</t>
        </is>
      </c>
      <c r="D410" s="18" t="inlineStr">
        <is>
          <t>剑类</t>
        </is>
      </c>
      <c r="E410" s="65" t="n">
        <v>0</v>
      </c>
      <c r="F410" s="66">
        <f>E410+1</f>
        <v/>
      </c>
      <c r="G410" s="65">
        <f>INDEX('个人技术总览'!$E$5:$E$46,MATCH($A410,'个人技术总览'!$A$5:$A$46,0))</f>
        <v/>
      </c>
      <c r="H410" s="59">
        <f>INDEX('个人技术总览'!$F$5:$F$46,MATCH($A410,'个人技术总览'!$A$5:$A$46,0))</f>
        <v/>
      </c>
      <c r="I410" s="60">
        <f>INDEX('个人技术总览'!$G$5:$G$46,MATCH($A410,'个人技术总览'!$A$5:$A$46,0))</f>
        <v/>
      </c>
      <c r="J410" s="59">
        <f>INDEX('个人技术总览'!$H$5:$H$46,MATCH($A410,'个人技术总览'!$A$5:$A$46,0))</f>
        <v/>
      </c>
      <c r="K410" s="60">
        <f>INDEX('个人技术总览'!$I$5:$I$46,MATCH($A410,'个人技术总览'!$A$5:$A$46,0))</f>
        <v/>
      </c>
      <c r="L410" s="67">
        <f>H410+V410+IF(E410=G410-1,MAX(0,P410-H410*G410-SUMIFS($V$5:$V$589,$A$5:$A$589,$A410)),0)</f>
        <v/>
      </c>
      <c r="M410" s="61">
        <f>MAX(1,ROUNDDOWN($L410/'参数与公式'!$B$5,0))</f>
        <v/>
      </c>
      <c r="N410" s="67">
        <f>J410+Y410+IF(E410=G410-1,MAX(0,R410-J410*G410-SUMIFS($Y$5:$Y$589,$A$5:$A$589,$A410)),0)</f>
        <v/>
      </c>
      <c r="O410" s="18" t="inlineStr">
        <is>
          <t>data/technology_templates.yaml; upgrade_profiles.martial; code: technology_rules.allocate_upgrade_budget</t>
        </is>
      </c>
      <c r="P410" s="67">
        <f>INDEX('个人技术总览'!$O$5:$O$46,MATCH($A410,'个人技术总览'!$A$5:$A$46,0))</f>
        <v/>
      </c>
      <c r="Q410" s="64">
        <f>INDEX('个人技术总览'!$P$5:$P$46,MATCH($A410,'个人技术总览'!$A$5:$A$46,0))</f>
        <v/>
      </c>
      <c r="R410" s="67">
        <f>INDEX('个人技术总览'!$Q$5:$Q$46,MATCH($A410,'个人技术总览'!$A$5:$A$46,0))</f>
        <v/>
      </c>
      <c r="S410" s="64">
        <f>INDEX('个人技术总览'!$R$5:$R$46,MATCH($A410,'个人技术总览'!$A$5:$A$46,0))</f>
        <v/>
      </c>
      <c r="T410" s="68">
        <f>POWER($Q410,$E410)</f>
        <v/>
      </c>
      <c r="U410" s="68">
        <f>SUMIFS($T$5:$T$589,$A$5:$A$589,$A410)</f>
        <v/>
      </c>
      <c r="V410" s="67">
        <f>ROUNDDOWN(MAX(0,$P410-$H410*$G410)*$T410/MAX(1,$U410),0)</f>
        <v/>
      </c>
      <c r="W410" s="68">
        <f>POWER($S410,$E410)</f>
        <v/>
      </c>
      <c r="X410" s="68">
        <f>SUMIFS($W$5:$W$589,$A$5:$A$589,$A410)</f>
        <v/>
      </c>
      <c r="Y410" s="67">
        <f>ROUNDDOWN(MAX(0,$R410-$J410*$G410)*$W410/MAX(1,$X410),0)</f>
        <v/>
      </c>
    </row>
    <row r="411">
      <c r="A411" s="17" t="inlineStr">
        <is>
          <t>jian_preempt</t>
        </is>
      </c>
      <c r="B411" s="18" t="inlineStr">
        <is>
          <t>驭剑之术</t>
        </is>
      </c>
      <c r="C411" s="18" t="inlineStr">
        <is>
          <t>武艺技术</t>
        </is>
      </c>
      <c r="D411" s="18" t="inlineStr">
        <is>
          <t>剑类</t>
        </is>
      </c>
      <c r="E411" s="65" t="n">
        <v>1</v>
      </c>
      <c r="F411" s="66">
        <f>E411+1</f>
        <v/>
      </c>
      <c r="G411" s="65">
        <f>INDEX('个人技术总览'!$E$5:$E$46,MATCH($A411,'个人技术总览'!$A$5:$A$46,0))</f>
        <v/>
      </c>
      <c r="H411" s="59">
        <f>INDEX('个人技术总览'!$F$5:$F$46,MATCH($A411,'个人技术总览'!$A$5:$A$46,0))</f>
        <v/>
      </c>
      <c r="I411" s="60">
        <f>INDEX('个人技术总览'!$G$5:$G$46,MATCH($A411,'个人技术总览'!$A$5:$A$46,0))</f>
        <v/>
      </c>
      <c r="J411" s="59">
        <f>INDEX('个人技术总览'!$H$5:$H$46,MATCH($A411,'个人技术总览'!$A$5:$A$46,0))</f>
        <v/>
      </c>
      <c r="K411" s="60">
        <f>INDEX('个人技术总览'!$I$5:$I$46,MATCH($A411,'个人技术总览'!$A$5:$A$46,0))</f>
        <v/>
      </c>
      <c r="L411" s="67">
        <f>H411+V411+IF(E411=G411-1,MAX(0,P411-H411*G411-SUMIFS($V$5:$V$589,$A$5:$A$589,$A411)),0)</f>
        <v/>
      </c>
      <c r="M411" s="61">
        <f>MAX(1,ROUNDDOWN($L411/'参数与公式'!$B$5,0))</f>
        <v/>
      </c>
      <c r="N411" s="67">
        <f>J411+Y411+IF(E411=G411-1,MAX(0,R411-J411*G411-SUMIFS($Y$5:$Y$589,$A$5:$A$589,$A411)),0)</f>
        <v/>
      </c>
      <c r="O411" s="18" t="inlineStr">
        <is>
          <t>data/technology_templates.yaml; upgrade_profiles.martial; code: technology_rules.allocate_upgrade_budget</t>
        </is>
      </c>
      <c r="P411" s="67">
        <f>INDEX('个人技术总览'!$O$5:$O$46,MATCH($A411,'个人技术总览'!$A$5:$A$46,0))</f>
        <v/>
      </c>
      <c r="Q411" s="64">
        <f>INDEX('个人技术总览'!$P$5:$P$46,MATCH($A411,'个人技术总览'!$A$5:$A$46,0))</f>
        <v/>
      </c>
      <c r="R411" s="67">
        <f>INDEX('个人技术总览'!$Q$5:$Q$46,MATCH($A411,'个人技术总览'!$A$5:$A$46,0))</f>
        <v/>
      </c>
      <c r="S411" s="64">
        <f>INDEX('个人技术总览'!$R$5:$R$46,MATCH($A411,'个人技术总览'!$A$5:$A$46,0))</f>
        <v/>
      </c>
      <c r="T411" s="68">
        <f>POWER($Q411,$E411)</f>
        <v/>
      </c>
      <c r="U411" s="68">
        <f>SUMIFS($T$5:$T$589,$A$5:$A$589,$A411)</f>
        <v/>
      </c>
      <c r="V411" s="67">
        <f>ROUNDDOWN(MAX(0,$P411-$H411*$G411)*$T411/MAX(1,$U411),0)</f>
        <v/>
      </c>
      <c r="W411" s="68">
        <f>POWER($S411,$E411)</f>
        <v/>
      </c>
      <c r="X411" s="68">
        <f>SUMIFS($W$5:$W$589,$A$5:$A$589,$A411)</f>
        <v/>
      </c>
      <c r="Y411" s="67">
        <f>ROUNDDOWN(MAX(0,$R411-$J411*$G411)*$W411/MAX(1,$X411),0)</f>
        <v/>
      </c>
    </row>
    <row r="412">
      <c r="A412" s="17" t="inlineStr">
        <is>
          <t>jian_preempt</t>
        </is>
      </c>
      <c r="B412" s="18" t="inlineStr">
        <is>
          <t>驭剑之术</t>
        </is>
      </c>
      <c r="C412" s="18" t="inlineStr">
        <is>
          <t>武艺技术</t>
        </is>
      </c>
      <c r="D412" s="18" t="inlineStr">
        <is>
          <t>剑类</t>
        </is>
      </c>
      <c r="E412" s="65" t="n">
        <v>2</v>
      </c>
      <c r="F412" s="66">
        <f>E412+1</f>
        <v/>
      </c>
      <c r="G412" s="65">
        <f>INDEX('个人技术总览'!$E$5:$E$46,MATCH($A412,'个人技术总览'!$A$5:$A$46,0))</f>
        <v/>
      </c>
      <c r="H412" s="59">
        <f>INDEX('个人技术总览'!$F$5:$F$46,MATCH($A412,'个人技术总览'!$A$5:$A$46,0))</f>
        <v/>
      </c>
      <c r="I412" s="60">
        <f>INDEX('个人技术总览'!$G$5:$G$46,MATCH($A412,'个人技术总览'!$A$5:$A$46,0))</f>
        <v/>
      </c>
      <c r="J412" s="59">
        <f>INDEX('个人技术总览'!$H$5:$H$46,MATCH($A412,'个人技术总览'!$A$5:$A$46,0))</f>
        <v/>
      </c>
      <c r="K412" s="60">
        <f>INDEX('个人技术总览'!$I$5:$I$46,MATCH($A412,'个人技术总览'!$A$5:$A$46,0))</f>
        <v/>
      </c>
      <c r="L412" s="67">
        <f>H412+V412+IF(E412=G412-1,MAX(0,P412-H412*G412-SUMIFS($V$5:$V$589,$A$5:$A$589,$A412)),0)</f>
        <v/>
      </c>
      <c r="M412" s="61">
        <f>MAX(1,ROUNDDOWN($L412/'参数与公式'!$B$5,0))</f>
        <v/>
      </c>
      <c r="N412" s="67">
        <f>J412+Y412+IF(E412=G412-1,MAX(0,R412-J412*G412-SUMIFS($Y$5:$Y$589,$A$5:$A$589,$A412)),0)</f>
        <v/>
      </c>
      <c r="O412" s="18" t="inlineStr">
        <is>
          <t>data/technology_templates.yaml; upgrade_profiles.martial; code: technology_rules.allocate_upgrade_budget</t>
        </is>
      </c>
      <c r="P412" s="67">
        <f>INDEX('个人技术总览'!$O$5:$O$46,MATCH($A412,'个人技术总览'!$A$5:$A$46,0))</f>
        <v/>
      </c>
      <c r="Q412" s="64">
        <f>INDEX('个人技术总览'!$P$5:$P$46,MATCH($A412,'个人技术总览'!$A$5:$A$46,0))</f>
        <v/>
      </c>
      <c r="R412" s="67">
        <f>INDEX('个人技术总览'!$Q$5:$Q$46,MATCH($A412,'个人技术总览'!$A$5:$A$46,0))</f>
        <v/>
      </c>
      <c r="S412" s="64">
        <f>INDEX('个人技术总览'!$R$5:$R$46,MATCH($A412,'个人技术总览'!$A$5:$A$46,0))</f>
        <v/>
      </c>
      <c r="T412" s="68">
        <f>POWER($Q412,$E412)</f>
        <v/>
      </c>
      <c r="U412" s="68">
        <f>SUMIFS($T$5:$T$589,$A$5:$A$589,$A412)</f>
        <v/>
      </c>
      <c r="V412" s="67">
        <f>ROUNDDOWN(MAX(0,$P412-$H412*$G412)*$T412/MAX(1,$U412),0)</f>
        <v/>
      </c>
      <c r="W412" s="68">
        <f>POWER($S412,$E412)</f>
        <v/>
      </c>
      <c r="X412" s="68">
        <f>SUMIFS($W$5:$W$589,$A$5:$A$589,$A412)</f>
        <v/>
      </c>
      <c r="Y412" s="67">
        <f>ROUNDDOWN(MAX(0,$R412-$J412*$G412)*$W412/MAX(1,$X412),0)</f>
        <v/>
      </c>
    </row>
    <row r="413">
      <c r="A413" s="17" t="inlineStr">
        <is>
          <t>jian_preempt</t>
        </is>
      </c>
      <c r="B413" s="18" t="inlineStr">
        <is>
          <t>驭剑之术</t>
        </is>
      </c>
      <c r="C413" s="18" t="inlineStr">
        <is>
          <t>武艺技术</t>
        </is>
      </c>
      <c r="D413" s="18" t="inlineStr">
        <is>
          <t>剑类</t>
        </is>
      </c>
      <c r="E413" s="65" t="n">
        <v>3</v>
      </c>
      <c r="F413" s="66">
        <f>E413+1</f>
        <v/>
      </c>
      <c r="G413" s="65">
        <f>INDEX('个人技术总览'!$E$5:$E$46,MATCH($A413,'个人技术总览'!$A$5:$A$46,0))</f>
        <v/>
      </c>
      <c r="H413" s="59">
        <f>INDEX('个人技术总览'!$F$5:$F$46,MATCH($A413,'个人技术总览'!$A$5:$A$46,0))</f>
        <v/>
      </c>
      <c r="I413" s="60">
        <f>INDEX('个人技术总览'!$G$5:$G$46,MATCH($A413,'个人技术总览'!$A$5:$A$46,0))</f>
        <v/>
      </c>
      <c r="J413" s="59">
        <f>INDEX('个人技术总览'!$H$5:$H$46,MATCH($A413,'个人技术总览'!$A$5:$A$46,0))</f>
        <v/>
      </c>
      <c r="K413" s="60">
        <f>INDEX('个人技术总览'!$I$5:$I$46,MATCH($A413,'个人技术总览'!$A$5:$A$46,0))</f>
        <v/>
      </c>
      <c r="L413" s="67">
        <f>H413+V413+IF(E413=G413-1,MAX(0,P413-H413*G413-SUMIFS($V$5:$V$589,$A$5:$A$589,$A413)),0)</f>
        <v/>
      </c>
      <c r="M413" s="61">
        <f>MAX(1,ROUNDDOWN($L413/'参数与公式'!$B$5,0))</f>
        <v/>
      </c>
      <c r="N413" s="67">
        <f>J413+Y413+IF(E413=G413-1,MAX(0,R413-J413*G413-SUMIFS($Y$5:$Y$589,$A$5:$A$589,$A413)),0)</f>
        <v/>
      </c>
      <c r="O413" s="18" t="inlineStr">
        <is>
          <t>data/technology_templates.yaml; upgrade_profiles.martial; code: technology_rules.allocate_upgrade_budget</t>
        </is>
      </c>
      <c r="P413" s="67">
        <f>INDEX('个人技术总览'!$O$5:$O$46,MATCH($A413,'个人技术总览'!$A$5:$A$46,0))</f>
        <v/>
      </c>
      <c r="Q413" s="64">
        <f>INDEX('个人技术总览'!$P$5:$P$46,MATCH($A413,'个人技术总览'!$A$5:$A$46,0))</f>
        <v/>
      </c>
      <c r="R413" s="67">
        <f>INDEX('个人技术总览'!$Q$5:$Q$46,MATCH($A413,'个人技术总览'!$A$5:$A$46,0))</f>
        <v/>
      </c>
      <c r="S413" s="64">
        <f>INDEX('个人技术总览'!$R$5:$R$46,MATCH($A413,'个人技术总览'!$A$5:$A$46,0))</f>
        <v/>
      </c>
      <c r="T413" s="68">
        <f>POWER($Q413,$E413)</f>
        <v/>
      </c>
      <c r="U413" s="68">
        <f>SUMIFS($T$5:$T$589,$A$5:$A$589,$A413)</f>
        <v/>
      </c>
      <c r="V413" s="67">
        <f>ROUNDDOWN(MAX(0,$P413-$H413*$G413)*$T413/MAX(1,$U413),0)</f>
        <v/>
      </c>
      <c r="W413" s="68">
        <f>POWER($S413,$E413)</f>
        <v/>
      </c>
      <c r="X413" s="68">
        <f>SUMIFS($W$5:$W$589,$A$5:$A$589,$A413)</f>
        <v/>
      </c>
      <c r="Y413" s="67">
        <f>ROUNDDOWN(MAX(0,$R413-$J413*$G413)*$W413/MAX(1,$X413),0)</f>
        <v/>
      </c>
    </row>
    <row r="414">
      <c r="A414" s="17" t="inlineStr">
        <is>
          <t>jian_preempt</t>
        </is>
      </c>
      <c r="B414" s="18" t="inlineStr">
        <is>
          <t>驭剑之术</t>
        </is>
      </c>
      <c r="C414" s="18" t="inlineStr">
        <is>
          <t>武艺技术</t>
        </is>
      </c>
      <c r="D414" s="18" t="inlineStr">
        <is>
          <t>剑类</t>
        </is>
      </c>
      <c r="E414" s="65" t="n">
        <v>4</v>
      </c>
      <c r="F414" s="66">
        <f>E414+1</f>
        <v/>
      </c>
      <c r="G414" s="65">
        <f>INDEX('个人技术总览'!$E$5:$E$46,MATCH($A414,'个人技术总览'!$A$5:$A$46,0))</f>
        <v/>
      </c>
      <c r="H414" s="59">
        <f>INDEX('个人技术总览'!$F$5:$F$46,MATCH($A414,'个人技术总览'!$A$5:$A$46,0))</f>
        <v/>
      </c>
      <c r="I414" s="60">
        <f>INDEX('个人技术总览'!$G$5:$G$46,MATCH($A414,'个人技术总览'!$A$5:$A$46,0))</f>
        <v/>
      </c>
      <c r="J414" s="59">
        <f>INDEX('个人技术总览'!$H$5:$H$46,MATCH($A414,'个人技术总览'!$A$5:$A$46,0))</f>
        <v/>
      </c>
      <c r="K414" s="60">
        <f>INDEX('个人技术总览'!$I$5:$I$46,MATCH($A414,'个人技术总览'!$A$5:$A$46,0))</f>
        <v/>
      </c>
      <c r="L414" s="67">
        <f>H414+V414+IF(E414=G414-1,MAX(0,P414-H414*G414-SUMIFS($V$5:$V$589,$A$5:$A$589,$A414)),0)</f>
        <v/>
      </c>
      <c r="M414" s="61">
        <f>MAX(1,ROUNDDOWN($L414/'参数与公式'!$B$5,0))</f>
        <v/>
      </c>
      <c r="N414" s="67">
        <f>J414+Y414+IF(E414=G414-1,MAX(0,R414-J414*G414-SUMIFS($Y$5:$Y$589,$A$5:$A$589,$A414)),0)</f>
        <v/>
      </c>
      <c r="O414" s="18" t="inlineStr">
        <is>
          <t>data/technology_templates.yaml; upgrade_profiles.martial; code: technology_rules.allocate_upgrade_budget</t>
        </is>
      </c>
      <c r="P414" s="67">
        <f>INDEX('个人技术总览'!$O$5:$O$46,MATCH($A414,'个人技术总览'!$A$5:$A$46,0))</f>
        <v/>
      </c>
      <c r="Q414" s="64">
        <f>INDEX('个人技术总览'!$P$5:$P$46,MATCH($A414,'个人技术总览'!$A$5:$A$46,0))</f>
        <v/>
      </c>
      <c r="R414" s="67">
        <f>INDEX('个人技术总览'!$Q$5:$Q$46,MATCH($A414,'个人技术总览'!$A$5:$A$46,0))</f>
        <v/>
      </c>
      <c r="S414" s="64">
        <f>INDEX('个人技术总览'!$R$5:$R$46,MATCH($A414,'个人技术总览'!$A$5:$A$46,0))</f>
        <v/>
      </c>
      <c r="T414" s="68">
        <f>POWER($Q414,$E414)</f>
        <v/>
      </c>
      <c r="U414" s="68">
        <f>SUMIFS($T$5:$T$589,$A$5:$A$589,$A414)</f>
        <v/>
      </c>
      <c r="V414" s="67">
        <f>ROUNDDOWN(MAX(0,$P414-$H414*$G414)*$T414/MAX(1,$U414),0)</f>
        <v/>
      </c>
      <c r="W414" s="68">
        <f>POWER($S414,$E414)</f>
        <v/>
      </c>
      <c r="X414" s="68">
        <f>SUMIFS($W$5:$W$589,$A$5:$A$589,$A414)</f>
        <v/>
      </c>
      <c r="Y414" s="67">
        <f>ROUNDDOWN(MAX(0,$R414-$J414*$G414)*$W414/MAX(1,$X414),0)</f>
        <v/>
      </c>
    </row>
    <row r="415">
      <c r="A415" s="17" t="inlineStr">
        <is>
          <t>quan_attack</t>
        </is>
      </c>
      <c r="B415" s="18" t="inlineStr">
        <is>
          <t>通背神拳</t>
        </is>
      </c>
      <c r="C415" s="18" t="inlineStr">
        <is>
          <t>武艺技术</t>
        </is>
      </c>
      <c r="D415" s="18" t="inlineStr">
        <is>
          <t>拳类</t>
        </is>
      </c>
      <c r="E415" s="65" t="n">
        <v>0</v>
      </c>
      <c r="F415" s="66">
        <f>E415+1</f>
        <v/>
      </c>
      <c r="G415" s="65">
        <f>INDEX('个人技术总览'!$E$5:$E$46,MATCH($A415,'个人技术总览'!$A$5:$A$46,0))</f>
        <v/>
      </c>
      <c r="H415" s="59">
        <f>INDEX('个人技术总览'!$F$5:$F$46,MATCH($A415,'个人技术总览'!$A$5:$A$46,0))</f>
        <v/>
      </c>
      <c r="I415" s="60">
        <f>INDEX('个人技术总览'!$G$5:$G$46,MATCH($A415,'个人技术总览'!$A$5:$A$46,0))</f>
        <v/>
      </c>
      <c r="J415" s="59">
        <f>INDEX('个人技术总览'!$H$5:$H$46,MATCH($A415,'个人技术总览'!$A$5:$A$46,0))</f>
        <v/>
      </c>
      <c r="K415" s="60">
        <f>INDEX('个人技术总览'!$I$5:$I$46,MATCH($A415,'个人技术总览'!$A$5:$A$46,0))</f>
        <v/>
      </c>
      <c r="L415" s="67">
        <f>H415+V415+IF(E415=G415-1,MAX(0,P415-H415*G415-SUMIFS($V$5:$V$589,$A$5:$A$589,$A415)),0)</f>
        <v/>
      </c>
      <c r="M415" s="61">
        <f>MAX(1,ROUNDDOWN($L415/'参数与公式'!$B$5,0))</f>
        <v/>
      </c>
      <c r="N415" s="67">
        <f>J415+Y415+IF(E415=G415-1,MAX(0,R415-J415*G415-SUMIFS($Y$5:$Y$589,$A$5:$A$589,$A415)),0)</f>
        <v/>
      </c>
      <c r="O415" s="18" t="inlineStr">
        <is>
          <t>data/technology_templates.yaml; upgrade_profiles.martial; code: technology_rules.allocate_upgrade_budget</t>
        </is>
      </c>
      <c r="P415" s="67">
        <f>INDEX('个人技术总览'!$O$5:$O$46,MATCH($A415,'个人技术总览'!$A$5:$A$46,0))</f>
        <v/>
      </c>
      <c r="Q415" s="64">
        <f>INDEX('个人技术总览'!$P$5:$P$46,MATCH($A415,'个人技术总览'!$A$5:$A$46,0))</f>
        <v/>
      </c>
      <c r="R415" s="67">
        <f>INDEX('个人技术总览'!$Q$5:$Q$46,MATCH($A415,'个人技术总览'!$A$5:$A$46,0))</f>
        <v/>
      </c>
      <c r="S415" s="64">
        <f>INDEX('个人技术总览'!$R$5:$R$46,MATCH($A415,'个人技术总览'!$A$5:$A$46,0))</f>
        <v/>
      </c>
      <c r="T415" s="68">
        <f>POWER($Q415,$E415)</f>
        <v/>
      </c>
      <c r="U415" s="68">
        <f>SUMIFS($T$5:$T$589,$A$5:$A$589,$A415)</f>
        <v/>
      </c>
      <c r="V415" s="67">
        <f>ROUNDDOWN(MAX(0,$P415-$H415*$G415)*$T415/MAX(1,$U415),0)</f>
        <v/>
      </c>
      <c r="W415" s="68">
        <f>POWER($S415,$E415)</f>
        <v/>
      </c>
      <c r="X415" s="68">
        <f>SUMIFS($W$5:$W$589,$A$5:$A$589,$A415)</f>
        <v/>
      </c>
      <c r="Y415" s="67">
        <f>ROUNDDOWN(MAX(0,$R415-$J415*$G415)*$W415/MAX(1,$X415),0)</f>
        <v/>
      </c>
    </row>
    <row r="416">
      <c r="A416" s="17" t="inlineStr">
        <is>
          <t>quan_attack</t>
        </is>
      </c>
      <c r="B416" s="18" t="inlineStr">
        <is>
          <t>通背神拳</t>
        </is>
      </c>
      <c r="C416" s="18" t="inlineStr">
        <is>
          <t>武艺技术</t>
        </is>
      </c>
      <c r="D416" s="18" t="inlineStr">
        <is>
          <t>拳类</t>
        </is>
      </c>
      <c r="E416" s="65" t="n">
        <v>1</v>
      </c>
      <c r="F416" s="66">
        <f>E416+1</f>
        <v/>
      </c>
      <c r="G416" s="65">
        <f>INDEX('个人技术总览'!$E$5:$E$46,MATCH($A416,'个人技术总览'!$A$5:$A$46,0))</f>
        <v/>
      </c>
      <c r="H416" s="59">
        <f>INDEX('个人技术总览'!$F$5:$F$46,MATCH($A416,'个人技术总览'!$A$5:$A$46,0))</f>
        <v/>
      </c>
      <c r="I416" s="60">
        <f>INDEX('个人技术总览'!$G$5:$G$46,MATCH($A416,'个人技术总览'!$A$5:$A$46,0))</f>
        <v/>
      </c>
      <c r="J416" s="59">
        <f>INDEX('个人技术总览'!$H$5:$H$46,MATCH($A416,'个人技术总览'!$A$5:$A$46,0))</f>
        <v/>
      </c>
      <c r="K416" s="60">
        <f>INDEX('个人技术总览'!$I$5:$I$46,MATCH($A416,'个人技术总览'!$A$5:$A$46,0))</f>
        <v/>
      </c>
      <c r="L416" s="67">
        <f>H416+V416+IF(E416=G416-1,MAX(0,P416-H416*G416-SUMIFS($V$5:$V$589,$A$5:$A$589,$A416)),0)</f>
        <v/>
      </c>
      <c r="M416" s="61">
        <f>MAX(1,ROUNDDOWN($L416/'参数与公式'!$B$5,0))</f>
        <v/>
      </c>
      <c r="N416" s="67">
        <f>J416+Y416+IF(E416=G416-1,MAX(0,R416-J416*G416-SUMIFS($Y$5:$Y$589,$A$5:$A$589,$A416)),0)</f>
        <v/>
      </c>
      <c r="O416" s="18" t="inlineStr">
        <is>
          <t>data/technology_templates.yaml; upgrade_profiles.martial; code: technology_rules.allocate_upgrade_budget</t>
        </is>
      </c>
      <c r="P416" s="67">
        <f>INDEX('个人技术总览'!$O$5:$O$46,MATCH($A416,'个人技术总览'!$A$5:$A$46,0))</f>
        <v/>
      </c>
      <c r="Q416" s="64">
        <f>INDEX('个人技术总览'!$P$5:$P$46,MATCH($A416,'个人技术总览'!$A$5:$A$46,0))</f>
        <v/>
      </c>
      <c r="R416" s="67">
        <f>INDEX('个人技术总览'!$Q$5:$Q$46,MATCH($A416,'个人技术总览'!$A$5:$A$46,0))</f>
        <v/>
      </c>
      <c r="S416" s="64">
        <f>INDEX('个人技术总览'!$R$5:$R$46,MATCH($A416,'个人技术总览'!$A$5:$A$46,0))</f>
        <v/>
      </c>
      <c r="T416" s="68">
        <f>POWER($Q416,$E416)</f>
        <v/>
      </c>
      <c r="U416" s="68">
        <f>SUMIFS($T$5:$T$589,$A$5:$A$589,$A416)</f>
        <v/>
      </c>
      <c r="V416" s="67">
        <f>ROUNDDOWN(MAX(0,$P416-$H416*$G416)*$T416/MAX(1,$U416),0)</f>
        <v/>
      </c>
      <c r="W416" s="68">
        <f>POWER($S416,$E416)</f>
        <v/>
      </c>
      <c r="X416" s="68">
        <f>SUMIFS($W$5:$W$589,$A$5:$A$589,$A416)</f>
        <v/>
      </c>
      <c r="Y416" s="67">
        <f>ROUNDDOWN(MAX(0,$R416-$J416*$G416)*$W416/MAX(1,$X416),0)</f>
        <v/>
      </c>
    </row>
    <row r="417">
      <c r="A417" s="17" t="inlineStr">
        <is>
          <t>quan_attack</t>
        </is>
      </c>
      <c r="B417" s="18" t="inlineStr">
        <is>
          <t>通背神拳</t>
        </is>
      </c>
      <c r="C417" s="18" t="inlineStr">
        <is>
          <t>武艺技术</t>
        </is>
      </c>
      <c r="D417" s="18" t="inlineStr">
        <is>
          <t>拳类</t>
        </is>
      </c>
      <c r="E417" s="65" t="n">
        <v>2</v>
      </c>
      <c r="F417" s="66">
        <f>E417+1</f>
        <v/>
      </c>
      <c r="G417" s="65">
        <f>INDEX('个人技术总览'!$E$5:$E$46,MATCH($A417,'个人技术总览'!$A$5:$A$46,0))</f>
        <v/>
      </c>
      <c r="H417" s="59">
        <f>INDEX('个人技术总览'!$F$5:$F$46,MATCH($A417,'个人技术总览'!$A$5:$A$46,0))</f>
        <v/>
      </c>
      <c r="I417" s="60">
        <f>INDEX('个人技术总览'!$G$5:$G$46,MATCH($A417,'个人技术总览'!$A$5:$A$46,0))</f>
        <v/>
      </c>
      <c r="J417" s="59">
        <f>INDEX('个人技术总览'!$H$5:$H$46,MATCH($A417,'个人技术总览'!$A$5:$A$46,0))</f>
        <v/>
      </c>
      <c r="K417" s="60">
        <f>INDEX('个人技术总览'!$I$5:$I$46,MATCH($A417,'个人技术总览'!$A$5:$A$46,0))</f>
        <v/>
      </c>
      <c r="L417" s="67">
        <f>H417+V417+IF(E417=G417-1,MAX(0,P417-H417*G417-SUMIFS($V$5:$V$589,$A$5:$A$589,$A417)),0)</f>
        <v/>
      </c>
      <c r="M417" s="61">
        <f>MAX(1,ROUNDDOWN($L417/'参数与公式'!$B$5,0))</f>
        <v/>
      </c>
      <c r="N417" s="67">
        <f>J417+Y417+IF(E417=G417-1,MAX(0,R417-J417*G417-SUMIFS($Y$5:$Y$589,$A$5:$A$589,$A417)),0)</f>
        <v/>
      </c>
      <c r="O417" s="18" t="inlineStr">
        <is>
          <t>data/technology_templates.yaml; upgrade_profiles.martial; code: technology_rules.allocate_upgrade_budget</t>
        </is>
      </c>
      <c r="P417" s="67">
        <f>INDEX('个人技术总览'!$O$5:$O$46,MATCH($A417,'个人技术总览'!$A$5:$A$46,0))</f>
        <v/>
      </c>
      <c r="Q417" s="64">
        <f>INDEX('个人技术总览'!$P$5:$P$46,MATCH($A417,'个人技术总览'!$A$5:$A$46,0))</f>
        <v/>
      </c>
      <c r="R417" s="67">
        <f>INDEX('个人技术总览'!$Q$5:$Q$46,MATCH($A417,'个人技术总览'!$A$5:$A$46,0))</f>
        <v/>
      </c>
      <c r="S417" s="64">
        <f>INDEX('个人技术总览'!$R$5:$R$46,MATCH($A417,'个人技术总览'!$A$5:$A$46,0))</f>
        <v/>
      </c>
      <c r="T417" s="68">
        <f>POWER($Q417,$E417)</f>
        <v/>
      </c>
      <c r="U417" s="68">
        <f>SUMIFS($T$5:$T$589,$A$5:$A$589,$A417)</f>
        <v/>
      </c>
      <c r="V417" s="67">
        <f>ROUNDDOWN(MAX(0,$P417-$H417*$G417)*$T417/MAX(1,$U417),0)</f>
        <v/>
      </c>
      <c r="W417" s="68">
        <f>POWER($S417,$E417)</f>
        <v/>
      </c>
      <c r="X417" s="68">
        <f>SUMIFS($W$5:$W$589,$A$5:$A$589,$A417)</f>
        <v/>
      </c>
      <c r="Y417" s="67">
        <f>ROUNDDOWN(MAX(0,$R417-$J417*$G417)*$W417/MAX(1,$X417),0)</f>
        <v/>
      </c>
    </row>
    <row r="418">
      <c r="A418" s="17" t="inlineStr">
        <is>
          <t>quan_attack</t>
        </is>
      </c>
      <c r="B418" s="18" t="inlineStr">
        <is>
          <t>通背神拳</t>
        </is>
      </c>
      <c r="C418" s="18" t="inlineStr">
        <is>
          <t>武艺技术</t>
        </is>
      </c>
      <c r="D418" s="18" t="inlineStr">
        <is>
          <t>拳类</t>
        </is>
      </c>
      <c r="E418" s="65" t="n">
        <v>3</v>
      </c>
      <c r="F418" s="66">
        <f>E418+1</f>
        <v/>
      </c>
      <c r="G418" s="65">
        <f>INDEX('个人技术总览'!$E$5:$E$46,MATCH($A418,'个人技术总览'!$A$5:$A$46,0))</f>
        <v/>
      </c>
      <c r="H418" s="59">
        <f>INDEX('个人技术总览'!$F$5:$F$46,MATCH($A418,'个人技术总览'!$A$5:$A$46,0))</f>
        <v/>
      </c>
      <c r="I418" s="60">
        <f>INDEX('个人技术总览'!$G$5:$G$46,MATCH($A418,'个人技术总览'!$A$5:$A$46,0))</f>
        <v/>
      </c>
      <c r="J418" s="59">
        <f>INDEX('个人技术总览'!$H$5:$H$46,MATCH($A418,'个人技术总览'!$A$5:$A$46,0))</f>
        <v/>
      </c>
      <c r="K418" s="60">
        <f>INDEX('个人技术总览'!$I$5:$I$46,MATCH($A418,'个人技术总览'!$A$5:$A$46,0))</f>
        <v/>
      </c>
      <c r="L418" s="67">
        <f>H418+V418+IF(E418=G418-1,MAX(0,P418-H418*G418-SUMIFS($V$5:$V$589,$A$5:$A$589,$A418)),0)</f>
        <v/>
      </c>
      <c r="M418" s="61">
        <f>MAX(1,ROUNDDOWN($L418/'参数与公式'!$B$5,0))</f>
        <v/>
      </c>
      <c r="N418" s="67">
        <f>J418+Y418+IF(E418=G418-1,MAX(0,R418-J418*G418-SUMIFS($Y$5:$Y$589,$A$5:$A$589,$A418)),0)</f>
        <v/>
      </c>
      <c r="O418" s="18" t="inlineStr">
        <is>
          <t>data/technology_templates.yaml; upgrade_profiles.martial; code: technology_rules.allocate_upgrade_budget</t>
        </is>
      </c>
      <c r="P418" s="67">
        <f>INDEX('个人技术总览'!$O$5:$O$46,MATCH($A418,'个人技术总览'!$A$5:$A$46,0))</f>
        <v/>
      </c>
      <c r="Q418" s="64">
        <f>INDEX('个人技术总览'!$P$5:$P$46,MATCH($A418,'个人技术总览'!$A$5:$A$46,0))</f>
        <v/>
      </c>
      <c r="R418" s="67">
        <f>INDEX('个人技术总览'!$Q$5:$Q$46,MATCH($A418,'个人技术总览'!$A$5:$A$46,0))</f>
        <v/>
      </c>
      <c r="S418" s="64">
        <f>INDEX('个人技术总览'!$R$5:$R$46,MATCH($A418,'个人技术总览'!$A$5:$A$46,0))</f>
        <v/>
      </c>
      <c r="T418" s="68">
        <f>POWER($Q418,$E418)</f>
        <v/>
      </c>
      <c r="U418" s="68">
        <f>SUMIFS($T$5:$T$589,$A$5:$A$589,$A418)</f>
        <v/>
      </c>
      <c r="V418" s="67">
        <f>ROUNDDOWN(MAX(0,$P418-$H418*$G418)*$T418/MAX(1,$U418),0)</f>
        <v/>
      </c>
      <c r="W418" s="68">
        <f>POWER($S418,$E418)</f>
        <v/>
      </c>
      <c r="X418" s="68">
        <f>SUMIFS($W$5:$W$589,$A$5:$A$589,$A418)</f>
        <v/>
      </c>
      <c r="Y418" s="67">
        <f>ROUNDDOWN(MAX(0,$R418-$J418*$G418)*$W418/MAX(1,$X418),0)</f>
        <v/>
      </c>
    </row>
    <row r="419">
      <c r="A419" s="17" t="inlineStr">
        <is>
          <t>quan_attack</t>
        </is>
      </c>
      <c r="B419" s="18" t="inlineStr">
        <is>
          <t>通背神拳</t>
        </is>
      </c>
      <c r="C419" s="18" t="inlineStr">
        <is>
          <t>武艺技术</t>
        </is>
      </c>
      <c r="D419" s="18" t="inlineStr">
        <is>
          <t>拳类</t>
        </is>
      </c>
      <c r="E419" s="65" t="n">
        <v>4</v>
      </c>
      <c r="F419" s="66">
        <f>E419+1</f>
        <v/>
      </c>
      <c r="G419" s="65">
        <f>INDEX('个人技术总览'!$E$5:$E$46,MATCH($A419,'个人技术总览'!$A$5:$A$46,0))</f>
        <v/>
      </c>
      <c r="H419" s="59">
        <f>INDEX('个人技术总览'!$F$5:$F$46,MATCH($A419,'个人技术总览'!$A$5:$A$46,0))</f>
        <v/>
      </c>
      <c r="I419" s="60">
        <f>INDEX('个人技术总览'!$G$5:$G$46,MATCH($A419,'个人技术总览'!$A$5:$A$46,0))</f>
        <v/>
      </c>
      <c r="J419" s="59">
        <f>INDEX('个人技术总览'!$H$5:$H$46,MATCH($A419,'个人技术总览'!$A$5:$A$46,0))</f>
        <v/>
      </c>
      <c r="K419" s="60">
        <f>INDEX('个人技术总览'!$I$5:$I$46,MATCH($A419,'个人技术总览'!$A$5:$A$46,0))</f>
        <v/>
      </c>
      <c r="L419" s="67">
        <f>H419+V419+IF(E419=G419-1,MAX(0,P419-H419*G419-SUMIFS($V$5:$V$589,$A$5:$A$589,$A419)),0)</f>
        <v/>
      </c>
      <c r="M419" s="61">
        <f>MAX(1,ROUNDDOWN($L419/'参数与公式'!$B$5,0))</f>
        <v/>
      </c>
      <c r="N419" s="67">
        <f>J419+Y419+IF(E419=G419-1,MAX(0,R419-J419*G419-SUMIFS($Y$5:$Y$589,$A$5:$A$589,$A419)),0)</f>
        <v/>
      </c>
      <c r="O419" s="18" t="inlineStr">
        <is>
          <t>data/technology_templates.yaml; upgrade_profiles.martial; code: technology_rules.allocate_upgrade_budget</t>
        </is>
      </c>
      <c r="P419" s="67">
        <f>INDEX('个人技术总览'!$O$5:$O$46,MATCH($A419,'个人技术总览'!$A$5:$A$46,0))</f>
        <v/>
      </c>
      <c r="Q419" s="64">
        <f>INDEX('个人技术总览'!$P$5:$P$46,MATCH($A419,'个人技术总览'!$A$5:$A$46,0))</f>
        <v/>
      </c>
      <c r="R419" s="67">
        <f>INDEX('个人技术总览'!$Q$5:$Q$46,MATCH($A419,'个人技术总览'!$A$5:$A$46,0))</f>
        <v/>
      </c>
      <c r="S419" s="64">
        <f>INDEX('个人技术总览'!$R$5:$R$46,MATCH($A419,'个人技术总览'!$A$5:$A$46,0))</f>
        <v/>
      </c>
      <c r="T419" s="68">
        <f>POWER($Q419,$E419)</f>
        <v/>
      </c>
      <c r="U419" s="68">
        <f>SUMIFS($T$5:$T$589,$A$5:$A$589,$A419)</f>
        <v/>
      </c>
      <c r="V419" s="67">
        <f>ROUNDDOWN(MAX(0,$P419-$H419*$G419)*$T419/MAX(1,$U419),0)</f>
        <v/>
      </c>
      <c r="W419" s="68">
        <f>POWER($S419,$E419)</f>
        <v/>
      </c>
      <c r="X419" s="68">
        <f>SUMIFS($W$5:$W$589,$A$5:$A$589,$A419)</f>
        <v/>
      </c>
      <c r="Y419" s="67">
        <f>ROUNDDOWN(MAX(0,$R419-$J419*$G419)*$W419/MAX(1,$X419),0)</f>
        <v/>
      </c>
    </row>
    <row r="420">
      <c r="A420" s="17" t="inlineStr">
        <is>
          <t>quan_attack</t>
        </is>
      </c>
      <c r="B420" s="18" t="inlineStr">
        <is>
          <t>通背神拳</t>
        </is>
      </c>
      <c r="C420" s="18" t="inlineStr">
        <is>
          <t>武艺技术</t>
        </is>
      </c>
      <c r="D420" s="18" t="inlineStr">
        <is>
          <t>拳类</t>
        </is>
      </c>
      <c r="E420" s="65" t="n">
        <v>5</v>
      </c>
      <c r="F420" s="66">
        <f>E420+1</f>
        <v/>
      </c>
      <c r="G420" s="65">
        <f>INDEX('个人技术总览'!$E$5:$E$46,MATCH($A420,'个人技术总览'!$A$5:$A$46,0))</f>
        <v/>
      </c>
      <c r="H420" s="59">
        <f>INDEX('个人技术总览'!$F$5:$F$46,MATCH($A420,'个人技术总览'!$A$5:$A$46,0))</f>
        <v/>
      </c>
      <c r="I420" s="60">
        <f>INDEX('个人技术总览'!$G$5:$G$46,MATCH($A420,'个人技术总览'!$A$5:$A$46,0))</f>
        <v/>
      </c>
      <c r="J420" s="59">
        <f>INDEX('个人技术总览'!$H$5:$H$46,MATCH($A420,'个人技术总览'!$A$5:$A$46,0))</f>
        <v/>
      </c>
      <c r="K420" s="60">
        <f>INDEX('个人技术总览'!$I$5:$I$46,MATCH($A420,'个人技术总览'!$A$5:$A$46,0))</f>
        <v/>
      </c>
      <c r="L420" s="67">
        <f>H420+V420+IF(E420=G420-1,MAX(0,P420-H420*G420-SUMIFS($V$5:$V$589,$A$5:$A$589,$A420)),0)</f>
        <v/>
      </c>
      <c r="M420" s="61">
        <f>MAX(1,ROUNDDOWN($L420/'参数与公式'!$B$5,0))</f>
        <v/>
      </c>
      <c r="N420" s="67">
        <f>J420+Y420+IF(E420=G420-1,MAX(0,R420-J420*G420-SUMIFS($Y$5:$Y$589,$A$5:$A$589,$A420)),0)</f>
        <v/>
      </c>
      <c r="O420" s="18" t="inlineStr">
        <is>
          <t>data/technology_templates.yaml; upgrade_profiles.martial; code: technology_rules.allocate_upgrade_budget</t>
        </is>
      </c>
      <c r="P420" s="67">
        <f>INDEX('个人技术总览'!$O$5:$O$46,MATCH($A420,'个人技术总览'!$A$5:$A$46,0))</f>
        <v/>
      </c>
      <c r="Q420" s="64">
        <f>INDEX('个人技术总览'!$P$5:$P$46,MATCH($A420,'个人技术总览'!$A$5:$A$46,0))</f>
        <v/>
      </c>
      <c r="R420" s="67">
        <f>INDEX('个人技术总览'!$Q$5:$Q$46,MATCH($A420,'个人技术总览'!$A$5:$A$46,0))</f>
        <v/>
      </c>
      <c r="S420" s="64">
        <f>INDEX('个人技术总览'!$R$5:$R$46,MATCH($A420,'个人技术总览'!$A$5:$A$46,0))</f>
        <v/>
      </c>
      <c r="T420" s="68">
        <f>POWER($Q420,$E420)</f>
        <v/>
      </c>
      <c r="U420" s="68">
        <f>SUMIFS($T$5:$T$589,$A$5:$A$589,$A420)</f>
        <v/>
      </c>
      <c r="V420" s="67">
        <f>ROUNDDOWN(MAX(0,$P420-$H420*$G420)*$T420/MAX(1,$U420),0)</f>
        <v/>
      </c>
      <c r="W420" s="68">
        <f>POWER($S420,$E420)</f>
        <v/>
      </c>
      <c r="X420" s="68">
        <f>SUMIFS($W$5:$W$589,$A$5:$A$589,$A420)</f>
        <v/>
      </c>
      <c r="Y420" s="67">
        <f>ROUNDDOWN(MAX(0,$R420-$J420*$G420)*$W420/MAX(1,$X420),0)</f>
        <v/>
      </c>
    </row>
    <row r="421">
      <c r="A421" s="17" t="inlineStr">
        <is>
          <t>quan_attack</t>
        </is>
      </c>
      <c r="B421" s="18" t="inlineStr">
        <is>
          <t>通背神拳</t>
        </is>
      </c>
      <c r="C421" s="18" t="inlineStr">
        <is>
          <t>武艺技术</t>
        </is>
      </c>
      <c r="D421" s="18" t="inlineStr">
        <is>
          <t>拳类</t>
        </is>
      </c>
      <c r="E421" s="65" t="n">
        <v>6</v>
      </c>
      <c r="F421" s="66">
        <f>E421+1</f>
        <v/>
      </c>
      <c r="G421" s="65">
        <f>INDEX('个人技术总览'!$E$5:$E$46,MATCH($A421,'个人技术总览'!$A$5:$A$46,0))</f>
        <v/>
      </c>
      <c r="H421" s="59">
        <f>INDEX('个人技术总览'!$F$5:$F$46,MATCH($A421,'个人技术总览'!$A$5:$A$46,0))</f>
        <v/>
      </c>
      <c r="I421" s="60">
        <f>INDEX('个人技术总览'!$G$5:$G$46,MATCH($A421,'个人技术总览'!$A$5:$A$46,0))</f>
        <v/>
      </c>
      <c r="J421" s="59">
        <f>INDEX('个人技术总览'!$H$5:$H$46,MATCH($A421,'个人技术总览'!$A$5:$A$46,0))</f>
        <v/>
      </c>
      <c r="K421" s="60">
        <f>INDEX('个人技术总览'!$I$5:$I$46,MATCH($A421,'个人技术总览'!$A$5:$A$46,0))</f>
        <v/>
      </c>
      <c r="L421" s="67">
        <f>H421+V421+IF(E421=G421-1,MAX(0,P421-H421*G421-SUMIFS($V$5:$V$589,$A$5:$A$589,$A421)),0)</f>
        <v/>
      </c>
      <c r="M421" s="61">
        <f>MAX(1,ROUNDDOWN($L421/'参数与公式'!$B$5,0))</f>
        <v/>
      </c>
      <c r="N421" s="67">
        <f>J421+Y421+IF(E421=G421-1,MAX(0,R421-J421*G421-SUMIFS($Y$5:$Y$589,$A$5:$A$589,$A421)),0)</f>
        <v/>
      </c>
      <c r="O421" s="18" t="inlineStr">
        <is>
          <t>data/technology_templates.yaml; upgrade_profiles.martial; code: technology_rules.allocate_upgrade_budget</t>
        </is>
      </c>
      <c r="P421" s="67">
        <f>INDEX('个人技术总览'!$O$5:$O$46,MATCH($A421,'个人技术总览'!$A$5:$A$46,0))</f>
        <v/>
      </c>
      <c r="Q421" s="64">
        <f>INDEX('个人技术总览'!$P$5:$P$46,MATCH($A421,'个人技术总览'!$A$5:$A$46,0))</f>
        <v/>
      </c>
      <c r="R421" s="67">
        <f>INDEX('个人技术总览'!$Q$5:$Q$46,MATCH($A421,'个人技术总览'!$A$5:$A$46,0))</f>
        <v/>
      </c>
      <c r="S421" s="64">
        <f>INDEX('个人技术总览'!$R$5:$R$46,MATCH($A421,'个人技术总览'!$A$5:$A$46,0))</f>
        <v/>
      </c>
      <c r="T421" s="68">
        <f>POWER($Q421,$E421)</f>
        <v/>
      </c>
      <c r="U421" s="68">
        <f>SUMIFS($T$5:$T$589,$A$5:$A$589,$A421)</f>
        <v/>
      </c>
      <c r="V421" s="67">
        <f>ROUNDDOWN(MAX(0,$P421-$H421*$G421)*$T421/MAX(1,$U421),0)</f>
        <v/>
      </c>
      <c r="W421" s="68">
        <f>POWER($S421,$E421)</f>
        <v/>
      </c>
      <c r="X421" s="68">
        <f>SUMIFS($W$5:$W$589,$A$5:$A$589,$A421)</f>
        <v/>
      </c>
      <c r="Y421" s="67">
        <f>ROUNDDOWN(MAX(0,$R421-$J421*$G421)*$W421/MAX(1,$X421),0)</f>
        <v/>
      </c>
    </row>
    <row r="422">
      <c r="A422" s="17" t="inlineStr">
        <is>
          <t>quan_attack</t>
        </is>
      </c>
      <c r="B422" s="18" t="inlineStr">
        <is>
          <t>通背神拳</t>
        </is>
      </c>
      <c r="C422" s="18" t="inlineStr">
        <is>
          <t>武艺技术</t>
        </is>
      </c>
      <c r="D422" s="18" t="inlineStr">
        <is>
          <t>拳类</t>
        </is>
      </c>
      <c r="E422" s="65" t="n">
        <v>7</v>
      </c>
      <c r="F422" s="66">
        <f>E422+1</f>
        <v/>
      </c>
      <c r="G422" s="65">
        <f>INDEX('个人技术总览'!$E$5:$E$46,MATCH($A422,'个人技术总览'!$A$5:$A$46,0))</f>
        <v/>
      </c>
      <c r="H422" s="59">
        <f>INDEX('个人技术总览'!$F$5:$F$46,MATCH($A422,'个人技术总览'!$A$5:$A$46,0))</f>
        <v/>
      </c>
      <c r="I422" s="60">
        <f>INDEX('个人技术总览'!$G$5:$G$46,MATCH($A422,'个人技术总览'!$A$5:$A$46,0))</f>
        <v/>
      </c>
      <c r="J422" s="59">
        <f>INDEX('个人技术总览'!$H$5:$H$46,MATCH($A422,'个人技术总览'!$A$5:$A$46,0))</f>
        <v/>
      </c>
      <c r="K422" s="60">
        <f>INDEX('个人技术总览'!$I$5:$I$46,MATCH($A422,'个人技术总览'!$A$5:$A$46,0))</f>
        <v/>
      </c>
      <c r="L422" s="67">
        <f>H422+V422+IF(E422=G422-1,MAX(0,P422-H422*G422-SUMIFS($V$5:$V$589,$A$5:$A$589,$A422)),0)</f>
        <v/>
      </c>
      <c r="M422" s="61">
        <f>MAX(1,ROUNDDOWN($L422/'参数与公式'!$B$5,0))</f>
        <v/>
      </c>
      <c r="N422" s="67">
        <f>J422+Y422+IF(E422=G422-1,MAX(0,R422-J422*G422-SUMIFS($Y$5:$Y$589,$A$5:$A$589,$A422)),0)</f>
        <v/>
      </c>
      <c r="O422" s="18" t="inlineStr">
        <is>
          <t>data/technology_templates.yaml; upgrade_profiles.martial; code: technology_rules.allocate_upgrade_budget</t>
        </is>
      </c>
      <c r="P422" s="67">
        <f>INDEX('个人技术总览'!$O$5:$O$46,MATCH($A422,'个人技术总览'!$A$5:$A$46,0))</f>
        <v/>
      </c>
      <c r="Q422" s="64">
        <f>INDEX('个人技术总览'!$P$5:$P$46,MATCH($A422,'个人技术总览'!$A$5:$A$46,0))</f>
        <v/>
      </c>
      <c r="R422" s="67">
        <f>INDEX('个人技术总览'!$Q$5:$Q$46,MATCH($A422,'个人技术总览'!$A$5:$A$46,0))</f>
        <v/>
      </c>
      <c r="S422" s="64">
        <f>INDEX('个人技术总览'!$R$5:$R$46,MATCH($A422,'个人技术总览'!$A$5:$A$46,0))</f>
        <v/>
      </c>
      <c r="T422" s="68">
        <f>POWER($Q422,$E422)</f>
        <v/>
      </c>
      <c r="U422" s="68">
        <f>SUMIFS($T$5:$T$589,$A$5:$A$589,$A422)</f>
        <v/>
      </c>
      <c r="V422" s="67">
        <f>ROUNDDOWN(MAX(0,$P422-$H422*$G422)*$T422/MAX(1,$U422),0)</f>
        <v/>
      </c>
      <c r="W422" s="68">
        <f>POWER($S422,$E422)</f>
        <v/>
      </c>
      <c r="X422" s="68">
        <f>SUMIFS($W$5:$W$589,$A$5:$A$589,$A422)</f>
        <v/>
      </c>
      <c r="Y422" s="67">
        <f>ROUNDDOWN(MAX(0,$R422-$J422*$G422)*$W422/MAX(1,$X422),0)</f>
        <v/>
      </c>
    </row>
    <row r="423">
      <c r="A423" s="17" t="inlineStr">
        <is>
          <t>quan_attack</t>
        </is>
      </c>
      <c r="B423" s="18" t="inlineStr">
        <is>
          <t>通背神拳</t>
        </is>
      </c>
      <c r="C423" s="18" t="inlineStr">
        <is>
          <t>武艺技术</t>
        </is>
      </c>
      <c r="D423" s="18" t="inlineStr">
        <is>
          <t>拳类</t>
        </is>
      </c>
      <c r="E423" s="65" t="n">
        <v>8</v>
      </c>
      <c r="F423" s="66">
        <f>E423+1</f>
        <v/>
      </c>
      <c r="G423" s="65">
        <f>INDEX('个人技术总览'!$E$5:$E$46,MATCH($A423,'个人技术总览'!$A$5:$A$46,0))</f>
        <v/>
      </c>
      <c r="H423" s="59">
        <f>INDEX('个人技术总览'!$F$5:$F$46,MATCH($A423,'个人技术总览'!$A$5:$A$46,0))</f>
        <v/>
      </c>
      <c r="I423" s="60">
        <f>INDEX('个人技术总览'!$G$5:$G$46,MATCH($A423,'个人技术总览'!$A$5:$A$46,0))</f>
        <v/>
      </c>
      <c r="J423" s="59">
        <f>INDEX('个人技术总览'!$H$5:$H$46,MATCH($A423,'个人技术总览'!$A$5:$A$46,0))</f>
        <v/>
      </c>
      <c r="K423" s="60">
        <f>INDEX('个人技术总览'!$I$5:$I$46,MATCH($A423,'个人技术总览'!$A$5:$A$46,0))</f>
        <v/>
      </c>
      <c r="L423" s="67">
        <f>H423+V423+IF(E423=G423-1,MAX(0,P423-H423*G423-SUMIFS($V$5:$V$589,$A$5:$A$589,$A423)),0)</f>
        <v/>
      </c>
      <c r="M423" s="61">
        <f>MAX(1,ROUNDDOWN($L423/'参数与公式'!$B$5,0))</f>
        <v/>
      </c>
      <c r="N423" s="67">
        <f>J423+Y423+IF(E423=G423-1,MAX(0,R423-J423*G423-SUMIFS($Y$5:$Y$589,$A$5:$A$589,$A423)),0)</f>
        <v/>
      </c>
      <c r="O423" s="18" t="inlineStr">
        <is>
          <t>data/technology_templates.yaml; upgrade_profiles.martial; code: technology_rules.allocate_upgrade_budget</t>
        </is>
      </c>
      <c r="P423" s="67">
        <f>INDEX('个人技术总览'!$O$5:$O$46,MATCH($A423,'个人技术总览'!$A$5:$A$46,0))</f>
        <v/>
      </c>
      <c r="Q423" s="64">
        <f>INDEX('个人技术总览'!$P$5:$P$46,MATCH($A423,'个人技术总览'!$A$5:$A$46,0))</f>
        <v/>
      </c>
      <c r="R423" s="67">
        <f>INDEX('个人技术总览'!$Q$5:$Q$46,MATCH($A423,'个人技术总览'!$A$5:$A$46,0))</f>
        <v/>
      </c>
      <c r="S423" s="64">
        <f>INDEX('个人技术总览'!$R$5:$R$46,MATCH($A423,'个人技术总览'!$A$5:$A$46,0))</f>
        <v/>
      </c>
      <c r="T423" s="68">
        <f>POWER($Q423,$E423)</f>
        <v/>
      </c>
      <c r="U423" s="68">
        <f>SUMIFS($T$5:$T$589,$A$5:$A$589,$A423)</f>
        <v/>
      </c>
      <c r="V423" s="67">
        <f>ROUNDDOWN(MAX(0,$P423-$H423*$G423)*$T423/MAX(1,$U423),0)</f>
        <v/>
      </c>
      <c r="W423" s="68">
        <f>POWER($S423,$E423)</f>
        <v/>
      </c>
      <c r="X423" s="68">
        <f>SUMIFS($W$5:$W$589,$A$5:$A$589,$A423)</f>
        <v/>
      </c>
      <c r="Y423" s="67">
        <f>ROUNDDOWN(MAX(0,$R423-$J423*$G423)*$W423/MAX(1,$X423),0)</f>
        <v/>
      </c>
    </row>
    <row r="424">
      <c r="A424" s="17" t="inlineStr">
        <is>
          <t>quan_attack</t>
        </is>
      </c>
      <c r="B424" s="18" t="inlineStr">
        <is>
          <t>通背神拳</t>
        </is>
      </c>
      <c r="C424" s="18" t="inlineStr">
        <is>
          <t>武艺技术</t>
        </is>
      </c>
      <c r="D424" s="18" t="inlineStr">
        <is>
          <t>拳类</t>
        </is>
      </c>
      <c r="E424" s="65" t="n">
        <v>9</v>
      </c>
      <c r="F424" s="66">
        <f>E424+1</f>
        <v/>
      </c>
      <c r="G424" s="65">
        <f>INDEX('个人技术总览'!$E$5:$E$46,MATCH($A424,'个人技术总览'!$A$5:$A$46,0))</f>
        <v/>
      </c>
      <c r="H424" s="59">
        <f>INDEX('个人技术总览'!$F$5:$F$46,MATCH($A424,'个人技术总览'!$A$5:$A$46,0))</f>
        <v/>
      </c>
      <c r="I424" s="60">
        <f>INDEX('个人技术总览'!$G$5:$G$46,MATCH($A424,'个人技术总览'!$A$5:$A$46,0))</f>
        <v/>
      </c>
      <c r="J424" s="59">
        <f>INDEX('个人技术总览'!$H$5:$H$46,MATCH($A424,'个人技术总览'!$A$5:$A$46,0))</f>
        <v/>
      </c>
      <c r="K424" s="60">
        <f>INDEX('个人技术总览'!$I$5:$I$46,MATCH($A424,'个人技术总览'!$A$5:$A$46,0))</f>
        <v/>
      </c>
      <c r="L424" s="67">
        <f>H424+V424+IF(E424=G424-1,MAX(0,P424-H424*G424-SUMIFS($V$5:$V$589,$A$5:$A$589,$A424)),0)</f>
        <v/>
      </c>
      <c r="M424" s="61">
        <f>MAX(1,ROUNDDOWN($L424/'参数与公式'!$B$5,0))</f>
        <v/>
      </c>
      <c r="N424" s="67">
        <f>J424+Y424+IF(E424=G424-1,MAX(0,R424-J424*G424-SUMIFS($Y$5:$Y$589,$A$5:$A$589,$A424)),0)</f>
        <v/>
      </c>
      <c r="O424" s="18" t="inlineStr">
        <is>
          <t>data/technology_templates.yaml; upgrade_profiles.martial; code: technology_rules.allocate_upgrade_budget</t>
        </is>
      </c>
      <c r="P424" s="67">
        <f>INDEX('个人技术总览'!$O$5:$O$46,MATCH($A424,'个人技术总览'!$A$5:$A$46,0))</f>
        <v/>
      </c>
      <c r="Q424" s="64">
        <f>INDEX('个人技术总览'!$P$5:$P$46,MATCH($A424,'个人技术总览'!$A$5:$A$46,0))</f>
        <v/>
      </c>
      <c r="R424" s="67">
        <f>INDEX('个人技术总览'!$Q$5:$Q$46,MATCH($A424,'个人技术总览'!$A$5:$A$46,0))</f>
        <v/>
      </c>
      <c r="S424" s="64">
        <f>INDEX('个人技术总览'!$R$5:$R$46,MATCH($A424,'个人技术总览'!$A$5:$A$46,0))</f>
        <v/>
      </c>
      <c r="T424" s="68">
        <f>POWER($Q424,$E424)</f>
        <v/>
      </c>
      <c r="U424" s="68">
        <f>SUMIFS($T$5:$T$589,$A$5:$A$589,$A424)</f>
        <v/>
      </c>
      <c r="V424" s="67">
        <f>ROUNDDOWN(MAX(0,$P424-$H424*$G424)*$T424/MAX(1,$U424),0)</f>
        <v/>
      </c>
      <c r="W424" s="68">
        <f>POWER($S424,$E424)</f>
        <v/>
      </c>
      <c r="X424" s="68">
        <f>SUMIFS($W$5:$W$589,$A$5:$A$589,$A424)</f>
        <v/>
      </c>
      <c r="Y424" s="67">
        <f>ROUNDDOWN(MAX(0,$R424-$J424*$G424)*$W424/MAX(1,$X424),0)</f>
        <v/>
      </c>
    </row>
    <row r="425">
      <c r="A425" s="17" t="inlineStr">
        <is>
          <t>quan_defense</t>
        </is>
      </c>
      <c r="B425" s="18" t="inlineStr">
        <is>
          <t>金钟罩体</t>
        </is>
      </c>
      <c r="C425" s="18" t="inlineStr">
        <is>
          <t>武艺技术</t>
        </is>
      </c>
      <c r="D425" s="18" t="inlineStr">
        <is>
          <t>拳类</t>
        </is>
      </c>
      <c r="E425" s="65" t="n">
        <v>0</v>
      </c>
      <c r="F425" s="66">
        <f>E425+1</f>
        <v/>
      </c>
      <c r="G425" s="65">
        <f>INDEX('个人技术总览'!$E$5:$E$46,MATCH($A425,'个人技术总览'!$A$5:$A$46,0))</f>
        <v/>
      </c>
      <c r="H425" s="59">
        <f>INDEX('个人技术总览'!$F$5:$F$46,MATCH($A425,'个人技术总览'!$A$5:$A$46,0))</f>
        <v/>
      </c>
      <c r="I425" s="60">
        <f>INDEX('个人技术总览'!$G$5:$G$46,MATCH($A425,'个人技术总览'!$A$5:$A$46,0))</f>
        <v/>
      </c>
      <c r="J425" s="59">
        <f>INDEX('个人技术总览'!$H$5:$H$46,MATCH($A425,'个人技术总览'!$A$5:$A$46,0))</f>
        <v/>
      </c>
      <c r="K425" s="60">
        <f>INDEX('个人技术总览'!$I$5:$I$46,MATCH($A425,'个人技术总览'!$A$5:$A$46,0))</f>
        <v/>
      </c>
      <c r="L425" s="67">
        <f>H425+V425+IF(E425=G425-1,MAX(0,P425-H425*G425-SUMIFS($V$5:$V$589,$A$5:$A$589,$A425)),0)</f>
        <v/>
      </c>
      <c r="M425" s="61">
        <f>MAX(1,ROUNDDOWN($L425/'参数与公式'!$B$5,0))</f>
        <v/>
      </c>
      <c r="N425" s="67">
        <f>J425+Y425+IF(E425=G425-1,MAX(0,R425-J425*G425-SUMIFS($Y$5:$Y$589,$A$5:$A$589,$A425)),0)</f>
        <v/>
      </c>
      <c r="O425" s="18" t="inlineStr">
        <is>
          <t>data/technology_templates.yaml; upgrade_profiles.martial; code: technology_rules.allocate_upgrade_budget</t>
        </is>
      </c>
      <c r="P425" s="67">
        <f>INDEX('个人技术总览'!$O$5:$O$46,MATCH($A425,'个人技术总览'!$A$5:$A$46,0))</f>
        <v/>
      </c>
      <c r="Q425" s="64">
        <f>INDEX('个人技术总览'!$P$5:$P$46,MATCH($A425,'个人技术总览'!$A$5:$A$46,0))</f>
        <v/>
      </c>
      <c r="R425" s="67">
        <f>INDEX('个人技术总览'!$Q$5:$Q$46,MATCH($A425,'个人技术总览'!$A$5:$A$46,0))</f>
        <v/>
      </c>
      <c r="S425" s="64">
        <f>INDEX('个人技术总览'!$R$5:$R$46,MATCH($A425,'个人技术总览'!$A$5:$A$46,0))</f>
        <v/>
      </c>
      <c r="T425" s="68">
        <f>POWER($Q425,$E425)</f>
        <v/>
      </c>
      <c r="U425" s="68">
        <f>SUMIFS($T$5:$T$589,$A$5:$A$589,$A425)</f>
        <v/>
      </c>
      <c r="V425" s="67">
        <f>ROUNDDOWN(MAX(0,$P425-$H425*$G425)*$T425/MAX(1,$U425),0)</f>
        <v/>
      </c>
      <c r="W425" s="68">
        <f>POWER($S425,$E425)</f>
        <v/>
      </c>
      <c r="X425" s="68">
        <f>SUMIFS($W$5:$W$589,$A$5:$A$589,$A425)</f>
        <v/>
      </c>
      <c r="Y425" s="67">
        <f>ROUNDDOWN(MAX(0,$R425-$J425*$G425)*$W425/MAX(1,$X425),0)</f>
        <v/>
      </c>
    </row>
    <row r="426">
      <c r="A426" s="17" t="inlineStr">
        <is>
          <t>quan_defense</t>
        </is>
      </c>
      <c r="B426" s="18" t="inlineStr">
        <is>
          <t>金钟罩体</t>
        </is>
      </c>
      <c r="C426" s="18" t="inlineStr">
        <is>
          <t>武艺技术</t>
        </is>
      </c>
      <c r="D426" s="18" t="inlineStr">
        <is>
          <t>拳类</t>
        </is>
      </c>
      <c r="E426" s="65" t="n">
        <v>1</v>
      </c>
      <c r="F426" s="66">
        <f>E426+1</f>
        <v/>
      </c>
      <c r="G426" s="65">
        <f>INDEX('个人技术总览'!$E$5:$E$46,MATCH($A426,'个人技术总览'!$A$5:$A$46,0))</f>
        <v/>
      </c>
      <c r="H426" s="59">
        <f>INDEX('个人技术总览'!$F$5:$F$46,MATCH($A426,'个人技术总览'!$A$5:$A$46,0))</f>
        <v/>
      </c>
      <c r="I426" s="60">
        <f>INDEX('个人技术总览'!$G$5:$G$46,MATCH($A426,'个人技术总览'!$A$5:$A$46,0))</f>
        <v/>
      </c>
      <c r="J426" s="59">
        <f>INDEX('个人技术总览'!$H$5:$H$46,MATCH($A426,'个人技术总览'!$A$5:$A$46,0))</f>
        <v/>
      </c>
      <c r="K426" s="60">
        <f>INDEX('个人技术总览'!$I$5:$I$46,MATCH($A426,'个人技术总览'!$A$5:$A$46,0))</f>
        <v/>
      </c>
      <c r="L426" s="67">
        <f>H426+V426+IF(E426=G426-1,MAX(0,P426-H426*G426-SUMIFS($V$5:$V$589,$A$5:$A$589,$A426)),0)</f>
        <v/>
      </c>
      <c r="M426" s="61">
        <f>MAX(1,ROUNDDOWN($L426/'参数与公式'!$B$5,0))</f>
        <v/>
      </c>
      <c r="N426" s="67">
        <f>J426+Y426+IF(E426=G426-1,MAX(0,R426-J426*G426-SUMIFS($Y$5:$Y$589,$A$5:$A$589,$A426)),0)</f>
        <v/>
      </c>
      <c r="O426" s="18" t="inlineStr">
        <is>
          <t>data/technology_templates.yaml; upgrade_profiles.martial; code: technology_rules.allocate_upgrade_budget</t>
        </is>
      </c>
      <c r="P426" s="67">
        <f>INDEX('个人技术总览'!$O$5:$O$46,MATCH($A426,'个人技术总览'!$A$5:$A$46,0))</f>
        <v/>
      </c>
      <c r="Q426" s="64">
        <f>INDEX('个人技术总览'!$P$5:$P$46,MATCH($A426,'个人技术总览'!$A$5:$A$46,0))</f>
        <v/>
      </c>
      <c r="R426" s="67">
        <f>INDEX('个人技术总览'!$Q$5:$Q$46,MATCH($A426,'个人技术总览'!$A$5:$A$46,0))</f>
        <v/>
      </c>
      <c r="S426" s="64">
        <f>INDEX('个人技术总览'!$R$5:$R$46,MATCH($A426,'个人技术总览'!$A$5:$A$46,0))</f>
        <v/>
      </c>
      <c r="T426" s="68">
        <f>POWER($Q426,$E426)</f>
        <v/>
      </c>
      <c r="U426" s="68">
        <f>SUMIFS($T$5:$T$589,$A$5:$A$589,$A426)</f>
        <v/>
      </c>
      <c r="V426" s="67">
        <f>ROUNDDOWN(MAX(0,$P426-$H426*$G426)*$T426/MAX(1,$U426),0)</f>
        <v/>
      </c>
      <c r="W426" s="68">
        <f>POWER($S426,$E426)</f>
        <v/>
      </c>
      <c r="X426" s="68">
        <f>SUMIFS($W$5:$W$589,$A$5:$A$589,$A426)</f>
        <v/>
      </c>
      <c r="Y426" s="67">
        <f>ROUNDDOWN(MAX(0,$R426-$J426*$G426)*$W426/MAX(1,$X426),0)</f>
        <v/>
      </c>
    </row>
    <row r="427">
      <c r="A427" s="17" t="inlineStr">
        <is>
          <t>quan_defense</t>
        </is>
      </c>
      <c r="B427" s="18" t="inlineStr">
        <is>
          <t>金钟罩体</t>
        </is>
      </c>
      <c r="C427" s="18" t="inlineStr">
        <is>
          <t>武艺技术</t>
        </is>
      </c>
      <c r="D427" s="18" t="inlineStr">
        <is>
          <t>拳类</t>
        </is>
      </c>
      <c r="E427" s="65" t="n">
        <v>2</v>
      </c>
      <c r="F427" s="66">
        <f>E427+1</f>
        <v/>
      </c>
      <c r="G427" s="65">
        <f>INDEX('个人技术总览'!$E$5:$E$46,MATCH($A427,'个人技术总览'!$A$5:$A$46,0))</f>
        <v/>
      </c>
      <c r="H427" s="59">
        <f>INDEX('个人技术总览'!$F$5:$F$46,MATCH($A427,'个人技术总览'!$A$5:$A$46,0))</f>
        <v/>
      </c>
      <c r="I427" s="60">
        <f>INDEX('个人技术总览'!$G$5:$G$46,MATCH($A427,'个人技术总览'!$A$5:$A$46,0))</f>
        <v/>
      </c>
      <c r="J427" s="59">
        <f>INDEX('个人技术总览'!$H$5:$H$46,MATCH($A427,'个人技术总览'!$A$5:$A$46,0))</f>
        <v/>
      </c>
      <c r="K427" s="60">
        <f>INDEX('个人技术总览'!$I$5:$I$46,MATCH($A427,'个人技术总览'!$A$5:$A$46,0))</f>
        <v/>
      </c>
      <c r="L427" s="67">
        <f>H427+V427+IF(E427=G427-1,MAX(0,P427-H427*G427-SUMIFS($V$5:$V$589,$A$5:$A$589,$A427)),0)</f>
        <v/>
      </c>
      <c r="M427" s="61">
        <f>MAX(1,ROUNDDOWN($L427/'参数与公式'!$B$5,0))</f>
        <v/>
      </c>
      <c r="N427" s="67">
        <f>J427+Y427+IF(E427=G427-1,MAX(0,R427-J427*G427-SUMIFS($Y$5:$Y$589,$A$5:$A$589,$A427)),0)</f>
        <v/>
      </c>
      <c r="O427" s="18" t="inlineStr">
        <is>
          <t>data/technology_templates.yaml; upgrade_profiles.martial; code: technology_rules.allocate_upgrade_budget</t>
        </is>
      </c>
      <c r="P427" s="67">
        <f>INDEX('个人技术总览'!$O$5:$O$46,MATCH($A427,'个人技术总览'!$A$5:$A$46,0))</f>
        <v/>
      </c>
      <c r="Q427" s="64">
        <f>INDEX('个人技术总览'!$P$5:$P$46,MATCH($A427,'个人技术总览'!$A$5:$A$46,0))</f>
        <v/>
      </c>
      <c r="R427" s="67">
        <f>INDEX('个人技术总览'!$Q$5:$Q$46,MATCH($A427,'个人技术总览'!$A$5:$A$46,0))</f>
        <v/>
      </c>
      <c r="S427" s="64">
        <f>INDEX('个人技术总览'!$R$5:$R$46,MATCH($A427,'个人技术总览'!$A$5:$A$46,0))</f>
        <v/>
      </c>
      <c r="T427" s="68">
        <f>POWER($Q427,$E427)</f>
        <v/>
      </c>
      <c r="U427" s="68">
        <f>SUMIFS($T$5:$T$589,$A$5:$A$589,$A427)</f>
        <v/>
      </c>
      <c r="V427" s="67">
        <f>ROUNDDOWN(MAX(0,$P427-$H427*$G427)*$T427/MAX(1,$U427),0)</f>
        <v/>
      </c>
      <c r="W427" s="68">
        <f>POWER($S427,$E427)</f>
        <v/>
      </c>
      <c r="X427" s="68">
        <f>SUMIFS($W$5:$W$589,$A$5:$A$589,$A427)</f>
        <v/>
      </c>
      <c r="Y427" s="67">
        <f>ROUNDDOWN(MAX(0,$R427-$J427*$G427)*$W427/MAX(1,$X427),0)</f>
        <v/>
      </c>
    </row>
    <row r="428">
      <c r="A428" s="17" t="inlineStr">
        <is>
          <t>quan_defense</t>
        </is>
      </c>
      <c r="B428" s="18" t="inlineStr">
        <is>
          <t>金钟罩体</t>
        </is>
      </c>
      <c r="C428" s="18" t="inlineStr">
        <is>
          <t>武艺技术</t>
        </is>
      </c>
      <c r="D428" s="18" t="inlineStr">
        <is>
          <t>拳类</t>
        </is>
      </c>
      <c r="E428" s="65" t="n">
        <v>3</v>
      </c>
      <c r="F428" s="66">
        <f>E428+1</f>
        <v/>
      </c>
      <c r="G428" s="65">
        <f>INDEX('个人技术总览'!$E$5:$E$46,MATCH($A428,'个人技术总览'!$A$5:$A$46,0))</f>
        <v/>
      </c>
      <c r="H428" s="59">
        <f>INDEX('个人技术总览'!$F$5:$F$46,MATCH($A428,'个人技术总览'!$A$5:$A$46,0))</f>
        <v/>
      </c>
      <c r="I428" s="60">
        <f>INDEX('个人技术总览'!$G$5:$G$46,MATCH($A428,'个人技术总览'!$A$5:$A$46,0))</f>
        <v/>
      </c>
      <c r="J428" s="59">
        <f>INDEX('个人技术总览'!$H$5:$H$46,MATCH($A428,'个人技术总览'!$A$5:$A$46,0))</f>
        <v/>
      </c>
      <c r="K428" s="60">
        <f>INDEX('个人技术总览'!$I$5:$I$46,MATCH($A428,'个人技术总览'!$A$5:$A$46,0))</f>
        <v/>
      </c>
      <c r="L428" s="67">
        <f>H428+V428+IF(E428=G428-1,MAX(0,P428-H428*G428-SUMIFS($V$5:$V$589,$A$5:$A$589,$A428)),0)</f>
        <v/>
      </c>
      <c r="M428" s="61">
        <f>MAX(1,ROUNDDOWN($L428/'参数与公式'!$B$5,0))</f>
        <v/>
      </c>
      <c r="N428" s="67">
        <f>J428+Y428+IF(E428=G428-1,MAX(0,R428-J428*G428-SUMIFS($Y$5:$Y$589,$A$5:$A$589,$A428)),0)</f>
        <v/>
      </c>
      <c r="O428" s="18" t="inlineStr">
        <is>
          <t>data/technology_templates.yaml; upgrade_profiles.martial; code: technology_rules.allocate_upgrade_budget</t>
        </is>
      </c>
      <c r="P428" s="67">
        <f>INDEX('个人技术总览'!$O$5:$O$46,MATCH($A428,'个人技术总览'!$A$5:$A$46,0))</f>
        <v/>
      </c>
      <c r="Q428" s="64">
        <f>INDEX('个人技术总览'!$P$5:$P$46,MATCH($A428,'个人技术总览'!$A$5:$A$46,0))</f>
        <v/>
      </c>
      <c r="R428" s="67">
        <f>INDEX('个人技术总览'!$Q$5:$Q$46,MATCH($A428,'个人技术总览'!$A$5:$A$46,0))</f>
        <v/>
      </c>
      <c r="S428" s="64">
        <f>INDEX('个人技术总览'!$R$5:$R$46,MATCH($A428,'个人技术总览'!$A$5:$A$46,0))</f>
        <v/>
      </c>
      <c r="T428" s="68">
        <f>POWER($Q428,$E428)</f>
        <v/>
      </c>
      <c r="U428" s="68">
        <f>SUMIFS($T$5:$T$589,$A$5:$A$589,$A428)</f>
        <v/>
      </c>
      <c r="V428" s="67">
        <f>ROUNDDOWN(MAX(0,$P428-$H428*$G428)*$T428/MAX(1,$U428),0)</f>
        <v/>
      </c>
      <c r="W428" s="68">
        <f>POWER($S428,$E428)</f>
        <v/>
      </c>
      <c r="X428" s="68">
        <f>SUMIFS($W$5:$W$589,$A$5:$A$589,$A428)</f>
        <v/>
      </c>
      <c r="Y428" s="67">
        <f>ROUNDDOWN(MAX(0,$R428-$J428*$G428)*$W428/MAX(1,$X428),0)</f>
        <v/>
      </c>
    </row>
    <row r="429">
      <c r="A429" s="17" t="inlineStr">
        <is>
          <t>quan_defense</t>
        </is>
      </c>
      <c r="B429" s="18" t="inlineStr">
        <is>
          <t>金钟罩体</t>
        </is>
      </c>
      <c r="C429" s="18" t="inlineStr">
        <is>
          <t>武艺技术</t>
        </is>
      </c>
      <c r="D429" s="18" t="inlineStr">
        <is>
          <t>拳类</t>
        </is>
      </c>
      <c r="E429" s="65" t="n">
        <v>4</v>
      </c>
      <c r="F429" s="66">
        <f>E429+1</f>
        <v/>
      </c>
      <c r="G429" s="65">
        <f>INDEX('个人技术总览'!$E$5:$E$46,MATCH($A429,'个人技术总览'!$A$5:$A$46,0))</f>
        <v/>
      </c>
      <c r="H429" s="59">
        <f>INDEX('个人技术总览'!$F$5:$F$46,MATCH($A429,'个人技术总览'!$A$5:$A$46,0))</f>
        <v/>
      </c>
      <c r="I429" s="60">
        <f>INDEX('个人技术总览'!$G$5:$G$46,MATCH($A429,'个人技术总览'!$A$5:$A$46,0))</f>
        <v/>
      </c>
      <c r="J429" s="59">
        <f>INDEX('个人技术总览'!$H$5:$H$46,MATCH($A429,'个人技术总览'!$A$5:$A$46,0))</f>
        <v/>
      </c>
      <c r="K429" s="60">
        <f>INDEX('个人技术总览'!$I$5:$I$46,MATCH($A429,'个人技术总览'!$A$5:$A$46,0))</f>
        <v/>
      </c>
      <c r="L429" s="67">
        <f>H429+V429+IF(E429=G429-1,MAX(0,P429-H429*G429-SUMIFS($V$5:$V$589,$A$5:$A$589,$A429)),0)</f>
        <v/>
      </c>
      <c r="M429" s="61">
        <f>MAX(1,ROUNDDOWN($L429/'参数与公式'!$B$5,0))</f>
        <v/>
      </c>
      <c r="N429" s="67">
        <f>J429+Y429+IF(E429=G429-1,MAX(0,R429-J429*G429-SUMIFS($Y$5:$Y$589,$A$5:$A$589,$A429)),0)</f>
        <v/>
      </c>
      <c r="O429" s="18" t="inlineStr">
        <is>
          <t>data/technology_templates.yaml; upgrade_profiles.martial; code: technology_rules.allocate_upgrade_budget</t>
        </is>
      </c>
      <c r="P429" s="67">
        <f>INDEX('个人技术总览'!$O$5:$O$46,MATCH($A429,'个人技术总览'!$A$5:$A$46,0))</f>
        <v/>
      </c>
      <c r="Q429" s="64">
        <f>INDEX('个人技术总览'!$P$5:$P$46,MATCH($A429,'个人技术总览'!$A$5:$A$46,0))</f>
        <v/>
      </c>
      <c r="R429" s="67">
        <f>INDEX('个人技术总览'!$Q$5:$Q$46,MATCH($A429,'个人技术总览'!$A$5:$A$46,0))</f>
        <v/>
      </c>
      <c r="S429" s="64">
        <f>INDEX('个人技术总览'!$R$5:$R$46,MATCH($A429,'个人技术总览'!$A$5:$A$46,0))</f>
        <v/>
      </c>
      <c r="T429" s="68">
        <f>POWER($Q429,$E429)</f>
        <v/>
      </c>
      <c r="U429" s="68">
        <f>SUMIFS($T$5:$T$589,$A$5:$A$589,$A429)</f>
        <v/>
      </c>
      <c r="V429" s="67">
        <f>ROUNDDOWN(MAX(0,$P429-$H429*$G429)*$T429/MAX(1,$U429),0)</f>
        <v/>
      </c>
      <c r="W429" s="68">
        <f>POWER($S429,$E429)</f>
        <v/>
      </c>
      <c r="X429" s="68">
        <f>SUMIFS($W$5:$W$589,$A$5:$A$589,$A429)</f>
        <v/>
      </c>
      <c r="Y429" s="67">
        <f>ROUNDDOWN(MAX(0,$R429-$J429*$G429)*$W429/MAX(1,$X429),0)</f>
        <v/>
      </c>
    </row>
    <row r="430">
      <c r="A430" s="17" t="inlineStr">
        <is>
          <t>quan_defense</t>
        </is>
      </c>
      <c r="B430" s="18" t="inlineStr">
        <is>
          <t>金钟罩体</t>
        </is>
      </c>
      <c r="C430" s="18" t="inlineStr">
        <is>
          <t>武艺技术</t>
        </is>
      </c>
      <c r="D430" s="18" t="inlineStr">
        <is>
          <t>拳类</t>
        </is>
      </c>
      <c r="E430" s="65" t="n">
        <v>5</v>
      </c>
      <c r="F430" s="66">
        <f>E430+1</f>
        <v/>
      </c>
      <c r="G430" s="65">
        <f>INDEX('个人技术总览'!$E$5:$E$46,MATCH($A430,'个人技术总览'!$A$5:$A$46,0))</f>
        <v/>
      </c>
      <c r="H430" s="59">
        <f>INDEX('个人技术总览'!$F$5:$F$46,MATCH($A430,'个人技术总览'!$A$5:$A$46,0))</f>
        <v/>
      </c>
      <c r="I430" s="60">
        <f>INDEX('个人技术总览'!$G$5:$G$46,MATCH($A430,'个人技术总览'!$A$5:$A$46,0))</f>
        <v/>
      </c>
      <c r="J430" s="59">
        <f>INDEX('个人技术总览'!$H$5:$H$46,MATCH($A430,'个人技术总览'!$A$5:$A$46,0))</f>
        <v/>
      </c>
      <c r="K430" s="60">
        <f>INDEX('个人技术总览'!$I$5:$I$46,MATCH($A430,'个人技术总览'!$A$5:$A$46,0))</f>
        <v/>
      </c>
      <c r="L430" s="67">
        <f>H430+V430+IF(E430=G430-1,MAX(0,P430-H430*G430-SUMIFS($V$5:$V$589,$A$5:$A$589,$A430)),0)</f>
        <v/>
      </c>
      <c r="M430" s="61">
        <f>MAX(1,ROUNDDOWN($L430/'参数与公式'!$B$5,0))</f>
        <v/>
      </c>
      <c r="N430" s="67">
        <f>J430+Y430+IF(E430=G430-1,MAX(0,R430-J430*G430-SUMIFS($Y$5:$Y$589,$A$5:$A$589,$A430)),0)</f>
        <v/>
      </c>
      <c r="O430" s="18" t="inlineStr">
        <is>
          <t>data/technology_templates.yaml; upgrade_profiles.martial; code: technology_rules.allocate_upgrade_budget</t>
        </is>
      </c>
      <c r="P430" s="67">
        <f>INDEX('个人技术总览'!$O$5:$O$46,MATCH($A430,'个人技术总览'!$A$5:$A$46,0))</f>
        <v/>
      </c>
      <c r="Q430" s="64">
        <f>INDEX('个人技术总览'!$P$5:$P$46,MATCH($A430,'个人技术总览'!$A$5:$A$46,0))</f>
        <v/>
      </c>
      <c r="R430" s="67">
        <f>INDEX('个人技术总览'!$Q$5:$Q$46,MATCH($A430,'个人技术总览'!$A$5:$A$46,0))</f>
        <v/>
      </c>
      <c r="S430" s="64">
        <f>INDEX('个人技术总览'!$R$5:$R$46,MATCH($A430,'个人技术总览'!$A$5:$A$46,0))</f>
        <v/>
      </c>
      <c r="T430" s="68">
        <f>POWER($Q430,$E430)</f>
        <v/>
      </c>
      <c r="U430" s="68">
        <f>SUMIFS($T$5:$T$589,$A$5:$A$589,$A430)</f>
        <v/>
      </c>
      <c r="V430" s="67">
        <f>ROUNDDOWN(MAX(0,$P430-$H430*$G430)*$T430/MAX(1,$U430),0)</f>
        <v/>
      </c>
      <c r="W430" s="68">
        <f>POWER($S430,$E430)</f>
        <v/>
      </c>
      <c r="X430" s="68">
        <f>SUMIFS($W$5:$W$589,$A$5:$A$589,$A430)</f>
        <v/>
      </c>
      <c r="Y430" s="67">
        <f>ROUNDDOWN(MAX(0,$R430-$J430*$G430)*$W430/MAX(1,$X430),0)</f>
        <v/>
      </c>
    </row>
    <row r="431">
      <c r="A431" s="17" t="inlineStr">
        <is>
          <t>quan_defense</t>
        </is>
      </c>
      <c r="B431" s="18" t="inlineStr">
        <is>
          <t>金钟罩体</t>
        </is>
      </c>
      <c r="C431" s="18" t="inlineStr">
        <is>
          <t>武艺技术</t>
        </is>
      </c>
      <c r="D431" s="18" t="inlineStr">
        <is>
          <t>拳类</t>
        </is>
      </c>
      <c r="E431" s="65" t="n">
        <v>6</v>
      </c>
      <c r="F431" s="66">
        <f>E431+1</f>
        <v/>
      </c>
      <c r="G431" s="65">
        <f>INDEX('个人技术总览'!$E$5:$E$46,MATCH($A431,'个人技术总览'!$A$5:$A$46,0))</f>
        <v/>
      </c>
      <c r="H431" s="59">
        <f>INDEX('个人技术总览'!$F$5:$F$46,MATCH($A431,'个人技术总览'!$A$5:$A$46,0))</f>
        <v/>
      </c>
      <c r="I431" s="60">
        <f>INDEX('个人技术总览'!$G$5:$G$46,MATCH($A431,'个人技术总览'!$A$5:$A$46,0))</f>
        <v/>
      </c>
      <c r="J431" s="59">
        <f>INDEX('个人技术总览'!$H$5:$H$46,MATCH($A431,'个人技术总览'!$A$5:$A$46,0))</f>
        <v/>
      </c>
      <c r="K431" s="60">
        <f>INDEX('个人技术总览'!$I$5:$I$46,MATCH($A431,'个人技术总览'!$A$5:$A$46,0))</f>
        <v/>
      </c>
      <c r="L431" s="67">
        <f>H431+V431+IF(E431=G431-1,MAX(0,P431-H431*G431-SUMIFS($V$5:$V$589,$A$5:$A$589,$A431)),0)</f>
        <v/>
      </c>
      <c r="M431" s="61">
        <f>MAX(1,ROUNDDOWN($L431/'参数与公式'!$B$5,0))</f>
        <v/>
      </c>
      <c r="N431" s="67">
        <f>J431+Y431+IF(E431=G431-1,MAX(0,R431-J431*G431-SUMIFS($Y$5:$Y$589,$A$5:$A$589,$A431)),0)</f>
        <v/>
      </c>
      <c r="O431" s="18" t="inlineStr">
        <is>
          <t>data/technology_templates.yaml; upgrade_profiles.martial; code: technology_rules.allocate_upgrade_budget</t>
        </is>
      </c>
      <c r="P431" s="67">
        <f>INDEX('个人技术总览'!$O$5:$O$46,MATCH($A431,'个人技术总览'!$A$5:$A$46,0))</f>
        <v/>
      </c>
      <c r="Q431" s="64">
        <f>INDEX('个人技术总览'!$P$5:$P$46,MATCH($A431,'个人技术总览'!$A$5:$A$46,0))</f>
        <v/>
      </c>
      <c r="R431" s="67">
        <f>INDEX('个人技术总览'!$Q$5:$Q$46,MATCH($A431,'个人技术总览'!$A$5:$A$46,0))</f>
        <v/>
      </c>
      <c r="S431" s="64">
        <f>INDEX('个人技术总览'!$R$5:$R$46,MATCH($A431,'个人技术总览'!$A$5:$A$46,0))</f>
        <v/>
      </c>
      <c r="T431" s="68">
        <f>POWER($Q431,$E431)</f>
        <v/>
      </c>
      <c r="U431" s="68">
        <f>SUMIFS($T$5:$T$589,$A$5:$A$589,$A431)</f>
        <v/>
      </c>
      <c r="V431" s="67">
        <f>ROUNDDOWN(MAX(0,$P431-$H431*$G431)*$T431/MAX(1,$U431),0)</f>
        <v/>
      </c>
      <c r="W431" s="68">
        <f>POWER($S431,$E431)</f>
        <v/>
      </c>
      <c r="X431" s="68">
        <f>SUMIFS($W$5:$W$589,$A$5:$A$589,$A431)</f>
        <v/>
      </c>
      <c r="Y431" s="67">
        <f>ROUNDDOWN(MAX(0,$R431-$J431*$G431)*$W431/MAX(1,$X431),0)</f>
        <v/>
      </c>
    </row>
    <row r="432">
      <c r="A432" s="17" t="inlineStr">
        <is>
          <t>quan_defense</t>
        </is>
      </c>
      <c r="B432" s="18" t="inlineStr">
        <is>
          <t>金钟罩体</t>
        </is>
      </c>
      <c r="C432" s="18" t="inlineStr">
        <is>
          <t>武艺技术</t>
        </is>
      </c>
      <c r="D432" s="18" t="inlineStr">
        <is>
          <t>拳类</t>
        </is>
      </c>
      <c r="E432" s="65" t="n">
        <v>7</v>
      </c>
      <c r="F432" s="66">
        <f>E432+1</f>
        <v/>
      </c>
      <c r="G432" s="65">
        <f>INDEX('个人技术总览'!$E$5:$E$46,MATCH($A432,'个人技术总览'!$A$5:$A$46,0))</f>
        <v/>
      </c>
      <c r="H432" s="59">
        <f>INDEX('个人技术总览'!$F$5:$F$46,MATCH($A432,'个人技术总览'!$A$5:$A$46,0))</f>
        <v/>
      </c>
      <c r="I432" s="60">
        <f>INDEX('个人技术总览'!$G$5:$G$46,MATCH($A432,'个人技术总览'!$A$5:$A$46,0))</f>
        <v/>
      </c>
      <c r="J432" s="59">
        <f>INDEX('个人技术总览'!$H$5:$H$46,MATCH($A432,'个人技术总览'!$A$5:$A$46,0))</f>
        <v/>
      </c>
      <c r="K432" s="60">
        <f>INDEX('个人技术总览'!$I$5:$I$46,MATCH($A432,'个人技术总览'!$A$5:$A$46,0))</f>
        <v/>
      </c>
      <c r="L432" s="67">
        <f>H432+V432+IF(E432=G432-1,MAX(0,P432-H432*G432-SUMIFS($V$5:$V$589,$A$5:$A$589,$A432)),0)</f>
        <v/>
      </c>
      <c r="M432" s="61">
        <f>MAX(1,ROUNDDOWN($L432/'参数与公式'!$B$5,0))</f>
        <v/>
      </c>
      <c r="N432" s="67">
        <f>J432+Y432+IF(E432=G432-1,MAX(0,R432-J432*G432-SUMIFS($Y$5:$Y$589,$A$5:$A$589,$A432)),0)</f>
        <v/>
      </c>
      <c r="O432" s="18" t="inlineStr">
        <is>
          <t>data/technology_templates.yaml; upgrade_profiles.martial; code: technology_rules.allocate_upgrade_budget</t>
        </is>
      </c>
      <c r="P432" s="67">
        <f>INDEX('个人技术总览'!$O$5:$O$46,MATCH($A432,'个人技术总览'!$A$5:$A$46,0))</f>
        <v/>
      </c>
      <c r="Q432" s="64">
        <f>INDEX('个人技术总览'!$P$5:$P$46,MATCH($A432,'个人技术总览'!$A$5:$A$46,0))</f>
        <v/>
      </c>
      <c r="R432" s="67">
        <f>INDEX('个人技术总览'!$Q$5:$Q$46,MATCH($A432,'个人技术总览'!$A$5:$A$46,0))</f>
        <v/>
      </c>
      <c r="S432" s="64">
        <f>INDEX('个人技术总览'!$R$5:$R$46,MATCH($A432,'个人技术总览'!$A$5:$A$46,0))</f>
        <v/>
      </c>
      <c r="T432" s="68">
        <f>POWER($Q432,$E432)</f>
        <v/>
      </c>
      <c r="U432" s="68">
        <f>SUMIFS($T$5:$T$589,$A$5:$A$589,$A432)</f>
        <v/>
      </c>
      <c r="V432" s="67">
        <f>ROUNDDOWN(MAX(0,$P432-$H432*$G432)*$T432/MAX(1,$U432),0)</f>
        <v/>
      </c>
      <c r="W432" s="68">
        <f>POWER($S432,$E432)</f>
        <v/>
      </c>
      <c r="X432" s="68">
        <f>SUMIFS($W$5:$W$589,$A$5:$A$589,$A432)</f>
        <v/>
      </c>
      <c r="Y432" s="67">
        <f>ROUNDDOWN(MAX(0,$R432-$J432*$G432)*$W432/MAX(1,$X432),0)</f>
        <v/>
      </c>
    </row>
    <row r="433">
      <c r="A433" s="17" t="inlineStr">
        <is>
          <t>quan_defense</t>
        </is>
      </c>
      <c r="B433" s="18" t="inlineStr">
        <is>
          <t>金钟罩体</t>
        </is>
      </c>
      <c r="C433" s="18" t="inlineStr">
        <is>
          <t>武艺技术</t>
        </is>
      </c>
      <c r="D433" s="18" t="inlineStr">
        <is>
          <t>拳类</t>
        </is>
      </c>
      <c r="E433" s="65" t="n">
        <v>8</v>
      </c>
      <c r="F433" s="66">
        <f>E433+1</f>
        <v/>
      </c>
      <c r="G433" s="65">
        <f>INDEX('个人技术总览'!$E$5:$E$46,MATCH($A433,'个人技术总览'!$A$5:$A$46,0))</f>
        <v/>
      </c>
      <c r="H433" s="59">
        <f>INDEX('个人技术总览'!$F$5:$F$46,MATCH($A433,'个人技术总览'!$A$5:$A$46,0))</f>
        <v/>
      </c>
      <c r="I433" s="60">
        <f>INDEX('个人技术总览'!$G$5:$G$46,MATCH($A433,'个人技术总览'!$A$5:$A$46,0))</f>
        <v/>
      </c>
      <c r="J433" s="59">
        <f>INDEX('个人技术总览'!$H$5:$H$46,MATCH($A433,'个人技术总览'!$A$5:$A$46,0))</f>
        <v/>
      </c>
      <c r="K433" s="60">
        <f>INDEX('个人技术总览'!$I$5:$I$46,MATCH($A433,'个人技术总览'!$A$5:$A$46,0))</f>
        <v/>
      </c>
      <c r="L433" s="67">
        <f>H433+V433+IF(E433=G433-1,MAX(0,P433-H433*G433-SUMIFS($V$5:$V$589,$A$5:$A$589,$A433)),0)</f>
        <v/>
      </c>
      <c r="M433" s="61">
        <f>MAX(1,ROUNDDOWN($L433/'参数与公式'!$B$5,0))</f>
        <v/>
      </c>
      <c r="N433" s="67">
        <f>J433+Y433+IF(E433=G433-1,MAX(0,R433-J433*G433-SUMIFS($Y$5:$Y$589,$A$5:$A$589,$A433)),0)</f>
        <v/>
      </c>
      <c r="O433" s="18" t="inlineStr">
        <is>
          <t>data/technology_templates.yaml; upgrade_profiles.martial; code: technology_rules.allocate_upgrade_budget</t>
        </is>
      </c>
      <c r="P433" s="67">
        <f>INDEX('个人技术总览'!$O$5:$O$46,MATCH($A433,'个人技术总览'!$A$5:$A$46,0))</f>
        <v/>
      </c>
      <c r="Q433" s="64">
        <f>INDEX('个人技术总览'!$P$5:$P$46,MATCH($A433,'个人技术总览'!$A$5:$A$46,0))</f>
        <v/>
      </c>
      <c r="R433" s="67">
        <f>INDEX('个人技术总览'!$Q$5:$Q$46,MATCH($A433,'个人技术总览'!$A$5:$A$46,0))</f>
        <v/>
      </c>
      <c r="S433" s="64">
        <f>INDEX('个人技术总览'!$R$5:$R$46,MATCH($A433,'个人技术总览'!$A$5:$A$46,0))</f>
        <v/>
      </c>
      <c r="T433" s="68">
        <f>POWER($Q433,$E433)</f>
        <v/>
      </c>
      <c r="U433" s="68">
        <f>SUMIFS($T$5:$T$589,$A$5:$A$589,$A433)</f>
        <v/>
      </c>
      <c r="V433" s="67">
        <f>ROUNDDOWN(MAX(0,$P433-$H433*$G433)*$T433/MAX(1,$U433),0)</f>
        <v/>
      </c>
      <c r="W433" s="68">
        <f>POWER($S433,$E433)</f>
        <v/>
      </c>
      <c r="X433" s="68">
        <f>SUMIFS($W$5:$W$589,$A$5:$A$589,$A433)</f>
        <v/>
      </c>
      <c r="Y433" s="67">
        <f>ROUNDDOWN(MAX(0,$R433-$J433*$G433)*$W433/MAX(1,$X433),0)</f>
        <v/>
      </c>
    </row>
    <row r="434">
      <c r="A434" s="17" t="inlineStr">
        <is>
          <t>quan_defense</t>
        </is>
      </c>
      <c r="B434" s="18" t="inlineStr">
        <is>
          <t>金钟罩体</t>
        </is>
      </c>
      <c r="C434" s="18" t="inlineStr">
        <is>
          <t>武艺技术</t>
        </is>
      </c>
      <c r="D434" s="18" t="inlineStr">
        <is>
          <t>拳类</t>
        </is>
      </c>
      <c r="E434" s="65" t="n">
        <v>9</v>
      </c>
      <c r="F434" s="66">
        <f>E434+1</f>
        <v/>
      </c>
      <c r="G434" s="65">
        <f>INDEX('个人技术总览'!$E$5:$E$46,MATCH($A434,'个人技术总览'!$A$5:$A$46,0))</f>
        <v/>
      </c>
      <c r="H434" s="59">
        <f>INDEX('个人技术总览'!$F$5:$F$46,MATCH($A434,'个人技术总览'!$A$5:$A$46,0))</f>
        <v/>
      </c>
      <c r="I434" s="60">
        <f>INDEX('个人技术总览'!$G$5:$G$46,MATCH($A434,'个人技术总览'!$A$5:$A$46,0))</f>
        <v/>
      </c>
      <c r="J434" s="59">
        <f>INDEX('个人技术总览'!$H$5:$H$46,MATCH($A434,'个人技术总览'!$A$5:$A$46,0))</f>
        <v/>
      </c>
      <c r="K434" s="60">
        <f>INDEX('个人技术总览'!$I$5:$I$46,MATCH($A434,'个人技术总览'!$A$5:$A$46,0))</f>
        <v/>
      </c>
      <c r="L434" s="67">
        <f>H434+V434+IF(E434=G434-1,MAX(0,P434-H434*G434-SUMIFS($V$5:$V$589,$A$5:$A$589,$A434)),0)</f>
        <v/>
      </c>
      <c r="M434" s="61">
        <f>MAX(1,ROUNDDOWN($L434/'参数与公式'!$B$5,0))</f>
        <v/>
      </c>
      <c r="N434" s="67">
        <f>J434+Y434+IF(E434=G434-1,MAX(0,R434-J434*G434-SUMIFS($Y$5:$Y$589,$A$5:$A$589,$A434)),0)</f>
        <v/>
      </c>
      <c r="O434" s="18" t="inlineStr">
        <is>
          <t>data/technology_templates.yaml; upgrade_profiles.martial; code: technology_rules.allocate_upgrade_budget</t>
        </is>
      </c>
      <c r="P434" s="67">
        <f>INDEX('个人技术总览'!$O$5:$O$46,MATCH($A434,'个人技术总览'!$A$5:$A$46,0))</f>
        <v/>
      </c>
      <c r="Q434" s="64">
        <f>INDEX('个人技术总览'!$P$5:$P$46,MATCH($A434,'个人技术总览'!$A$5:$A$46,0))</f>
        <v/>
      </c>
      <c r="R434" s="67">
        <f>INDEX('个人技术总览'!$Q$5:$Q$46,MATCH($A434,'个人技术总览'!$A$5:$A$46,0))</f>
        <v/>
      </c>
      <c r="S434" s="64">
        <f>INDEX('个人技术总览'!$R$5:$R$46,MATCH($A434,'个人技术总览'!$A$5:$A$46,0))</f>
        <v/>
      </c>
      <c r="T434" s="68">
        <f>POWER($Q434,$E434)</f>
        <v/>
      </c>
      <c r="U434" s="68">
        <f>SUMIFS($T$5:$T$589,$A$5:$A$589,$A434)</f>
        <v/>
      </c>
      <c r="V434" s="67">
        <f>ROUNDDOWN(MAX(0,$P434-$H434*$G434)*$T434/MAX(1,$U434),0)</f>
        <v/>
      </c>
      <c r="W434" s="68">
        <f>POWER($S434,$E434)</f>
        <v/>
      </c>
      <c r="X434" s="68">
        <f>SUMIFS($W$5:$W$589,$A$5:$A$589,$A434)</f>
        <v/>
      </c>
      <c r="Y434" s="67">
        <f>ROUNDDOWN(MAX(0,$R434-$J434*$G434)*$W434/MAX(1,$X434),0)</f>
        <v/>
      </c>
    </row>
    <row r="435">
      <c r="A435" s="17" t="inlineStr">
        <is>
          <t>quan_agility</t>
        </is>
      </c>
      <c r="B435" s="18" t="inlineStr">
        <is>
          <t>凌波渡虚</t>
        </is>
      </c>
      <c r="C435" s="18" t="inlineStr">
        <is>
          <t>武艺技术</t>
        </is>
      </c>
      <c r="D435" s="18" t="inlineStr">
        <is>
          <t>拳类</t>
        </is>
      </c>
      <c r="E435" s="65" t="n">
        <v>0</v>
      </c>
      <c r="F435" s="66">
        <f>E435+1</f>
        <v/>
      </c>
      <c r="G435" s="65">
        <f>INDEX('个人技术总览'!$E$5:$E$46,MATCH($A435,'个人技术总览'!$A$5:$A$46,0))</f>
        <v/>
      </c>
      <c r="H435" s="59">
        <f>INDEX('个人技术总览'!$F$5:$F$46,MATCH($A435,'个人技术总览'!$A$5:$A$46,0))</f>
        <v/>
      </c>
      <c r="I435" s="60">
        <f>INDEX('个人技术总览'!$G$5:$G$46,MATCH($A435,'个人技术总览'!$A$5:$A$46,0))</f>
        <v/>
      </c>
      <c r="J435" s="59">
        <f>INDEX('个人技术总览'!$H$5:$H$46,MATCH($A435,'个人技术总览'!$A$5:$A$46,0))</f>
        <v/>
      </c>
      <c r="K435" s="60">
        <f>INDEX('个人技术总览'!$I$5:$I$46,MATCH($A435,'个人技术总览'!$A$5:$A$46,0))</f>
        <v/>
      </c>
      <c r="L435" s="67">
        <f>H435+V435+IF(E435=G435-1,MAX(0,P435-H435*G435-SUMIFS($V$5:$V$589,$A$5:$A$589,$A435)),0)</f>
        <v/>
      </c>
      <c r="M435" s="61">
        <f>MAX(1,ROUNDDOWN($L435/'参数与公式'!$B$5,0))</f>
        <v/>
      </c>
      <c r="N435" s="67">
        <f>J435+Y435+IF(E435=G435-1,MAX(0,R435-J435*G435-SUMIFS($Y$5:$Y$589,$A$5:$A$589,$A435)),0)</f>
        <v/>
      </c>
      <c r="O435" s="18" t="inlineStr">
        <is>
          <t>data/technology_templates.yaml; upgrade_profiles.martial; code: technology_rules.allocate_upgrade_budget</t>
        </is>
      </c>
      <c r="P435" s="67">
        <f>INDEX('个人技术总览'!$O$5:$O$46,MATCH($A435,'个人技术总览'!$A$5:$A$46,0))</f>
        <v/>
      </c>
      <c r="Q435" s="64">
        <f>INDEX('个人技术总览'!$P$5:$P$46,MATCH($A435,'个人技术总览'!$A$5:$A$46,0))</f>
        <v/>
      </c>
      <c r="R435" s="67">
        <f>INDEX('个人技术总览'!$Q$5:$Q$46,MATCH($A435,'个人技术总览'!$A$5:$A$46,0))</f>
        <v/>
      </c>
      <c r="S435" s="64">
        <f>INDEX('个人技术总览'!$R$5:$R$46,MATCH($A435,'个人技术总览'!$A$5:$A$46,0))</f>
        <v/>
      </c>
      <c r="T435" s="68">
        <f>POWER($Q435,$E435)</f>
        <v/>
      </c>
      <c r="U435" s="68">
        <f>SUMIFS($T$5:$T$589,$A$5:$A$589,$A435)</f>
        <v/>
      </c>
      <c r="V435" s="67">
        <f>ROUNDDOWN(MAX(0,$P435-$H435*$G435)*$T435/MAX(1,$U435),0)</f>
        <v/>
      </c>
      <c r="W435" s="68">
        <f>POWER($S435,$E435)</f>
        <v/>
      </c>
      <c r="X435" s="68">
        <f>SUMIFS($W$5:$W$589,$A$5:$A$589,$A435)</f>
        <v/>
      </c>
      <c r="Y435" s="67">
        <f>ROUNDDOWN(MAX(0,$R435-$J435*$G435)*$W435/MAX(1,$X435),0)</f>
        <v/>
      </c>
    </row>
    <row r="436">
      <c r="A436" s="17" t="inlineStr">
        <is>
          <t>quan_agility</t>
        </is>
      </c>
      <c r="B436" s="18" t="inlineStr">
        <is>
          <t>凌波渡虚</t>
        </is>
      </c>
      <c r="C436" s="18" t="inlineStr">
        <is>
          <t>武艺技术</t>
        </is>
      </c>
      <c r="D436" s="18" t="inlineStr">
        <is>
          <t>拳类</t>
        </is>
      </c>
      <c r="E436" s="65" t="n">
        <v>1</v>
      </c>
      <c r="F436" s="66">
        <f>E436+1</f>
        <v/>
      </c>
      <c r="G436" s="65">
        <f>INDEX('个人技术总览'!$E$5:$E$46,MATCH($A436,'个人技术总览'!$A$5:$A$46,0))</f>
        <v/>
      </c>
      <c r="H436" s="59">
        <f>INDEX('个人技术总览'!$F$5:$F$46,MATCH($A436,'个人技术总览'!$A$5:$A$46,0))</f>
        <v/>
      </c>
      <c r="I436" s="60">
        <f>INDEX('个人技术总览'!$G$5:$G$46,MATCH($A436,'个人技术总览'!$A$5:$A$46,0))</f>
        <v/>
      </c>
      <c r="J436" s="59">
        <f>INDEX('个人技术总览'!$H$5:$H$46,MATCH($A436,'个人技术总览'!$A$5:$A$46,0))</f>
        <v/>
      </c>
      <c r="K436" s="60">
        <f>INDEX('个人技术总览'!$I$5:$I$46,MATCH($A436,'个人技术总览'!$A$5:$A$46,0))</f>
        <v/>
      </c>
      <c r="L436" s="67">
        <f>H436+V436+IF(E436=G436-1,MAX(0,P436-H436*G436-SUMIFS($V$5:$V$589,$A$5:$A$589,$A436)),0)</f>
        <v/>
      </c>
      <c r="M436" s="61">
        <f>MAX(1,ROUNDDOWN($L436/'参数与公式'!$B$5,0))</f>
        <v/>
      </c>
      <c r="N436" s="67">
        <f>J436+Y436+IF(E436=G436-1,MAX(0,R436-J436*G436-SUMIFS($Y$5:$Y$589,$A$5:$A$589,$A436)),0)</f>
        <v/>
      </c>
      <c r="O436" s="18" t="inlineStr">
        <is>
          <t>data/technology_templates.yaml; upgrade_profiles.martial; code: technology_rules.allocate_upgrade_budget</t>
        </is>
      </c>
      <c r="P436" s="67">
        <f>INDEX('个人技术总览'!$O$5:$O$46,MATCH($A436,'个人技术总览'!$A$5:$A$46,0))</f>
        <v/>
      </c>
      <c r="Q436" s="64">
        <f>INDEX('个人技术总览'!$P$5:$P$46,MATCH($A436,'个人技术总览'!$A$5:$A$46,0))</f>
        <v/>
      </c>
      <c r="R436" s="67">
        <f>INDEX('个人技术总览'!$Q$5:$Q$46,MATCH($A436,'个人技术总览'!$A$5:$A$46,0))</f>
        <v/>
      </c>
      <c r="S436" s="64">
        <f>INDEX('个人技术总览'!$R$5:$R$46,MATCH($A436,'个人技术总览'!$A$5:$A$46,0))</f>
        <v/>
      </c>
      <c r="T436" s="68">
        <f>POWER($Q436,$E436)</f>
        <v/>
      </c>
      <c r="U436" s="68">
        <f>SUMIFS($T$5:$T$589,$A$5:$A$589,$A436)</f>
        <v/>
      </c>
      <c r="V436" s="67">
        <f>ROUNDDOWN(MAX(0,$P436-$H436*$G436)*$T436/MAX(1,$U436),0)</f>
        <v/>
      </c>
      <c r="W436" s="68">
        <f>POWER($S436,$E436)</f>
        <v/>
      </c>
      <c r="X436" s="68">
        <f>SUMIFS($W$5:$W$589,$A$5:$A$589,$A436)</f>
        <v/>
      </c>
      <c r="Y436" s="67">
        <f>ROUNDDOWN(MAX(0,$R436-$J436*$G436)*$W436/MAX(1,$X436),0)</f>
        <v/>
      </c>
    </row>
    <row r="437">
      <c r="A437" s="17" t="inlineStr">
        <is>
          <t>quan_agility</t>
        </is>
      </c>
      <c r="B437" s="18" t="inlineStr">
        <is>
          <t>凌波渡虚</t>
        </is>
      </c>
      <c r="C437" s="18" t="inlineStr">
        <is>
          <t>武艺技术</t>
        </is>
      </c>
      <c r="D437" s="18" t="inlineStr">
        <is>
          <t>拳类</t>
        </is>
      </c>
      <c r="E437" s="65" t="n">
        <v>2</v>
      </c>
      <c r="F437" s="66">
        <f>E437+1</f>
        <v/>
      </c>
      <c r="G437" s="65">
        <f>INDEX('个人技术总览'!$E$5:$E$46,MATCH($A437,'个人技术总览'!$A$5:$A$46,0))</f>
        <v/>
      </c>
      <c r="H437" s="59">
        <f>INDEX('个人技术总览'!$F$5:$F$46,MATCH($A437,'个人技术总览'!$A$5:$A$46,0))</f>
        <v/>
      </c>
      <c r="I437" s="60">
        <f>INDEX('个人技术总览'!$G$5:$G$46,MATCH($A437,'个人技术总览'!$A$5:$A$46,0))</f>
        <v/>
      </c>
      <c r="J437" s="59">
        <f>INDEX('个人技术总览'!$H$5:$H$46,MATCH($A437,'个人技术总览'!$A$5:$A$46,0))</f>
        <v/>
      </c>
      <c r="K437" s="60">
        <f>INDEX('个人技术总览'!$I$5:$I$46,MATCH($A437,'个人技术总览'!$A$5:$A$46,0))</f>
        <v/>
      </c>
      <c r="L437" s="67">
        <f>H437+V437+IF(E437=G437-1,MAX(0,P437-H437*G437-SUMIFS($V$5:$V$589,$A$5:$A$589,$A437)),0)</f>
        <v/>
      </c>
      <c r="M437" s="61">
        <f>MAX(1,ROUNDDOWN($L437/'参数与公式'!$B$5,0))</f>
        <v/>
      </c>
      <c r="N437" s="67">
        <f>J437+Y437+IF(E437=G437-1,MAX(0,R437-J437*G437-SUMIFS($Y$5:$Y$589,$A$5:$A$589,$A437)),0)</f>
        <v/>
      </c>
      <c r="O437" s="18" t="inlineStr">
        <is>
          <t>data/technology_templates.yaml; upgrade_profiles.martial; code: technology_rules.allocate_upgrade_budget</t>
        </is>
      </c>
      <c r="P437" s="67">
        <f>INDEX('个人技术总览'!$O$5:$O$46,MATCH($A437,'个人技术总览'!$A$5:$A$46,0))</f>
        <v/>
      </c>
      <c r="Q437" s="64">
        <f>INDEX('个人技术总览'!$P$5:$P$46,MATCH($A437,'个人技术总览'!$A$5:$A$46,0))</f>
        <v/>
      </c>
      <c r="R437" s="67">
        <f>INDEX('个人技术总览'!$Q$5:$Q$46,MATCH($A437,'个人技术总览'!$A$5:$A$46,0))</f>
        <v/>
      </c>
      <c r="S437" s="64">
        <f>INDEX('个人技术总览'!$R$5:$R$46,MATCH($A437,'个人技术总览'!$A$5:$A$46,0))</f>
        <v/>
      </c>
      <c r="T437" s="68">
        <f>POWER($Q437,$E437)</f>
        <v/>
      </c>
      <c r="U437" s="68">
        <f>SUMIFS($T$5:$T$589,$A$5:$A$589,$A437)</f>
        <v/>
      </c>
      <c r="V437" s="67">
        <f>ROUNDDOWN(MAX(0,$P437-$H437*$G437)*$T437/MAX(1,$U437),0)</f>
        <v/>
      </c>
      <c r="W437" s="68">
        <f>POWER($S437,$E437)</f>
        <v/>
      </c>
      <c r="X437" s="68">
        <f>SUMIFS($W$5:$W$589,$A$5:$A$589,$A437)</f>
        <v/>
      </c>
      <c r="Y437" s="67">
        <f>ROUNDDOWN(MAX(0,$R437-$J437*$G437)*$W437/MAX(1,$X437),0)</f>
        <v/>
      </c>
    </row>
    <row r="438">
      <c r="A438" s="17" t="inlineStr">
        <is>
          <t>quan_agility</t>
        </is>
      </c>
      <c r="B438" s="18" t="inlineStr">
        <is>
          <t>凌波渡虚</t>
        </is>
      </c>
      <c r="C438" s="18" t="inlineStr">
        <is>
          <t>武艺技术</t>
        </is>
      </c>
      <c r="D438" s="18" t="inlineStr">
        <is>
          <t>拳类</t>
        </is>
      </c>
      <c r="E438" s="65" t="n">
        <v>3</v>
      </c>
      <c r="F438" s="66">
        <f>E438+1</f>
        <v/>
      </c>
      <c r="G438" s="65">
        <f>INDEX('个人技术总览'!$E$5:$E$46,MATCH($A438,'个人技术总览'!$A$5:$A$46,0))</f>
        <v/>
      </c>
      <c r="H438" s="59">
        <f>INDEX('个人技术总览'!$F$5:$F$46,MATCH($A438,'个人技术总览'!$A$5:$A$46,0))</f>
        <v/>
      </c>
      <c r="I438" s="60">
        <f>INDEX('个人技术总览'!$G$5:$G$46,MATCH($A438,'个人技术总览'!$A$5:$A$46,0))</f>
        <v/>
      </c>
      <c r="J438" s="59">
        <f>INDEX('个人技术总览'!$H$5:$H$46,MATCH($A438,'个人技术总览'!$A$5:$A$46,0))</f>
        <v/>
      </c>
      <c r="K438" s="60">
        <f>INDEX('个人技术总览'!$I$5:$I$46,MATCH($A438,'个人技术总览'!$A$5:$A$46,0))</f>
        <v/>
      </c>
      <c r="L438" s="67">
        <f>H438+V438+IF(E438=G438-1,MAX(0,P438-H438*G438-SUMIFS($V$5:$V$589,$A$5:$A$589,$A438)),0)</f>
        <v/>
      </c>
      <c r="M438" s="61">
        <f>MAX(1,ROUNDDOWN($L438/'参数与公式'!$B$5,0))</f>
        <v/>
      </c>
      <c r="N438" s="67">
        <f>J438+Y438+IF(E438=G438-1,MAX(0,R438-J438*G438-SUMIFS($Y$5:$Y$589,$A$5:$A$589,$A438)),0)</f>
        <v/>
      </c>
      <c r="O438" s="18" t="inlineStr">
        <is>
          <t>data/technology_templates.yaml; upgrade_profiles.martial; code: technology_rules.allocate_upgrade_budget</t>
        </is>
      </c>
      <c r="P438" s="67">
        <f>INDEX('个人技术总览'!$O$5:$O$46,MATCH($A438,'个人技术总览'!$A$5:$A$46,0))</f>
        <v/>
      </c>
      <c r="Q438" s="64">
        <f>INDEX('个人技术总览'!$P$5:$P$46,MATCH($A438,'个人技术总览'!$A$5:$A$46,0))</f>
        <v/>
      </c>
      <c r="R438" s="67">
        <f>INDEX('个人技术总览'!$Q$5:$Q$46,MATCH($A438,'个人技术总览'!$A$5:$A$46,0))</f>
        <v/>
      </c>
      <c r="S438" s="64">
        <f>INDEX('个人技术总览'!$R$5:$R$46,MATCH($A438,'个人技术总览'!$A$5:$A$46,0))</f>
        <v/>
      </c>
      <c r="T438" s="68">
        <f>POWER($Q438,$E438)</f>
        <v/>
      </c>
      <c r="U438" s="68">
        <f>SUMIFS($T$5:$T$589,$A$5:$A$589,$A438)</f>
        <v/>
      </c>
      <c r="V438" s="67">
        <f>ROUNDDOWN(MAX(0,$P438-$H438*$G438)*$T438/MAX(1,$U438),0)</f>
        <v/>
      </c>
      <c r="W438" s="68">
        <f>POWER($S438,$E438)</f>
        <v/>
      </c>
      <c r="X438" s="68">
        <f>SUMIFS($W$5:$W$589,$A$5:$A$589,$A438)</f>
        <v/>
      </c>
      <c r="Y438" s="67">
        <f>ROUNDDOWN(MAX(0,$R438-$J438*$G438)*$W438/MAX(1,$X438),0)</f>
        <v/>
      </c>
    </row>
    <row r="439">
      <c r="A439" s="17" t="inlineStr">
        <is>
          <t>quan_agility</t>
        </is>
      </c>
      <c r="B439" s="18" t="inlineStr">
        <is>
          <t>凌波渡虚</t>
        </is>
      </c>
      <c r="C439" s="18" t="inlineStr">
        <is>
          <t>武艺技术</t>
        </is>
      </c>
      <c r="D439" s="18" t="inlineStr">
        <is>
          <t>拳类</t>
        </is>
      </c>
      <c r="E439" s="65" t="n">
        <v>4</v>
      </c>
      <c r="F439" s="66">
        <f>E439+1</f>
        <v/>
      </c>
      <c r="G439" s="65">
        <f>INDEX('个人技术总览'!$E$5:$E$46,MATCH($A439,'个人技术总览'!$A$5:$A$46,0))</f>
        <v/>
      </c>
      <c r="H439" s="59">
        <f>INDEX('个人技术总览'!$F$5:$F$46,MATCH($A439,'个人技术总览'!$A$5:$A$46,0))</f>
        <v/>
      </c>
      <c r="I439" s="60">
        <f>INDEX('个人技术总览'!$G$5:$G$46,MATCH($A439,'个人技术总览'!$A$5:$A$46,0))</f>
        <v/>
      </c>
      <c r="J439" s="59">
        <f>INDEX('个人技术总览'!$H$5:$H$46,MATCH($A439,'个人技术总览'!$A$5:$A$46,0))</f>
        <v/>
      </c>
      <c r="K439" s="60">
        <f>INDEX('个人技术总览'!$I$5:$I$46,MATCH($A439,'个人技术总览'!$A$5:$A$46,0))</f>
        <v/>
      </c>
      <c r="L439" s="67">
        <f>H439+V439+IF(E439=G439-1,MAX(0,P439-H439*G439-SUMIFS($V$5:$V$589,$A$5:$A$589,$A439)),0)</f>
        <v/>
      </c>
      <c r="M439" s="61">
        <f>MAX(1,ROUNDDOWN($L439/'参数与公式'!$B$5,0))</f>
        <v/>
      </c>
      <c r="N439" s="67">
        <f>J439+Y439+IF(E439=G439-1,MAX(0,R439-J439*G439-SUMIFS($Y$5:$Y$589,$A$5:$A$589,$A439)),0)</f>
        <v/>
      </c>
      <c r="O439" s="18" t="inlineStr">
        <is>
          <t>data/technology_templates.yaml; upgrade_profiles.martial; code: technology_rules.allocate_upgrade_budget</t>
        </is>
      </c>
      <c r="P439" s="67">
        <f>INDEX('个人技术总览'!$O$5:$O$46,MATCH($A439,'个人技术总览'!$A$5:$A$46,0))</f>
        <v/>
      </c>
      <c r="Q439" s="64">
        <f>INDEX('个人技术总览'!$P$5:$P$46,MATCH($A439,'个人技术总览'!$A$5:$A$46,0))</f>
        <v/>
      </c>
      <c r="R439" s="67">
        <f>INDEX('个人技术总览'!$Q$5:$Q$46,MATCH($A439,'个人技术总览'!$A$5:$A$46,0))</f>
        <v/>
      </c>
      <c r="S439" s="64">
        <f>INDEX('个人技术总览'!$R$5:$R$46,MATCH($A439,'个人技术总览'!$A$5:$A$46,0))</f>
        <v/>
      </c>
      <c r="T439" s="68">
        <f>POWER($Q439,$E439)</f>
        <v/>
      </c>
      <c r="U439" s="68">
        <f>SUMIFS($T$5:$T$589,$A$5:$A$589,$A439)</f>
        <v/>
      </c>
      <c r="V439" s="67">
        <f>ROUNDDOWN(MAX(0,$P439-$H439*$G439)*$T439/MAX(1,$U439),0)</f>
        <v/>
      </c>
      <c r="W439" s="68">
        <f>POWER($S439,$E439)</f>
        <v/>
      </c>
      <c r="X439" s="68">
        <f>SUMIFS($W$5:$W$589,$A$5:$A$589,$A439)</f>
        <v/>
      </c>
      <c r="Y439" s="67">
        <f>ROUNDDOWN(MAX(0,$R439-$J439*$G439)*$W439/MAX(1,$X439),0)</f>
        <v/>
      </c>
    </row>
    <row r="440">
      <c r="A440" s="17" t="inlineStr">
        <is>
          <t>quan_agility</t>
        </is>
      </c>
      <c r="B440" s="18" t="inlineStr">
        <is>
          <t>凌波渡虚</t>
        </is>
      </c>
      <c r="C440" s="18" t="inlineStr">
        <is>
          <t>武艺技术</t>
        </is>
      </c>
      <c r="D440" s="18" t="inlineStr">
        <is>
          <t>拳类</t>
        </is>
      </c>
      <c r="E440" s="65" t="n">
        <v>5</v>
      </c>
      <c r="F440" s="66">
        <f>E440+1</f>
        <v/>
      </c>
      <c r="G440" s="65">
        <f>INDEX('个人技术总览'!$E$5:$E$46,MATCH($A440,'个人技术总览'!$A$5:$A$46,0))</f>
        <v/>
      </c>
      <c r="H440" s="59">
        <f>INDEX('个人技术总览'!$F$5:$F$46,MATCH($A440,'个人技术总览'!$A$5:$A$46,0))</f>
        <v/>
      </c>
      <c r="I440" s="60">
        <f>INDEX('个人技术总览'!$G$5:$G$46,MATCH($A440,'个人技术总览'!$A$5:$A$46,0))</f>
        <v/>
      </c>
      <c r="J440" s="59">
        <f>INDEX('个人技术总览'!$H$5:$H$46,MATCH($A440,'个人技术总览'!$A$5:$A$46,0))</f>
        <v/>
      </c>
      <c r="K440" s="60">
        <f>INDEX('个人技术总览'!$I$5:$I$46,MATCH($A440,'个人技术总览'!$A$5:$A$46,0))</f>
        <v/>
      </c>
      <c r="L440" s="67">
        <f>H440+V440+IF(E440=G440-1,MAX(0,P440-H440*G440-SUMIFS($V$5:$V$589,$A$5:$A$589,$A440)),0)</f>
        <v/>
      </c>
      <c r="M440" s="61">
        <f>MAX(1,ROUNDDOWN($L440/'参数与公式'!$B$5,0))</f>
        <v/>
      </c>
      <c r="N440" s="67">
        <f>J440+Y440+IF(E440=G440-1,MAX(0,R440-J440*G440-SUMIFS($Y$5:$Y$589,$A$5:$A$589,$A440)),0)</f>
        <v/>
      </c>
      <c r="O440" s="18" t="inlineStr">
        <is>
          <t>data/technology_templates.yaml; upgrade_profiles.martial; code: technology_rules.allocate_upgrade_budget</t>
        </is>
      </c>
      <c r="P440" s="67">
        <f>INDEX('个人技术总览'!$O$5:$O$46,MATCH($A440,'个人技术总览'!$A$5:$A$46,0))</f>
        <v/>
      </c>
      <c r="Q440" s="64">
        <f>INDEX('个人技术总览'!$P$5:$P$46,MATCH($A440,'个人技术总览'!$A$5:$A$46,0))</f>
        <v/>
      </c>
      <c r="R440" s="67">
        <f>INDEX('个人技术总览'!$Q$5:$Q$46,MATCH($A440,'个人技术总览'!$A$5:$A$46,0))</f>
        <v/>
      </c>
      <c r="S440" s="64">
        <f>INDEX('个人技术总览'!$R$5:$R$46,MATCH($A440,'个人技术总览'!$A$5:$A$46,0))</f>
        <v/>
      </c>
      <c r="T440" s="68">
        <f>POWER($Q440,$E440)</f>
        <v/>
      </c>
      <c r="U440" s="68">
        <f>SUMIFS($T$5:$T$589,$A$5:$A$589,$A440)</f>
        <v/>
      </c>
      <c r="V440" s="67">
        <f>ROUNDDOWN(MAX(0,$P440-$H440*$G440)*$T440/MAX(1,$U440),0)</f>
        <v/>
      </c>
      <c r="W440" s="68">
        <f>POWER($S440,$E440)</f>
        <v/>
      </c>
      <c r="X440" s="68">
        <f>SUMIFS($W$5:$W$589,$A$5:$A$589,$A440)</f>
        <v/>
      </c>
      <c r="Y440" s="67">
        <f>ROUNDDOWN(MAX(0,$R440-$J440*$G440)*$W440/MAX(1,$X440),0)</f>
        <v/>
      </c>
    </row>
    <row r="441">
      <c r="A441" s="17" t="inlineStr">
        <is>
          <t>quan_agility</t>
        </is>
      </c>
      <c r="B441" s="18" t="inlineStr">
        <is>
          <t>凌波渡虚</t>
        </is>
      </c>
      <c r="C441" s="18" t="inlineStr">
        <is>
          <t>武艺技术</t>
        </is>
      </c>
      <c r="D441" s="18" t="inlineStr">
        <is>
          <t>拳类</t>
        </is>
      </c>
      <c r="E441" s="65" t="n">
        <v>6</v>
      </c>
      <c r="F441" s="66">
        <f>E441+1</f>
        <v/>
      </c>
      <c r="G441" s="65">
        <f>INDEX('个人技术总览'!$E$5:$E$46,MATCH($A441,'个人技术总览'!$A$5:$A$46,0))</f>
        <v/>
      </c>
      <c r="H441" s="59">
        <f>INDEX('个人技术总览'!$F$5:$F$46,MATCH($A441,'个人技术总览'!$A$5:$A$46,0))</f>
        <v/>
      </c>
      <c r="I441" s="60">
        <f>INDEX('个人技术总览'!$G$5:$G$46,MATCH($A441,'个人技术总览'!$A$5:$A$46,0))</f>
        <v/>
      </c>
      <c r="J441" s="59">
        <f>INDEX('个人技术总览'!$H$5:$H$46,MATCH($A441,'个人技术总览'!$A$5:$A$46,0))</f>
        <v/>
      </c>
      <c r="K441" s="60">
        <f>INDEX('个人技术总览'!$I$5:$I$46,MATCH($A441,'个人技术总览'!$A$5:$A$46,0))</f>
        <v/>
      </c>
      <c r="L441" s="67">
        <f>H441+V441+IF(E441=G441-1,MAX(0,P441-H441*G441-SUMIFS($V$5:$V$589,$A$5:$A$589,$A441)),0)</f>
        <v/>
      </c>
      <c r="M441" s="61">
        <f>MAX(1,ROUNDDOWN($L441/'参数与公式'!$B$5,0))</f>
        <v/>
      </c>
      <c r="N441" s="67">
        <f>J441+Y441+IF(E441=G441-1,MAX(0,R441-J441*G441-SUMIFS($Y$5:$Y$589,$A$5:$A$589,$A441)),0)</f>
        <v/>
      </c>
      <c r="O441" s="18" t="inlineStr">
        <is>
          <t>data/technology_templates.yaml; upgrade_profiles.martial; code: technology_rules.allocate_upgrade_budget</t>
        </is>
      </c>
      <c r="P441" s="67">
        <f>INDEX('个人技术总览'!$O$5:$O$46,MATCH($A441,'个人技术总览'!$A$5:$A$46,0))</f>
        <v/>
      </c>
      <c r="Q441" s="64">
        <f>INDEX('个人技术总览'!$P$5:$P$46,MATCH($A441,'个人技术总览'!$A$5:$A$46,0))</f>
        <v/>
      </c>
      <c r="R441" s="67">
        <f>INDEX('个人技术总览'!$Q$5:$Q$46,MATCH($A441,'个人技术总览'!$A$5:$A$46,0))</f>
        <v/>
      </c>
      <c r="S441" s="64">
        <f>INDEX('个人技术总览'!$R$5:$R$46,MATCH($A441,'个人技术总览'!$A$5:$A$46,0))</f>
        <v/>
      </c>
      <c r="T441" s="68">
        <f>POWER($Q441,$E441)</f>
        <v/>
      </c>
      <c r="U441" s="68">
        <f>SUMIFS($T$5:$T$589,$A$5:$A$589,$A441)</f>
        <v/>
      </c>
      <c r="V441" s="67">
        <f>ROUNDDOWN(MAX(0,$P441-$H441*$G441)*$T441/MAX(1,$U441),0)</f>
        <v/>
      </c>
      <c r="W441" s="68">
        <f>POWER($S441,$E441)</f>
        <v/>
      </c>
      <c r="X441" s="68">
        <f>SUMIFS($W$5:$W$589,$A$5:$A$589,$A441)</f>
        <v/>
      </c>
      <c r="Y441" s="67">
        <f>ROUNDDOWN(MAX(0,$R441-$J441*$G441)*$W441/MAX(1,$X441),0)</f>
        <v/>
      </c>
    </row>
    <row r="442">
      <c r="A442" s="17" t="inlineStr">
        <is>
          <t>quan_agility</t>
        </is>
      </c>
      <c r="B442" s="18" t="inlineStr">
        <is>
          <t>凌波渡虚</t>
        </is>
      </c>
      <c r="C442" s="18" t="inlineStr">
        <is>
          <t>武艺技术</t>
        </is>
      </c>
      <c r="D442" s="18" t="inlineStr">
        <is>
          <t>拳类</t>
        </is>
      </c>
      <c r="E442" s="65" t="n">
        <v>7</v>
      </c>
      <c r="F442" s="66">
        <f>E442+1</f>
        <v/>
      </c>
      <c r="G442" s="65">
        <f>INDEX('个人技术总览'!$E$5:$E$46,MATCH($A442,'个人技术总览'!$A$5:$A$46,0))</f>
        <v/>
      </c>
      <c r="H442" s="59">
        <f>INDEX('个人技术总览'!$F$5:$F$46,MATCH($A442,'个人技术总览'!$A$5:$A$46,0))</f>
        <v/>
      </c>
      <c r="I442" s="60">
        <f>INDEX('个人技术总览'!$G$5:$G$46,MATCH($A442,'个人技术总览'!$A$5:$A$46,0))</f>
        <v/>
      </c>
      <c r="J442" s="59">
        <f>INDEX('个人技术总览'!$H$5:$H$46,MATCH($A442,'个人技术总览'!$A$5:$A$46,0))</f>
        <v/>
      </c>
      <c r="K442" s="60">
        <f>INDEX('个人技术总览'!$I$5:$I$46,MATCH($A442,'个人技术总览'!$A$5:$A$46,0))</f>
        <v/>
      </c>
      <c r="L442" s="67">
        <f>H442+V442+IF(E442=G442-1,MAX(0,P442-H442*G442-SUMIFS($V$5:$V$589,$A$5:$A$589,$A442)),0)</f>
        <v/>
      </c>
      <c r="M442" s="61">
        <f>MAX(1,ROUNDDOWN($L442/'参数与公式'!$B$5,0))</f>
        <v/>
      </c>
      <c r="N442" s="67">
        <f>J442+Y442+IF(E442=G442-1,MAX(0,R442-J442*G442-SUMIFS($Y$5:$Y$589,$A$5:$A$589,$A442)),0)</f>
        <v/>
      </c>
      <c r="O442" s="18" t="inlineStr">
        <is>
          <t>data/technology_templates.yaml; upgrade_profiles.martial; code: technology_rules.allocate_upgrade_budget</t>
        </is>
      </c>
      <c r="P442" s="67">
        <f>INDEX('个人技术总览'!$O$5:$O$46,MATCH($A442,'个人技术总览'!$A$5:$A$46,0))</f>
        <v/>
      </c>
      <c r="Q442" s="64">
        <f>INDEX('个人技术总览'!$P$5:$P$46,MATCH($A442,'个人技术总览'!$A$5:$A$46,0))</f>
        <v/>
      </c>
      <c r="R442" s="67">
        <f>INDEX('个人技术总览'!$Q$5:$Q$46,MATCH($A442,'个人技术总览'!$A$5:$A$46,0))</f>
        <v/>
      </c>
      <c r="S442" s="64">
        <f>INDEX('个人技术总览'!$R$5:$R$46,MATCH($A442,'个人技术总览'!$A$5:$A$46,0))</f>
        <v/>
      </c>
      <c r="T442" s="68">
        <f>POWER($Q442,$E442)</f>
        <v/>
      </c>
      <c r="U442" s="68">
        <f>SUMIFS($T$5:$T$589,$A$5:$A$589,$A442)</f>
        <v/>
      </c>
      <c r="V442" s="67">
        <f>ROUNDDOWN(MAX(0,$P442-$H442*$G442)*$T442/MAX(1,$U442),0)</f>
        <v/>
      </c>
      <c r="W442" s="68">
        <f>POWER($S442,$E442)</f>
        <v/>
      </c>
      <c r="X442" s="68">
        <f>SUMIFS($W$5:$W$589,$A$5:$A$589,$A442)</f>
        <v/>
      </c>
      <c r="Y442" s="67">
        <f>ROUNDDOWN(MAX(0,$R442-$J442*$G442)*$W442/MAX(1,$X442),0)</f>
        <v/>
      </c>
    </row>
    <row r="443">
      <c r="A443" s="17" t="inlineStr">
        <is>
          <t>quan_agility</t>
        </is>
      </c>
      <c r="B443" s="18" t="inlineStr">
        <is>
          <t>凌波渡虚</t>
        </is>
      </c>
      <c r="C443" s="18" t="inlineStr">
        <is>
          <t>武艺技术</t>
        </is>
      </c>
      <c r="D443" s="18" t="inlineStr">
        <is>
          <t>拳类</t>
        </is>
      </c>
      <c r="E443" s="65" t="n">
        <v>8</v>
      </c>
      <c r="F443" s="66">
        <f>E443+1</f>
        <v/>
      </c>
      <c r="G443" s="65">
        <f>INDEX('个人技术总览'!$E$5:$E$46,MATCH($A443,'个人技术总览'!$A$5:$A$46,0))</f>
        <v/>
      </c>
      <c r="H443" s="59">
        <f>INDEX('个人技术总览'!$F$5:$F$46,MATCH($A443,'个人技术总览'!$A$5:$A$46,0))</f>
        <v/>
      </c>
      <c r="I443" s="60">
        <f>INDEX('个人技术总览'!$G$5:$G$46,MATCH($A443,'个人技术总览'!$A$5:$A$46,0))</f>
        <v/>
      </c>
      <c r="J443" s="59">
        <f>INDEX('个人技术总览'!$H$5:$H$46,MATCH($A443,'个人技术总览'!$A$5:$A$46,0))</f>
        <v/>
      </c>
      <c r="K443" s="60">
        <f>INDEX('个人技术总览'!$I$5:$I$46,MATCH($A443,'个人技术总览'!$A$5:$A$46,0))</f>
        <v/>
      </c>
      <c r="L443" s="67">
        <f>H443+V443+IF(E443=G443-1,MAX(0,P443-H443*G443-SUMIFS($V$5:$V$589,$A$5:$A$589,$A443)),0)</f>
        <v/>
      </c>
      <c r="M443" s="61">
        <f>MAX(1,ROUNDDOWN($L443/'参数与公式'!$B$5,0))</f>
        <v/>
      </c>
      <c r="N443" s="67">
        <f>J443+Y443+IF(E443=G443-1,MAX(0,R443-J443*G443-SUMIFS($Y$5:$Y$589,$A$5:$A$589,$A443)),0)</f>
        <v/>
      </c>
      <c r="O443" s="18" t="inlineStr">
        <is>
          <t>data/technology_templates.yaml; upgrade_profiles.martial; code: technology_rules.allocate_upgrade_budget</t>
        </is>
      </c>
      <c r="P443" s="67">
        <f>INDEX('个人技术总览'!$O$5:$O$46,MATCH($A443,'个人技术总览'!$A$5:$A$46,0))</f>
        <v/>
      </c>
      <c r="Q443" s="64">
        <f>INDEX('个人技术总览'!$P$5:$P$46,MATCH($A443,'个人技术总览'!$A$5:$A$46,0))</f>
        <v/>
      </c>
      <c r="R443" s="67">
        <f>INDEX('个人技术总览'!$Q$5:$Q$46,MATCH($A443,'个人技术总览'!$A$5:$A$46,0))</f>
        <v/>
      </c>
      <c r="S443" s="64">
        <f>INDEX('个人技术总览'!$R$5:$R$46,MATCH($A443,'个人技术总览'!$A$5:$A$46,0))</f>
        <v/>
      </c>
      <c r="T443" s="68">
        <f>POWER($Q443,$E443)</f>
        <v/>
      </c>
      <c r="U443" s="68">
        <f>SUMIFS($T$5:$T$589,$A$5:$A$589,$A443)</f>
        <v/>
      </c>
      <c r="V443" s="67">
        <f>ROUNDDOWN(MAX(0,$P443-$H443*$G443)*$T443/MAX(1,$U443),0)</f>
        <v/>
      </c>
      <c r="W443" s="68">
        <f>POWER($S443,$E443)</f>
        <v/>
      </c>
      <c r="X443" s="68">
        <f>SUMIFS($W$5:$W$589,$A$5:$A$589,$A443)</f>
        <v/>
      </c>
      <c r="Y443" s="67">
        <f>ROUNDDOWN(MAX(0,$R443-$J443*$G443)*$W443/MAX(1,$X443),0)</f>
        <v/>
      </c>
    </row>
    <row r="444">
      <c r="A444" s="17" t="inlineStr">
        <is>
          <t>quan_agility</t>
        </is>
      </c>
      <c r="B444" s="18" t="inlineStr">
        <is>
          <t>凌波渡虚</t>
        </is>
      </c>
      <c r="C444" s="18" t="inlineStr">
        <is>
          <t>武艺技术</t>
        </is>
      </c>
      <c r="D444" s="18" t="inlineStr">
        <is>
          <t>拳类</t>
        </is>
      </c>
      <c r="E444" s="65" t="n">
        <v>9</v>
      </c>
      <c r="F444" s="66">
        <f>E444+1</f>
        <v/>
      </c>
      <c r="G444" s="65">
        <f>INDEX('个人技术总览'!$E$5:$E$46,MATCH($A444,'个人技术总览'!$A$5:$A$46,0))</f>
        <v/>
      </c>
      <c r="H444" s="59">
        <f>INDEX('个人技术总览'!$F$5:$F$46,MATCH($A444,'个人技术总览'!$A$5:$A$46,0))</f>
        <v/>
      </c>
      <c r="I444" s="60">
        <f>INDEX('个人技术总览'!$G$5:$G$46,MATCH($A444,'个人技术总览'!$A$5:$A$46,0))</f>
        <v/>
      </c>
      <c r="J444" s="59">
        <f>INDEX('个人技术总览'!$H$5:$H$46,MATCH($A444,'个人技术总览'!$A$5:$A$46,0))</f>
        <v/>
      </c>
      <c r="K444" s="60">
        <f>INDEX('个人技术总览'!$I$5:$I$46,MATCH($A444,'个人技术总览'!$A$5:$A$46,0))</f>
        <v/>
      </c>
      <c r="L444" s="67">
        <f>H444+V444+IF(E444=G444-1,MAX(0,P444-H444*G444-SUMIFS($V$5:$V$589,$A$5:$A$589,$A444)),0)</f>
        <v/>
      </c>
      <c r="M444" s="61">
        <f>MAX(1,ROUNDDOWN($L444/'参数与公式'!$B$5,0))</f>
        <v/>
      </c>
      <c r="N444" s="67">
        <f>J444+Y444+IF(E444=G444-1,MAX(0,R444-J444*G444-SUMIFS($Y$5:$Y$589,$A$5:$A$589,$A444)),0)</f>
        <v/>
      </c>
      <c r="O444" s="18" t="inlineStr">
        <is>
          <t>data/technology_templates.yaml; upgrade_profiles.martial; code: technology_rules.allocate_upgrade_budget</t>
        </is>
      </c>
      <c r="P444" s="67">
        <f>INDEX('个人技术总览'!$O$5:$O$46,MATCH($A444,'个人技术总览'!$A$5:$A$46,0))</f>
        <v/>
      </c>
      <c r="Q444" s="64">
        <f>INDEX('个人技术总览'!$P$5:$P$46,MATCH($A444,'个人技术总览'!$A$5:$A$46,0))</f>
        <v/>
      </c>
      <c r="R444" s="67">
        <f>INDEX('个人技术总览'!$Q$5:$Q$46,MATCH($A444,'个人技术总览'!$A$5:$A$46,0))</f>
        <v/>
      </c>
      <c r="S444" s="64">
        <f>INDEX('个人技术总览'!$R$5:$R$46,MATCH($A444,'个人技术总览'!$A$5:$A$46,0))</f>
        <v/>
      </c>
      <c r="T444" s="68">
        <f>POWER($Q444,$E444)</f>
        <v/>
      </c>
      <c r="U444" s="68">
        <f>SUMIFS($T$5:$T$589,$A$5:$A$589,$A444)</f>
        <v/>
      </c>
      <c r="V444" s="67">
        <f>ROUNDDOWN(MAX(0,$P444-$H444*$G444)*$T444/MAX(1,$U444),0)</f>
        <v/>
      </c>
      <c r="W444" s="68">
        <f>POWER($S444,$E444)</f>
        <v/>
      </c>
      <c r="X444" s="68">
        <f>SUMIFS($W$5:$W$589,$A$5:$A$589,$A444)</f>
        <v/>
      </c>
      <c r="Y444" s="67">
        <f>ROUNDDOWN(MAX(0,$R444-$J444*$G444)*$W444/MAX(1,$X444),0)</f>
        <v/>
      </c>
    </row>
    <row r="445">
      <c r="A445" s="17" t="inlineStr">
        <is>
          <t>quan_hp</t>
        </is>
      </c>
      <c r="B445" s="18" t="inlineStr">
        <is>
          <t>炼气回元</t>
        </is>
      </c>
      <c r="C445" s="18" t="inlineStr">
        <is>
          <t>武艺技术</t>
        </is>
      </c>
      <c r="D445" s="18" t="inlineStr">
        <is>
          <t>拳类</t>
        </is>
      </c>
      <c r="E445" s="65" t="n">
        <v>0</v>
      </c>
      <c r="F445" s="66">
        <f>E445+1</f>
        <v/>
      </c>
      <c r="G445" s="65">
        <f>INDEX('个人技术总览'!$E$5:$E$46,MATCH($A445,'个人技术总览'!$A$5:$A$46,0))</f>
        <v/>
      </c>
      <c r="H445" s="59">
        <f>INDEX('个人技术总览'!$F$5:$F$46,MATCH($A445,'个人技术总览'!$A$5:$A$46,0))</f>
        <v/>
      </c>
      <c r="I445" s="60">
        <f>INDEX('个人技术总览'!$G$5:$G$46,MATCH($A445,'个人技术总览'!$A$5:$A$46,0))</f>
        <v/>
      </c>
      <c r="J445" s="59">
        <f>INDEX('个人技术总览'!$H$5:$H$46,MATCH($A445,'个人技术总览'!$A$5:$A$46,0))</f>
        <v/>
      </c>
      <c r="K445" s="60">
        <f>INDEX('个人技术总览'!$I$5:$I$46,MATCH($A445,'个人技术总览'!$A$5:$A$46,0))</f>
        <v/>
      </c>
      <c r="L445" s="67">
        <f>H445+V445+IF(E445=G445-1,MAX(0,P445-H445*G445-SUMIFS($V$5:$V$589,$A$5:$A$589,$A445)),0)</f>
        <v/>
      </c>
      <c r="M445" s="61">
        <f>MAX(1,ROUNDDOWN($L445/'参数与公式'!$B$5,0))</f>
        <v/>
      </c>
      <c r="N445" s="67">
        <f>J445+Y445+IF(E445=G445-1,MAX(0,R445-J445*G445-SUMIFS($Y$5:$Y$589,$A$5:$A$589,$A445)),0)</f>
        <v/>
      </c>
      <c r="O445" s="18" t="inlineStr">
        <is>
          <t>data/technology_templates.yaml; upgrade_profiles.martial; code: technology_rules.allocate_upgrade_budget</t>
        </is>
      </c>
      <c r="P445" s="67">
        <f>INDEX('个人技术总览'!$O$5:$O$46,MATCH($A445,'个人技术总览'!$A$5:$A$46,0))</f>
        <v/>
      </c>
      <c r="Q445" s="64">
        <f>INDEX('个人技术总览'!$P$5:$P$46,MATCH($A445,'个人技术总览'!$A$5:$A$46,0))</f>
        <v/>
      </c>
      <c r="R445" s="67">
        <f>INDEX('个人技术总览'!$Q$5:$Q$46,MATCH($A445,'个人技术总览'!$A$5:$A$46,0))</f>
        <v/>
      </c>
      <c r="S445" s="64">
        <f>INDEX('个人技术总览'!$R$5:$R$46,MATCH($A445,'个人技术总览'!$A$5:$A$46,0))</f>
        <v/>
      </c>
      <c r="T445" s="68">
        <f>POWER($Q445,$E445)</f>
        <v/>
      </c>
      <c r="U445" s="68">
        <f>SUMIFS($T$5:$T$589,$A$5:$A$589,$A445)</f>
        <v/>
      </c>
      <c r="V445" s="67">
        <f>ROUNDDOWN(MAX(0,$P445-$H445*$G445)*$T445/MAX(1,$U445),0)</f>
        <v/>
      </c>
      <c r="W445" s="68">
        <f>POWER($S445,$E445)</f>
        <v/>
      </c>
      <c r="X445" s="68">
        <f>SUMIFS($W$5:$W$589,$A$5:$A$589,$A445)</f>
        <v/>
      </c>
      <c r="Y445" s="67">
        <f>ROUNDDOWN(MAX(0,$R445-$J445*$G445)*$W445/MAX(1,$X445),0)</f>
        <v/>
      </c>
    </row>
    <row r="446">
      <c r="A446" s="17" t="inlineStr">
        <is>
          <t>quan_hp</t>
        </is>
      </c>
      <c r="B446" s="18" t="inlineStr">
        <is>
          <t>炼气回元</t>
        </is>
      </c>
      <c r="C446" s="18" t="inlineStr">
        <is>
          <t>武艺技术</t>
        </is>
      </c>
      <c r="D446" s="18" t="inlineStr">
        <is>
          <t>拳类</t>
        </is>
      </c>
      <c r="E446" s="65" t="n">
        <v>1</v>
      </c>
      <c r="F446" s="66">
        <f>E446+1</f>
        <v/>
      </c>
      <c r="G446" s="65">
        <f>INDEX('个人技术总览'!$E$5:$E$46,MATCH($A446,'个人技术总览'!$A$5:$A$46,0))</f>
        <v/>
      </c>
      <c r="H446" s="59">
        <f>INDEX('个人技术总览'!$F$5:$F$46,MATCH($A446,'个人技术总览'!$A$5:$A$46,0))</f>
        <v/>
      </c>
      <c r="I446" s="60">
        <f>INDEX('个人技术总览'!$G$5:$G$46,MATCH($A446,'个人技术总览'!$A$5:$A$46,0))</f>
        <v/>
      </c>
      <c r="J446" s="59">
        <f>INDEX('个人技术总览'!$H$5:$H$46,MATCH($A446,'个人技术总览'!$A$5:$A$46,0))</f>
        <v/>
      </c>
      <c r="K446" s="60">
        <f>INDEX('个人技术总览'!$I$5:$I$46,MATCH($A446,'个人技术总览'!$A$5:$A$46,0))</f>
        <v/>
      </c>
      <c r="L446" s="67">
        <f>H446+V446+IF(E446=G446-1,MAX(0,P446-H446*G446-SUMIFS($V$5:$V$589,$A$5:$A$589,$A446)),0)</f>
        <v/>
      </c>
      <c r="M446" s="61">
        <f>MAX(1,ROUNDDOWN($L446/'参数与公式'!$B$5,0))</f>
        <v/>
      </c>
      <c r="N446" s="67">
        <f>J446+Y446+IF(E446=G446-1,MAX(0,R446-J446*G446-SUMIFS($Y$5:$Y$589,$A$5:$A$589,$A446)),0)</f>
        <v/>
      </c>
      <c r="O446" s="18" t="inlineStr">
        <is>
          <t>data/technology_templates.yaml; upgrade_profiles.martial; code: technology_rules.allocate_upgrade_budget</t>
        </is>
      </c>
      <c r="P446" s="67">
        <f>INDEX('个人技术总览'!$O$5:$O$46,MATCH($A446,'个人技术总览'!$A$5:$A$46,0))</f>
        <v/>
      </c>
      <c r="Q446" s="64">
        <f>INDEX('个人技术总览'!$P$5:$P$46,MATCH($A446,'个人技术总览'!$A$5:$A$46,0))</f>
        <v/>
      </c>
      <c r="R446" s="67">
        <f>INDEX('个人技术总览'!$Q$5:$Q$46,MATCH($A446,'个人技术总览'!$A$5:$A$46,0))</f>
        <v/>
      </c>
      <c r="S446" s="64">
        <f>INDEX('个人技术总览'!$R$5:$R$46,MATCH($A446,'个人技术总览'!$A$5:$A$46,0))</f>
        <v/>
      </c>
      <c r="T446" s="68">
        <f>POWER($Q446,$E446)</f>
        <v/>
      </c>
      <c r="U446" s="68">
        <f>SUMIFS($T$5:$T$589,$A$5:$A$589,$A446)</f>
        <v/>
      </c>
      <c r="V446" s="67">
        <f>ROUNDDOWN(MAX(0,$P446-$H446*$G446)*$T446/MAX(1,$U446),0)</f>
        <v/>
      </c>
      <c r="W446" s="68">
        <f>POWER($S446,$E446)</f>
        <v/>
      </c>
      <c r="X446" s="68">
        <f>SUMIFS($W$5:$W$589,$A$5:$A$589,$A446)</f>
        <v/>
      </c>
      <c r="Y446" s="67">
        <f>ROUNDDOWN(MAX(0,$R446-$J446*$G446)*$W446/MAX(1,$X446),0)</f>
        <v/>
      </c>
    </row>
    <row r="447">
      <c r="A447" s="17" t="inlineStr">
        <is>
          <t>quan_hp</t>
        </is>
      </c>
      <c r="B447" s="18" t="inlineStr">
        <is>
          <t>炼气回元</t>
        </is>
      </c>
      <c r="C447" s="18" t="inlineStr">
        <is>
          <t>武艺技术</t>
        </is>
      </c>
      <c r="D447" s="18" t="inlineStr">
        <is>
          <t>拳类</t>
        </is>
      </c>
      <c r="E447" s="65" t="n">
        <v>2</v>
      </c>
      <c r="F447" s="66">
        <f>E447+1</f>
        <v/>
      </c>
      <c r="G447" s="65">
        <f>INDEX('个人技术总览'!$E$5:$E$46,MATCH($A447,'个人技术总览'!$A$5:$A$46,0))</f>
        <v/>
      </c>
      <c r="H447" s="59">
        <f>INDEX('个人技术总览'!$F$5:$F$46,MATCH($A447,'个人技术总览'!$A$5:$A$46,0))</f>
        <v/>
      </c>
      <c r="I447" s="60">
        <f>INDEX('个人技术总览'!$G$5:$G$46,MATCH($A447,'个人技术总览'!$A$5:$A$46,0))</f>
        <v/>
      </c>
      <c r="J447" s="59">
        <f>INDEX('个人技术总览'!$H$5:$H$46,MATCH($A447,'个人技术总览'!$A$5:$A$46,0))</f>
        <v/>
      </c>
      <c r="K447" s="60">
        <f>INDEX('个人技术总览'!$I$5:$I$46,MATCH($A447,'个人技术总览'!$A$5:$A$46,0))</f>
        <v/>
      </c>
      <c r="L447" s="67">
        <f>H447+V447+IF(E447=G447-1,MAX(0,P447-H447*G447-SUMIFS($V$5:$V$589,$A$5:$A$589,$A447)),0)</f>
        <v/>
      </c>
      <c r="M447" s="61">
        <f>MAX(1,ROUNDDOWN($L447/'参数与公式'!$B$5,0))</f>
        <v/>
      </c>
      <c r="N447" s="67">
        <f>J447+Y447+IF(E447=G447-1,MAX(0,R447-J447*G447-SUMIFS($Y$5:$Y$589,$A$5:$A$589,$A447)),0)</f>
        <v/>
      </c>
      <c r="O447" s="18" t="inlineStr">
        <is>
          <t>data/technology_templates.yaml; upgrade_profiles.martial; code: technology_rules.allocate_upgrade_budget</t>
        </is>
      </c>
      <c r="P447" s="67">
        <f>INDEX('个人技术总览'!$O$5:$O$46,MATCH($A447,'个人技术总览'!$A$5:$A$46,0))</f>
        <v/>
      </c>
      <c r="Q447" s="64">
        <f>INDEX('个人技术总览'!$P$5:$P$46,MATCH($A447,'个人技术总览'!$A$5:$A$46,0))</f>
        <v/>
      </c>
      <c r="R447" s="67">
        <f>INDEX('个人技术总览'!$Q$5:$Q$46,MATCH($A447,'个人技术总览'!$A$5:$A$46,0))</f>
        <v/>
      </c>
      <c r="S447" s="64">
        <f>INDEX('个人技术总览'!$R$5:$R$46,MATCH($A447,'个人技术总览'!$A$5:$A$46,0))</f>
        <v/>
      </c>
      <c r="T447" s="68">
        <f>POWER($Q447,$E447)</f>
        <v/>
      </c>
      <c r="U447" s="68">
        <f>SUMIFS($T$5:$T$589,$A$5:$A$589,$A447)</f>
        <v/>
      </c>
      <c r="V447" s="67">
        <f>ROUNDDOWN(MAX(0,$P447-$H447*$G447)*$T447/MAX(1,$U447),0)</f>
        <v/>
      </c>
      <c r="W447" s="68">
        <f>POWER($S447,$E447)</f>
        <v/>
      </c>
      <c r="X447" s="68">
        <f>SUMIFS($W$5:$W$589,$A$5:$A$589,$A447)</f>
        <v/>
      </c>
      <c r="Y447" s="67">
        <f>ROUNDDOWN(MAX(0,$R447-$J447*$G447)*$W447/MAX(1,$X447),0)</f>
        <v/>
      </c>
    </row>
    <row r="448">
      <c r="A448" s="17" t="inlineStr">
        <is>
          <t>quan_hp</t>
        </is>
      </c>
      <c r="B448" s="18" t="inlineStr">
        <is>
          <t>炼气回元</t>
        </is>
      </c>
      <c r="C448" s="18" t="inlineStr">
        <is>
          <t>武艺技术</t>
        </is>
      </c>
      <c r="D448" s="18" t="inlineStr">
        <is>
          <t>拳类</t>
        </is>
      </c>
      <c r="E448" s="65" t="n">
        <v>3</v>
      </c>
      <c r="F448" s="66">
        <f>E448+1</f>
        <v/>
      </c>
      <c r="G448" s="65">
        <f>INDEX('个人技术总览'!$E$5:$E$46,MATCH($A448,'个人技术总览'!$A$5:$A$46,0))</f>
        <v/>
      </c>
      <c r="H448" s="59">
        <f>INDEX('个人技术总览'!$F$5:$F$46,MATCH($A448,'个人技术总览'!$A$5:$A$46,0))</f>
        <v/>
      </c>
      <c r="I448" s="60">
        <f>INDEX('个人技术总览'!$G$5:$G$46,MATCH($A448,'个人技术总览'!$A$5:$A$46,0))</f>
        <v/>
      </c>
      <c r="J448" s="59">
        <f>INDEX('个人技术总览'!$H$5:$H$46,MATCH($A448,'个人技术总览'!$A$5:$A$46,0))</f>
        <v/>
      </c>
      <c r="K448" s="60">
        <f>INDEX('个人技术总览'!$I$5:$I$46,MATCH($A448,'个人技术总览'!$A$5:$A$46,0))</f>
        <v/>
      </c>
      <c r="L448" s="67">
        <f>H448+V448+IF(E448=G448-1,MAX(0,P448-H448*G448-SUMIFS($V$5:$V$589,$A$5:$A$589,$A448)),0)</f>
        <v/>
      </c>
      <c r="M448" s="61">
        <f>MAX(1,ROUNDDOWN($L448/'参数与公式'!$B$5,0))</f>
        <v/>
      </c>
      <c r="N448" s="67">
        <f>J448+Y448+IF(E448=G448-1,MAX(0,R448-J448*G448-SUMIFS($Y$5:$Y$589,$A$5:$A$589,$A448)),0)</f>
        <v/>
      </c>
      <c r="O448" s="18" t="inlineStr">
        <is>
          <t>data/technology_templates.yaml; upgrade_profiles.martial; code: technology_rules.allocate_upgrade_budget</t>
        </is>
      </c>
      <c r="P448" s="67">
        <f>INDEX('个人技术总览'!$O$5:$O$46,MATCH($A448,'个人技术总览'!$A$5:$A$46,0))</f>
        <v/>
      </c>
      <c r="Q448" s="64">
        <f>INDEX('个人技术总览'!$P$5:$P$46,MATCH($A448,'个人技术总览'!$A$5:$A$46,0))</f>
        <v/>
      </c>
      <c r="R448" s="67">
        <f>INDEX('个人技术总览'!$Q$5:$Q$46,MATCH($A448,'个人技术总览'!$A$5:$A$46,0))</f>
        <v/>
      </c>
      <c r="S448" s="64">
        <f>INDEX('个人技术总览'!$R$5:$R$46,MATCH($A448,'个人技术总览'!$A$5:$A$46,0))</f>
        <v/>
      </c>
      <c r="T448" s="68">
        <f>POWER($Q448,$E448)</f>
        <v/>
      </c>
      <c r="U448" s="68">
        <f>SUMIFS($T$5:$T$589,$A$5:$A$589,$A448)</f>
        <v/>
      </c>
      <c r="V448" s="67">
        <f>ROUNDDOWN(MAX(0,$P448-$H448*$G448)*$T448/MAX(1,$U448),0)</f>
        <v/>
      </c>
      <c r="W448" s="68">
        <f>POWER($S448,$E448)</f>
        <v/>
      </c>
      <c r="X448" s="68">
        <f>SUMIFS($W$5:$W$589,$A$5:$A$589,$A448)</f>
        <v/>
      </c>
      <c r="Y448" s="67">
        <f>ROUNDDOWN(MAX(0,$R448-$J448*$G448)*$W448/MAX(1,$X448),0)</f>
        <v/>
      </c>
    </row>
    <row r="449">
      <c r="A449" s="17" t="inlineStr">
        <is>
          <t>quan_hp</t>
        </is>
      </c>
      <c r="B449" s="18" t="inlineStr">
        <is>
          <t>炼气回元</t>
        </is>
      </c>
      <c r="C449" s="18" t="inlineStr">
        <is>
          <t>武艺技术</t>
        </is>
      </c>
      <c r="D449" s="18" t="inlineStr">
        <is>
          <t>拳类</t>
        </is>
      </c>
      <c r="E449" s="65" t="n">
        <v>4</v>
      </c>
      <c r="F449" s="66">
        <f>E449+1</f>
        <v/>
      </c>
      <c r="G449" s="65">
        <f>INDEX('个人技术总览'!$E$5:$E$46,MATCH($A449,'个人技术总览'!$A$5:$A$46,0))</f>
        <v/>
      </c>
      <c r="H449" s="59">
        <f>INDEX('个人技术总览'!$F$5:$F$46,MATCH($A449,'个人技术总览'!$A$5:$A$46,0))</f>
        <v/>
      </c>
      <c r="I449" s="60">
        <f>INDEX('个人技术总览'!$G$5:$G$46,MATCH($A449,'个人技术总览'!$A$5:$A$46,0))</f>
        <v/>
      </c>
      <c r="J449" s="59">
        <f>INDEX('个人技术总览'!$H$5:$H$46,MATCH($A449,'个人技术总览'!$A$5:$A$46,0))</f>
        <v/>
      </c>
      <c r="K449" s="60">
        <f>INDEX('个人技术总览'!$I$5:$I$46,MATCH($A449,'个人技术总览'!$A$5:$A$46,0))</f>
        <v/>
      </c>
      <c r="L449" s="67">
        <f>H449+V449+IF(E449=G449-1,MAX(0,P449-H449*G449-SUMIFS($V$5:$V$589,$A$5:$A$589,$A449)),0)</f>
        <v/>
      </c>
      <c r="M449" s="61">
        <f>MAX(1,ROUNDDOWN($L449/'参数与公式'!$B$5,0))</f>
        <v/>
      </c>
      <c r="N449" s="67">
        <f>J449+Y449+IF(E449=G449-1,MAX(0,R449-J449*G449-SUMIFS($Y$5:$Y$589,$A$5:$A$589,$A449)),0)</f>
        <v/>
      </c>
      <c r="O449" s="18" t="inlineStr">
        <is>
          <t>data/technology_templates.yaml; upgrade_profiles.martial; code: technology_rules.allocate_upgrade_budget</t>
        </is>
      </c>
      <c r="P449" s="67">
        <f>INDEX('个人技术总览'!$O$5:$O$46,MATCH($A449,'个人技术总览'!$A$5:$A$46,0))</f>
        <v/>
      </c>
      <c r="Q449" s="64">
        <f>INDEX('个人技术总览'!$P$5:$P$46,MATCH($A449,'个人技术总览'!$A$5:$A$46,0))</f>
        <v/>
      </c>
      <c r="R449" s="67">
        <f>INDEX('个人技术总览'!$Q$5:$Q$46,MATCH($A449,'个人技术总览'!$A$5:$A$46,0))</f>
        <v/>
      </c>
      <c r="S449" s="64">
        <f>INDEX('个人技术总览'!$R$5:$R$46,MATCH($A449,'个人技术总览'!$A$5:$A$46,0))</f>
        <v/>
      </c>
      <c r="T449" s="68">
        <f>POWER($Q449,$E449)</f>
        <v/>
      </c>
      <c r="U449" s="68">
        <f>SUMIFS($T$5:$T$589,$A$5:$A$589,$A449)</f>
        <v/>
      </c>
      <c r="V449" s="67">
        <f>ROUNDDOWN(MAX(0,$P449-$H449*$G449)*$T449/MAX(1,$U449),0)</f>
        <v/>
      </c>
      <c r="W449" s="68">
        <f>POWER($S449,$E449)</f>
        <v/>
      </c>
      <c r="X449" s="68">
        <f>SUMIFS($W$5:$W$589,$A$5:$A$589,$A449)</f>
        <v/>
      </c>
      <c r="Y449" s="67">
        <f>ROUNDDOWN(MAX(0,$R449-$J449*$G449)*$W449/MAX(1,$X449),0)</f>
        <v/>
      </c>
    </row>
    <row r="450">
      <c r="A450" s="17" t="inlineStr">
        <is>
          <t>quan_hp</t>
        </is>
      </c>
      <c r="B450" s="18" t="inlineStr">
        <is>
          <t>炼气回元</t>
        </is>
      </c>
      <c r="C450" s="18" t="inlineStr">
        <is>
          <t>武艺技术</t>
        </is>
      </c>
      <c r="D450" s="18" t="inlineStr">
        <is>
          <t>拳类</t>
        </is>
      </c>
      <c r="E450" s="65" t="n">
        <v>5</v>
      </c>
      <c r="F450" s="66">
        <f>E450+1</f>
        <v/>
      </c>
      <c r="G450" s="65">
        <f>INDEX('个人技术总览'!$E$5:$E$46,MATCH($A450,'个人技术总览'!$A$5:$A$46,0))</f>
        <v/>
      </c>
      <c r="H450" s="59">
        <f>INDEX('个人技术总览'!$F$5:$F$46,MATCH($A450,'个人技术总览'!$A$5:$A$46,0))</f>
        <v/>
      </c>
      <c r="I450" s="60">
        <f>INDEX('个人技术总览'!$G$5:$G$46,MATCH($A450,'个人技术总览'!$A$5:$A$46,0))</f>
        <v/>
      </c>
      <c r="J450" s="59">
        <f>INDEX('个人技术总览'!$H$5:$H$46,MATCH($A450,'个人技术总览'!$A$5:$A$46,0))</f>
        <v/>
      </c>
      <c r="K450" s="60">
        <f>INDEX('个人技术总览'!$I$5:$I$46,MATCH($A450,'个人技术总览'!$A$5:$A$46,0))</f>
        <v/>
      </c>
      <c r="L450" s="67">
        <f>H450+V450+IF(E450=G450-1,MAX(0,P450-H450*G450-SUMIFS($V$5:$V$589,$A$5:$A$589,$A450)),0)</f>
        <v/>
      </c>
      <c r="M450" s="61">
        <f>MAX(1,ROUNDDOWN($L450/'参数与公式'!$B$5,0))</f>
        <v/>
      </c>
      <c r="N450" s="67">
        <f>J450+Y450+IF(E450=G450-1,MAX(0,R450-J450*G450-SUMIFS($Y$5:$Y$589,$A$5:$A$589,$A450)),0)</f>
        <v/>
      </c>
      <c r="O450" s="18" t="inlineStr">
        <is>
          <t>data/technology_templates.yaml; upgrade_profiles.martial; code: technology_rules.allocate_upgrade_budget</t>
        </is>
      </c>
      <c r="P450" s="67">
        <f>INDEX('个人技术总览'!$O$5:$O$46,MATCH($A450,'个人技术总览'!$A$5:$A$46,0))</f>
        <v/>
      </c>
      <c r="Q450" s="64">
        <f>INDEX('个人技术总览'!$P$5:$P$46,MATCH($A450,'个人技术总览'!$A$5:$A$46,0))</f>
        <v/>
      </c>
      <c r="R450" s="67">
        <f>INDEX('个人技术总览'!$Q$5:$Q$46,MATCH($A450,'个人技术总览'!$A$5:$A$46,0))</f>
        <v/>
      </c>
      <c r="S450" s="64">
        <f>INDEX('个人技术总览'!$R$5:$R$46,MATCH($A450,'个人技术总览'!$A$5:$A$46,0))</f>
        <v/>
      </c>
      <c r="T450" s="68">
        <f>POWER($Q450,$E450)</f>
        <v/>
      </c>
      <c r="U450" s="68">
        <f>SUMIFS($T$5:$T$589,$A$5:$A$589,$A450)</f>
        <v/>
      </c>
      <c r="V450" s="67">
        <f>ROUNDDOWN(MAX(0,$P450-$H450*$G450)*$T450/MAX(1,$U450),0)</f>
        <v/>
      </c>
      <c r="W450" s="68">
        <f>POWER($S450,$E450)</f>
        <v/>
      </c>
      <c r="X450" s="68">
        <f>SUMIFS($W$5:$W$589,$A$5:$A$589,$A450)</f>
        <v/>
      </c>
      <c r="Y450" s="67">
        <f>ROUNDDOWN(MAX(0,$R450-$J450*$G450)*$W450/MAX(1,$X450),0)</f>
        <v/>
      </c>
    </row>
    <row r="451">
      <c r="A451" s="17" t="inlineStr">
        <is>
          <t>quan_hp</t>
        </is>
      </c>
      <c r="B451" s="18" t="inlineStr">
        <is>
          <t>炼气回元</t>
        </is>
      </c>
      <c r="C451" s="18" t="inlineStr">
        <is>
          <t>武艺技术</t>
        </is>
      </c>
      <c r="D451" s="18" t="inlineStr">
        <is>
          <t>拳类</t>
        </is>
      </c>
      <c r="E451" s="65" t="n">
        <v>6</v>
      </c>
      <c r="F451" s="66">
        <f>E451+1</f>
        <v/>
      </c>
      <c r="G451" s="65">
        <f>INDEX('个人技术总览'!$E$5:$E$46,MATCH($A451,'个人技术总览'!$A$5:$A$46,0))</f>
        <v/>
      </c>
      <c r="H451" s="59">
        <f>INDEX('个人技术总览'!$F$5:$F$46,MATCH($A451,'个人技术总览'!$A$5:$A$46,0))</f>
        <v/>
      </c>
      <c r="I451" s="60">
        <f>INDEX('个人技术总览'!$G$5:$G$46,MATCH($A451,'个人技术总览'!$A$5:$A$46,0))</f>
        <v/>
      </c>
      <c r="J451" s="59">
        <f>INDEX('个人技术总览'!$H$5:$H$46,MATCH($A451,'个人技术总览'!$A$5:$A$46,0))</f>
        <v/>
      </c>
      <c r="K451" s="60">
        <f>INDEX('个人技术总览'!$I$5:$I$46,MATCH($A451,'个人技术总览'!$A$5:$A$46,0))</f>
        <v/>
      </c>
      <c r="L451" s="67">
        <f>H451+V451+IF(E451=G451-1,MAX(0,P451-H451*G451-SUMIFS($V$5:$V$589,$A$5:$A$589,$A451)),0)</f>
        <v/>
      </c>
      <c r="M451" s="61">
        <f>MAX(1,ROUNDDOWN($L451/'参数与公式'!$B$5,0))</f>
        <v/>
      </c>
      <c r="N451" s="67">
        <f>J451+Y451+IF(E451=G451-1,MAX(0,R451-J451*G451-SUMIFS($Y$5:$Y$589,$A$5:$A$589,$A451)),0)</f>
        <v/>
      </c>
      <c r="O451" s="18" t="inlineStr">
        <is>
          <t>data/technology_templates.yaml; upgrade_profiles.martial; code: technology_rules.allocate_upgrade_budget</t>
        </is>
      </c>
      <c r="P451" s="67">
        <f>INDEX('个人技术总览'!$O$5:$O$46,MATCH($A451,'个人技术总览'!$A$5:$A$46,0))</f>
        <v/>
      </c>
      <c r="Q451" s="64">
        <f>INDEX('个人技术总览'!$P$5:$P$46,MATCH($A451,'个人技术总览'!$A$5:$A$46,0))</f>
        <v/>
      </c>
      <c r="R451" s="67">
        <f>INDEX('个人技术总览'!$Q$5:$Q$46,MATCH($A451,'个人技术总览'!$A$5:$A$46,0))</f>
        <v/>
      </c>
      <c r="S451" s="64">
        <f>INDEX('个人技术总览'!$R$5:$R$46,MATCH($A451,'个人技术总览'!$A$5:$A$46,0))</f>
        <v/>
      </c>
      <c r="T451" s="68">
        <f>POWER($Q451,$E451)</f>
        <v/>
      </c>
      <c r="U451" s="68">
        <f>SUMIFS($T$5:$T$589,$A$5:$A$589,$A451)</f>
        <v/>
      </c>
      <c r="V451" s="67">
        <f>ROUNDDOWN(MAX(0,$P451-$H451*$G451)*$T451/MAX(1,$U451),0)</f>
        <v/>
      </c>
      <c r="W451" s="68">
        <f>POWER($S451,$E451)</f>
        <v/>
      </c>
      <c r="X451" s="68">
        <f>SUMIFS($W$5:$W$589,$A$5:$A$589,$A451)</f>
        <v/>
      </c>
      <c r="Y451" s="67">
        <f>ROUNDDOWN(MAX(0,$R451-$J451*$G451)*$W451/MAX(1,$X451),0)</f>
        <v/>
      </c>
    </row>
    <row r="452">
      <c r="A452" s="17" t="inlineStr">
        <is>
          <t>quan_hp</t>
        </is>
      </c>
      <c r="B452" s="18" t="inlineStr">
        <is>
          <t>炼气回元</t>
        </is>
      </c>
      <c r="C452" s="18" t="inlineStr">
        <is>
          <t>武艺技术</t>
        </is>
      </c>
      <c r="D452" s="18" t="inlineStr">
        <is>
          <t>拳类</t>
        </is>
      </c>
      <c r="E452" s="65" t="n">
        <v>7</v>
      </c>
      <c r="F452" s="66">
        <f>E452+1</f>
        <v/>
      </c>
      <c r="G452" s="65">
        <f>INDEX('个人技术总览'!$E$5:$E$46,MATCH($A452,'个人技术总览'!$A$5:$A$46,0))</f>
        <v/>
      </c>
      <c r="H452" s="59">
        <f>INDEX('个人技术总览'!$F$5:$F$46,MATCH($A452,'个人技术总览'!$A$5:$A$46,0))</f>
        <v/>
      </c>
      <c r="I452" s="60">
        <f>INDEX('个人技术总览'!$G$5:$G$46,MATCH($A452,'个人技术总览'!$A$5:$A$46,0))</f>
        <v/>
      </c>
      <c r="J452" s="59">
        <f>INDEX('个人技术总览'!$H$5:$H$46,MATCH($A452,'个人技术总览'!$A$5:$A$46,0))</f>
        <v/>
      </c>
      <c r="K452" s="60">
        <f>INDEX('个人技术总览'!$I$5:$I$46,MATCH($A452,'个人技术总览'!$A$5:$A$46,0))</f>
        <v/>
      </c>
      <c r="L452" s="67">
        <f>H452+V452+IF(E452=G452-1,MAX(0,P452-H452*G452-SUMIFS($V$5:$V$589,$A$5:$A$589,$A452)),0)</f>
        <v/>
      </c>
      <c r="M452" s="61">
        <f>MAX(1,ROUNDDOWN($L452/'参数与公式'!$B$5,0))</f>
        <v/>
      </c>
      <c r="N452" s="67">
        <f>J452+Y452+IF(E452=G452-1,MAX(0,R452-J452*G452-SUMIFS($Y$5:$Y$589,$A$5:$A$589,$A452)),0)</f>
        <v/>
      </c>
      <c r="O452" s="18" t="inlineStr">
        <is>
          <t>data/technology_templates.yaml; upgrade_profiles.martial; code: technology_rules.allocate_upgrade_budget</t>
        </is>
      </c>
      <c r="P452" s="67">
        <f>INDEX('个人技术总览'!$O$5:$O$46,MATCH($A452,'个人技术总览'!$A$5:$A$46,0))</f>
        <v/>
      </c>
      <c r="Q452" s="64">
        <f>INDEX('个人技术总览'!$P$5:$P$46,MATCH($A452,'个人技术总览'!$A$5:$A$46,0))</f>
        <v/>
      </c>
      <c r="R452" s="67">
        <f>INDEX('个人技术总览'!$Q$5:$Q$46,MATCH($A452,'个人技术总览'!$A$5:$A$46,0))</f>
        <v/>
      </c>
      <c r="S452" s="64">
        <f>INDEX('个人技术总览'!$R$5:$R$46,MATCH($A452,'个人技术总览'!$A$5:$A$46,0))</f>
        <v/>
      </c>
      <c r="T452" s="68">
        <f>POWER($Q452,$E452)</f>
        <v/>
      </c>
      <c r="U452" s="68">
        <f>SUMIFS($T$5:$T$589,$A$5:$A$589,$A452)</f>
        <v/>
      </c>
      <c r="V452" s="67">
        <f>ROUNDDOWN(MAX(0,$P452-$H452*$G452)*$T452/MAX(1,$U452),0)</f>
        <v/>
      </c>
      <c r="W452" s="68">
        <f>POWER($S452,$E452)</f>
        <v/>
      </c>
      <c r="X452" s="68">
        <f>SUMIFS($W$5:$W$589,$A$5:$A$589,$A452)</f>
        <v/>
      </c>
      <c r="Y452" s="67">
        <f>ROUNDDOWN(MAX(0,$R452-$J452*$G452)*$W452/MAX(1,$X452),0)</f>
        <v/>
      </c>
    </row>
    <row r="453">
      <c r="A453" s="17" t="inlineStr">
        <is>
          <t>quan_hp</t>
        </is>
      </c>
      <c r="B453" s="18" t="inlineStr">
        <is>
          <t>炼气回元</t>
        </is>
      </c>
      <c r="C453" s="18" t="inlineStr">
        <is>
          <t>武艺技术</t>
        </is>
      </c>
      <c r="D453" s="18" t="inlineStr">
        <is>
          <t>拳类</t>
        </is>
      </c>
      <c r="E453" s="65" t="n">
        <v>8</v>
      </c>
      <c r="F453" s="66">
        <f>E453+1</f>
        <v/>
      </c>
      <c r="G453" s="65">
        <f>INDEX('个人技术总览'!$E$5:$E$46,MATCH($A453,'个人技术总览'!$A$5:$A$46,0))</f>
        <v/>
      </c>
      <c r="H453" s="59">
        <f>INDEX('个人技术总览'!$F$5:$F$46,MATCH($A453,'个人技术总览'!$A$5:$A$46,0))</f>
        <v/>
      </c>
      <c r="I453" s="60">
        <f>INDEX('个人技术总览'!$G$5:$G$46,MATCH($A453,'个人技术总览'!$A$5:$A$46,0))</f>
        <v/>
      </c>
      <c r="J453" s="59">
        <f>INDEX('个人技术总览'!$H$5:$H$46,MATCH($A453,'个人技术总览'!$A$5:$A$46,0))</f>
        <v/>
      </c>
      <c r="K453" s="60">
        <f>INDEX('个人技术总览'!$I$5:$I$46,MATCH($A453,'个人技术总览'!$A$5:$A$46,0))</f>
        <v/>
      </c>
      <c r="L453" s="67">
        <f>H453+V453+IF(E453=G453-1,MAX(0,P453-H453*G453-SUMIFS($V$5:$V$589,$A$5:$A$589,$A453)),0)</f>
        <v/>
      </c>
      <c r="M453" s="61">
        <f>MAX(1,ROUNDDOWN($L453/'参数与公式'!$B$5,0))</f>
        <v/>
      </c>
      <c r="N453" s="67">
        <f>J453+Y453+IF(E453=G453-1,MAX(0,R453-J453*G453-SUMIFS($Y$5:$Y$589,$A$5:$A$589,$A453)),0)</f>
        <v/>
      </c>
      <c r="O453" s="18" t="inlineStr">
        <is>
          <t>data/technology_templates.yaml; upgrade_profiles.martial; code: technology_rules.allocate_upgrade_budget</t>
        </is>
      </c>
      <c r="P453" s="67">
        <f>INDEX('个人技术总览'!$O$5:$O$46,MATCH($A453,'个人技术总览'!$A$5:$A$46,0))</f>
        <v/>
      </c>
      <c r="Q453" s="64">
        <f>INDEX('个人技术总览'!$P$5:$P$46,MATCH($A453,'个人技术总览'!$A$5:$A$46,0))</f>
        <v/>
      </c>
      <c r="R453" s="67">
        <f>INDEX('个人技术总览'!$Q$5:$Q$46,MATCH($A453,'个人技术总览'!$A$5:$A$46,0))</f>
        <v/>
      </c>
      <c r="S453" s="64">
        <f>INDEX('个人技术总览'!$R$5:$R$46,MATCH($A453,'个人技术总览'!$A$5:$A$46,0))</f>
        <v/>
      </c>
      <c r="T453" s="68">
        <f>POWER($Q453,$E453)</f>
        <v/>
      </c>
      <c r="U453" s="68">
        <f>SUMIFS($T$5:$T$589,$A$5:$A$589,$A453)</f>
        <v/>
      </c>
      <c r="V453" s="67">
        <f>ROUNDDOWN(MAX(0,$P453-$H453*$G453)*$T453/MAX(1,$U453),0)</f>
        <v/>
      </c>
      <c r="W453" s="68">
        <f>POWER($S453,$E453)</f>
        <v/>
      </c>
      <c r="X453" s="68">
        <f>SUMIFS($W$5:$W$589,$A$5:$A$589,$A453)</f>
        <v/>
      </c>
      <c r="Y453" s="67">
        <f>ROUNDDOWN(MAX(0,$R453-$J453*$G453)*$W453/MAX(1,$X453),0)</f>
        <v/>
      </c>
    </row>
    <row r="454">
      <c r="A454" s="17" t="inlineStr">
        <is>
          <t>quan_hp</t>
        </is>
      </c>
      <c r="B454" s="18" t="inlineStr">
        <is>
          <t>炼气回元</t>
        </is>
      </c>
      <c r="C454" s="18" t="inlineStr">
        <is>
          <t>武艺技术</t>
        </is>
      </c>
      <c r="D454" s="18" t="inlineStr">
        <is>
          <t>拳类</t>
        </is>
      </c>
      <c r="E454" s="65" t="n">
        <v>9</v>
      </c>
      <c r="F454" s="66">
        <f>E454+1</f>
        <v/>
      </c>
      <c r="G454" s="65">
        <f>INDEX('个人技术总览'!$E$5:$E$46,MATCH($A454,'个人技术总览'!$A$5:$A$46,0))</f>
        <v/>
      </c>
      <c r="H454" s="59">
        <f>INDEX('个人技术总览'!$F$5:$F$46,MATCH($A454,'个人技术总览'!$A$5:$A$46,0))</f>
        <v/>
      </c>
      <c r="I454" s="60">
        <f>INDEX('个人技术总览'!$G$5:$G$46,MATCH($A454,'个人技术总览'!$A$5:$A$46,0))</f>
        <v/>
      </c>
      <c r="J454" s="59">
        <f>INDEX('个人技术总览'!$H$5:$H$46,MATCH($A454,'个人技术总览'!$A$5:$A$46,0))</f>
        <v/>
      </c>
      <c r="K454" s="60">
        <f>INDEX('个人技术总览'!$I$5:$I$46,MATCH($A454,'个人技术总览'!$A$5:$A$46,0))</f>
        <v/>
      </c>
      <c r="L454" s="67">
        <f>H454+V454+IF(E454=G454-1,MAX(0,P454-H454*G454-SUMIFS($V$5:$V$589,$A$5:$A$589,$A454)),0)</f>
        <v/>
      </c>
      <c r="M454" s="61">
        <f>MAX(1,ROUNDDOWN($L454/'参数与公式'!$B$5,0))</f>
        <v/>
      </c>
      <c r="N454" s="67">
        <f>J454+Y454+IF(E454=G454-1,MAX(0,R454-J454*G454-SUMIFS($Y$5:$Y$589,$A$5:$A$589,$A454)),0)</f>
        <v/>
      </c>
      <c r="O454" s="18" t="inlineStr">
        <is>
          <t>data/technology_templates.yaml; upgrade_profiles.martial; code: technology_rules.allocate_upgrade_budget</t>
        </is>
      </c>
      <c r="P454" s="67">
        <f>INDEX('个人技术总览'!$O$5:$O$46,MATCH($A454,'个人技术总览'!$A$5:$A$46,0))</f>
        <v/>
      </c>
      <c r="Q454" s="64">
        <f>INDEX('个人技术总览'!$P$5:$P$46,MATCH($A454,'个人技术总览'!$A$5:$A$46,0))</f>
        <v/>
      </c>
      <c r="R454" s="67">
        <f>INDEX('个人技术总览'!$Q$5:$Q$46,MATCH($A454,'个人技术总览'!$A$5:$A$46,0))</f>
        <v/>
      </c>
      <c r="S454" s="64">
        <f>INDEX('个人技术总览'!$R$5:$R$46,MATCH($A454,'个人技术总览'!$A$5:$A$46,0))</f>
        <v/>
      </c>
      <c r="T454" s="68">
        <f>POWER($Q454,$E454)</f>
        <v/>
      </c>
      <c r="U454" s="68">
        <f>SUMIFS($T$5:$T$589,$A$5:$A$589,$A454)</f>
        <v/>
      </c>
      <c r="V454" s="67">
        <f>ROUNDDOWN(MAX(0,$P454-$H454*$G454)*$T454/MAX(1,$U454),0)</f>
        <v/>
      </c>
      <c r="W454" s="68">
        <f>POWER($S454,$E454)</f>
        <v/>
      </c>
      <c r="X454" s="68">
        <f>SUMIFS($W$5:$W$589,$A$5:$A$589,$A454)</f>
        <v/>
      </c>
      <c r="Y454" s="67">
        <f>ROUNDDOWN(MAX(0,$R454-$J454*$G454)*$W454/MAX(1,$X454),0)</f>
        <v/>
      </c>
    </row>
    <row r="455">
      <c r="A455" s="17" t="inlineStr">
        <is>
          <t>quan_vs_ranged</t>
        </is>
      </c>
      <c r="B455" s="18" t="inlineStr">
        <is>
          <t>万宗归流</t>
        </is>
      </c>
      <c r="C455" s="18" t="inlineStr">
        <is>
          <t>武艺技术</t>
        </is>
      </c>
      <c r="D455" s="18" t="inlineStr">
        <is>
          <t>拳类</t>
        </is>
      </c>
      <c r="E455" s="65" t="n">
        <v>0</v>
      </c>
      <c r="F455" s="66">
        <f>E455+1</f>
        <v/>
      </c>
      <c r="G455" s="65">
        <f>INDEX('个人技术总览'!$E$5:$E$46,MATCH($A455,'个人技术总览'!$A$5:$A$46,0))</f>
        <v/>
      </c>
      <c r="H455" s="59">
        <f>INDEX('个人技术总览'!$F$5:$F$46,MATCH($A455,'个人技术总览'!$A$5:$A$46,0))</f>
        <v/>
      </c>
      <c r="I455" s="60">
        <f>INDEX('个人技术总览'!$G$5:$G$46,MATCH($A455,'个人技术总览'!$A$5:$A$46,0))</f>
        <v/>
      </c>
      <c r="J455" s="59">
        <f>INDEX('个人技术总览'!$H$5:$H$46,MATCH($A455,'个人技术总览'!$A$5:$A$46,0))</f>
        <v/>
      </c>
      <c r="K455" s="60">
        <f>INDEX('个人技术总览'!$I$5:$I$46,MATCH($A455,'个人技术总览'!$A$5:$A$46,0))</f>
        <v/>
      </c>
      <c r="L455" s="67">
        <f>H455+V455+IF(E455=G455-1,MAX(0,P455-H455*G455-SUMIFS($V$5:$V$589,$A$5:$A$589,$A455)),0)</f>
        <v/>
      </c>
      <c r="M455" s="61">
        <f>MAX(1,ROUNDDOWN($L455/'参数与公式'!$B$5,0))</f>
        <v/>
      </c>
      <c r="N455" s="67">
        <f>J455+Y455+IF(E455=G455-1,MAX(0,R455-J455*G455-SUMIFS($Y$5:$Y$589,$A$5:$A$589,$A455)),0)</f>
        <v/>
      </c>
      <c r="O455" s="18" t="inlineStr">
        <is>
          <t>data/technology_templates.yaml; upgrade_profiles.martial; code: technology_rules.allocate_upgrade_budget</t>
        </is>
      </c>
      <c r="P455" s="67">
        <f>INDEX('个人技术总览'!$O$5:$O$46,MATCH($A455,'个人技术总览'!$A$5:$A$46,0))</f>
        <v/>
      </c>
      <c r="Q455" s="64">
        <f>INDEX('个人技术总览'!$P$5:$P$46,MATCH($A455,'个人技术总览'!$A$5:$A$46,0))</f>
        <v/>
      </c>
      <c r="R455" s="67">
        <f>INDEX('个人技术总览'!$Q$5:$Q$46,MATCH($A455,'个人技术总览'!$A$5:$A$46,0))</f>
        <v/>
      </c>
      <c r="S455" s="64">
        <f>INDEX('个人技术总览'!$R$5:$R$46,MATCH($A455,'个人技术总览'!$A$5:$A$46,0))</f>
        <v/>
      </c>
      <c r="T455" s="68">
        <f>POWER($Q455,$E455)</f>
        <v/>
      </c>
      <c r="U455" s="68">
        <f>SUMIFS($T$5:$T$589,$A$5:$A$589,$A455)</f>
        <v/>
      </c>
      <c r="V455" s="67">
        <f>ROUNDDOWN(MAX(0,$P455-$H455*$G455)*$T455/MAX(1,$U455),0)</f>
        <v/>
      </c>
      <c r="W455" s="68">
        <f>POWER($S455,$E455)</f>
        <v/>
      </c>
      <c r="X455" s="68">
        <f>SUMIFS($W$5:$W$589,$A$5:$A$589,$A455)</f>
        <v/>
      </c>
      <c r="Y455" s="67">
        <f>ROUNDDOWN(MAX(0,$R455-$J455*$G455)*$W455/MAX(1,$X455),0)</f>
        <v/>
      </c>
    </row>
    <row r="456">
      <c r="A456" s="17" t="inlineStr">
        <is>
          <t>quan_vs_ranged</t>
        </is>
      </c>
      <c r="B456" s="18" t="inlineStr">
        <is>
          <t>万宗归流</t>
        </is>
      </c>
      <c r="C456" s="18" t="inlineStr">
        <is>
          <t>武艺技术</t>
        </is>
      </c>
      <c r="D456" s="18" t="inlineStr">
        <is>
          <t>拳类</t>
        </is>
      </c>
      <c r="E456" s="65" t="n">
        <v>1</v>
      </c>
      <c r="F456" s="66">
        <f>E456+1</f>
        <v/>
      </c>
      <c r="G456" s="65">
        <f>INDEX('个人技术总览'!$E$5:$E$46,MATCH($A456,'个人技术总览'!$A$5:$A$46,0))</f>
        <v/>
      </c>
      <c r="H456" s="59">
        <f>INDEX('个人技术总览'!$F$5:$F$46,MATCH($A456,'个人技术总览'!$A$5:$A$46,0))</f>
        <v/>
      </c>
      <c r="I456" s="60">
        <f>INDEX('个人技术总览'!$G$5:$G$46,MATCH($A456,'个人技术总览'!$A$5:$A$46,0))</f>
        <v/>
      </c>
      <c r="J456" s="59">
        <f>INDEX('个人技术总览'!$H$5:$H$46,MATCH($A456,'个人技术总览'!$A$5:$A$46,0))</f>
        <v/>
      </c>
      <c r="K456" s="60">
        <f>INDEX('个人技术总览'!$I$5:$I$46,MATCH($A456,'个人技术总览'!$A$5:$A$46,0))</f>
        <v/>
      </c>
      <c r="L456" s="67">
        <f>H456+V456+IF(E456=G456-1,MAX(0,P456-H456*G456-SUMIFS($V$5:$V$589,$A$5:$A$589,$A456)),0)</f>
        <v/>
      </c>
      <c r="M456" s="61">
        <f>MAX(1,ROUNDDOWN($L456/'参数与公式'!$B$5,0))</f>
        <v/>
      </c>
      <c r="N456" s="67">
        <f>J456+Y456+IF(E456=G456-1,MAX(0,R456-J456*G456-SUMIFS($Y$5:$Y$589,$A$5:$A$589,$A456)),0)</f>
        <v/>
      </c>
      <c r="O456" s="18" t="inlineStr">
        <is>
          <t>data/technology_templates.yaml; upgrade_profiles.martial; code: technology_rules.allocate_upgrade_budget</t>
        </is>
      </c>
      <c r="P456" s="67">
        <f>INDEX('个人技术总览'!$O$5:$O$46,MATCH($A456,'个人技术总览'!$A$5:$A$46,0))</f>
        <v/>
      </c>
      <c r="Q456" s="64">
        <f>INDEX('个人技术总览'!$P$5:$P$46,MATCH($A456,'个人技术总览'!$A$5:$A$46,0))</f>
        <v/>
      </c>
      <c r="R456" s="67">
        <f>INDEX('个人技术总览'!$Q$5:$Q$46,MATCH($A456,'个人技术总览'!$A$5:$A$46,0))</f>
        <v/>
      </c>
      <c r="S456" s="64">
        <f>INDEX('个人技术总览'!$R$5:$R$46,MATCH($A456,'个人技术总览'!$A$5:$A$46,0))</f>
        <v/>
      </c>
      <c r="T456" s="68">
        <f>POWER($Q456,$E456)</f>
        <v/>
      </c>
      <c r="U456" s="68">
        <f>SUMIFS($T$5:$T$589,$A$5:$A$589,$A456)</f>
        <v/>
      </c>
      <c r="V456" s="67">
        <f>ROUNDDOWN(MAX(0,$P456-$H456*$G456)*$T456/MAX(1,$U456),0)</f>
        <v/>
      </c>
      <c r="W456" s="68">
        <f>POWER($S456,$E456)</f>
        <v/>
      </c>
      <c r="X456" s="68">
        <f>SUMIFS($W$5:$W$589,$A$5:$A$589,$A456)</f>
        <v/>
      </c>
      <c r="Y456" s="67">
        <f>ROUNDDOWN(MAX(0,$R456-$J456*$G456)*$W456/MAX(1,$X456),0)</f>
        <v/>
      </c>
    </row>
    <row r="457">
      <c r="A457" s="17" t="inlineStr">
        <is>
          <t>quan_vs_ranged</t>
        </is>
      </c>
      <c r="B457" s="18" t="inlineStr">
        <is>
          <t>万宗归流</t>
        </is>
      </c>
      <c r="C457" s="18" t="inlineStr">
        <is>
          <t>武艺技术</t>
        </is>
      </c>
      <c r="D457" s="18" t="inlineStr">
        <is>
          <t>拳类</t>
        </is>
      </c>
      <c r="E457" s="65" t="n">
        <v>2</v>
      </c>
      <c r="F457" s="66">
        <f>E457+1</f>
        <v/>
      </c>
      <c r="G457" s="65">
        <f>INDEX('个人技术总览'!$E$5:$E$46,MATCH($A457,'个人技术总览'!$A$5:$A$46,0))</f>
        <v/>
      </c>
      <c r="H457" s="59">
        <f>INDEX('个人技术总览'!$F$5:$F$46,MATCH($A457,'个人技术总览'!$A$5:$A$46,0))</f>
        <v/>
      </c>
      <c r="I457" s="60">
        <f>INDEX('个人技术总览'!$G$5:$G$46,MATCH($A457,'个人技术总览'!$A$5:$A$46,0))</f>
        <v/>
      </c>
      <c r="J457" s="59">
        <f>INDEX('个人技术总览'!$H$5:$H$46,MATCH($A457,'个人技术总览'!$A$5:$A$46,0))</f>
        <v/>
      </c>
      <c r="K457" s="60">
        <f>INDEX('个人技术总览'!$I$5:$I$46,MATCH($A457,'个人技术总览'!$A$5:$A$46,0))</f>
        <v/>
      </c>
      <c r="L457" s="67">
        <f>H457+V457+IF(E457=G457-1,MAX(0,P457-H457*G457-SUMIFS($V$5:$V$589,$A$5:$A$589,$A457)),0)</f>
        <v/>
      </c>
      <c r="M457" s="61">
        <f>MAX(1,ROUNDDOWN($L457/'参数与公式'!$B$5,0))</f>
        <v/>
      </c>
      <c r="N457" s="67">
        <f>J457+Y457+IF(E457=G457-1,MAX(0,R457-J457*G457-SUMIFS($Y$5:$Y$589,$A$5:$A$589,$A457)),0)</f>
        <v/>
      </c>
      <c r="O457" s="18" t="inlineStr">
        <is>
          <t>data/technology_templates.yaml; upgrade_profiles.martial; code: technology_rules.allocate_upgrade_budget</t>
        </is>
      </c>
      <c r="P457" s="67">
        <f>INDEX('个人技术总览'!$O$5:$O$46,MATCH($A457,'个人技术总览'!$A$5:$A$46,0))</f>
        <v/>
      </c>
      <c r="Q457" s="64">
        <f>INDEX('个人技术总览'!$P$5:$P$46,MATCH($A457,'个人技术总览'!$A$5:$A$46,0))</f>
        <v/>
      </c>
      <c r="R457" s="67">
        <f>INDEX('个人技术总览'!$Q$5:$Q$46,MATCH($A457,'个人技术总览'!$A$5:$A$46,0))</f>
        <v/>
      </c>
      <c r="S457" s="64">
        <f>INDEX('个人技术总览'!$R$5:$R$46,MATCH($A457,'个人技术总览'!$A$5:$A$46,0))</f>
        <v/>
      </c>
      <c r="T457" s="68">
        <f>POWER($Q457,$E457)</f>
        <v/>
      </c>
      <c r="U457" s="68">
        <f>SUMIFS($T$5:$T$589,$A$5:$A$589,$A457)</f>
        <v/>
      </c>
      <c r="V457" s="67">
        <f>ROUNDDOWN(MAX(0,$P457-$H457*$G457)*$T457/MAX(1,$U457),0)</f>
        <v/>
      </c>
      <c r="W457" s="68">
        <f>POWER($S457,$E457)</f>
        <v/>
      </c>
      <c r="X457" s="68">
        <f>SUMIFS($W$5:$W$589,$A$5:$A$589,$A457)</f>
        <v/>
      </c>
      <c r="Y457" s="67">
        <f>ROUNDDOWN(MAX(0,$R457-$J457*$G457)*$W457/MAX(1,$X457),0)</f>
        <v/>
      </c>
    </row>
    <row r="458">
      <c r="A458" s="17" t="inlineStr">
        <is>
          <t>quan_vs_ranged</t>
        </is>
      </c>
      <c r="B458" s="18" t="inlineStr">
        <is>
          <t>万宗归流</t>
        </is>
      </c>
      <c r="C458" s="18" t="inlineStr">
        <is>
          <t>武艺技术</t>
        </is>
      </c>
      <c r="D458" s="18" t="inlineStr">
        <is>
          <t>拳类</t>
        </is>
      </c>
      <c r="E458" s="65" t="n">
        <v>3</v>
      </c>
      <c r="F458" s="66">
        <f>E458+1</f>
        <v/>
      </c>
      <c r="G458" s="65">
        <f>INDEX('个人技术总览'!$E$5:$E$46,MATCH($A458,'个人技术总览'!$A$5:$A$46,0))</f>
        <v/>
      </c>
      <c r="H458" s="59">
        <f>INDEX('个人技术总览'!$F$5:$F$46,MATCH($A458,'个人技术总览'!$A$5:$A$46,0))</f>
        <v/>
      </c>
      <c r="I458" s="60">
        <f>INDEX('个人技术总览'!$G$5:$G$46,MATCH($A458,'个人技术总览'!$A$5:$A$46,0))</f>
        <v/>
      </c>
      <c r="J458" s="59">
        <f>INDEX('个人技术总览'!$H$5:$H$46,MATCH($A458,'个人技术总览'!$A$5:$A$46,0))</f>
        <v/>
      </c>
      <c r="K458" s="60">
        <f>INDEX('个人技术总览'!$I$5:$I$46,MATCH($A458,'个人技术总览'!$A$5:$A$46,0))</f>
        <v/>
      </c>
      <c r="L458" s="67">
        <f>H458+V458+IF(E458=G458-1,MAX(0,P458-H458*G458-SUMIFS($V$5:$V$589,$A$5:$A$589,$A458)),0)</f>
        <v/>
      </c>
      <c r="M458" s="61">
        <f>MAX(1,ROUNDDOWN($L458/'参数与公式'!$B$5,0))</f>
        <v/>
      </c>
      <c r="N458" s="67">
        <f>J458+Y458+IF(E458=G458-1,MAX(0,R458-J458*G458-SUMIFS($Y$5:$Y$589,$A$5:$A$589,$A458)),0)</f>
        <v/>
      </c>
      <c r="O458" s="18" t="inlineStr">
        <is>
          <t>data/technology_templates.yaml; upgrade_profiles.martial; code: technology_rules.allocate_upgrade_budget</t>
        </is>
      </c>
      <c r="P458" s="67">
        <f>INDEX('个人技术总览'!$O$5:$O$46,MATCH($A458,'个人技术总览'!$A$5:$A$46,0))</f>
        <v/>
      </c>
      <c r="Q458" s="64">
        <f>INDEX('个人技术总览'!$P$5:$P$46,MATCH($A458,'个人技术总览'!$A$5:$A$46,0))</f>
        <v/>
      </c>
      <c r="R458" s="67">
        <f>INDEX('个人技术总览'!$Q$5:$Q$46,MATCH($A458,'个人技术总览'!$A$5:$A$46,0))</f>
        <v/>
      </c>
      <c r="S458" s="64">
        <f>INDEX('个人技术总览'!$R$5:$R$46,MATCH($A458,'个人技术总览'!$A$5:$A$46,0))</f>
        <v/>
      </c>
      <c r="T458" s="68">
        <f>POWER($Q458,$E458)</f>
        <v/>
      </c>
      <c r="U458" s="68">
        <f>SUMIFS($T$5:$T$589,$A$5:$A$589,$A458)</f>
        <v/>
      </c>
      <c r="V458" s="67">
        <f>ROUNDDOWN(MAX(0,$P458-$H458*$G458)*$T458/MAX(1,$U458),0)</f>
        <v/>
      </c>
      <c r="W458" s="68">
        <f>POWER($S458,$E458)</f>
        <v/>
      </c>
      <c r="X458" s="68">
        <f>SUMIFS($W$5:$W$589,$A$5:$A$589,$A458)</f>
        <v/>
      </c>
      <c r="Y458" s="67">
        <f>ROUNDDOWN(MAX(0,$R458-$J458*$G458)*$W458/MAX(1,$X458),0)</f>
        <v/>
      </c>
    </row>
    <row r="459">
      <c r="A459" s="17" t="inlineStr">
        <is>
          <t>quan_vs_ranged</t>
        </is>
      </c>
      <c r="B459" s="18" t="inlineStr">
        <is>
          <t>万宗归流</t>
        </is>
      </c>
      <c r="C459" s="18" t="inlineStr">
        <is>
          <t>武艺技术</t>
        </is>
      </c>
      <c r="D459" s="18" t="inlineStr">
        <is>
          <t>拳类</t>
        </is>
      </c>
      <c r="E459" s="65" t="n">
        <v>4</v>
      </c>
      <c r="F459" s="66">
        <f>E459+1</f>
        <v/>
      </c>
      <c r="G459" s="65">
        <f>INDEX('个人技术总览'!$E$5:$E$46,MATCH($A459,'个人技术总览'!$A$5:$A$46,0))</f>
        <v/>
      </c>
      <c r="H459" s="59">
        <f>INDEX('个人技术总览'!$F$5:$F$46,MATCH($A459,'个人技术总览'!$A$5:$A$46,0))</f>
        <v/>
      </c>
      <c r="I459" s="60">
        <f>INDEX('个人技术总览'!$G$5:$G$46,MATCH($A459,'个人技术总览'!$A$5:$A$46,0))</f>
        <v/>
      </c>
      <c r="J459" s="59">
        <f>INDEX('个人技术总览'!$H$5:$H$46,MATCH($A459,'个人技术总览'!$A$5:$A$46,0))</f>
        <v/>
      </c>
      <c r="K459" s="60">
        <f>INDEX('个人技术总览'!$I$5:$I$46,MATCH($A459,'个人技术总览'!$A$5:$A$46,0))</f>
        <v/>
      </c>
      <c r="L459" s="67">
        <f>H459+V459+IF(E459=G459-1,MAX(0,P459-H459*G459-SUMIFS($V$5:$V$589,$A$5:$A$589,$A459)),0)</f>
        <v/>
      </c>
      <c r="M459" s="61">
        <f>MAX(1,ROUNDDOWN($L459/'参数与公式'!$B$5,0))</f>
        <v/>
      </c>
      <c r="N459" s="67">
        <f>J459+Y459+IF(E459=G459-1,MAX(0,R459-J459*G459-SUMIFS($Y$5:$Y$589,$A$5:$A$589,$A459)),0)</f>
        <v/>
      </c>
      <c r="O459" s="18" t="inlineStr">
        <is>
          <t>data/technology_templates.yaml; upgrade_profiles.martial; code: technology_rules.allocate_upgrade_budget</t>
        </is>
      </c>
      <c r="P459" s="67">
        <f>INDEX('个人技术总览'!$O$5:$O$46,MATCH($A459,'个人技术总览'!$A$5:$A$46,0))</f>
        <v/>
      </c>
      <c r="Q459" s="64">
        <f>INDEX('个人技术总览'!$P$5:$P$46,MATCH($A459,'个人技术总览'!$A$5:$A$46,0))</f>
        <v/>
      </c>
      <c r="R459" s="67">
        <f>INDEX('个人技术总览'!$Q$5:$Q$46,MATCH($A459,'个人技术总览'!$A$5:$A$46,0))</f>
        <v/>
      </c>
      <c r="S459" s="64">
        <f>INDEX('个人技术总览'!$R$5:$R$46,MATCH($A459,'个人技术总览'!$A$5:$A$46,0))</f>
        <v/>
      </c>
      <c r="T459" s="68">
        <f>POWER($Q459,$E459)</f>
        <v/>
      </c>
      <c r="U459" s="68">
        <f>SUMIFS($T$5:$T$589,$A$5:$A$589,$A459)</f>
        <v/>
      </c>
      <c r="V459" s="67">
        <f>ROUNDDOWN(MAX(0,$P459-$H459*$G459)*$T459/MAX(1,$U459),0)</f>
        <v/>
      </c>
      <c r="W459" s="68">
        <f>POWER($S459,$E459)</f>
        <v/>
      </c>
      <c r="X459" s="68">
        <f>SUMIFS($W$5:$W$589,$A$5:$A$589,$A459)</f>
        <v/>
      </c>
      <c r="Y459" s="67">
        <f>ROUNDDOWN(MAX(0,$R459-$J459*$G459)*$W459/MAX(1,$X459),0)</f>
        <v/>
      </c>
    </row>
    <row r="460">
      <c r="A460" s="17" t="inlineStr">
        <is>
          <t>quan_vs_ranged</t>
        </is>
      </c>
      <c r="B460" s="18" t="inlineStr">
        <is>
          <t>万宗归流</t>
        </is>
      </c>
      <c r="C460" s="18" t="inlineStr">
        <is>
          <t>武艺技术</t>
        </is>
      </c>
      <c r="D460" s="18" t="inlineStr">
        <is>
          <t>拳类</t>
        </is>
      </c>
      <c r="E460" s="65" t="n">
        <v>5</v>
      </c>
      <c r="F460" s="66">
        <f>E460+1</f>
        <v/>
      </c>
      <c r="G460" s="65">
        <f>INDEX('个人技术总览'!$E$5:$E$46,MATCH($A460,'个人技术总览'!$A$5:$A$46,0))</f>
        <v/>
      </c>
      <c r="H460" s="59">
        <f>INDEX('个人技术总览'!$F$5:$F$46,MATCH($A460,'个人技术总览'!$A$5:$A$46,0))</f>
        <v/>
      </c>
      <c r="I460" s="60">
        <f>INDEX('个人技术总览'!$G$5:$G$46,MATCH($A460,'个人技术总览'!$A$5:$A$46,0))</f>
        <v/>
      </c>
      <c r="J460" s="59">
        <f>INDEX('个人技术总览'!$H$5:$H$46,MATCH($A460,'个人技术总览'!$A$5:$A$46,0))</f>
        <v/>
      </c>
      <c r="K460" s="60">
        <f>INDEX('个人技术总览'!$I$5:$I$46,MATCH($A460,'个人技术总览'!$A$5:$A$46,0))</f>
        <v/>
      </c>
      <c r="L460" s="67">
        <f>H460+V460+IF(E460=G460-1,MAX(0,P460-H460*G460-SUMIFS($V$5:$V$589,$A$5:$A$589,$A460)),0)</f>
        <v/>
      </c>
      <c r="M460" s="61">
        <f>MAX(1,ROUNDDOWN($L460/'参数与公式'!$B$5,0))</f>
        <v/>
      </c>
      <c r="N460" s="67">
        <f>J460+Y460+IF(E460=G460-1,MAX(0,R460-J460*G460-SUMIFS($Y$5:$Y$589,$A$5:$A$589,$A460)),0)</f>
        <v/>
      </c>
      <c r="O460" s="18" t="inlineStr">
        <is>
          <t>data/technology_templates.yaml; upgrade_profiles.martial; code: technology_rules.allocate_upgrade_budget</t>
        </is>
      </c>
      <c r="P460" s="67">
        <f>INDEX('个人技术总览'!$O$5:$O$46,MATCH($A460,'个人技术总览'!$A$5:$A$46,0))</f>
        <v/>
      </c>
      <c r="Q460" s="64">
        <f>INDEX('个人技术总览'!$P$5:$P$46,MATCH($A460,'个人技术总览'!$A$5:$A$46,0))</f>
        <v/>
      </c>
      <c r="R460" s="67">
        <f>INDEX('个人技术总览'!$Q$5:$Q$46,MATCH($A460,'个人技术总览'!$A$5:$A$46,0))</f>
        <v/>
      </c>
      <c r="S460" s="64">
        <f>INDEX('个人技术总览'!$R$5:$R$46,MATCH($A460,'个人技术总览'!$A$5:$A$46,0))</f>
        <v/>
      </c>
      <c r="T460" s="68">
        <f>POWER($Q460,$E460)</f>
        <v/>
      </c>
      <c r="U460" s="68">
        <f>SUMIFS($T$5:$T$589,$A$5:$A$589,$A460)</f>
        <v/>
      </c>
      <c r="V460" s="67">
        <f>ROUNDDOWN(MAX(0,$P460-$H460*$G460)*$T460/MAX(1,$U460),0)</f>
        <v/>
      </c>
      <c r="W460" s="68">
        <f>POWER($S460,$E460)</f>
        <v/>
      </c>
      <c r="X460" s="68">
        <f>SUMIFS($W$5:$W$589,$A$5:$A$589,$A460)</f>
        <v/>
      </c>
      <c r="Y460" s="67">
        <f>ROUNDDOWN(MAX(0,$R460-$J460*$G460)*$W460/MAX(1,$X460),0)</f>
        <v/>
      </c>
    </row>
    <row r="461">
      <c r="A461" s="17" t="inlineStr">
        <is>
          <t>quan_vs_ranged</t>
        </is>
      </c>
      <c r="B461" s="18" t="inlineStr">
        <is>
          <t>万宗归流</t>
        </is>
      </c>
      <c r="C461" s="18" t="inlineStr">
        <is>
          <t>武艺技术</t>
        </is>
      </c>
      <c r="D461" s="18" t="inlineStr">
        <is>
          <t>拳类</t>
        </is>
      </c>
      <c r="E461" s="65" t="n">
        <v>6</v>
      </c>
      <c r="F461" s="66">
        <f>E461+1</f>
        <v/>
      </c>
      <c r="G461" s="65">
        <f>INDEX('个人技术总览'!$E$5:$E$46,MATCH($A461,'个人技术总览'!$A$5:$A$46,0))</f>
        <v/>
      </c>
      <c r="H461" s="59">
        <f>INDEX('个人技术总览'!$F$5:$F$46,MATCH($A461,'个人技术总览'!$A$5:$A$46,0))</f>
        <v/>
      </c>
      <c r="I461" s="60">
        <f>INDEX('个人技术总览'!$G$5:$G$46,MATCH($A461,'个人技术总览'!$A$5:$A$46,0))</f>
        <v/>
      </c>
      <c r="J461" s="59">
        <f>INDEX('个人技术总览'!$H$5:$H$46,MATCH($A461,'个人技术总览'!$A$5:$A$46,0))</f>
        <v/>
      </c>
      <c r="K461" s="60">
        <f>INDEX('个人技术总览'!$I$5:$I$46,MATCH($A461,'个人技术总览'!$A$5:$A$46,0))</f>
        <v/>
      </c>
      <c r="L461" s="67">
        <f>H461+V461+IF(E461=G461-1,MAX(0,P461-H461*G461-SUMIFS($V$5:$V$589,$A$5:$A$589,$A461)),0)</f>
        <v/>
      </c>
      <c r="M461" s="61">
        <f>MAX(1,ROUNDDOWN($L461/'参数与公式'!$B$5,0))</f>
        <v/>
      </c>
      <c r="N461" s="67">
        <f>J461+Y461+IF(E461=G461-1,MAX(0,R461-J461*G461-SUMIFS($Y$5:$Y$589,$A$5:$A$589,$A461)),0)</f>
        <v/>
      </c>
      <c r="O461" s="18" t="inlineStr">
        <is>
          <t>data/technology_templates.yaml; upgrade_profiles.martial; code: technology_rules.allocate_upgrade_budget</t>
        </is>
      </c>
      <c r="P461" s="67">
        <f>INDEX('个人技术总览'!$O$5:$O$46,MATCH($A461,'个人技术总览'!$A$5:$A$46,0))</f>
        <v/>
      </c>
      <c r="Q461" s="64">
        <f>INDEX('个人技术总览'!$P$5:$P$46,MATCH($A461,'个人技术总览'!$A$5:$A$46,0))</f>
        <v/>
      </c>
      <c r="R461" s="67">
        <f>INDEX('个人技术总览'!$Q$5:$Q$46,MATCH($A461,'个人技术总览'!$A$5:$A$46,0))</f>
        <v/>
      </c>
      <c r="S461" s="64">
        <f>INDEX('个人技术总览'!$R$5:$R$46,MATCH($A461,'个人技术总览'!$A$5:$A$46,0))</f>
        <v/>
      </c>
      <c r="T461" s="68">
        <f>POWER($Q461,$E461)</f>
        <v/>
      </c>
      <c r="U461" s="68">
        <f>SUMIFS($T$5:$T$589,$A$5:$A$589,$A461)</f>
        <v/>
      </c>
      <c r="V461" s="67">
        <f>ROUNDDOWN(MAX(0,$P461-$H461*$G461)*$T461/MAX(1,$U461),0)</f>
        <v/>
      </c>
      <c r="W461" s="68">
        <f>POWER($S461,$E461)</f>
        <v/>
      </c>
      <c r="X461" s="68">
        <f>SUMIFS($W$5:$W$589,$A$5:$A$589,$A461)</f>
        <v/>
      </c>
      <c r="Y461" s="67">
        <f>ROUNDDOWN(MAX(0,$R461-$J461*$G461)*$W461/MAX(1,$X461),0)</f>
        <v/>
      </c>
    </row>
    <row r="462">
      <c r="A462" s="17" t="inlineStr">
        <is>
          <t>quan_vs_ranged</t>
        </is>
      </c>
      <c r="B462" s="18" t="inlineStr">
        <is>
          <t>万宗归流</t>
        </is>
      </c>
      <c r="C462" s="18" t="inlineStr">
        <is>
          <t>武艺技术</t>
        </is>
      </c>
      <c r="D462" s="18" t="inlineStr">
        <is>
          <t>拳类</t>
        </is>
      </c>
      <c r="E462" s="65" t="n">
        <v>7</v>
      </c>
      <c r="F462" s="66">
        <f>E462+1</f>
        <v/>
      </c>
      <c r="G462" s="65">
        <f>INDEX('个人技术总览'!$E$5:$E$46,MATCH($A462,'个人技术总览'!$A$5:$A$46,0))</f>
        <v/>
      </c>
      <c r="H462" s="59">
        <f>INDEX('个人技术总览'!$F$5:$F$46,MATCH($A462,'个人技术总览'!$A$5:$A$46,0))</f>
        <v/>
      </c>
      <c r="I462" s="60">
        <f>INDEX('个人技术总览'!$G$5:$G$46,MATCH($A462,'个人技术总览'!$A$5:$A$46,0))</f>
        <v/>
      </c>
      <c r="J462" s="59">
        <f>INDEX('个人技术总览'!$H$5:$H$46,MATCH($A462,'个人技术总览'!$A$5:$A$46,0))</f>
        <v/>
      </c>
      <c r="K462" s="60">
        <f>INDEX('个人技术总览'!$I$5:$I$46,MATCH($A462,'个人技术总览'!$A$5:$A$46,0))</f>
        <v/>
      </c>
      <c r="L462" s="67">
        <f>H462+V462+IF(E462=G462-1,MAX(0,P462-H462*G462-SUMIFS($V$5:$V$589,$A$5:$A$589,$A462)),0)</f>
        <v/>
      </c>
      <c r="M462" s="61">
        <f>MAX(1,ROUNDDOWN($L462/'参数与公式'!$B$5,0))</f>
        <v/>
      </c>
      <c r="N462" s="67">
        <f>J462+Y462+IF(E462=G462-1,MAX(0,R462-J462*G462-SUMIFS($Y$5:$Y$589,$A$5:$A$589,$A462)),0)</f>
        <v/>
      </c>
      <c r="O462" s="18" t="inlineStr">
        <is>
          <t>data/technology_templates.yaml; upgrade_profiles.martial; code: technology_rules.allocate_upgrade_budget</t>
        </is>
      </c>
      <c r="P462" s="67">
        <f>INDEX('个人技术总览'!$O$5:$O$46,MATCH($A462,'个人技术总览'!$A$5:$A$46,0))</f>
        <v/>
      </c>
      <c r="Q462" s="64">
        <f>INDEX('个人技术总览'!$P$5:$P$46,MATCH($A462,'个人技术总览'!$A$5:$A$46,0))</f>
        <v/>
      </c>
      <c r="R462" s="67">
        <f>INDEX('个人技术总览'!$Q$5:$Q$46,MATCH($A462,'个人技术总览'!$A$5:$A$46,0))</f>
        <v/>
      </c>
      <c r="S462" s="64">
        <f>INDEX('个人技术总览'!$R$5:$R$46,MATCH($A462,'个人技术总览'!$A$5:$A$46,0))</f>
        <v/>
      </c>
      <c r="T462" s="68">
        <f>POWER($Q462,$E462)</f>
        <v/>
      </c>
      <c r="U462" s="68">
        <f>SUMIFS($T$5:$T$589,$A$5:$A$589,$A462)</f>
        <v/>
      </c>
      <c r="V462" s="67">
        <f>ROUNDDOWN(MAX(0,$P462-$H462*$G462)*$T462/MAX(1,$U462),0)</f>
        <v/>
      </c>
      <c r="W462" s="68">
        <f>POWER($S462,$E462)</f>
        <v/>
      </c>
      <c r="X462" s="68">
        <f>SUMIFS($W$5:$W$589,$A$5:$A$589,$A462)</f>
        <v/>
      </c>
      <c r="Y462" s="67">
        <f>ROUNDDOWN(MAX(0,$R462-$J462*$G462)*$W462/MAX(1,$X462),0)</f>
        <v/>
      </c>
    </row>
    <row r="463">
      <c r="A463" s="17" t="inlineStr">
        <is>
          <t>quan_vs_ranged</t>
        </is>
      </c>
      <c r="B463" s="18" t="inlineStr">
        <is>
          <t>万宗归流</t>
        </is>
      </c>
      <c r="C463" s="18" t="inlineStr">
        <is>
          <t>武艺技术</t>
        </is>
      </c>
      <c r="D463" s="18" t="inlineStr">
        <is>
          <t>拳类</t>
        </is>
      </c>
      <c r="E463" s="65" t="n">
        <v>8</v>
      </c>
      <c r="F463" s="66">
        <f>E463+1</f>
        <v/>
      </c>
      <c r="G463" s="65">
        <f>INDEX('个人技术总览'!$E$5:$E$46,MATCH($A463,'个人技术总览'!$A$5:$A$46,0))</f>
        <v/>
      </c>
      <c r="H463" s="59">
        <f>INDEX('个人技术总览'!$F$5:$F$46,MATCH($A463,'个人技术总览'!$A$5:$A$46,0))</f>
        <v/>
      </c>
      <c r="I463" s="60">
        <f>INDEX('个人技术总览'!$G$5:$G$46,MATCH($A463,'个人技术总览'!$A$5:$A$46,0))</f>
        <v/>
      </c>
      <c r="J463" s="59">
        <f>INDEX('个人技术总览'!$H$5:$H$46,MATCH($A463,'个人技术总览'!$A$5:$A$46,0))</f>
        <v/>
      </c>
      <c r="K463" s="60">
        <f>INDEX('个人技术总览'!$I$5:$I$46,MATCH($A463,'个人技术总览'!$A$5:$A$46,0))</f>
        <v/>
      </c>
      <c r="L463" s="67">
        <f>H463+V463+IF(E463=G463-1,MAX(0,P463-H463*G463-SUMIFS($V$5:$V$589,$A$5:$A$589,$A463)),0)</f>
        <v/>
      </c>
      <c r="M463" s="61">
        <f>MAX(1,ROUNDDOWN($L463/'参数与公式'!$B$5,0))</f>
        <v/>
      </c>
      <c r="N463" s="67">
        <f>J463+Y463+IF(E463=G463-1,MAX(0,R463-J463*G463-SUMIFS($Y$5:$Y$589,$A$5:$A$589,$A463)),0)</f>
        <v/>
      </c>
      <c r="O463" s="18" t="inlineStr">
        <is>
          <t>data/technology_templates.yaml; upgrade_profiles.martial; code: technology_rules.allocate_upgrade_budget</t>
        </is>
      </c>
      <c r="P463" s="67">
        <f>INDEX('个人技术总览'!$O$5:$O$46,MATCH($A463,'个人技术总览'!$A$5:$A$46,0))</f>
        <v/>
      </c>
      <c r="Q463" s="64">
        <f>INDEX('个人技术总览'!$P$5:$P$46,MATCH($A463,'个人技术总览'!$A$5:$A$46,0))</f>
        <v/>
      </c>
      <c r="R463" s="67">
        <f>INDEX('个人技术总览'!$Q$5:$Q$46,MATCH($A463,'个人技术总览'!$A$5:$A$46,0))</f>
        <v/>
      </c>
      <c r="S463" s="64">
        <f>INDEX('个人技术总览'!$R$5:$R$46,MATCH($A463,'个人技术总览'!$A$5:$A$46,0))</f>
        <v/>
      </c>
      <c r="T463" s="68">
        <f>POWER($Q463,$E463)</f>
        <v/>
      </c>
      <c r="U463" s="68">
        <f>SUMIFS($T$5:$T$589,$A$5:$A$589,$A463)</f>
        <v/>
      </c>
      <c r="V463" s="67">
        <f>ROUNDDOWN(MAX(0,$P463-$H463*$G463)*$T463/MAX(1,$U463),0)</f>
        <v/>
      </c>
      <c r="W463" s="68">
        <f>POWER($S463,$E463)</f>
        <v/>
      </c>
      <c r="X463" s="68">
        <f>SUMIFS($W$5:$W$589,$A$5:$A$589,$A463)</f>
        <v/>
      </c>
      <c r="Y463" s="67">
        <f>ROUNDDOWN(MAX(0,$R463-$J463*$G463)*$W463/MAX(1,$X463),0)</f>
        <v/>
      </c>
    </row>
    <row r="464">
      <c r="A464" s="17" t="inlineStr">
        <is>
          <t>quan_vs_ranged</t>
        </is>
      </c>
      <c r="B464" s="18" t="inlineStr">
        <is>
          <t>万宗归流</t>
        </is>
      </c>
      <c r="C464" s="18" t="inlineStr">
        <is>
          <t>武艺技术</t>
        </is>
      </c>
      <c r="D464" s="18" t="inlineStr">
        <is>
          <t>拳类</t>
        </is>
      </c>
      <c r="E464" s="65" t="n">
        <v>9</v>
      </c>
      <c r="F464" s="66">
        <f>E464+1</f>
        <v/>
      </c>
      <c r="G464" s="65">
        <f>INDEX('个人技术总览'!$E$5:$E$46,MATCH($A464,'个人技术总览'!$A$5:$A$46,0))</f>
        <v/>
      </c>
      <c r="H464" s="59">
        <f>INDEX('个人技术总览'!$F$5:$F$46,MATCH($A464,'个人技术总览'!$A$5:$A$46,0))</f>
        <v/>
      </c>
      <c r="I464" s="60">
        <f>INDEX('个人技术总览'!$G$5:$G$46,MATCH($A464,'个人技术总览'!$A$5:$A$46,0))</f>
        <v/>
      </c>
      <c r="J464" s="59">
        <f>INDEX('个人技术总览'!$H$5:$H$46,MATCH($A464,'个人技术总览'!$A$5:$A$46,0))</f>
        <v/>
      </c>
      <c r="K464" s="60">
        <f>INDEX('个人技术总览'!$I$5:$I$46,MATCH($A464,'个人技术总览'!$A$5:$A$46,0))</f>
        <v/>
      </c>
      <c r="L464" s="67">
        <f>H464+V464+IF(E464=G464-1,MAX(0,P464-H464*G464-SUMIFS($V$5:$V$589,$A$5:$A$589,$A464)),0)</f>
        <v/>
      </c>
      <c r="M464" s="61">
        <f>MAX(1,ROUNDDOWN($L464/'参数与公式'!$B$5,0))</f>
        <v/>
      </c>
      <c r="N464" s="67">
        <f>J464+Y464+IF(E464=G464-1,MAX(0,R464-J464*G464-SUMIFS($Y$5:$Y$589,$A$5:$A$589,$A464)),0)</f>
        <v/>
      </c>
      <c r="O464" s="18" t="inlineStr">
        <is>
          <t>data/technology_templates.yaml; upgrade_profiles.martial; code: technology_rules.allocate_upgrade_budget</t>
        </is>
      </c>
      <c r="P464" s="67">
        <f>INDEX('个人技术总览'!$O$5:$O$46,MATCH($A464,'个人技术总览'!$A$5:$A$46,0))</f>
        <v/>
      </c>
      <c r="Q464" s="64">
        <f>INDEX('个人技术总览'!$P$5:$P$46,MATCH($A464,'个人技术总览'!$A$5:$A$46,0))</f>
        <v/>
      </c>
      <c r="R464" s="67">
        <f>INDEX('个人技术总览'!$Q$5:$Q$46,MATCH($A464,'个人技术总览'!$A$5:$A$46,0))</f>
        <v/>
      </c>
      <c r="S464" s="64">
        <f>INDEX('个人技术总览'!$R$5:$R$46,MATCH($A464,'个人技术总览'!$A$5:$A$46,0))</f>
        <v/>
      </c>
      <c r="T464" s="68">
        <f>POWER($Q464,$E464)</f>
        <v/>
      </c>
      <c r="U464" s="68">
        <f>SUMIFS($T$5:$T$589,$A$5:$A$589,$A464)</f>
        <v/>
      </c>
      <c r="V464" s="67">
        <f>ROUNDDOWN(MAX(0,$P464-$H464*$G464)*$T464/MAX(1,$U464),0)</f>
        <v/>
      </c>
      <c r="W464" s="68">
        <f>POWER($S464,$E464)</f>
        <v/>
      </c>
      <c r="X464" s="68">
        <f>SUMIFS($W$5:$W$589,$A$5:$A$589,$A464)</f>
        <v/>
      </c>
      <c r="Y464" s="67">
        <f>ROUNDDOWN(MAX(0,$R464-$J464*$G464)*$W464/MAX(1,$X464),0)</f>
        <v/>
      </c>
    </row>
    <row r="465">
      <c r="A465" s="17" t="inlineStr">
        <is>
          <t>quan_heal</t>
        </is>
      </c>
      <c r="B465" s="18" t="inlineStr">
        <is>
          <t>五气朝元</t>
        </is>
      </c>
      <c r="C465" s="18" t="inlineStr">
        <is>
          <t>武艺技术</t>
        </is>
      </c>
      <c r="D465" s="18" t="inlineStr">
        <is>
          <t>拳类</t>
        </is>
      </c>
      <c r="E465" s="65" t="n">
        <v>0</v>
      </c>
      <c r="F465" s="66">
        <f>E465+1</f>
        <v/>
      </c>
      <c r="G465" s="65">
        <f>INDEX('个人技术总览'!$E$5:$E$46,MATCH($A465,'个人技术总览'!$A$5:$A$46,0))</f>
        <v/>
      </c>
      <c r="H465" s="59">
        <f>INDEX('个人技术总览'!$F$5:$F$46,MATCH($A465,'个人技术总览'!$A$5:$A$46,0))</f>
        <v/>
      </c>
      <c r="I465" s="60">
        <f>INDEX('个人技术总览'!$G$5:$G$46,MATCH($A465,'个人技术总览'!$A$5:$A$46,0))</f>
        <v/>
      </c>
      <c r="J465" s="59">
        <f>INDEX('个人技术总览'!$H$5:$H$46,MATCH($A465,'个人技术总览'!$A$5:$A$46,0))</f>
        <v/>
      </c>
      <c r="K465" s="60">
        <f>INDEX('个人技术总览'!$I$5:$I$46,MATCH($A465,'个人技术总览'!$A$5:$A$46,0))</f>
        <v/>
      </c>
      <c r="L465" s="67">
        <f>H465+V465+IF(E465=G465-1,MAX(0,P465-H465*G465-SUMIFS($V$5:$V$589,$A$5:$A$589,$A465)),0)</f>
        <v/>
      </c>
      <c r="M465" s="61">
        <f>MAX(1,ROUNDDOWN($L465/'参数与公式'!$B$5,0))</f>
        <v/>
      </c>
      <c r="N465" s="67">
        <f>J465+Y465+IF(E465=G465-1,MAX(0,R465-J465*G465-SUMIFS($Y$5:$Y$589,$A$5:$A$589,$A465)),0)</f>
        <v/>
      </c>
      <c r="O465" s="18" t="inlineStr">
        <is>
          <t>data/technology_templates.yaml; upgrade_profiles.martial; code: technology_rules.allocate_upgrade_budget</t>
        </is>
      </c>
      <c r="P465" s="67">
        <f>INDEX('个人技术总览'!$O$5:$O$46,MATCH($A465,'个人技术总览'!$A$5:$A$46,0))</f>
        <v/>
      </c>
      <c r="Q465" s="64">
        <f>INDEX('个人技术总览'!$P$5:$P$46,MATCH($A465,'个人技术总览'!$A$5:$A$46,0))</f>
        <v/>
      </c>
      <c r="R465" s="67">
        <f>INDEX('个人技术总览'!$Q$5:$Q$46,MATCH($A465,'个人技术总览'!$A$5:$A$46,0))</f>
        <v/>
      </c>
      <c r="S465" s="64">
        <f>INDEX('个人技术总览'!$R$5:$R$46,MATCH($A465,'个人技术总览'!$A$5:$A$46,0))</f>
        <v/>
      </c>
      <c r="T465" s="68">
        <f>POWER($Q465,$E465)</f>
        <v/>
      </c>
      <c r="U465" s="68">
        <f>SUMIFS($T$5:$T$589,$A$5:$A$589,$A465)</f>
        <v/>
      </c>
      <c r="V465" s="67">
        <f>ROUNDDOWN(MAX(0,$P465-$H465*$G465)*$T465/MAX(1,$U465),0)</f>
        <v/>
      </c>
      <c r="W465" s="68">
        <f>POWER($S465,$E465)</f>
        <v/>
      </c>
      <c r="X465" s="68">
        <f>SUMIFS($W$5:$W$589,$A$5:$A$589,$A465)</f>
        <v/>
      </c>
      <c r="Y465" s="67">
        <f>ROUNDDOWN(MAX(0,$R465-$J465*$G465)*$W465/MAX(1,$X465),0)</f>
        <v/>
      </c>
    </row>
    <row r="466">
      <c r="A466" s="17" t="inlineStr">
        <is>
          <t>quan_heal</t>
        </is>
      </c>
      <c r="B466" s="18" t="inlineStr">
        <is>
          <t>五气朝元</t>
        </is>
      </c>
      <c r="C466" s="18" t="inlineStr">
        <is>
          <t>武艺技术</t>
        </is>
      </c>
      <c r="D466" s="18" t="inlineStr">
        <is>
          <t>拳类</t>
        </is>
      </c>
      <c r="E466" s="65" t="n">
        <v>1</v>
      </c>
      <c r="F466" s="66">
        <f>E466+1</f>
        <v/>
      </c>
      <c r="G466" s="65">
        <f>INDEX('个人技术总览'!$E$5:$E$46,MATCH($A466,'个人技术总览'!$A$5:$A$46,0))</f>
        <v/>
      </c>
      <c r="H466" s="59">
        <f>INDEX('个人技术总览'!$F$5:$F$46,MATCH($A466,'个人技术总览'!$A$5:$A$46,0))</f>
        <v/>
      </c>
      <c r="I466" s="60">
        <f>INDEX('个人技术总览'!$G$5:$G$46,MATCH($A466,'个人技术总览'!$A$5:$A$46,0))</f>
        <v/>
      </c>
      <c r="J466" s="59">
        <f>INDEX('个人技术总览'!$H$5:$H$46,MATCH($A466,'个人技术总览'!$A$5:$A$46,0))</f>
        <v/>
      </c>
      <c r="K466" s="60">
        <f>INDEX('个人技术总览'!$I$5:$I$46,MATCH($A466,'个人技术总览'!$A$5:$A$46,0))</f>
        <v/>
      </c>
      <c r="L466" s="67">
        <f>H466+V466+IF(E466=G466-1,MAX(0,P466-H466*G466-SUMIFS($V$5:$V$589,$A$5:$A$589,$A466)),0)</f>
        <v/>
      </c>
      <c r="M466" s="61">
        <f>MAX(1,ROUNDDOWN($L466/'参数与公式'!$B$5,0))</f>
        <v/>
      </c>
      <c r="N466" s="67">
        <f>J466+Y466+IF(E466=G466-1,MAX(0,R466-J466*G466-SUMIFS($Y$5:$Y$589,$A$5:$A$589,$A466)),0)</f>
        <v/>
      </c>
      <c r="O466" s="18" t="inlineStr">
        <is>
          <t>data/technology_templates.yaml; upgrade_profiles.martial; code: technology_rules.allocate_upgrade_budget</t>
        </is>
      </c>
      <c r="P466" s="67">
        <f>INDEX('个人技术总览'!$O$5:$O$46,MATCH($A466,'个人技术总览'!$A$5:$A$46,0))</f>
        <v/>
      </c>
      <c r="Q466" s="64">
        <f>INDEX('个人技术总览'!$P$5:$P$46,MATCH($A466,'个人技术总览'!$A$5:$A$46,0))</f>
        <v/>
      </c>
      <c r="R466" s="67">
        <f>INDEX('个人技术总览'!$Q$5:$Q$46,MATCH($A466,'个人技术总览'!$A$5:$A$46,0))</f>
        <v/>
      </c>
      <c r="S466" s="64">
        <f>INDEX('个人技术总览'!$R$5:$R$46,MATCH($A466,'个人技术总览'!$A$5:$A$46,0))</f>
        <v/>
      </c>
      <c r="T466" s="68">
        <f>POWER($Q466,$E466)</f>
        <v/>
      </c>
      <c r="U466" s="68">
        <f>SUMIFS($T$5:$T$589,$A$5:$A$589,$A466)</f>
        <v/>
      </c>
      <c r="V466" s="67">
        <f>ROUNDDOWN(MAX(0,$P466-$H466*$G466)*$T466/MAX(1,$U466),0)</f>
        <v/>
      </c>
      <c r="W466" s="68">
        <f>POWER($S466,$E466)</f>
        <v/>
      </c>
      <c r="X466" s="68">
        <f>SUMIFS($W$5:$W$589,$A$5:$A$589,$A466)</f>
        <v/>
      </c>
      <c r="Y466" s="67">
        <f>ROUNDDOWN(MAX(0,$R466-$J466*$G466)*$W466/MAX(1,$X466),0)</f>
        <v/>
      </c>
    </row>
    <row r="467">
      <c r="A467" s="17" t="inlineStr">
        <is>
          <t>quan_heal</t>
        </is>
      </c>
      <c r="B467" s="18" t="inlineStr">
        <is>
          <t>五气朝元</t>
        </is>
      </c>
      <c r="C467" s="18" t="inlineStr">
        <is>
          <t>武艺技术</t>
        </is>
      </c>
      <c r="D467" s="18" t="inlineStr">
        <is>
          <t>拳类</t>
        </is>
      </c>
      <c r="E467" s="65" t="n">
        <v>2</v>
      </c>
      <c r="F467" s="66">
        <f>E467+1</f>
        <v/>
      </c>
      <c r="G467" s="65">
        <f>INDEX('个人技术总览'!$E$5:$E$46,MATCH($A467,'个人技术总览'!$A$5:$A$46,0))</f>
        <v/>
      </c>
      <c r="H467" s="59">
        <f>INDEX('个人技术总览'!$F$5:$F$46,MATCH($A467,'个人技术总览'!$A$5:$A$46,0))</f>
        <v/>
      </c>
      <c r="I467" s="60">
        <f>INDEX('个人技术总览'!$G$5:$G$46,MATCH($A467,'个人技术总览'!$A$5:$A$46,0))</f>
        <v/>
      </c>
      <c r="J467" s="59">
        <f>INDEX('个人技术总览'!$H$5:$H$46,MATCH($A467,'个人技术总览'!$A$5:$A$46,0))</f>
        <v/>
      </c>
      <c r="K467" s="60">
        <f>INDEX('个人技术总览'!$I$5:$I$46,MATCH($A467,'个人技术总览'!$A$5:$A$46,0))</f>
        <v/>
      </c>
      <c r="L467" s="67">
        <f>H467+V467+IF(E467=G467-1,MAX(0,P467-H467*G467-SUMIFS($V$5:$V$589,$A$5:$A$589,$A467)),0)</f>
        <v/>
      </c>
      <c r="M467" s="61">
        <f>MAX(1,ROUNDDOWN($L467/'参数与公式'!$B$5,0))</f>
        <v/>
      </c>
      <c r="N467" s="67">
        <f>J467+Y467+IF(E467=G467-1,MAX(0,R467-J467*G467-SUMIFS($Y$5:$Y$589,$A$5:$A$589,$A467)),0)</f>
        <v/>
      </c>
      <c r="O467" s="18" t="inlineStr">
        <is>
          <t>data/technology_templates.yaml; upgrade_profiles.martial; code: technology_rules.allocate_upgrade_budget</t>
        </is>
      </c>
      <c r="P467" s="67">
        <f>INDEX('个人技术总览'!$O$5:$O$46,MATCH($A467,'个人技术总览'!$A$5:$A$46,0))</f>
        <v/>
      </c>
      <c r="Q467" s="64">
        <f>INDEX('个人技术总览'!$P$5:$P$46,MATCH($A467,'个人技术总览'!$A$5:$A$46,0))</f>
        <v/>
      </c>
      <c r="R467" s="67">
        <f>INDEX('个人技术总览'!$Q$5:$Q$46,MATCH($A467,'个人技术总览'!$A$5:$A$46,0))</f>
        <v/>
      </c>
      <c r="S467" s="64">
        <f>INDEX('个人技术总览'!$R$5:$R$46,MATCH($A467,'个人技术总览'!$A$5:$A$46,0))</f>
        <v/>
      </c>
      <c r="T467" s="68">
        <f>POWER($Q467,$E467)</f>
        <v/>
      </c>
      <c r="U467" s="68">
        <f>SUMIFS($T$5:$T$589,$A$5:$A$589,$A467)</f>
        <v/>
      </c>
      <c r="V467" s="67">
        <f>ROUNDDOWN(MAX(0,$P467-$H467*$G467)*$T467/MAX(1,$U467),0)</f>
        <v/>
      </c>
      <c r="W467" s="68">
        <f>POWER($S467,$E467)</f>
        <v/>
      </c>
      <c r="X467" s="68">
        <f>SUMIFS($W$5:$W$589,$A$5:$A$589,$A467)</f>
        <v/>
      </c>
      <c r="Y467" s="67">
        <f>ROUNDDOWN(MAX(0,$R467-$J467*$G467)*$W467/MAX(1,$X467),0)</f>
        <v/>
      </c>
    </row>
    <row r="468">
      <c r="A468" s="17" t="inlineStr">
        <is>
          <t>quan_heal</t>
        </is>
      </c>
      <c r="B468" s="18" t="inlineStr">
        <is>
          <t>五气朝元</t>
        </is>
      </c>
      <c r="C468" s="18" t="inlineStr">
        <is>
          <t>武艺技术</t>
        </is>
      </c>
      <c r="D468" s="18" t="inlineStr">
        <is>
          <t>拳类</t>
        </is>
      </c>
      <c r="E468" s="65" t="n">
        <v>3</v>
      </c>
      <c r="F468" s="66">
        <f>E468+1</f>
        <v/>
      </c>
      <c r="G468" s="65">
        <f>INDEX('个人技术总览'!$E$5:$E$46,MATCH($A468,'个人技术总览'!$A$5:$A$46,0))</f>
        <v/>
      </c>
      <c r="H468" s="59">
        <f>INDEX('个人技术总览'!$F$5:$F$46,MATCH($A468,'个人技术总览'!$A$5:$A$46,0))</f>
        <v/>
      </c>
      <c r="I468" s="60">
        <f>INDEX('个人技术总览'!$G$5:$G$46,MATCH($A468,'个人技术总览'!$A$5:$A$46,0))</f>
        <v/>
      </c>
      <c r="J468" s="59">
        <f>INDEX('个人技术总览'!$H$5:$H$46,MATCH($A468,'个人技术总览'!$A$5:$A$46,0))</f>
        <v/>
      </c>
      <c r="K468" s="60">
        <f>INDEX('个人技术总览'!$I$5:$I$46,MATCH($A468,'个人技术总览'!$A$5:$A$46,0))</f>
        <v/>
      </c>
      <c r="L468" s="67">
        <f>H468+V468+IF(E468=G468-1,MAX(0,P468-H468*G468-SUMIFS($V$5:$V$589,$A$5:$A$589,$A468)),0)</f>
        <v/>
      </c>
      <c r="M468" s="61">
        <f>MAX(1,ROUNDDOWN($L468/'参数与公式'!$B$5,0))</f>
        <v/>
      </c>
      <c r="N468" s="67">
        <f>J468+Y468+IF(E468=G468-1,MAX(0,R468-J468*G468-SUMIFS($Y$5:$Y$589,$A$5:$A$589,$A468)),0)</f>
        <v/>
      </c>
      <c r="O468" s="18" t="inlineStr">
        <is>
          <t>data/technology_templates.yaml; upgrade_profiles.martial; code: technology_rules.allocate_upgrade_budget</t>
        </is>
      </c>
      <c r="P468" s="67">
        <f>INDEX('个人技术总览'!$O$5:$O$46,MATCH($A468,'个人技术总览'!$A$5:$A$46,0))</f>
        <v/>
      </c>
      <c r="Q468" s="64">
        <f>INDEX('个人技术总览'!$P$5:$P$46,MATCH($A468,'个人技术总览'!$A$5:$A$46,0))</f>
        <v/>
      </c>
      <c r="R468" s="67">
        <f>INDEX('个人技术总览'!$Q$5:$Q$46,MATCH($A468,'个人技术总览'!$A$5:$A$46,0))</f>
        <v/>
      </c>
      <c r="S468" s="64">
        <f>INDEX('个人技术总览'!$R$5:$R$46,MATCH($A468,'个人技术总览'!$A$5:$A$46,0))</f>
        <v/>
      </c>
      <c r="T468" s="68">
        <f>POWER($Q468,$E468)</f>
        <v/>
      </c>
      <c r="U468" s="68">
        <f>SUMIFS($T$5:$T$589,$A$5:$A$589,$A468)</f>
        <v/>
      </c>
      <c r="V468" s="67">
        <f>ROUNDDOWN(MAX(0,$P468-$H468*$G468)*$T468/MAX(1,$U468),0)</f>
        <v/>
      </c>
      <c r="W468" s="68">
        <f>POWER($S468,$E468)</f>
        <v/>
      </c>
      <c r="X468" s="68">
        <f>SUMIFS($W$5:$W$589,$A$5:$A$589,$A468)</f>
        <v/>
      </c>
      <c r="Y468" s="67">
        <f>ROUNDDOWN(MAX(0,$R468-$J468*$G468)*$W468/MAX(1,$X468),0)</f>
        <v/>
      </c>
    </row>
    <row r="469">
      <c r="A469" s="17" t="inlineStr">
        <is>
          <t>quan_heal</t>
        </is>
      </c>
      <c r="B469" s="18" t="inlineStr">
        <is>
          <t>五气朝元</t>
        </is>
      </c>
      <c r="C469" s="18" t="inlineStr">
        <is>
          <t>武艺技术</t>
        </is>
      </c>
      <c r="D469" s="18" t="inlineStr">
        <is>
          <t>拳类</t>
        </is>
      </c>
      <c r="E469" s="65" t="n">
        <v>4</v>
      </c>
      <c r="F469" s="66">
        <f>E469+1</f>
        <v/>
      </c>
      <c r="G469" s="65">
        <f>INDEX('个人技术总览'!$E$5:$E$46,MATCH($A469,'个人技术总览'!$A$5:$A$46,0))</f>
        <v/>
      </c>
      <c r="H469" s="59">
        <f>INDEX('个人技术总览'!$F$5:$F$46,MATCH($A469,'个人技术总览'!$A$5:$A$46,0))</f>
        <v/>
      </c>
      <c r="I469" s="60">
        <f>INDEX('个人技术总览'!$G$5:$G$46,MATCH($A469,'个人技术总览'!$A$5:$A$46,0))</f>
        <v/>
      </c>
      <c r="J469" s="59">
        <f>INDEX('个人技术总览'!$H$5:$H$46,MATCH($A469,'个人技术总览'!$A$5:$A$46,0))</f>
        <v/>
      </c>
      <c r="K469" s="60">
        <f>INDEX('个人技术总览'!$I$5:$I$46,MATCH($A469,'个人技术总览'!$A$5:$A$46,0))</f>
        <v/>
      </c>
      <c r="L469" s="67">
        <f>H469+V469+IF(E469=G469-1,MAX(0,P469-H469*G469-SUMIFS($V$5:$V$589,$A$5:$A$589,$A469)),0)</f>
        <v/>
      </c>
      <c r="M469" s="61">
        <f>MAX(1,ROUNDDOWN($L469/'参数与公式'!$B$5,0))</f>
        <v/>
      </c>
      <c r="N469" s="67">
        <f>J469+Y469+IF(E469=G469-1,MAX(0,R469-J469*G469-SUMIFS($Y$5:$Y$589,$A$5:$A$589,$A469)),0)</f>
        <v/>
      </c>
      <c r="O469" s="18" t="inlineStr">
        <is>
          <t>data/technology_templates.yaml; upgrade_profiles.martial; code: technology_rules.allocate_upgrade_budget</t>
        </is>
      </c>
      <c r="P469" s="67">
        <f>INDEX('个人技术总览'!$O$5:$O$46,MATCH($A469,'个人技术总览'!$A$5:$A$46,0))</f>
        <v/>
      </c>
      <c r="Q469" s="64">
        <f>INDEX('个人技术总览'!$P$5:$P$46,MATCH($A469,'个人技术总览'!$A$5:$A$46,0))</f>
        <v/>
      </c>
      <c r="R469" s="67">
        <f>INDEX('个人技术总览'!$Q$5:$Q$46,MATCH($A469,'个人技术总览'!$A$5:$A$46,0))</f>
        <v/>
      </c>
      <c r="S469" s="64">
        <f>INDEX('个人技术总览'!$R$5:$R$46,MATCH($A469,'个人技术总览'!$A$5:$A$46,0))</f>
        <v/>
      </c>
      <c r="T469" s="68">
        <f>POWER($Q469,$E469)</f>
        <v/>
      </c>
      <c r="U469" s="68">
        <f>SUMIFS($T$5:$T$589,$A$5:$A$589,$A469)</f>
        <v/>
      </c>
      <c r="V469" s="67">
        <f>ROUNDDOWN(MAX(0,$P469-$H469*$G469)*$T469/MAX(1,$U469),0)</f>
        <v/>
      </c>
      <c r="W469" s="68">
        <f>POWER($S469,$E469)</f>
        <v/>
      </c>
      <c r="X469" s="68">
        <f>SUMIFS($W$5:$W$589,$A$5:$A$589,$A469)</f>
        <v/>
      </c>
      <c r="Y469" s="67">
        <f>ROUNDDOWN(MAX(0,$R469-$J469*$G469)*$W469/MAX(1,$X469),0)</f>
        <v/>
      </c>
    </row>
    <row r="470">
      <c r="A470" s="17" t="inlineStr">
        <is>
          <t>gong_attack</t>
        </is>
      </c>
      <c r="B470" s="18" t="inlineStr">
        <is>
          <t>百步穿杨</t>
        </is>
      </c>
      <c r="C470" s="18" t="inlineStr">
        <is>
          <t>武艺技术</t>
        </is>
      </c>
      <c r="D470" s="18" t="inlineStr">
        <is>
          <t>弓箭类</t>
        </is>
      </c>
      <c r="E470" s="65" t="n">
        <v>0</v>
      </c>
      <c r="F470" s="66">
        <f>E470+1</f>
        <v/>
      </c>
      <c r="G470" s="65">
        <f>INDEX('个人技术总览'!$E$5:$E$46,MATCH($A470,'个人技术总览'!$A$5:$A$46,0))</f>
        <v/>
      </c>
      <c r="H470" s="59">
        <f>INDEX('个人技术总览'!$F$5:$F$46,MATCH($A470,'个人技术总览'!$A$5:$A$46,0))</f>
        <v/>
      </c>
      <c r="I470" s="60">
        <f>INDEX('个人技术总览'!$G$5:$G$46,MATCH($A470,'个人技术总览'!$A$5:$A$46,0))</f>
        <v/>
      </c>
      <c r="J470" s="59">
        <f>INDEX('个人技术总览'!$H$5:$H$46,MATCH($A470,'个人技术总览'!$A$5:$A$46,0))</f>
        <v/>
      </c>
      <c r="K470" s="60">
        <f>INDEX('个人技术总览'!$I$5:$I$46,MATCH($A470,'个人技术总览'!$A$5:$A$46,0))</f>
        <v/>
      </c>
      <c r="L470" s="67">
        <f>H470+V470+IF(E470=G470-1,MAX(0,P470-H470*G470-SUMIFS($V$5:$V$589,$A$5:$A$589,$A470)),0)</f>
        <v/>
      </c>
      <c r="M470" s="61">
        <f>MAX(1,ROUNDDOWN($L470/'参数与公式'!$B$5,0))</f>
        <v/>
      </c>
      <c r="N470" s="67">
        <f>J470+Y470+IF(E470=G470-1,MAX(0,R470-J470*G470-SUMIFS($Y$5:$Y$589,$A$5:$A$589,$A470)),0)</f>
        <v/>
      </c>
      <c r="O470" s="18" t="inlineStr">
        <is>
          <t>data/technology_templates.yaml; upgrade_profiles.martial; code: technology_rules.allocate_upgrade_budget</t>
        </is>
      </c>
      <c r="P470" s="67">
        <f>INDEX('个人技术总览'!$O$5:$O$46,MATCH($A470,'个人技术总览'!$A$5:$A$46,0))</f>
        <v/>
      </c>
      <c r="Q470" s="64">
        <f>INDEX('个人技术总览'!$P$5:$P$46,MATCH($A470,'个人技术总览'!$A$5:$A$46,0))</f>
        <v/>
      </c>
      <c r="R470" s="67">
        <f>INDEX('个人技术总览'!$Q$5:$Q$46,MATCH($A470,'个人技术总览'!$A$5:$A$46,0))</f>
        <v/>
      </c>
      <c r="S470" s="64">
        <f>INDEX('个人技术总览'!$R$5:$R$46,MATCH($A470,'个人技术总览'!$A$5:$A$46,0))</f>
        <v/>
      </c>
      <c r="T470" s="68">
        <f>POWER($Q470,$E470)</f>
        <v/>
      </c>
      <c r="U470" s="68">
        <f>SUMIFS($T$5:$T$589,$A$5:$A$589,$A470)</f>
        <v/>
      </c>
      <c r="V470" s="67">
        <f>ROUNDDOWN(MAX(0,$P470-$H470*$G470)*$T470/MAX(1,$U470),0)</f>
        <v/>
      </c>
      <c r="W470" s="68">
        <f>POWER($S470,$E470)</f>
        <v/>
      </c>
      <c r="X470" s="68">
        <f>SUMIFS($W$5:$W$589,$A$5:$A$589,$A470)</f>
        <v/>
      </c>
      <c r="Y470" s="67">
        <f>ROUNDDOWN(MAX(0,$R470-$J470*$G470)*$W470/MAX(1,$X470),0)</f>
        <v/>
      </c>
    </row>
    <row r="471">
      <c r="A471" s="17" t="inlineStr">
        <is>
          <t>gong_attack</t>
        </is>
      </c>
      <c r="B471" s="18" t="inlineStr">
        <is>
          <t>百步穿杨</t>
        </is>
      </c>
      <c r="C471" s="18" t="inlineStr">
        <is>
          <t>武艺技术</t>
        </is>
      </c>
      <c r="D471" s="18" t="inlineStr">
        <is>
          <t>弓箭类</t>
        </is>
      </c>
      <c r="E471" s="65" t="n">
        <v>1</v>
      </c>
      <c r="F471" s="66">
        <f>E471+1</f>
        <v/>
      </c>
      <c r="G471" s="65">
        <f>INDEX('个人技术总览'!$E$5:$E$46,MATCH($A471,'个人技术总览'!$A$5:$A$46,0))</f>
        <v/>
      </c>
      <c r="H471" s="59">
        <f>INDEX('个人技术总览'!$F$5:$F$46,MATCH($A471,'个人技术总览'!$A$5:$A$46,0))</f>
        <v/>
      </c>
      <c r="I471" s="60">
        <f>INDEX('个人技术总览'!$G$5:$G$46,MATCH($A471,'个人技术总览'!$A$5:$A$46,0))</f>
        <v/>
      </c>
      <c r="J471" s="59">
        <f>INDEX('个人技术总览'!$H$5:$H$46,MATCH($A471,'个人技术总览'!$A$5:$A$46,0))</f>
        <v/>
      </c>
      <c r="K471" s="60">
        <f>INDEX('个人技术总览'!$I$5:$I$46,MATCH($A471,'个人技术总览'!$A$5:$A$46,0))</f>
        <v/>
      </c>
      <c r="L471" s="67">
        <f>H471+V471+IF(E471=G471-1,MAX(0,P471-H471*G471-SUMIFS($V$5:$V$589,$A$5:$A$589,$A471)),0)</f>
        <v/>
      </c>
      <c r="M471" s="61">
        <f>MAX(1,ROUNDDOWN($L471/'参数与公式'!$B$5,0))</f>
        <v/>
      </c>
      <c r="N471" s="67">
        <f>J471+Y471+IF(E471=G471-1,MAX(0,R471-J471*G471-SUMIFS($Y$5:$Y$589,$A$5:$A$589,$A471)),0)</f>
        <v/>
      </c>
      <c r="O471" s="18" t="inlineStr">
        <is>
          <t>data/technology_templates.yaml; upgrade_profiles.martial; code: technology_rules.allocate_upgrade_budget</t>
        </is>
      </c>
      <c r="P471" s="67">
        <f>INDEX('个人技术总览'!$O$5:$O$46,MATCH($A471,'个人技术总览'!$A$5:$A$46,0))</f>
        <v/>
      </c>
      <c r="Q471" s="64">
        <f>INDEX('个人技术总览'!$P$5:$P$46,MATCH($A471,'个人技术总览'!$A$5:$A$46,0))</f>
        <v/>
      </c>
      <c r="R471" s="67">
        <f>INDEX('个人技术总览'!$Q$5:$Q$46,MATCH($A471,'个人技术总览'!$A$5:$A$46,0))</f>
        <v/>
      </c>
      <c r="S471" s="64">
        <f>INDEX('个人技术总览'!$R$5:$R$46,MATCH($A471,'个人技术总览'!$A$5:$A$46,0))</f>
        <v/>
      </c>
      <c r="T471" s="68">
        <f>POWER($Q471,$E471)</f>
        <v/>
      </c>
      <c r="U471" s="68">
        <f>SUMIFS($T$5:$T$589,$A$5:$A$589,$A471)</f>
        <v/>
      </c>
      <c r="V471" s="67">
        <f>ROUNDDOWN(MAX(0,$P471-$H471*$G471)*$T471/MAX(1,$U471),0)</f>
        <v/>
      </c>
      <c r="W471" s="68">
        <f>POWER($S471,$E471)</f>
        <v/>
      </c>
      <c r="X471" s="68">
        <f>SUMIFS($W$5:$W$589,$A$5:$A$589,$A471)</f>
        <v/>
      </c>
      <c r="Y471" s="67">
        <f>ROUNDDOWN(MAX(0,$R471-$J471*$G471)*$W471/MAX(1,$X471),0)</f>
        <v/>
      </c>
    </row>
    <row r="472">
      <c r="A472" s="17" t="inlineStr">
        <is>
          <t>gong_attack</t>
        </is>
      </c>
      <c r="B472" s="18" t="inlineStr">
        <is>
          <t>百步穿杨</t>
        </is>
      </c>
      <c r="C472" s="18" t="inlineStr">
        <is>
          <t>武艺技术</t>
        </is>
      </c>
      <c r="D472" s="18" t="inlineStr">
        <is>
          <t>弓箭类</t>
        </is>
      </c>
      <c r="E472" s="65" t="n">
        <v>2</v>
      </c>
      <c r="F472" s="66">
        <f>E472+1</f>
        <v/>
      </c>
      <c r="G472" s="65">
        <f>INDEX('个人技术总览'!$E$5:$E$46,MATCH($A472,'个人技术总览'!$A$5:$A$46,0))</f>
        <v/>
      </c>
      <c r="H472" s="59">
        <f>INDEX('个人技术总览'!$F$5:$F$46,MATCH($A472,'个人技术总览'!$A$5:$A$46,0))</f>
        <v/>
      </c>
      <c r="I472" s="60">
        <f>INDEX('个人技术总览'!$G$5:$G$46,MATCH($A472,'个人技术总览'!$A$5:$A$46,0))</f>
        <v/>
      </c>
      <c r="J472" s="59">
        <f>INDEX('个人技术总览'!$H$5:$H$46,MATCH($A472,'个人技术总览'!$A$5:$A$46,0))</f>
        <v/>
      </c>
      <c r="K472" s="60">
        <f>INDEX('个人技术总览'!$I$5:$I$46,MATCH($A472,'个人技术总览'!$A$5:$A$46,0))</f>
        <v/>
      </c>
      <c r="L472" s="67">
        <f>H472+V472+IF(E472=G472-1,MAX(0,P472-H472*G472-SUMIFS($V$5:$V$589,$A$5:$A$589,$A472)),0)</f>
        <v/>
      </c>
      <c r="M472" s="61">
        <f>MAX(1,ROUNDDOWN($L472/'参数与公式'!$B$5,0))</f>
        <v/>
      </c>
      <c r="N472" s="67">
        <f>J472+Y472+IF(E472=G472-1,MAX(0,R472-J472*G472-SUMIFS($Y$5:$Y$589,$A$5:$A$589,$A472)),0)</f>
        <v/>
      </c>
      <c r="O472" s="18" t="inlineStr">
        <is>
          <t>data/technology_templates.yaml; upgrade_profiles.martial; code: technology_rules.allocate_upgrade_budget</t>
        </is>
      </c>
      <c r="P472" s="67">
        <f>INDEX('个人技术总览'!$O$5:$O$46,MATCH($A472,'个人技术总览'!$A$5:$A$46,0))</f>
        <v/>
      </c>
      <c r="Q472" s="64">
        <f>INDEX('个人技术总览'!$P$5:$P$46,MATCH($A472,'个人技术总览'!$A$5:$A$46,0))</f>
        <v/>
      </c>
      <c r="R472" s="67">
        <f>INDEX('个人技术总览'!$Q$5:$Q$46,MATCH($A472,'个人技术总览'!$A$5:$A$46,0))</f>
        <v/>
      </c>
      <c r="S472" s="64">
        <f>INDEX('个人技术总览'!$R$5:$R$46,MATCH($A472,'个人技术总览'!$A$5:$A$46,0))</f>
        <v/>
      </c>
      <c r="T472" s="68">
        <f>POWER($Q472,$E472)</f>
        <v/>
      </c>
      <c r="U472" s="68">
        <f>SUMIFS($T$5:$T$589,$A$5:$A$589,$A472)</f>
        <v/>
      </c>
      <c r="V472" s="67">
        <f>ROUNDDOWN(MAX(0,$P472-$H472*$G472)*$T472/MAX(1,$U472),0)</f>
        <v/>
      </c>
      <c r="W472" s="68">
        <f>POWER($S472,$E472)</f>
        <v/>
      </c>
      <c r="X472" s="68">
        <f>SUMIFS($W$5:$W$589,$A$5:$A$589,$A472)</f>
        <v/>
      </c>
      <c r="Y472" s="67">
        <f>ROUNDDOWN(MAX(0,$R472-$J472*$G472)*$W472/MAX(1,$X472),0)</f>
        <v/>
      </c>
    </row>
    <row r="473">
      <c r="A473" s="17" t="inlineStr">
        <is>
          <t>gong_attack</t>
        </is>
      </c>
      <c r="B473" s="18" t="inlineStr">
        <is>
          <t>百步穿杨</t>
        </is>
      </c>
      <c r="C473" s="18" t="inlineStr">
        <is>
          <t>武艺技术</t>
        </is>
      </c>
      <c r="D473" s="18" t="inlineStr">
        <is>
          <t>弓箭类</t>
        </is>
      </c>
      <c r="E473" s="65" t="n">
        <v>3</v>
      </c>
      <c r="F473" s="66">
        <f>E473+1</f>
        <v/>
      </c>
      <c r="G473" s="65">
        <f>INDEX('个人技术总览'!$E$5:$E$46,MATCH($A473,'个人技术总览'!$A$5:$A$46,0))</f>
        <v/>
      </c>
      <c r="H473" s="59">
        <f>INDEX('个人技术总览'!$F$5:$F$46,MATCH($A473,'个人技术总览'!$A$5:$A$46,0))</f>
        <v/>
      </c>
      <c r="I473" s="60">
        <f>INDEX('个人技术总览'!$G$5:$G$46,MATCH($A473,'个人技术总览'!$A$5:$A$46,0))</f>
        <v/>
      </c>
      <c r="J473" s="59">
        <f>INDEX('个人技术总览'!$H$5:$H$46,MATCH($A473,'个人技术总览'!$A$5:$A$46,0))</f>
        <v/>
      </c>
      <c r="K473" s="60">
        <f>INDEX('个人技术总览'!$I$5:$I$46,MATCH($A473,'个人技术总览'!$A$5:$A$46,0))</f>
        <v/>
      </c>
      <c r="L473" s="67">
        <f>H473+V473+IF(E473=G473-1,MAX(0,P473-H473*G473-SUMIFS($V$5:$V$589,$A$5:$A$589,$A473)),0)</f>
        <v/>
      </c>
      <c r="M473" s="61">
        <f>MAX(1,ROUNDDOWN($L473/'参数与公式'!$B$5,0))</f>
        <v/>
      </c>
      <c r="N473" s="67">
        <f>J473+Y473+IF(E473=G473-1,MAX(0,R473-J473*G473-SUMIFS($Y$5:$Y$589,$A$5:$A$589,$A473)),0)</f>
        <v/>
      </c>
      <c r="O473" s="18" t="inlineStr">
        <is>
          <t>data/technology_templates.yaml; upgrade_profiles.martial; code: technology_rules.allocate_upgrade_budget</t>
        </is>
      </c>
      <c r="P473" s="67">
        <f>INDEX('个人技术总览'!$O$5:$O$46,MATCH($A473,'个人技术总览'!$A$5:$A$46,0))</f>
        <v/>
      </c>
      <c r="Q473" s="64">
        <f>INDEX('个人技术总览'!$P$5:$P$46,MATCH($A473,'个人技术总览'!$A$5:$A$46,0))</f>
        <v/>
      </c>
      <c r="R473" s="67">
        <f>INDEX('个人技术总览'!$Q$5:$Q$46,MATCH($A473,'个人技术总览'!$A$5:$A$46,0))</f>
        <v/>
      </c>
      <c r="S473" s="64">
        <f>INDEX('个人技术总览'!$R$5:$R$46,MATCH($A473,'个人技术总览'!$A$5:$A$46,0))</f>
        <v/>
      </c>
      <c r="T473" s="68">
        <f>POWER($Q473,$E473)</f>
        <v/>
      </c>
      <c r="U473" s="68">
        <f>SUMIFS($T$5:$T$589,$A$5:$A$589,$A473)</f>
        <v/>
      </c>
      <c r="V473" s="67">
        <f>ROUNDDOWN(MAX(0,$P473-$H473*$G473)*$T473/MAX(1,$U473),0)</f>
        <v/>
      </c>
      <c r="W473" s="68">
        <f>POWER($S473,$E473)</f>
        <v/>
      </c>
      <c r="X473" s="68">
        <f>SUMIFS($W$5:$W$589,$A$5:$A$589,$A473)</f>
        <v/>
      </c>
      <c r="Y473" s="67">
        <f>ROUNDDOWN(MAX(0,$R473-$J473*$G473)*$W473/MAX(1,$X473),0)</f>
        <v/>
      </c>
    </row>
    <row r="474">
      <c r="A474" s="17" t="inlineStr">
        <is>
          <t>gong_attack</t>
        </is>
      </c>
      <c r="B474" s="18" t="inlineStr">
        <is>
          <t>百步穿杨</t>
        </is>
      </c>
      <c r="C474" s="18" t="inlineStr">
        <is>
          <t>武艺技术</t>
        </is>
      </c>
      <c r="D474" s="18" t="inlineStr">
        <is>
          <t>弓箭类</t>
        </is>
      </c>
      <c r="E474" s="65" t="n">
        <v>4</v>
      </c>
      <c r="F474" s="66">
        <f>E474+1</f>
        <v/>
      </c>
      <c r="G474" s="65">
        <f>INDEX('个人技术总览'!$E$5:$E$46,MATCH($A474,'个人技术总览'!$A$5:$A$46,0))</f>
        <v/>
      </c>
      <c r="H474" s="59">
        <f>INDEX('个人技术总览'!$F$5:$F$46,MATCH($A474,'个人技术总览'!$A$5:$A$46,0))</f>
        <v/>
      </c>
      <c r="I474" s="60">
        <f>INDEX('个人技术总览'!$G$5:$G$46,MATCH($A474,'个人技术总览'!$A$5:$A$46,0))</f>
        <v/>
      </c>
      <c r="J474" s="59">
        <f>INDEX('个人技术总览'!$H$5:$H$46,MATCH($A474,'个人技术总览'!$A$5:$A$46,0))</f>
        <v/>
      </c>
      <c r="K474" s="60">
        <f>INDEX('个人技术总览'!$I$5:$I$46,MATCH($A474,'个人技术总览'!$A$5:$A$46,0))</f>
        <v/>
      </c>
      <c r="L474" s="67">
        <f>H474+V474+IF(E474=G474-1,MAX(0,P474-H474*G474-SUMIFS($V$5:$V$589,$A$5:$A$589,$A474)),0)</f>
        <v/>
      </c>
      <c r="M474" s="61">
        <f>MAX(1,ROUNDDOWN($L474/'参数与公式'!$B$5,0))</f>
        <v/>
      </c>
      <c r="N474" s="67">
        <f>J474+Y474+IF(E474=G474-1,MAX(0,R474-J474*G474-SUMIFS($Y$5:$Y$589,$A$5:$A$589,$A474)),0)</f>
        <v/>
      </c>
      <c r="O474" s="18" t="inlineStr">
        <is>
          <t>data/technology_templates.yaml; upgrade_profiles.martial; code: technology_rules.allocate_upgrade_budget</t>
        </is>
      </c>
      <c r="P474" s="67">
        <f>INDEX('个人技术总览'!$O$5:$O$46,MATCH($A474,'个人技术总览'!$A$5:$A$46,0))</f>
        <v/>
      </c>
      <c r="Q474" s="64">
        <f>INDEX('个人技术总览'!$P$5:$P$46,MATCH($A474,'个人技术总览'!$A$5:$A$46,0))</f>
        <v/>
      </c>
      <c r="R474" s="67">
        <f>INDEX('个人技术总览'!$Q$5:$Q$46,MATCH($A474,'个人技术总览'!$A$5:$A$46,0))</f>
        <v/>
      </c>
      <c r="S474" s="64">
        <f>INDEX('个人技术总览'!$R$5:$R$46,MATCH($A474,'个人技术总览'!$A$5:$A$46,0))</f>
        <v/>
      </c>
      <c r="T474" s="68">
        <f>POWER($Q474,$E474)</f>
        <v/>
      </c>
      <c r="U474" s="68">
        <f>SUMIFS($T$5:$T$589,$A$5:$A$589,$A474)</f>
        <v/>
      </c>
      <c r="V474" s="67">
        <f>ROUNDDOWN(MAX(0,$P474-$H474*$G474)*$T474/MAX(1,$U474),0)</f>
        <v/>
      </c>
      <c r="W474" s="68">
        <f>POWER($S474,$E474)</f>
        <v/>
      </c>
      <c r="X474" s="68">
        <f>SUMIFS($W$5:$W$589,$A$5:$A$589,$A474)</f>
        <v/>
      </c>
      <c r="Y474" s="67">
        <f>ROUNDDOWN(MAX(0,$R474-$J474*$G474)*$W474/MAX(1,$X474),0)</f>
        <v/>
      </c>
    </row>
    <row r="475">
      <c r="A475" s="17" t="inlineStr">
        <is>
          <t>gong_attack</t>
        </is>
      </c>
      <c r="B475" s="18" t="inlineStr">
        <is>
          <t>百步穿杨</t>
        </is>
      </c>
      <c r="C475" s="18" t="inlineStr">
        <is>
          <t>武艺技术</t>
        </is>
      </c>
      <c r="D475" s="18" t="inlineStr">
        <is>
          <t>弓箭类</t>
        </is>
      </c>
      <c r="E475" s="65" t="n">
        <v>5</v>
      </c>
      <c r="F475" s="66">
        <f>E475+1</f>
        <v/>
      </c>
      <c r="G475" s="65">
        <f>INDEX('个人技术总览'!$E$5:$E$46,MATCH($A475,'个人技术总览'!$A$5:$A$46,0))</f>
        <v/>
      </c>
      <c r="H475" s="59">
        <f>INDEX('个人技术总览'!$F$5:$F$46,MATCH($A475,'个人技术总览'!$A$5:$A$46,0))</f>
        <v/>
      </c>
      <c r="I475" s="60">
        <f>INDEX('个人技术总览'!$G$5:$G$46,MATCH($A475,'个人技术总览'!$A$5:$A$46,0))</f>
        <v/>
      </c>
      <c r="J475" s="59">
        <f>INDEX('个人技术总览'!$H$5:$H$46,MATCH($A475,'个人技术总览'!$A$5:$A$46,0))</f>
        <v/>
      </c>
      <c r="K475" s="60">
        <f>INDEX('个人技术总览'!$I$5:$I$46,MATCH($A475,'个人技术总览'!$A$5:$A$46,0))</f>
        <v/>
      </c>
      <c r="L475" s="67">
        <f>H475+V475+IF(E475=G475-1,MAX(0,P475-H475*G475-SUMIFS($V$5:$V$589,$A$5:$A$589,$A475)),0)</f>
        <v/>
      </c>
      <c r="M475" s="61">
        <f>MAX(1,ROUNDDOWN($L475/'参数与公式'!$B$5,0))</f>
        <v/>
      </c>
      <c r="N475" s="67">
        <f>J475+Y475+IF(E475=G475-1,MAX(0,R475-J475*G475-SUMIFS($Y$5:$Y$589,$A$5:$A$589,$A475)),0)</f>
        <v/>
      </c>
      <c r="O475" s="18" t="inlineStr">
        <is>
          <t>data/technology_templates.yaml; upgrade_profiles.martial; code: technology_rules.allocate_upgrade_budget</t>
        </is>
      </c>
      <c r="P475" s="67">
        <f>INDEX('个人技术总览'!$O$5:$O$46,MATCH($A475,'个人技术总览'!$A$5:$A$46,0))</f>
        <v/>
      </c>
      <c r="Q475" s="64">
        <f>INDEX('个人技术总览'!$P$5:$P$46,MATCH($A475,'个人技术总览'!$A$5:$A$46,0))</f>
        <v/>
      </c>
      <c r="R475" s="67">
        <f>INDEX('个人技术总览'!$Q$5:$Q$46,MATCH($A475,'个人技术总览'!$A$5:$A$46,0))</f>
        <v/>
      </c>
      <c r="S475" s="64">
        <f>INDEX('个人技术总览'!$R$5:$R$46,MATCH($A475,'个人技术总览'!$A$5:$A$46,0))</f>
        <v/>
      </c>
      <c r="T475" s="68">
        <f>POWER($Q475,$E475)</f>
        <v/>
      </c>
      <c r="U475" s="68">
        <f>SUMIFS($T$5:$T$589,$A$5:$A$589,$A475)</f>
        <v/>
      </c>
      <c r="V475" s="67">
        <f>ROUNDDOWN(MAX(0,$P475-$H475*$G475)*$T475/MAX(1,$U475),0)</f>
        <v/>
      </c>
      <c r="W475" s="68">
        <f>POWER($S475,$E475)</f>
        <v/>
      </c>
      <c r="X475" s="68">
        <f>SUMIFS($W$5:$W$589,$A$5:$A$589,$A475)</f>
        <v/>
      </c>
      <c r="Y475" s="67">
        <f>ROUNDDOWN(MAX(0,$R475-$J475*$G475)*$W475/MAX(1,$X475),0)</f>
        <v/>
      </c>
    </row>
    <row r="476">
      <c r="A476" s="17" t="inlineStr">
        <is>
          <t>gong_attack</t>
        </is>
      </c>
      <c r="B476" s="18" t="inlineStr">
        <is>
          <t>百步穿杨</t>
        </is>
      </c>
      <c r="C476" s="18" t="inlineStr">
        <is>
          <t>武艺技术</t>
        </is>
      </c>
      <c r="D476" s="18" t="inlineStr">
        <is>
          <t>弓箭类</t>
        </is>
      </c>
      <c r="E476" s="65" t="n">
        <v>6</v>
      </c>
      <c r="F476" s="66">
        <f>E476+1</f>
        <v/>
      </c>
      <c r="G476" s="65">
        <f>INDEX('个人技术总览'!$E$5:$E$46,MATCH($A476,'个人技术总览'!$A$5:$A$46,0))</f>
        <v/>
      </c>
      <c r="H476" s="59">
        <f>INDEX('个人技术总览'!$F$5:$F$46,MATCH($A476,'个人技术总览'!$A$5:$A$46,0))</f>
        <v/>
      </c>
      <c r="I476" s="60">
        <f>INDEX('个人技术总览'!$G$5:$G$46,MATCH($A476,'个人技术总览'!$A$5:$A$46,0))</f>
        <v/>
      </c>
      <c r="J476" s="59">
        <f>INDEX('个人技术总览'!$H$5:$H$46,MATCH($A476,'个人技术总览'!$A$5:$A$46,0))</f>
        <v/>
      </c>
      <c r="K476" s="60">
        <f>INDEX('个人技术总览'!$I$5:$I$46,MATCH($A476,'个人技术总览'!$A$5:$A$46,0))</f>
        <v/>
      </c>
      <c r="L476" s="67">
        <f>H476+V476+IF(E476=G476-1,MAX(0,P476-H476*G476-SUMIFS($V$5:$V$589,$A$5:$A$589,$A476)),0)</f>
        <v/>
      </c>
      <c r="M476" s="61">
        <f>MAX(1,ROUNDDOWN($L476/'参数与公式'!$B$5,0))</f>
        <v/>
      </c>
      <c r="N476" s="67">
        <f>J476+Y476+IF(E476=G476-1,MAX(0,R476-J476*G476-SUMIFS($Y$5:$Y$589,$A$5:$A$589,$A476)),0)</f>
        <v/>
      </c>
      <c r="O476" s="18" t="inlineStr">
        <is>
          <t>data/technology_templates.yaml; upgrade_profiles.martial; code: technology_rules.allocate_upgrade_budget</t>
        </is>
      </c>
      <c r="P476" s="67">
        <f>INDEX('个人技术总览'!$O$5:$O$46,MATCH($A476,'个人技术总览'!$A$5:$A$46,0))</f>
        <v/>
      </c>
      <c r="Q476" s="64">
        <f>INDEX('个人技术总览'!$P$5:$P$46,MATCH($A476,'个人技术总览'!$A$5:$A$46,0))</f>
        <v/>
      </c>
      <c r="R476" s="67">
        <f>INDEX('个人技术总览'!$Q$5:$Q$46,MATCH($A476,'个人技术总览'!$A$5:$A$46,0))</f>
        <v/>
      </c>
      <c r="S476" s="64">
        <f>INDEX('个人技术总览'!$R$5:$R$46,MATCH($A476,'个人技术总览'!$A$5:$A$46,0))</f>
        <v/>
      </c>
      <c r="T476" s="68">
        <f>POWER($Q476,$E476)</f>
        <v/>
      </c>
      <c r="U476" s="68">
        <f>SUMIFS($T$5:$T$589,$A$5:$A$589,$A476)</f>
        <v/>
      </c>
      <c r="V476" s="67">
        <f>ROUNDDOWN(MAX(0,$P476-$H476*$G476)*$T476/MAX(1,$U476),0)</f>
        <v/>
      </c>
      <c r="W476" s="68">
        <f>POWER($S476,$E476)</f>
        <v/>
      </c>
      <c r="X476" s="68">
        <f>SUMIFS($W$5:$W$589,$A$5:$A$589,$A476)</f>
        <v/>
      </c>
      <c r="Y476" s="67">
        <f>ROUNDDOWN(MAX(0,$R476-$J476*$G476)*$W476/MAX(1,$X476),0)</f>
        <v/>
      </c>
    </row>
    <row r="477">
      <c r="A477" s="17" t="inlineStr">
        <is>
          <t>gong_attack</t>
        </is>
      </c>
      <c r="B477" s="18" t="inlineStr">
        <is>
          <t>百步穿杨</t>
        </is>
      </c>
      <c r="C477" s="18" t="inlineStr">
        <is>
          <t>武艺技术</t>
        </is>
      </c>
      <c r="D477" s="18" t="inlineStr">
        <is>
          <t>弓箭类</t>
        </is>
      </c>
      <c r="E477" s="65" t="n">
        <v>7</v>
      </c>
      <c r="F477" s="66">
        <f>E477+1</f>
        <v/>
      </c>
      <c r="G477" s="65">
        <f>INDEX('个人技术总览'!$E$5:$E$46,MATCH($A477,'个人技术总览'!$A$5:$A$46,0))</f>
        <v/>
      </c>
      <c r="H477" s="59">
        <f>INDEX('个人技术总览'!$F$5:$F$46,MATCH($A477,'个人技术总览'!$A$5:$A$46,0))</f>
        <v/>
      </c>
      <c r="I477" s="60">
        <f>INDEX('个人技术总览'!$G$5:$G$46,MATCH($A477,'个人技术总览'!$A$5:$A$46,0))</f>
        <v/>
      </c>
      <c r="J477" s="59">
        <f>INDEX('个人技术总览'!$H$5:$H$46,MATCH($A477,'个人技术总览'!$A$5:$A$46,0))</f>
        <v/>
      </c>
      <c r="K477" s="60">
        <f>INDEX('个人技术总览'!$I$5:$I$46,MATCH($A477,'个人技术总览'!$A$5:$A$46,0))</f>
        <v/>
      </c>
      <c r="L477" s="67">
        <f>H477+V477+IF(E477=G477-1,MAX(0,P477-H477*G477-SUMIFS($V$5:$V$589,$A$5:$A$589,$A477)),0)</f>
        <v/>
      </c>
      <c r="M477" s="61">
        <f>MAX(1,ROUNDDOWN($L477/'参数与公式'!$B$5,0))</f>
        <v/>
      </c>
      <c r="N477" s="67">
        <f>J477+Y477+IF(E477=G477-1,MAX(0,R477-J477*G477-SUMIFS($Y$5:$Y$589,$A$5:$A$589,$A477)),0)</f>
        <v/>
      </c>
      <c r="O477" s="18" t="inlineStr">
        <is>
          <t>data/technology_templates.yaml; upgrade_profiles.martial; code: technology_rules.allocate_upgrade_budget</t>
        </is>
      </c>
      <c r="P477" s="67">
        <f>INDEX('个人技术总览'!$O$5:$O$46,MATCH($A477,'个人技术总览'!$A$5:$A$46,0))</f>
        <v/>
      </c>
      <c r="Q477" s="64">
        <f>INDEX('个人技术总览'!$P$5:$P$46,MATCH($A477,'个人技术总览'!$A$5:$A$46,0))</f>
        <v/>
      </c>
      <c r="R477" s="67">
        <f>INDEX('个人技术总览'!$Q$5:$Q$46,MATCH($A477,'个人技术总览'!$A$5:$A$46,0))</f>
        <v/>
      </c>
      <c r="S477" s="64">
        <f>INDEX('个人技术总览'!$R$5:$R$46,MATCH($A477,'个人技术总览'!$A$5:$A$46,0))</f>
        <v/>
      </c>
      <c r="T477" s="68">
        <f>POWER($Q477,$E477)</f>
        <v/>
      </c>
      <c r="U477" s="68">
        <f>SUMIFS($T$5:$T$589,$A$5:$A$589,$A477)</f>
        <v/>
      </c>
      <c r="V477" s="67">
        <f>ROUNDDOWN(MAX(0,$P477-$H477*$G477)*$T477/MAX(1,$U477),0)</f>
        <v/>
      </c>
      <c r="W477" s="68">
        <f>POWER($S477,$E477)</f>
        <v/>
      </c>
      <c r="X477" s="68">
        <f>SUMIFS($W$5:$W$589,$A$5:$A$589,$A477)</f>
        <v/>
      </c>
      <c r="Y477" s="67">
        <f>ROUNDDOWN(MAX(0,$R477-$J477*$G477)*$W477/MAX(1,$X477),0)</f>
        <v/>
      </c>
    </row>
    <row r="478">
      <c r="A478" s="17" t="inlineStr">
        <is>
          <t>gong_attack</t>
        </is>
      </c>
      <c r="B478" s="18" t="inlineStr">
        <is>
          <t>百步穿杨</t>
        </is>
      </c>
      <c r="C478" s="18" t="inlineStr">
        <is>
          <t>武艺技术</t>
        </is>
      </c>
      <c r="D478" s="18" t="inlineStr">
        <is>
          <t>弓箭类</t>
        </is>
      </c>
      <c r="E478" s="65" t="n">
        <v>8</v>
      </c>
      <c r="F478" s="66">
        <f>E478+1</f>
        <v/>
      </c>
      <c r="G478" s="65">
        <f>INDEX('个人技术总览'!$E$5:$E$46,MATCH($A478,'个人技术总览'!$A$5:$A$46,0))</f>
        <v/>
      </c>
      <c r="H478" s="59">
        <f>INDEX('个人技术总览'!$F$5:$F$46,MATCH($A478,'个人技术总览'!$A$5:$A$46,0))</f>
        <v/>
      </c>
      <c r="I478" s="60">
        <f>INDEX('个人技术总览'!$G$5:$G$46,MATCH($A478,'个人技术总览'!$A$5:$A$46,0))</f>
        <v/>
      </c>
      <c r="J478" s="59">
        <f>INDEX('个人技术总览'!$H$5:$H$46,MATCH($A478,'个人技术总览'!$A$5:$A$46,0))</f>
        <v/>
      </c>
      <c r="K478" s="60">
        <f>INDEX('个人技术总览'!$I$5:$I$46,MATCH($A478,'个人技术总览'!$A$5:$A$46,0))</f>
        <v/>
      </c>
      <c r="L478" s="67">
        <f>H478+V478+IF(E478=G478-1,MAX(0,P478-H478*G478-SUMIFS($V$5:$V$589,$A$5:$A$589,$A478)),0)</f>
        <v/>
      </c>
      <c r="M478" s="61">
        <f>MAX(1,ROUNDDOWN($L478/'参数与公式'!$B$5,0))</f>
        <v/>
      </c>
      <c r="N478" s="67">
        <f>J478+Y478+IF(E478=G478-1,MAX(0,R478-J478*G478-SUMIFS($Y$5:$Y$589,$A$5:$A$589,$A478)),0)</f>
        <v/>
      </c>
      <c r="O478" s="18" t="inlineStr">
        <is>
          <t>data/technology_templates.yaml; upgrade_profiles.martial; code: technology_rules.allocate_upgrade_budget</t>
        </is>
      </c>
      <c r="P478" s="67">
        <f>INDEX('个人技术总览'!$O$5:$O$46,MATCH($A478,'个人技术总览'!$A$5:$A$46,0))</f>
        <v/>
      </c>
      <c r="Q478" s="64">
        <f>INDEX('个人技术总览'!$P$5:$P$46,MATCH($A478,'个人技术总览'!$A$5:$A$46,0))</f>
        <v/>
      </c>
      <c r="R478" s="67">
        <f>INDEX('个人技术总览'!$Q$5:$Q$46,MATCH($A478,'个人技术总览'!$A$5:$A$46,0))</f>
        <v/>
      </c>
      <c r="S478" s="64">
        <f>INDEX('个人技术总览'!$R$5:$R$46,MATCH($A478,'个人技术总览'!$A$5:$A$46,0))</f>
        <v/>
      </c>
      <c r="T478" s="68">
        <f>POWER($Q478,$E478)</f>
        <v/>
      </c>
      <c r="U478" s="68">
        <f>SUMIFS($T$5:$T$589,$A$5:$A$589,$A478)</f>
        <v/>
      </c>
      <c r="V478" s="67">
        <f>ROUNDDOWN(MAX(0,$P478-$H478*$G478)*$T478/MAX(1,$U478),0)</f>
        <v/>
      </c>
      <c r="W478" s="68">
        <f>POWER($S478,$E478)</f>
        <v/>
      </c>
      <c r="X478" s="68">
        <f>SUMIFS($W$5:$W$589,$A$5:$A$589,$A478)</f>
        <v/>
      </c>
      <c r="Y478" s="67">
        <f>ROUNDDOWN(MAX(0,$R478-$J478*$G478)*$W478/MAX(1,$X478),0)</f>
        <v/>
      </c>
    </row>
    <row r="479">
      <c r="A479" s="17" t="inlineStr">
        <is>
          <t>gong_attack</t>
        </is>
      </c>
      <c r="B479" s="18" t="inlineStr">
        <is>
          <t>百步穿杨</t>
        </is>
      </c>
      <c r="C479" s="18" t="inlineStr">
        <is>
          <t>武艺技术</t>
        </is>
      </c>
      <c r="D479" s="18" t="inlineStr">
        <is>
          <t>弓箭类</t>
        </is>
      </c>
      <c r="E479" s="65" t="n">
        <v>9</v>
      </c>
      <c r="F479" s="66">
        <f>E479+1</f>
        <v/>
      </c>
      <c r="G479" s="65">
        <f>INDEX('个人技术总览'!$E$5:$E$46,MATCH($A479,'个人技术总览'!$A$5:$A$46,0))</f>
        <v/>
      </c>
      <c r="H479" s="59">
        <f>INDEX('个人技术总览'!$F$5:$F$46,MATCH($A479,'个人技术总览'!$A$5:$A$46,0))</f>
        <v/>
      </c>
      <c r="I479" s="60">
        <f>INDEX('个人技术总览'!$G$5:$G$46,MATCH($A479,'个人技术总览'!$A$5:$A$46,0))</f>
        <v/>
      </c>
      <c r="J479" s="59">
        <f>INDEX('个人技术总览'!$H$5:$H$46,MATCH($A479,'个人技术总览'!$A$5:$A$46,0))</f>
        <v/>
      </c>
      <c r="K479" s="60">
        <f>INDEX('个人技术总览'!$I$5:$I$46,MATCH($A479,'个人技术总览'!$A$5:$A$46,0))</f>
        <v/>
      </c>
      <c r="L479" s="67">
        <f>H479+V479+IF(E479=G479-1,MAX(0,P479-H479*G479-SUMIFS($V$5:$V$589,$A$5:$A$589,$A479)),0)</f>
        <v/>
      </c>
      <c r="M479" s="61">
        <f>MAX(1,ROUNDDOWN($L479/'参数与公式'!$B$5,0))</f>
        <v/>
      </c>
      <c r="N479" s="67">
        <f>J479+Y479+IF(E479=G479-1,MAX(0,R479-J479*G479-SUMIFS($Y$5:$Y$589,$A$5:$A$589,$A479)),0)</f>
        <v/>
      </c>
      <c r="O479" s="18" t="inlineStr">
        <is>
          <t>data/technology_templates.yaml; upgrade_profiles.martial; code: technology_rules.allocate_upgrade_budget</t>
        </is>
      </c>
      <c r="P479" s="67">
        <f>INDEX('个人技术总览'!$O$5:$O$46,MATCH($A479,'个人技术总览'!$A$5:$A$46,0))</f>
        <v/>
      </c>
      <c r="Q479" s="64">
        <f>INDEX('个人技术总览'!$P$5:$P$46,MATCH($A479,'个人技术总览'!$A$5:$A$46,0))</f>
        <v/>
      </c>
      <c r="R479" s="67">
        <f>INDEX('个人技术总览'!$Q$5:$Q$46,MATCH($A479,'个人技术总览'!$A$5:$A$46,0))</f>
        <v/>
      </c>
      <c r="S479" s="64">
        <f>INDEX('个人技术总览'!$R$5:$R$46,MATCH($A479,'个人技术总览'!$A$5:$A$46,0))</f>
        <v/>
      </c>
      <c r="T479" s="68">
        <f>POWER($Q479,$E479)</f>
        <v/>
      </c>
      <c r="U479" s="68">
        <f>SUMIFS($T$5:$T$589,$A$5:$A$589,$A479)</f>
        <v/>
      </c>
      <c r="V479" s="67">
        <f>ROUNDDOWN(MAX(0,$P479-$H479*$G479)*$T479/MAX(1,$U479),0)</f>
        <v/>
      </c>
      <c r="W479" s="68">
        <f>POWER($S479,$E479)</f>
        <v/>
      </c>
      <c r="X479" s="68">
        <f>SUMIFS($W$5:$W$589,$A$5:$A$589,$A479)</f>
        <v/>
      </c>
      <c r="Y479" s="67">
        <f>ROUNDDOWN(MAX(0,$R479-$J479*$G479)*$W479/MAX(1,$X479),0)</f>
        <v/>
      </c>
    </row>
    <row r="480">
      <c r="A480" s="17" t="inlineStr">
        <is>
          <t>gong_defense</t>
        </is>
      </c>
      <c r="B480" s="18" t="inlineStr">
        <is>
          <t>天地反转</t>
        </is>
      </c>
      <c r="C480" s="18" t="inlineStr">
        <is>
          <t>武艺技术</t>
        </is>
      </c>
      <c r="D480" s="18" t="inlineStr">
        <is>
          <t>弓箭类</t>
        </is>
      </c>
      <c r="E480" s="65" t="n">
        <v>0</v>
      </c>
      <c r="F480" s="66">
        <f>E480+1</f>
        <v/>
      </c>
      <c r="G480" s="65">
        <f>INDEX('个人技术总览'!$E$5:$E$46,MATCH($A480,'个人技术总览'!$A$5:$A$46,0))</f>
        <v/>
      </c>
      <c r="H480" s="59">
        <f>INDEX('个人技术总览'!$F$5:$F$46,MATCH($A480,'个人技术总览'!$A$5:$A$46,0))</f>
        <v/>
      </c>
      <c r="I480" s="60">
        <f>INDEX('个人技术总览'!$G$5:$G$46,MATCH($A480,'个人技术总览'!$A$5:$A$46,0))</f>
        <v/>
      </c>
      <c r="J480" s="59">
        <f>INDEX('个人技术总览'!$H$5:$H$46,MATCH($A480,'个人技术总览'!$A$5:$A$46,0))</f>
        <v/>
      </c>
      <c r="K480" s="60">
        <f>INDEX('个人技术总览'!$I$5:$I$46,MATCH($A480,'个人技术总览'!$A$5:$A$46,0))</f>
        <v/>
      </c>
      <c r="L480" s="67">
        <f>H480+V480+IF(E480=G480-1,MAX(0,P480-H480*G480-SUMIFS($V$5:$V$589,$A$5:$A$589,$A480)),0)</f>
        <v/>
      </c>
      <c r="M480" s="61">
        <f>MAX(1,ROUNDDOWN($L480/'参数与公式'!$B$5,0))</f>
        <v/>
      </c>
      <c r="N480" s="67">
        <f>J480+Y480+IF(E480=G480-1,MAX(0,R480-J480*G480-SUMIFS($Y$5:$Y$589,$A$5:$A$589,$A480)),0)</f>
        <v/>
      </c>
      <c r="O480" s="18" t="inlineStr">
        <is>
          <t>data/technology_templates.yaml; upgrade_profiles.martial; code: technology_rules.allocate_upgrade_budget</t>
        </is>
      </c>
      <c r="P480" s="67">
        <f>INDEX('个人技术总览'!$O$5:$O$46,MATCH($A480,'个人技术总览'!$A$5:$A$46,0))</f>
        <v/>
      </c>
      <c r="Q480" s="64">
        <f>INDEX('个人技术总览'!$P$5:$P$46,MATCH($A480,'个人技术总览'!$A$5:$A$46,0))</f>
        <v/>
      </c>
      <c r="R480" s="67">
        <f>INDEX('个人技术总览'!$Q$5:$Q$46,MATCH($A480,'个人技术总览'!$A$5:$A$46,0))</f>
        <v/>
      </c>
      <c r="S480" s="64">
        <f>INDEX('个人技术总览'!$R$5:$R$46,MATCH($A480,'个人技术总览'!$A$5:$A$46,0))</f>
        <v/>
      </c>
      <c r="T480" s="68">
        <f>POWER($Q480,$E480)</f>
        <v/>
      </c>
      <c r="U480" s="68">
        <f>SUMIFS($T$5:$T$589,$A$5:$A$589,$A480)</f>
        <v/>
      </c>
      <c r="V480" s="67">
        <f>ROUNDDOWN(MAX(0,$P480-$H480*$G480)*$T480/MAX(1,$U480),0)</f>
        <v/>
      </c>
      <c r="W480" s="68">
        <f>POWER($S480,$E480)</f>
        <v/>
      </c>
      <c r="X480" s="68">
        <f>SUMIFS($W$5:$W$589,$A$5:$A$589,$A480)</f>
        <v/>
      </c>
      <c r="Y480" s="67">
        <f>ROUNDDOWN(MAX(0,$R480-$J480*$G480)*$W480/MAX(1,$X480),0)</f>
        <v/>
      </c>
    </row>
    <row r="481">
      <c r="A481" s="17" t="inlineStr">
        <is>
          <t>gong_defense</t>
        </is>
      </c>
      <c r="B481" s="18" t="inlineStr">
        <is>
          <t>天地反转</t>
        </is>
      </c>
      <c r="C481" s="18" t="inlineStr">
        <is>
          <t>武艺技术</t>
        </is>
      </c>
      <c r="D481" s="18" t="inlineStr">
        <is>
          <t>弓箭类</t>
        </is>
      </c>
      <c r="E481" s="65" t="n">
        <v>1</v>
      </c>
      <c r="F481" s="66">
        <f>E481+1</f>
        <v/>
      </c>
      <c r="G481" s="65">
        <f>INDEX('个人技术总览'!$E$5:$E$46,MATCH($A481,'个人技术总览'!$A$5:$A$46,0))</f>
        <v/>
      </c>
      <c r="H481" s="59">
        <f>INDEX('个人技术总览'!$F$5:$F$46,MATCH($A481,'个人技术总览'!$A$5:$A$46,0))</f>
        <v/>
      </c>
      <c r="I481" s="60">
        <f>INDEX('个人技术总览'!$G$5:$G$46,MATCH($A481,'个人技术总览'!$A$5:$A$46,0))</f>
        <v/>
      </c>
      <c r="J481" s="59">
        <f>INDEX('个人技术总览'!$H$5:$H$46,MATCH($A481,'个人技术总览'!$A$5:$A$46,0))</f>
        <v/>
      </c>
      <c r="K481" s="60">
        <f>INDEX('个人技术总览'!$I$5:$I$46,MATCH($A481,'个人技术总览'!$A$5:$A$46,0))</f>
        <v/>
      </c>
      <c r="L481" s="67">
        <f>H481+V481+IF(E481=G481-1,MAX(0,P481-H481*G481-SUMIFS($V$5:$V$589,$A$5:$A$589,$A481)),0)</f>
        <v/>
      </c>
      <c r="M481" s="61">
        <f>MAX(1,ROUNDDOWN($L481/'参数与公式'!$B$5,0))</f>
        <v/>
      </c>
      <c r="N481" s="67">
        <f>J481+Y481+IF(E481=G481-1,MAX(0,R481-J481*G481-SUMIFS($Y$5:$Y$589,$A$5:$A$589,$A481)),0)</f>
        <v/>
      </c>
      <c r="O481" s="18" t="inlineStr">
        <is>
          <t>data/technology_templates.yaml; upgrade_profiles.martial; code: technology_rules.allocate_upgrade_budget</t>
        </is>
      </c>
      <c r="P481" s="67">
        <f>INDEX('个人技术总览'!$O$5:$O$46,MATCH($A481,'个人技术总览'!$A$5:$A$46,0))</f>
        <v/>
      </c>
      <c r="Q481" s="64">
        <f>INDEX('个人技术总览'!$P$5:$P$46,MATCH($A481,'个人技术总览'!$A$5:$A$46,0))</f>
        <v/>
      </c>
      <c r="R481" s="67">
        <f>INDEX('个人技术总览'!$Q$5:$Q$46,MATCH($A481,'个人技术总览'!$A$5:$A$46,0))</f>
        <v/>
      </c>
      <c r="S481" s="64">
        <f>INDEX('个人技术总览'!$R$5:$R$46,MATCH($A481,'个人技术总览'!$A$5:$A$46,0))</f>
        <v/>
      </c>
      <c r="T481" s="68">
        <f>POWER($Q481,$E481)</f>
        <v/>
      </c>
      <c r="U481" s="68">
        <f>SUMIFS($T$5:$T$589,$A$5:$A$589,$A481)</f>
        <v/>
      </c>
      <c r="V481" s="67">
        <f>ROUNDDOWN(MAX(0,$P481-$H481*$G481)*$T481/MAX(1,$U481),0)</f>
        <v/>
      </c>
      <c r="W481" s="68">
        <f>POWER($S481,$E481)</f>
        <v/>
      </c>
      <c r="X481" s="68">
        <f>SUMIFS($W$5:$W$589,$A$5:$A$589,$A481)</f>
        <v/>
      </c>
      <c r="Y481" s="67">
        <f>ROUNDDOWN(MAX(0,$R481-$J481*$G481)*$W481/MAX(1,$X481),0)</f>
        <v/>
      </c>
    </row>
    <row r="482">
      <c r="A482" s="17" t="inlineStr">
        <is>
          <t>gong_defense</t>
        </is>
      </c>
      <c r="B482" s="18" t="inlineStr">
        <is>
          <t>天地反转</t>
        </is>
      </c>
      <c r="C482" s="18" t="inlineStr">
        <is>
          <t>武艺技术</t>
        </is>
      </c>
      <c r="D482" s="18" t="inlineStr">
        <is>
          <t>弓箭类</t>
        </is>
      </c>
      <c r="E482" s="65" t="n">
        <v>2</v>
      </c>
      <c r="F482" s="66">
        <f>E482+1</f>
        <v/>
      </c>
      <c r="G482" s="65">
        <f>INDEX('个人技术总览'!$E$5:$E$46,MATCH($A482,'个人技术总览'!$A$5:$A$46,0))</f>
        <v/>
      </c>
      <c r="H482" s="59">
        <f>INDEX('个人技术总览'!$F$5:$F$46,MATCH($A482,'个人技术总览'!$A$5:$A$46,0))</f>
        <v/>
      </c>
      <c r="I482" s="60">
        <f>INDEX('个人技术总览'!$G$5:$G$46,MATCH($A482,'个人技术总览'!$A$5:$A$46,0))</f>
        <v/>
      </c>
      <c r="J482" s="59">
        <f>INDEX('个人技术总览'!$H$5:$H$46,MATCH($A482,'个人技术总览'!$A$5:$A$46,0))</f>
        <v/>
      </c>
      <c r="K482" s="60">
        <f>INDEX('个人技术总览'!$I$5:$I$46,MATCH($A482,'个人技术总览'!$A$5:$A$46,0))</f>
        <v/>
      </c>
      <c r="L482" s="67">
        <f>H482+V482+IF(E482=G482-1,MAX(0,P482-H482*G482-SUMIFS($V$5:$V$589,$A$5:$A$589,$A482)),0)</f>
        <v/>
      </c>
      <c r="M482" s="61">
        <f>MAX(1,ROUNDDOWN($L482/'参数与公式'!$B$5,0))</f>
        <v/>
      </c>
      <c r="N482" s="67">
        <f>J482+Y482+IF(E482=G482-1,MAX(0,R482-J482*G482-SUMIFS($Y$5:$Y$589,$A$5:$A$589,$A482)),0)</f>
        <v/>
      </c>
      <c r="O482" s="18" t="inlineStr">
        <is>
          <t>data/technology_templates.yaml; upgrade_profiles.martial; code: technology_rules.allocate_upgrade_budget</t>
        </is>
      </c>
      <c r="P482" s="67">
        <f>INDEX('个人技术总览'!$O$5:$O$46,MATCH($A482,'个人技术总览'!$A$5:$A$46,0))</f>
        <v/>
      </c>
      <c r="Q482" s="64">
        <f>INDEX('个人技术总览'!$P$5:$P$46,MATCH($A482,'个人技术总览'!$A$5:$A$46,0))</f>
        <v/>
      </c>
      <c r="R482" s="67">
        <f>INDEX('个人技术总览'!$Q$5:$Q$46,MATCH($A482,'个人技术总览'!$A$5:$A$46,0))</f>
        <v/>
      </c>
      <c r="S482" s="64">
        <f>INDEX('个人技术总览'!$R$5:$R$46,MATCH($A482,'个人技术总览'!$A$5:$A$46,0))</f>
        <v/>
      </c>
      <c r="T482" s="68">
        <f>POWER($Q482,$E482)</f>
        <v/>
      </c>
      <c r="U482" s="68">
        <f>SUMIFS($T$5:$T$589,$A$5:$A$589,$A482)</f>
        <v/>
      </c>
      <c r="V482" s="67">
        <f>ROUNDDOWN(MAX(0,$P482-$H482*$G482)*$T482/MAX(1,$U482),0)</f>
        <v/>
      </c>
      <c r="W482" s="68">
        <f>POWER($S482,$E482)</f>
        <v/>
      </c>
      <c r="X482" s="68">
        <f>SUMIFS($W$5:$W$589,$A$5:$A$589,$A482)</f>
        <v/>
      </c>
      <c r="Y482" s="67">
        <f>ROUNDDOWN(MAX(0,$R482-$J482*$G482)*$W482/MAX(1,$X482),0)</f>
        <v/>
      </c>
    </row>
    <row r="483">
      <c r="A483" s="17" t="inlineStr">
        <is>
          <t>gong_defense</t>
        </is>
      </c>
      <c r="B483" s="18" t="inlineStr">
        <is>
          <t>天地反转</t>
        </is>
      </c>
      <c r="C483" s="18" t="inlineStr">
        <is>
          <t>武艺技术</t>
        </is>
      </c>
      <c r="D483" s="18" t="inlineStr">
        <is>
          <t>弓箭类</t>
        </is>
      </c>
      <c r="E483" s="65" t="n">
        <v>3</v>
      </c>
      <c r="F483" s="66">
        <f>E483+1</f>
        <v/>
      </c>
      <c r="G483" s="65">
        <f>INDEX('个人技术总览'!$E$5:$E$46,MATCH($A483,'个人技术总览'!$A$5:$A$46,0))</f>
        <v/>
      </c>
      <c r="H483" s="59">
        <f>INDEX('个人技术总览'!$F$5:$F$46,MATCH($A483,'个人技术总览'!$A$5:$A$46,0))</f>
        <v/>
      </c>
      <c r="I483" s="60">
        <f>INDEX('个人技术总览'!$G$5:$G$46,MATCH($A483,'个人技术总览'!$A$5:$A$46,0))</f>
        <v/>
      </c>
      <c r="J483" s="59">
        <f>INDEX('个人技术总览'!$H$5:$H$46,MATCH($A483,'个人技术总览'!$A$5:$A$46,0))</f>
        <v/>
      </c>
      <c r="K483" s="60">
        <f>INDEX('个人技术总览'!$I$5:$I$46,MATCH($A483,'个人技术总览'!$A$5:$A$46,0))</f>
        <v/>
      </c>
      <c r="L483" s="67">
        <f>H483+V483+IF(E483=G483-1,MAX(0,P483-H483*G483-SUMIFS($V$5:$V$589,$A$5:$A$589,$A483)),0)</f>
        <v/>
      </c>
      <c r="M483" s="61">
        <f>MAX(1,ROUNDDOWN($L483/'参数与公式'!$B$5,0))</f>
        <v/>
      </c>
      <c r="N483" s="67">
        <f>J483+Y483+IF(E483=G483-1,MAX(0,R483-J483*G483-SUMIFS($Y$5:$Y$589,$A$5:$A$589,$A483)),0)</f>
        <v/>
      </c>
      <c r="O483" s="18" t="inlineStr">
        <is>
          <t>data/technology_templates.yaml; upgrade_profiles.martial; code: technology_rules.allocate_upgrade_budget</t>
        </is>
      </c>
      <c r="P483" s="67">
        <f>INDEX('个人技术总览'!$O$5:$O$46,MATCH($A483,'个人技术总览'!$A$5:$A$46,0))</f>
        <v/>
      </c>
      <c r="Q483" s="64">
        <f>INDEX('个人技术总览'!$P$5:$P$46,MATCH($A483,'个人技术总览'!$A$5:$A$46,0))</f>
        <v/>
      </c>
      <c r="R483" s="67">
        <f>INDEX('个人技术总览'!$Q$5:$Q$46,MATCH($A483,'个人技术总览'!$A$5:$A$46,0))</f>
        <v/>
      </c>
      <c r="S483" s="64">
        <f>INDEX('个人技术总览'!$R$5:$R$46,MATCH($A483,'个人技术总览'!$A$5:$A$46,0))</f>
        <v/>
      </c>
      <c r="T483" s="68">
        <f>POWER($Q483,$E483)</f>
        <v/>
      </c>
      <c r="U483" s="68">
        <f>SUMIFS($T$5:$T$589,$A$5:$A$589,$A483)</f>
        <v/>
      </c>
      <c r="V483" s="67">
        <f>ROUNDDOWN(MAX(0,$P483-$H483*$G483)*$T483/MAX(1,$U483),0)</f>
        <v/>
      </c>
      <c r="W483" s="68">
        <f>POWER($S483,$E483)</f>
        <v/>
      </c>
      <c r="X483" s="68">
        <f>SUMIFS($W$5:$W$589,$A$5:$A$589,$A483)</f>
        <v/>
      </c>
      <c r="Y483" s="67">
        <f>ROUNDDOWN(MAX(0,$R483-$J483*$G483)*$W483/MAX(1,$X483),0)</f>
        <v/>
      </c>
    </row>
    <row r="484">
      <c r="A484" s="17" t="inlineStr">
        <is>
          <t>gong_defense</t>
        </is>
      </c>
      <c r="B484" s="18" t="inlineStr">
        <is>
          <t>天地反转</t>
        </is>
      </c>
      <c r="C484" s="18" t="inlineStr">
        <is>
          <t>武艺技术</t>
        </is>
      </c>
      <c r="D484" s="18" t="inlineStr">
        <is>
          <t>弓箭类</t>
        </is>
      </c>
      <c r="E484" s="65" t="n">
        <v>4</v>
      </c>
      <c r="F484" s="66">
        <f>E484+1</f>
        <v/>
      </c>
      <c r="G484" s="65">
        <f>INDEX('个人技术总览'!$E$5:$E$46,MATCH($A484,'个人技术总览'!$A$5:$A$46,0))</f>
        <v/>
      </c>
      <c r="H484" s="59">
        <f>INDEX('个人技术总览'!$F$5:$F$46,MATCH($A484,'个人技术总览'!$A$5:$A$46,0))</f>
        <v/>
      </c>
      <c r="I484" s="60">
        <f>INDEX('个人技术总览'!$G$5:$G$46,MATCH($A484,'个人技术总览'!$A$5:$A$46,0))</f>
        <v/>
      </c>
      <c r="J484" s="59">
        <f>INDEX('个人技术总览'!$H$5:$H$46,MATCH($A484,'个人技术总览'!$A$5:$A$46,0))</f>
        <v/>
      </c>
      <c r="K484" s="60">
        <f>INDEX('个人技术总览'!$I$5:$I$46,MATCH($A484,'个人技术总览'!$A$5:$A$46,0))</f>
        <v/>
      </c>
      <c r="L484" s="67">
        <f>H484+V484+IF(E484=G484-1,MAX(0,P484-H484*G484-SUMIFS($V$5:$V$589,$A$5:$A$589,$A484)),0)</f>
        <v/>
      </c>
      <c r="M484" s="61">
        <f>MAX(1,ROUNDDOWN($L484/'参数与公式'!$B$5,0))</f>
        <v/>
      </c>
      <c r="N484" s="67">
        <f>J484+Y484+IF(E484=G484-1,MAX(0,R484-J484*G484-SUMIFS($Y$5:$Y$589,$A$5:$A$589,$A484)),0)</f>
        <v/>
      </c>
      <c r="O484" s="18" t="inlineStr">
        <is>
          <t>data/technology_templates.yaml; upgrade_profiles.martial; code: technology_rules.allocate_upgrade_budget</t>
        </is>
      </c>
      <c r="P484" s="67">
        <f>INDEX('个人技术总览'!$O$5:$O$46,MATCH($A484,'个人技术总览'!$A$5:$A$46,0))</f>
        <v/>
      </c>
      <c r="Q484" s="64">
        <f>INDEX('个人技术总览'!$P$5:$P$46,MATCH($A484,'个人技术总览'!$A$5:$A$46,0))</f>
        <v/>
      </c>
      <c r="R484" s="67">
        <f>INDEX('个人技术总览'!$Q$5:$Q$46,MATCH($A484,'个人技术总览'!$A$5:$A$46,0))</f>
        <v/>
      </c>
      <c r="S484" s="64">
        <f>INDEX('个人技术总览'!$R$5:$R$46,MATCH($A484,'个人技术总览'!$A$5:$A$46,0))</f>
        <v/>
      </c>
      <c r="T484" s="68">
        <f>POWER($Q484,$E484)</f>
        <v/>
      </c>
      <c r="U484" s="68">
        <f>SUMIFS($T$5:$T$589,$A$5:$A$589,$A484)</f>
        <v/>
      </c>
      <c r="V484" s="67">
        <f>ROUNDDOWN(MAX(0,$P484-$H484*$G484)*$T484/MAX(1,$U484),0)</f>
        <v/>
      </c>
      <c r="W484" s="68">
        <f>POWER($S484,$E484)</f>
        <v/>
      </c>
      <c r="X484" s="68">
        <f>SUMIFS($W$5:$W$589,$A$5:$A$589,$A484)</f>
        <v/>
      </c>
      <c r="Y484" s="67">
        <f>ROUNDDOWN(MAX(0,$R484-$J484*$G484)*$W484/MAX(1,$X484),0)</f>
        <v/>
      </c>
    </row>
    <row r="485">
      <c r="A485" s="17" t="inlineStr">
        <is>
          <t>gong_defense</t>
        </is>
      </c>
      <c r="B485" s="18" t="inlineStr">
        <is>
          <t>天地反转</t>
        </is>
      </c>
      <c r="C485" s="18" t="inlineStr">
        <is>
          <t>武艺技术</t>
        </is>
      </c>
      <c r="D485" s="18" t="inlineStr">
        <is>
          <t>弓箭类</t>
        </is>
      </c>
      <c r="E485" s="65" t="n">
        <v>5</v>
      </c>
      <c r="F485" s="66">
        <f>E485+1</f>
        <v/>
      </c>
      <c r="G485" s="65">
        <f>INDEX('个人技术总览'!$E$5:$E$46,MATCH($A485,'个人技术总览'!$A$5:$A$46,0))</f>
        <v/>
      </c>
      <c r="H485" s="59">
        <f>INDEX('个人技术总览'!$F$5:$F$46,MATCH($A485,'个人技术总览'!$A$5:$A$46,0))</f>
        <v/>
      </c>
      <c r="I485" s="60">
        <f>INDEX('个人技术总览'!$G$5:$G$46,MATCH($A485,'个人技术总览'!$A$5:$A$46,0))</f>
        <v/>
      </c>
      <c r="J485" s="59">
        <f>INDEX('个人技术总览'!$H$5:$H$46,MATCH($A485,'个人技术总览'!$A$5:$A$46,0))</f>
        <v/>
      </c>
      <c r="K485" s="60">
        <f>INDEX('个人技术总览'!$I$5:$I$46,MATCH($A485,'个人技术总览'!$A$5:$A$46,0))</f>
        <v/>
      </c>
      <c r="L485" s="67">
        <f>H485+V485+IF(E485=G485-1,MAX(0,P485-H485*G485-SUMIFS($V$5:$V$589,$A$5:$A$589,$A485)),0)</f>
        <v/>
      </c>
      <c r="M485" s="61">
        <f>MAX(1,ROUNDDOWN($L485/'参数与公式'!$B$5,0))</f>
        <v/>
      </c>
      <c r="N485" s="67">
        <f>J485+Y485+IF(E485=G485-1,MAX(0,R485-J485*G485-SUMIFS($Y$5:$Y$589,$A$5:$A$589,$A485)),0)</f>
        <v/>
      </c>
      <c r="O485" s="18" t="inlineStr">
        <is>
          <t>data/technology_templates.yaml; upgrade_profiles.martial; code: technology_rules.allocate_upgrade_budget</t>
        </is>
      </c>
      <c r="P485" s="67">
        <f>INDEX('个人技术总览'!$O$5:$O$46,MATCH($A485,'个人技术总览'!$A$5:$A$46,0))</f>
        <v/>
      </c>
      <c r="Q485" s="64">
        <f>INDEX('个人技术总览'!$P$5:$P$46,MATCH($A485,'个人技术总览'!$A$5:$A$46,0))</f>
        <v/>
      </c>
      <c r="R485" s="67">
        <f>INDEX('个人技术总览'!$Q$5:$Q$46,MATCH($A485,'个人技术总览'!$A$5:$A$46,0))</f>
        <v/>
      </c>
      <c r="S485" s="64">
        <f>INDEX('个人技术总览'!$R$5:$R$46,MATCH($A485,'个人技术总览'!$A$5:$A$46,0))</f>
        <v/>
      </c>
      <c r="T485" s="68">
        <f>POWER($Q485,$E485)</f>
        <v/>
      </c>
      <c r="U485" s="68">
        <f>SUMIFS($T$5:$T$589,$A$5:$A$589,$A485)</f>
        <v/>
      </c>
      <c r="V485" s="67">
        <f>ROUNDDOWN(MAX(0,$P485-$H485*$G485)*$T485/MAX(1,$U485),0)</f>
        <v/>
      </c>
      <c r="W485" s="68">
        <f>POWER($S485,$E485)</f>
        <v/>
      </c>
      <c r="X485" s="68">
        <f>SUMIFS($W$5:$W$589,$A$5:$A$589,$A485)</f>
        <v/>
      </c>
      <c r="Y485" s="67">
        <f>ROUNDDOWN(MAX(0,$R485-$J485*$G485)*$W485/MAX(1,$X485),0)</f>
        <v/>
      </c>
    </row>
    <row r="486">
      <c r="A486" s="17" t="inlineStr">
        <is>
          <t>gong_defense</t>
        </is>
      </c>
      <c r="B486" s="18" t="inlineStr">
        <is>
          <t>天地反转</t>
        </is>
      </c>
      <c r="C486" s="18" t="inlineStr">
        <is>
          <t>武艺技术</t>
        </is>
      </c>
      <c r="D486" s="18" t="inlineStr">
        <is>
          <t>弓箭类</t>
        </is>
      </c>
      <c r="E486" s="65" t="n">
        <v>6</v>
      </c>
      <c r="F486" s="66">
        <f>E486+1</f>
        <v/>
      </c>
      <c r="G486" s="65">
        <f>INDEX('个人技术总览'!$E$5:$E$46,MATCH($A486,'个人技术总览'!$A$5:$A$46,0))</f>
        <v/>
      </c>
      <c r="H486" s="59">
        <f>INDEX('个人技术总览'!$F$5:$F$46,MATCH($A486,'个人技术总览'!$A$5:$A$46,0))</f>
        <v/>
      </c>
      <c r="I486" s="60">
        <f>INDEX('个人技术总览'!$G$5:$G$46,MATCH($A486,'个人技术总览'!$A$5:$A$46,0))</f>
        <v/>
      </c>
      <c r="J486" s="59">
        <f>INDEX('个人技术总览'!$H$5:$H$46,MATCH($A486,'个人技术总览'!$A$5:$A$46,0))</f>
        <v/>
      </c>
      <c r="K486" s="60">
        <f>INDEX('个人技术总览'!$I$5:$I$46,MATCH($A486,'个人技术总览'!$A$5:$A$46,0))</f>
        <v/>
      </c>
      <c r="L486" s="67">
        <f>H486+V486+IF(E486=G486-1,MAX(0,P486-H486*G486-SUMIFS($V$5:$V$589,$A$5:$A$589,$A486)),0)</f>
        <v/>
      </c>
      <c r="M486" s="61">
        <f>MAX(1,ROUNDDOWN($L486/'参数与公式'!$B$5,0))</f>
        <v/>
      </c>
      <c r="N486" s="67">
        <f>J486+Y486+IF(E486=G486-1,MAX(0,R486-J486*G486-SUMIFS($Y$5:$Y$589,$A$5:$A$589,$A486)),0)</f>
        <v/>
      </c>
      <c r="O486" s="18" t="inlineStr">
        <is>
          <t>data/technology_templates.yaml; upgrade_profiles.martial; code: technology_rules.allocate_upgrade_budget</t>
        </is>
      </c>
      <c r="P486" s="67">
        <f>INDEX('个人技术总览'!$O$5:$O$46,MATCH($A486,'个人技术总览'!$A$5:$A$46,0))</f>
        <v/>
      </c>
      <c r="Q486" s="64">
        <f>INDEX('个人技术总览'!$P$5:$P$46,MATCH($A486,'个人技术总览'!$A$5:$A$46,0))</f>
        <v/>
      </c>
      <c r="R486" s="67">
        <f>INDEX('个人技术总览'!$Q$5:$Q$46,MATCH($A486,'个人技术总览'!$A$5:$A$46,0))</f>
        <v/>
      </c>
      <c r="S486" s="64">
        <f>INDEX('个人技术总览'!$R$5:$R$46,MATCH($A486,'个人技术总览'!$A$5:$A$46,0))</f>
        <v/>
      </c>
      <c r="T486" s="68">
        <f>POWER($Q486,$E486)</f>
        <v/>
      </c>
      <c r="U486" s="68">
        <f>SUMIFS($T$5:$T$589,$A$5:$A$589,$A486)</f>
        <v/>
      </c>
      <c r="V486" s="67">
        <f>ROUNDDOWN(MAX(0,$P486-$H486*$G486)*$T486/MAX(1,$U486),0)</f>
        <v/>
      </c>
      <c r="W486" s="68">
        <f>POWER($S486,$E486)</f>
        <v/>
      </c>
      <c r="X486" s="68">
        <f>SUMIFS($W$5:$W$589,$A$5:$A$589,$A486)</f>
        <v/>
      </c>
      <c r="Y486" s="67">
        <f>ROUNDDOWN(MAX(0,$R486-$J486*$G486)*$W486/MAX(1,$X486),0)</f>
        <v/>
      </c>
    </row>
    <row r="487">
      <c r="A487" s="17" t="inlineStr">
        <is>
          <t>gong_defense</t>
        </is>
      </c>
      <c r="B487" s="18" t="inlineStr">
        <is>
          <t>天地反转</t>
        </is>
      </c>
      <c r="C487" s="18" t="inlineStr">
        <is>
          <t>武艺技术</t>
        </is>
      </c>
      <c r="D487" s="18" t="inlineStr">
        <is>
          <t>弓箭类</t>
        </is>
      </c>
      <c r="E487" s="65" t="n">
        <v>7</v>
      </c>
      <c r="F487" s="66">
        <f>E487+1</f>
        <v/>
      </c>
      <c r="G487" s="65">
        <f>INDEX('个人技术总览'!$E$5:$E$46,MATCH($A487,'个人技术总览'!$A$5:$A$46,0))</f>
        <v/>
      </c>
      <c r="H487" s="59">
        <f>INDEX('个人技术总览'!$F$5:$F$46,MATCH($A487,'个人技术总览'!$A$5:$A$46,0))</f>
        <v/>
      </c>
      <c r="I487" s="60">
        <f>INDEX('个人技术总览'!$G$5:$G$46,MATCH($A487,'个人技术总览'!$A$5:$A$46,0))</f>
        <v/>
      </c>
      <c r="J487" s="59">
        <f>INDEX('个人技术总览'!$H$5:$H$46,MATCH($A487,'个人技术总览'!$A$5:$A$46,0))</f>
        <v/>
      </c>
      <c r="K487" s="60">
        <f>INDEX('个人技术总览'!$I$5:$I$46,MATCH($A487,'个人技术总览'!$A$5:$A$46,0))</f>
        <v/>
      </c>
      <c r="L487" s="67">
        <f>H487+V487+IF(E487=G487-1,MAX(0,P487-H487*G487-SUMIFS($V$5:$V$589,$A$5:$A$589,$A487)),0)</f>
        <v/>
      </c>
      <c r="M487" s="61">
        <f>MAX(1,ROUNDDOWN($L487/'参数与公式'!$B$5,0))</f>
        <v/>
      </c>
      <c r="N487" s="67">
        <f>J487+Y487+IF(E487=G487-1,MAX(0,R487-J487*G487-SUMIFS($Y$5:$Y$589,$A$5:$A$589,$A487)),0)</f>
        <v/>
      </c>
      <c r="O487" s="18" t="inlineStr">
        <is>
          <t>data/technology_templates.yaml; upgrade_profiles.martial; code: technology_rules.allocate_upgrade_budget</t>
        </is>
      </c>
      <c r="P487" s="67">
        <f>INDEX('个人技术总览'!$O$5:$O$46,MATCH($A487,'个人技术总览'!$A$5:$A$46,0))</f>
        <v/>
      </c>
      <c r="Q487" s="64">
        <f>INDEX('个人技术总览'!$P$5:$P$46,MATCH($A487,'个人技术总览'!$A$5:$A$46,0))</f>
        <v/>
      </c>
      <c r="R487" s="67">
        <f>INDEX('个人技术总览'!$Q$5:$Q$46,MATCH($A487,'个人技术总览'!$A$5:$A$46,0))</f>
        <v/>
      </c>
      <c r="S487" s="64">
        <f>INDEX('个人技术总览'!$R$5:$R$46,MATCH($A487,'个人技术总览'!$A$5:$A$46,0))</f>
        <v/>
      </c>
      <c r="T487" s="68">
        <f>POWER($Q487,$E487)</f>
        <v/>
      </c>
      <c r="U487" s="68">
        <f>SUMIFS($T$5:$T$589,$A$5:$A$589,$A487)</f>
        <v/>
      </c>
      <c r="V487" s="67">
        <f>ROUNDDOWN(MAX(0,$P487-$H487*$G487)*$T487/MAX(1,$U487),0)</f>
        <v/>
      </c>
      <c r="W487" s="68">
        <f>POWER($S487,$E487)</f>
        <v/>
      </c>
      <c r="X487" s="68">
        <f>SUMIFS($W$5:$W$589,$A$5:$A$589,$A487)</f>
        <v/>
      </c>
      <c r="Y487" s="67">
        <f>ROUNDDOWN(MAX(0,$R487-$J487*$G487)*$W487/MAX(1,$X487),0)</f>
        <v/>
      </c>
    </row>
    <row r="488">
      <c r="A488" s="17" t="inlineStr">
        <is>
          <t>gong_defense</t>
        </is>
      </c>
      <c r="B488" s="18" t="inlineStr">
        <is>
          <t>天地反转</t>
        </is>
      </c>
      <c r="C488" s="18" t="inlineStr">
        <is>
          <t>武艺技术</t>
        </is>
      </c>
      <c r="D488" s="18" t="inlineStr">
        <is>
          <t>弓箭类</t>
        </is>
      </c>
      <c r="E488" s="65" t="n">
        <v>8</v>
      </c>
      <c r="F488" s="66">
        <f>E488+1</f>
        <v/>
      </c>
      <c r="G488" s="65">
        <f>INDEX('个人技术总览'!$E$5:$E$46,MATCH($A488,'个人技术总览'!$A$5:$A$46,0))</f>
        <v/>
      </c>
      <c r="H488" s="59">
        <f>INDEX('个人技术总览'!$F$5:$F$46,MATCH($A488,'个人技术总览'!$A$5:$A$46,0))</f>
        <v/>
      </c>
      <c r="I488" s="60">
        <f>INDEX('个人技术总览'!$G$5:$G$46,MATCH($A488,'个人技术总览'!$A$5:$A$46,0))</f>
        <v/>
      </c>
      <c r="J488" s="59">
        <f>INDEX('个人技术总览'!$H$5:$H$46,MATCH($A488,'个人技术总览'!$A$5:$A$46,0))</f>
        <v/>
      </c>
      <c r="K488" s="60">
        <f>INDEX('个人技术总览'!$I$5:$I$46,MATCH($A488,'个人技术总览'!$A$5:$A$46,0))</f>
        <v/>
      </c>
      <c r="L488" s="67">
        <f>H488+V488+IF(E488=G488-1,MAX(0,P488-H488*G488-SUMIFS($V$5:$V$589,$A$5:$A$589,$A488)),0)</f>
        <v/>
      </c>
      <c r="M488" s="61">
        <f>MAX(1,ROUNDDOWN($L488/'参数与公式'!$B$5,0))</f>
        <v/>
      </c>
      <c r="N488" s="67">
        <f>J488+Y488+IF(E488=G488-1,MAX(0,R488-J488*G488-SUMIFS($Y$5:$Y$589,$A$5:$A$589,$A488)),0)</f>
        <v/>
      </c>
      <c r="O488" s="18" t="inlineStr">
        <is>
          <t>data/technology_templates.yaml; upgrade_profiles.martial; code: technology_rules.allocate_upgrade_budget</t>
        </is>
      </c>
      <c r="P488" s="67">
        <f>INDEX('个人技术总览'!$O$5:$O$46,MATCH($A488,'个人技术总览'!$A$5:$A$46,0))</f>
        <v/>
      </c>
      <c r="Q488" s="64">
        <f>INDEX('个人技术总览'!$P$5:$P$46,MATCH($A488,'个人技术总览'!$A$5:$A$46,0))</f>
        <v/>
      </c>
      <c r="R488" s="67">
        <f>INDEX('个人技术总览'!$Q$5:$Q$46,MATCH($A488,'个人技术总览'!$A$5:$A$46,0))</f>
        <v/>
      </c>
      <c r="S488" s="64">
        <f>INDEX('个人技术总览'!$R$5:$R$46,MATCH($A488,'个人技术总览'!$A$5:$A$46,0))</f>
        <v/>
      </c>
      <c r="T488" s="68">
        <f>POWER($Q488,$E488)</f>
        <v/>
      </c>
      <c r="U488" s="68">
        <f>SUMIFS($T$5:$T$589,$A$5:$A$589,$A488)</f>
        <v/>
      </c>
      <c r="V488" s="67">
        <f>ROUNDDOWN(MAX(0,$P488-$H488*$G488)*$T488/MAX(1,$U488),0)</f>
        <v/>
      </c>
      <c r="W488" s="68">
        <f>POWER($S488,$E488)</f>
        <v/>
      </c>
      <c r="X488" s="68">
        <f>SUMIFS($W$5:$W$589,$A$5:$A$589,$A488)</f>
        <v/>
      </c>
      <c r="Y488" s="67">
        <f>ROUNDDOWN(MAX(0,$R488-$J488*$G488)*$W488/MAX(1,$X488),0)</f>
        <v/>
      </c>
    </row>
    <row r="489">
      <c r="A489" s="17" t="inlineStr">
        <is>
          <t>gong_defense</t>
        </is>
      </c>
      <c r="B489" s="18" t="inlineStr">
        <is>
          <t>天地反转</t>
        </is>
      </c>
      <c r="C489" s="18" t="inlineStr">
        <is>
          <t>武艺技术</t>
        </is>
      </c>
      <c r="D489" s="18" t="inlineStr">
        <is>
          <t>弓箭类</t>
        </is>
      </c>
      <c r="E489" s="65" t="n">
        <v>9</v>
      </c>
      <c r="F489" s="66">
        <f>E489+1</f>
        <v/>
      </c>
      <c r="G489" s="65">
        <f>INDEX('个人技术总览'!$E$5:$E$46,MATCH($A489,'个人技术总览'!$A$5:$A$46,0))</f>
        <v/>
      </c>
      <c r="H489" s="59">
        <f>INDEX('个人技术总览'!$F$5:$F$46,MATCH($A489,'个人技术总览'!$A$5:$A$46,0))</f>
        <v/>
      </c>
      <c r="I489" s="60">
        <f>INDEX('个人技术总览'!$G$5:$G$46,MATCH($A489,'个人技术总览'!$A$5:$A$46,0))</f>
        <v/>
      </c>
      <c r="J489" s="59">
        <f>INDEX('个人技术总览'!$H$5:$H$46,MATCH($A489,'个人技术总览'!$A$5:$A$46,0))</f>
        <v/>
      </c>
      <c r="K489" s="60">
        <f>INDEX('个人技术总览'!$I$5:$I$46,MATCH($A489,'个人技术总览'!$A$5:$A$46,0))</f>
        <v/>
      </c>
      <c r="L489" s="67">
        <f>H489+V489+IF(E489=G489-1,MAX(0,P489-H489*G489-SUMIFS($V$5:$V$589,$A$5:$A$589,$A489)),0)</f>
        <v/>
      </c>
      <c r="M489" s="61">
        <f>MAX(1,ROUNDDOWN($L489/'参数与公式'!$B$5,0))</f>
        <v/>
      </c>
      <c r="N489" s="67">
        <f>J489+Y489+IF(E489=G489-1,MAX(0,R489-J489*G489-SUMIFS($Y$5:$Y$589,$A$5:$A$589,$A489)),0)</f>
        <v/>
      </c>
      <c r="O489" s="18" t="inlineStr">
        <is>
          <t>data/technology_templates.yaml; upgrade_profiles.martial; code: technology_rules.allocate_upgrade_budget</t>
        </is>
      </c>
      <c r="P489" s="67">
        <f>INDEX('个人技术总览'!$O$5:$O$46,MATCH($A489,'个人技术总览'!$A$5:$A$46,0))</f>
        <v/>
      </c>
      <c r="Q489" s="64">
        <f>INDEX('个人技术总览'!$P$5:$P$46,MATCH($A489,'个人技术总览'!$A$5:$A$46,0))</f>
        <v/>
      </c>
      <c r="R489" s="67">
        <f>INDEX('个人技术总览'!$Q$5:$Q$46,MATCH($A489,'个人技术总览'!$A$5:$A$46,0))</f>
        <v/>
      </c>
      <c r="S489" s="64">
        <f>INDEX('个人技术总览'!$R$5:$R$46,MATCH($A489,'个人技术总览'!$A$5:$A$46,0))</f>
        <v/>
      </c>
      <c r="T489" s="68">
        <f>POWER($Q489,$E489)</f>
        <v/>
      </c>
      <c r="U489" s="68">
        <f>SUMIFS($T$5:$T$589,$A$5:$A$589,$A489)</f>
        <v/>
      </c>
      <c r="V489" s="67">
        <f>ROUNDDOWN(MAX(0,$P489-$H489*$G489)*$T489/MAX(1,$U489),0)</f>
        <v/>
      </c>
      <c r="W489" s="68">
        <f>POWER($S489,$E489)</f>
        <v/>
      </c>
      <c r="X489" s="68">
        <f>SUMIFS($W$5:$W$589,$A$5:$A$589,$A489)</f>
        <v/>
      </c>
      <c r="Y489" s="67">
        <f>ROUNDDOWN(MAX(0,$R489-$J489*$G489)*$W489/MAX(1,$X489),0)</f>
        <v/>
      </c>
    </row>
    <row r="490">
      <c r="A490" s="17" t="inlineStr">
        <is>
          <t>gong_agility</t>
        </is>
      </c>
      <c r="B490" s="18" t="inlineStr">
        <is>
          <t>御风追月</t>
        </is>
      </c>
      <c r="C490" s="18" t="inlineStr">
        <is>
          <t>武艺技术</t>
        </is>
      </c>
      <c r="D490" s="18" t="inlineStr">
        <is>
          <t>弓箭类</t>
        </is>
      </c>
      <c r="E490" s="65" t="n">
        <v>0</v>
      </c>
      <c r="F490" s="66">
        <f>E490+1</f>
        <v/>
      </c>
      <c r="G490" s="65">
        <f>INDEX('个人技术总览'!$E$5:$E$46,MATCH($A490,'个人技术总览'!$A$5:$A$46,0))</f>
        <v/>
      </c>
      <c r="H490" s="59">
        <f>INDEX('个人技术总览'!$F$5:$F$46,MATCH($A490,'个人技术总览'!$A$5:$A$46,0))</f>
        <v/>
      </c>
      <c r="I490" s="60">
        <f>INDEX('个人技术总览'!$G$5:$G$46,MATCH($A490,'个人技术总览'!$A$5:$A$46,0))</f>
        <v/>
      </c>
      <c r="J490" s="59">
        <f>INDEX('个人技术总览'!$H$5:$H$46,MATCH($A490,'个人技术总览'!$A$5:$A$46,0))</f>
        <v/>
      </c>
      <c r="K490" s="60">
        <f>INDEX('个人技术总览'!$I$5:$I$46,MATCH($A490,'个人技术总览'!$A$5:$A$46,0))</f>
        <v/>
      </c>
      <c r="L490" s="67">
        <f>H490+V490+IF(E490=G490-1,MAX(0,P490-H490*G490-SUMIFS($V$5:$V$589,$A$5:$A$589,$A490)),0)</f>
        <v/>
      </c>
      <c r="M490" s="61">
        <f>MAX(1,ROUNDDOWN($L490/'参数与公式'!$B$5,0))</f>
        <v/>
      </c>
      <c r="N490" s="67">
        <f>J490+Y490+IF(E490=G490-1,MAX(0,R490-J490*G490-SUMIFS($Y$5:$Y$589,$A$5:$A$589,$A490)),0)</f>
        <v/>
      </c>
      <c r="O490" s="18" t="inlineStr">
        <is>
          <t>data/technology_templates.yaml; upgrade_profiles.martial; code: technology_rules.allocate_upgrade_budget</t>
        </is>
      </c>
      <c r="P490" s="67">
        <f>INDEX('个人技术总览'!$O$5:$O$46,MATCH($A490,'个人技术总览'!$A$5:$A$46,0))</f>
        <v/>
      </c>
      <c r="Q490" s="64">
        <f>INDEX('个人技术总览'!$P$5:$P$46,MATCH($A490,'个人技术总览'!$A$5:$A$46,0))</f>
        <v/>
      </c>
      <c r="R490" s="67">
        <f>INDEX('个人技术总览'!$Q$5:$Q$46,MATCH($A490,'个人技术总览'!$A$5:$A$46,0))</f>
        <v/>
      </c>
      <c r="S490" s="64">
        <f>INDEX('个人技术总览'!$R$5:$R$46,MATCH($A490,'个人技术总览'!$A$5:$A$46,0))</f>
        <v/>
      </c>
      <c r="T490" s="68">
        <f>POWER($Q490,$E490)</f>
        <v/>
      </c>
      <c r="U490" s="68">
        <f>SUMIFS($T$5:$T$589,$A$5:$A$589,$A490)</f>
        <v/>
      </c>
      <c r="V490" s="67">
        <f>ROUNDDOWN(MAX(0,$P490-$H490*$G490)*$T490/MAX(1,$U490),0)</f>
        <v/>
      </c>
      <c r="W490" s="68">
        <f>POWER($S490,$E490)</f>
        <v/>
      </c>
      <c r="X490" s="68">
        <f>SUMIFS($W$5:$W$589,$A$5:$A$589,$A490)</f>
        <v/>
      </c>
      <c r="Y490" s="67">
        <f>ROUNDDOWN(MAX(0,$R490-$J490*$G490)*$W490/MAX(1,$X490),0)</f>
        <v/>
      </c>
    </row>
    <row r="491">
      <c r="A491" s="17" t="inlineStr">
        <is>
          <t>gong_agility</t>
        </is>
      </c>
      <c r="B491" s="18" t="inlineStr">
        <is>
          <t>御风追月</t>
        </is>
      </c>
      <c r="C491" s="18" t="inlineStr">
        <is>
          <t>武艺技术</t>
        </is>
      </c>
      <c r="D491" s="18" t="inlineStr">
        <is>
          <t>弓箭类</t>
        </is>
      </c>
      <c r="E491" s="65" t="n">
        <v>1</v>
      </c>
      <c r="F491" s="66">
        <f>E491+1</f>
        <v/>
      </c>
      <c r="G491" s="65">
        <f>INDEX('个人技术总览'!$E$5:$E$46,MATCH($A491,'个人技术总览'!$A$5:$A$46,0))</f>
        <v/>
      </c>
      <c r="H491" s="59">
        <f>INDEX('个人技术总览'!$F$5:$F$46,MATCH($A491,'个人技术总览'!$A$5:$A$46,0))</f>
        <v/>
      </c>
      <c r="I491" s="60">
        <f>INDEX('个人技术总览'!$G$5:$G$46,MATCH($A491,'个人技术总览'!$A$5:$A$46,0))</f>
        <v/>
      </c>
      <c r="J491" s="59">
        <f>INDEX('个人技术总览'!$H$5:$H$46,MATCH($A491,'个人技术总览'!$A$5:$A$46,0))</f>
        <v/>
      </c>
      <c r="K491" s="60">
        <f>INDEX('个人技术总览'!$I$5:$I$46,MATCH($A491,'个人技术总览'!$A$5:$A$46,0))</f>
        <v/>
      </c>
      <c r="L491" s="67">
        <f>H491+V491+IF(E491=G491-1,MAX(0,P491-H491*G491-SUMIFS($V$5:$V$589,$A$5:$A$589,$A491)),0)</f>
        <v/>
      </c>
      <c r="M491" s="61">
        <f>MAX(1,ROUNDDOWN($L491/'参数与公式'!$B$5,0))</f>
        <v/>
      </c>
      <c r="N491" s="67">
        <f>J491+Y491+IF(E491=G491-1,MAX(0,R491-J491*G491-SUMIFS($Y$5:$Y$589,$A$5:$A$589,$A491)),0)</f>
        <v/>
      </c>
      <c r="O491" s="18" t="inlineStr">
        <is>
          <t>data/technology_templates.yaml; upgrade_profiles.martial; code: technology_rules.allocate_upgrade_budget</t>
        </is>
      </c>
      <c r="P491" s="67">
        <f>INDEX('个人技术总览'!$O$5:$O$46,MATCH($A491,'个人技术总览'!$A$5:$A$46,0))</f>
        <v/>
      </c>
      <c r="Q491" s="64">
        <f>INDEX('个人技术总览'!$P$5:$P$46,MATCH($A491,'个人技术总览'!$A$5:$A$46,0))</f>
        <v/>
      </c>
      <c r="R491" s="67">
        <f>INDEX('个人技术总览'!$Q$5:$Q$46,MATCH($A491,'个人技术总览'!$A$5:$A$46,0))</f>
        <v/>
      </c>
      <c r="S491" s="64">
        <f>INDEX('个人技术总览'!$R$5:$R$46,MATCH($A491,'个人技术总览'!$A$5:$A$46,0))</f>
        <v/>
      </c>
      <c r="T491" s="68">
        <f>POWER($Q491,$E491)</f>
        <v/>
      </c>
      <c r="U491" s="68">
        <f>SUMIFS($T$5:$T$589,$A$5:$A$589,$A491)</f>
        <v/>
      </c>
      <c r="V491" s="67">
        <f>ROUNDDOWN(MAX(0,$P491-$H491*$G491)*$T491/MAX(1,$U491),0)</f>
        <v/>
      </c>
      <c r="W491" s="68">
        <f>POWER($S491,$E491)</f>
        <v/>
      </c>
      <c r="X491" s="68">
        <f>SUMIFS($W$5:$W$589,$A$5:$A$589,$A491)</f>
        <v/>
      </c>
      <c r="Y491" s="67">
        <f>ROUNDDOWN(MAX(0,$R491-$J491*$G491)*$W491/MAX(1,$X491),0)</f>
        <v/>
      </c>
    </row>
    <row r="492">
      <c r="A492" s="17" t="inlineStr">
        <is>
          <t>gong_agility</t>
        </is>
      </c>
      <c r="B492" s="18" t="inlineStr">
        <is>
          <t>御风追月</t>
        </is>
      </c>
      <c r="C492" s="18" t="inlineStr">
        <is>
          <t>武艺技术</t>
        </is>
      </c>
      <c r="D492" s="18" t="inlineStr">
        <is>
          <t>弓箭类</t>
        </is>
      </c>
      <c r="E492" s="65" t="n">
        <v>2</v>
      </c>
      <c r="F492" s="66">
        <f>E492+1</f>
        <v/>
      </c>
      <c r="G492" s="65">
        <f>INDEX('个人技术总览'!$E$5:$E$46,MATCH($A492,'个人技术总览'!$A$5:$A$46,0))</f>
        <v/>
      </c>
      <c r="H492" s="59">
        <f>INDEX('个人技术总览'!$F$5:$F$46,MATCH($A492,'个人技术总览'!$A$5:$A$46,0))</f>
        <v/>
      </c>
      <c r="I492" s="60">
        <f>INDEX('个人技术总览'!$G$5:$G$46,MATCH($A492,'个人技术总览'!$A$5:$A$46,0))</f>
        <v/>
      </c>
      <c r="J492" s="59">
        <f>INDEX('个人技术总览'!$H$5:$H$46,MATCH($A492,'个人技术总览'!$A$5:$A$46,0))</f>
        <v/>
      </c>
      <c r="K492" s="60">
        <f>INDEX('个人技术总览'!$I$5:$I$46,MATCH($A492,'个人技术总览'!$A$5:$A$46,0))</f>
        <v/>
      </c>
      <c r="L492" s="67">
        <f>H492+V492+IF(E492=G492-1,MAX(0,P492-H492*G492-SUMIFS($V$5:$V$589,$A$5:$A$589,$A492)),0)</f>
        <v/>
      </c>
      <c r="M492" s="61">
        <f>MAX(1,ROUNDDOWN($L492/'参数与公式'!$B$5,0))</f>
        <v/>
      </c>
      <c r="N492" s="67">
        <f>J492+Y492+IF(E492=G492-1,MAX(0,R492-J492*G492-SUMIFS($Y$5:$Y$589,$A$5:$A$589,$A492)),0)</f>
        <v/>
      </c>
      <c r="O492" s="18" t="inlineStr">
        <is>
          <t>data/technology_templates.yaml; upgrade_profiles.martial; code: technology_rules.allocate_upgrade_budget</t>
        </is>
      </c>
      <c r="P492" s="67">
        <f>INDEX('个人技术总览'!$O$5:$O$46,MATCH($A492,'个人技术总览'!$A$5:$A$46,0))</f>
        <v/>
      </c>
      <c r="Q492" s="64">
        <f>INDEX('个人技术总览'!$P$5:$P$46,MATCH($A492,'个人技术总览'!$A$5:$A$46,0))</f>
        <v/>
      </c>
      <c r="R492" s="67">
        <f>INDEX('个人技术总览'!$Q$5:$Q$46,MATCH($A492,'个人技术总览'!$A$5:$A$46,0))</f>
        <v/>
      </c>
      <c r="S492" s="64">
        <f>INDEX('个人技术总览'!$R$5:$R$46,MATCH($A492,'个人技术总览'!$A$5:$A$46,0))</f>
        <v/>
      </c>
      <c r="T492" s="68">
        <f>POWER($Q492,$E492)</f>
        <v/>
      </c>
      <c r="U492" s="68">
        <f>SUMIFS($T$5:$T$589,$A$5:$A$589,$A492)</f>
        <v/>
      </c>
      <c r="V492" s="67">
        <f>ROUNDDOWN(MAX(0,$P492-$H492*$G492)*$T492/MAX(1,$U492),0)</f>
        <v/>
      </c>
      <c r="W492" s="68">
        <f>POWER($S492,$E492)</f>
        <v/>
      </c>
      <c r="X492" s="68">
        <f>SUMIFS($W$5:$W$589,$A$5:$A$589,$A492)</f>
        <v/>
      </c>
      <c r="Y492" s="67">
        <f>ROUNDDOWN(MAX(0,$R492-$J492*$G492)*$W492/MAX(1,$X492),0)</f>
        <v/>
      </c>
    </row>
    <row r="493">
      <c r="A493" s="17" t="inlineStr">
        <is>
          <t>gong_agility</t>
        </is>
      </c>
      <c r="B493" s="18" t="inlineStr">
        <is>
          <t>御风追月</t>
        </is>
      </c>
      <c r="C493" s="18" t="inlineStr">
        <is>
          <t>武艺技术</t>
        </is>
      </c>
      <c r="D493" s="18" t="inlineStr">
        <is>
          <t>弓箭类</t>
        </is>
      </c>
      <c r="E493" s="65" t="n">
        <v>3</v>
      </c>
      <c r="F493" s="66">
        <f>E493+1</f>
        <v/>
      </c>
      <c r="G493" s="65">
        <f>INDEX('个人技术总览'!$E$5:$E$46,MATCH($A493,'个人技术总览'!$A$5:$A$46,0))</f>
        <v/>
      </c>
      <c r="H493" s="59">
        <f>INDEX('个人技术总览'!$F$5:$F$46,MATCH($A493,'个人技术总览'!$A$5:$A$46,0))</f>
        <v/>
      </c>
      <c r="I493" s="60">
        <f>INDEX('个人技术总览'!$G$5:$G$46,MATCH($A493,'个人技术总览'!$A$5:$A$46,0))</f>
        <v/>
      </c>
      <c r="J493" s="59">
        <f>INDEX('个人技术总览'!$H$5:$H$46,MATCH($A493,'个人技术总览'!$A$5:$A$46,0))</f>
        <v/>
      </c>
      <c r="K493" s="60">
        <f>INDEX('个人技术总览'!$I$5:$I$46,MATCH($A493,'个人技术总览'!$A$5:$A$46,0))</f>
        <v/>
      </c>
      <c r="L493" s="67">
        <f>H493+V493+IF(E493=G493-1,MAX(0,P493-H493*G493-SUMIFS($V$5:$V$589,$A$5:$A$589,$A493)),0)</f>
        <v/>
      </c>
      <c r="M493" s="61">
        <f>MAX(1,ROUNDDOWN($L493/'参数与公式'!$B$5,0))</f>
        <v/>
      </c>
      <c r="N493" s="67">
        <f>J493+Y493+IF(E493=G493-1,MAX(0,R493-J493*G493-SUMIFS($Y$5:$Y$589,$A$5:$A$589,$A493)),0)</f>
        <v/>
      </c>
      <c r="O493" s="18" t="inlineStr">
        <is>
          <t>data/technology_templates.yaml; upgrade_profiles.martial; code: technology_rules.allocate_upgrade_budget</t>
        </is>
      </c>
      <c r="P493" s="67">
        <f>INDEX('个人技术总览'!$O$5:$O$46,MATCH($A493,'个人技术总览'!$A$5:$A$46,0))</f>
        <v/>
      </c>
      <c r="Q493" s="64">
        <f>INDEX('个人技术总览'!$P$5:$P$46,MATCH($A493,'个人技术总览'!$A$5:$A$46,0))</f>
        <v/>
      </c>
      <c r="R493" s="67">
        <f>INDEX('个人技术总览'!$Q$5:$Q$46,MATCH($A493,'个人技术总览'!$A$5:$A$46,0))</f>
        <v/>
      </c>
      <c r="S493" s="64">
        <f>INDEX('个人技术总览'!$R$5:$R$46,MATCH($A493,'个人技术总览'!$A$5:$A$46,0))</f>
        <v/>
      </c>
      <c r="T493" s="68">
        <f>POWER($Q493,$E493)</f>
        <v/>
      </c>
      <c r="U493" s="68">
        <f>SUMIFS($T$5:$T$589,$A$5:$A$589,$A493)</f>
        <v/>
      </c>
      <c r="V493" s="67">
        <f>ROUNDDOWN(MAX(0,$P493-$H493*$G493)*$T493/MAX(1,$U493),0)</f>
        <v/>
      </c>
      <c r="W493" s="68">
        <f>POWER($S493,$E493)</f>
        <v/>
      </c>
      <c r="X493" s="68">
        <f>SUMIFS($W$5:$W$589,$A$5:$A$589,$A493)</f>
        <v/>
      </c>
      <c r="Y493" s="67">
        <f>ROUNDDOWN(MAX(0,$R493-$J493*$G493)*$W493/MAX(1,$X493),0)</f>
        <v/>
      </c>
    </row>
    <row r="494">
      <c r="A494" s="17" t="inlineStr">
        <is>
          <t>gong_agility</t>
        </is>
      </c>
      <c r="B494" s="18" t="inlineStr">
        <is>
          <t>御风追月</t>
        </is>
      </c>
      <c r="C494" s="18" t="inlineStr">
        <is>
          <t>武艺技术</t>
        </is>
      </c>
      <c r="D494" s="18" t="inlineStr">
        <is>
          <t>弓箭类</t>
        </is>
      </c>
      <c r="E494" s="65" t="n">
        <v>4</v>
      </c>
      <c r="F494" s="66">
        <f>E494+1</f>
        <v/>
      </c>
      <c r="G494" s="65">
        <f>INDEX('个人技术总览'!$E$5:$E$46,MATCH($A494,'个人技术总览'!$A$5:$A$46,0))</f>
        <v/>
      </c>
      <c r="H494" s="59">
        <f>INDEX('个人技术总览'!$F$5:$F$46,MATCH($A494,'个人技术总览'!$A$5:$A$46,0))</f>
        <v/>
      </c>
      <c r="I494" s="60">
        <f>INDEX('个人技术总览'!$G$5:$G$46,MATCH($A494,'个人技术总览'!$A$5:$A$46,0))</f>
        <v/>
      </c>
      <c r="J494" s="59">
        <f>INDEX('个人技术总览'!$H$5:$H$46,MATCH($A494,'个人技术总览'!$A$5:$A$46,0))</f>
        <v/>
      </c>
      <c r="K494" s="60">
        <f>INDEX('个人技术总览'!$I$5:$I$46,MATCH($A494,'个人技术总览'!$A$5:$A$46,0))</f>
        <v/>
      </c>
      <c r="L494" s="67">
        <f>H494+V494+IF(E494=G494-1,MAX(0,P494-H494*G494-SUMIFS($V$5:$V$589,$A$5:$A$589,$A494)),0)</f>
        <v/>
      </c>
      <c r="M494" s="61">
        <f>MAX(1,ROUNDDOWN($L494/'参数与公式'!$B$5,0))</f>
        <v/>
      </c>
      <c r="N494" s="67">
        <f>J494+Y494+IF(E494=G494-1,MAX(0,R494-J494*G494-SUMIFS($Y$5:$Y$589,$A$5:$A$589,$A494)),0)</f>
        <v/>
      </c>
      <c r="O494" s="18" t="inlineStr">
        <is>
          <t>data/technology_templates.yaml; upgrade_profiles.martial; code: technology_rules.allocate_upgrade_budget</t>
        </is>
      </c>
      <c r="P494" s="67">
        <f>INDEX('个人技术总览'!$O$5:$O$46,MATCH($A494,'个人技术总览'!$A$5:$A$46,0))</f>
        <v/>
      </c>
      <c r="Q494" s="64">
        <f>INDEX('个人技术总览'!$P$5:$P$46,MATCH($A494,'个人技术总览'!$A$5:$A$46,0))</f>
        <v/>
      </c>
      <c r="R494" s="67">
        <f>INDEX('个人技术总览'!$Q$5:$Q$46,MATCH($A494,'个人技术总览'!$A$5:$A$46,0))</f>
        <v/>
      </c>
      <c r="S494" s="64">
        <f>INDEX('个人技术总览'!$R$5:$R$46,MATCH($A494,'个人技术总览'!$A$5:$A$46,0))</f>
        <v/>
      </c>
      <c r="T494" s="68">
        <f>POWER($Q494,$E494)</f>
        <v/>
      </c>
      <c r="U494" s="68">
        <f>SUMIFS($T$5:$T$589,$A$5:$A$589,$A494)</f>
        <v/>
      </c>
      <c r="V494" s="67">
        <f>ROUNDDOWN(MAX(0,$P494-$H494*$G494)*$T494/MAX(1,$U494),0)</f>
        <v/>
      </c>
      <c r="W494" s="68">
        <f>POWER($S494,$E494)</f>
        <v/>
      </c>
      <c r="X494" s="68">
        <f>SUMIFS($W$5:$W$589,$A$5:$A$589,$A494)</f>
        <v/>
      </c>
      <c r="Y494" s="67">
        <f>ROUNDDOWN(MAX(0,$R494-$J494*$G494)*$W494/MAX(1,$X494),0)</f>
        <v/>
      </c>
    </row>
    <row r="495">
      <c r="A495" s="17" t="inlineStr">
        <is>
          <t>gong_agility</t>
        </is>
      </c>
      <c r="B495" s="18" t="inlineStr">
        <is>
          <t>御风追月</t>
        </is>
      </c>
      <c r="C495" s="18" t="inlineStr">
        <is>
          <t>武艺技术</t>
        </is>
      </c>
      <c r="D495" s="18" t="inlineStr">
        <is>
          <t>弓箭类</t>
        </is>
      </c>
      <c r="E495" s="65" t="n">
        <v>5</v>
      </c>
      <c r="F495" s="66">
        <f>E495+1</f>
        <v/>
      </c>
      <c r="G495" s="65">
        <f>INDEX('个人技术总览'!$E$5:$E$46,MATCH($A495,'个人技术总览'!$A$5:$A$46,0))</f>
        <v/>
      </c>
      <c r="H495" s="59">
        <f>INDEX('个人技术总览'!$F$5:$F$46,MATCH($A495,'个人技术总览'!$A$5:$A$46,0))</f>
        <v/>
      </c>
      <c r="I495" s="60">
        <f>INDEX('个人技术总览'!$G$5:$G$46,MATCH($A495,'个人技术总览'!$A$5:$A$46,0))</f>
        <v/>
      </c>
      <c r="J495" s="59">
        <f>INDEX('个人技术总览'!$H$5:$H$46,MATCH($A495,'个人技术总览'!$A$5:$A$46,0))</f>
        <v/>
      </c>
      <c r="K495" s="60">
        <f>INDEX('个人技术总览'!$I$5:$I$46,MATCH($A495,'个人技术总览'!$A$5:$A$46,0))</f>
        <v/>
      </c>
      <c r="L495" s="67">
        <f>H495+V495+IF(E495=G495-1,MAX(0,P495-H495*G495-SUMIFS($V$5:$V$589,$A$5:$A$589,$A495)),0)</f>
        <v/>
      </c>
      <c r="M495" s="61">
        <f>MAX(1,ROUNDDOWN($L495/'参数与公式'!$B$5,0))</f>
        <v/>
      </c>
      <c r="N495" s="67">
        <f>J495+Y495+IF(E495=G495-1,MAX(0,R495-J495*G495-SUMIFS($Y$5:$Y$589,$A$5:$A$589,$A495)),0)</f>
        <v/>
      </c>
      <c r="O495" s="18" t="inlineStr">
        <is>
          <t>data/technology_templates.yaml; upgrade_profiles.martial; code: technology_rules.allocate_upgrade_budget</t>
        </is>
      </c>
      <c r="P495" s="67">
        <f>INDEX('个人技术总览'!$O$5:$O$46,MATCH($A495,'个人技术总览'!$A$5:$A$46,0))</f>
        <v/>
      </c>
      <c r="Q495" s="64">
        <f>INDEX('个人技术总览'!$P$5:$P$46,MATCH($A495,'个人技术总览'!$A$5:$A$46,0))</f>
        <v/>
      </c>
      <c r="R495" s="67">
        <f>INDEX('个人技术总览'!$Q$5:$Q$46,MATCH($A495,'个人技术总览'!$A$5:$A$46,0))</f>
        <v/>
      </c>
      <c r="S495" s="64">
        <f>INDEX('个人技术总览'!$R$5:$R$46,MATCH($A495,'个人技术总览'!$A$5:$A$46,0))</f>
        <v/>
      </c>
      <c r="T495" s="68">
        <f>POWER($Q495,$E495)</f>
        <v/>
      </c>
      <c r="U495" s="68">
        <f>SUMIFS($T$5:$T$589,$A$5:$A$589,$A495)</f>
        <v/>
      </c>
      <c r="V495" s="67">
        <f>ROUNDDOWN(MAX(0,$P495-$H495*$G495)*$T495/MAX(1,$U495),0)</f>
        <v/>
      </c>
      <c r="W495" s="68">
        <f>POWER($S495,$E495)</f>
        <v/>
      </c>
      <c r="X495" s="68">
        <f>SUMIFS($W$5:$W$589,$A$5:$A$589,$A495)</f>
        <v/>
      </c>
      <c r="Y495" s="67">
        <f>ROUNDDOWN(MAX(0,$R495-$J495*$G495)*$W495/MAX(1,$X495),0)</f>
        <v/>
      </c>
    </row>
    <row r="496">
      <c r="A496" s="17" t="inlineStr">
        <is>
          <t>gong_agility</t>
        </is>
      </c>
      <c r="B496" s="18" t="inlineStr">
        <is>
          <t>御风追月</t>
        </is>
      </c>
      <c r="C496" s="18" t="inlineStr">
        <is>
          <t>武艺技术</t>
        </is>
      </c>
      <c r="D496" s="18" t="inlineStr">
        <is>
          <t>弓箭类</t>
        </is>
      </c>
      <c r="E496" s="65" t="n">
        <v>6</v>
      </c>
      <c r="F496" s="66">
        <f>E496+1</f>
        <v/>
      </c>
      <c r="G496" s="65">
        <f>INDEX('个人技术总览'!$E$5:$E$46,MATCH($A496,'个人技术总览'!$A$5:$A$46,0))</f>
        <v/>
      </c>
      <c r="H496" s="59">
        <f>INDEX('个人技术总览'!$F$5:$F$46,MATCH($A496,'个人技术总览'!$A$5:$A$46,0))</f>
        <v/>
      </c>
      <c r="I496" s="60">
        <f>INDEX('个人技术总览'!$G$5:$G$46,MATCH($A496,'个人技术总览'!$A$5:$A$46,0))</f>
        <v/>
      </c>
      <c r="J496" s="59">
        <f>INDEX('个人技术总览'!$H$5:$H$46,MATCH($A496,'个人技术总览'!$A$5:$A$46,0))</f>
        <v/>
      </c>
      <c r="K496" s="60">
        <f>INDEX('个人技术总览'!$I$5:$I$46,MATCH($A496,'个人技术总览'!$A$5:$A$46,0))</f>
        <v/>
      </c>
      <c r="L496" s="67">
        <f>H496+V496+IF(E496=G496-1,MAX(0,P496-H496*G496-SUMIFS($V$5:$V$589,$A$5:$A$589,$A496)),0)</f>
        <v/>
      </c>
      <c r="M496" s="61">
        <f>MAX(1,ROUNDDOWN($L496/'参数与公式'!$B$5,0))</f>
        <v/>
      </c>
      <c r="N496" s="67">
        <f>J496+Y496+IF(E496=G496-1,MAX(0,R496-J496*G496-SUMIFS($Y$5:$Y$589,$A$5:$A$589,$A496)),0)</f>
        <v/>
      </c>
      <c r="O496" s="18" t="inlineStr">
        <is>
          <t>data/technology_templates.yaml; upgrade_profiles.martial; code: technology_rules.allocate_upgrade_budget</t>
        </is>
      </c>
      <c r="P496" s="67">
        <f>INDEX('个人技术总览'!$O$5:$O$46,MATCH($A496,'个人技术总览'!$A$5:$A$46,0))</f>
        <v/>
      </c>
      <c r="Q496" s="64">
        <f>INDEX('个人技术总览'!$P$5:$P$46,MATCH($A496,'个人技术总览'!$A$5:$A$46,0))</f>
        <v/>
      </c>
      <c r="R496" s="67">
        <f>INDEX('个人技术总览'!$Q$5:$Q$46,MATCH($A496,'个人技术总览'!$A$5:$A$46,0))</f>
        <v/>
      </c>
      <c r="S496" s="64">
        <f>INDEX('个人技术总览'!$R$5:$R$46,MATCH($A496,'个人技术总览'!$A$5:$A$46,0))</f>
        <v/>
      </c>
      <c r="T496" s="68">
        <f>POWER($Q496,$E496)</f>
        <v/>
      </c>
      <c r="U496" s="68">
        <f>SUMIFS($T$5:$T$589,$A$5:$A$589,$A496)</f>
        <v/>
      </c>
      <c r="V496" s="67">
        <f>ROUNDDOWN(MAX(0,$P496-$H496*$G496)*$T496/MAX(1,$U496),0)</f>
        <v/>
      </c>
      <c r="W496" s="68">
        <f>POWER($S496,$E496)</f>
        <v/>
      </c>
      <c r="X496" s="68">
        <f>SUMIFS($W$5:$W$589,$A$5:$A$589,$A496)</f>
        <v/>
      </c>
      <c r="Y496" s="67">
        <f>ROUNDDOWN(MAX(0,$R496-$J496*$G496)*$W496/MAX(1,$X496),0)</f>
        <v/>
      </c>
    </row>
    <row r="497">
      <c r="A497" s="17" t="inlineStr">
        <is>
          <t>gong_agility</t>
        </is>
      </c>
      <c r="B497" s="18" t="inlineStr">
        <is>
          <t>御风追月</t>
        </is>
      </c>
      <c r="C497" s="18" t="inlineStr">
        <is>
          <t>武艺技术</t>
        </is>
      </c>
      <c r="D497" s="18" t="inlineStr">
        <is>
          <t>弓箭类</t>
        </is>
      </c>
      <c r="E497" s="65" t="n">
        <v>7</v>
      </c>
      <c r="F497" s="66">
        <f>E497+1</f>
        <v/>
      </c>
      <c r="G497" s="65">
        <f>INDEX('个人技术总览'!$E$5:$E$46,MATCH($A497,'个人技术总览'!$A$5:$A$46,0))</f>
        <v/>
      </c>
      <c r="H497" s="59">
        <f>INDEX('个人技术总览'!$F$5:$F$46,MATCH($A497,'个人技术总览'!$A$5:$A$46,0))</f>
        <v/>
      </c>
      <c r="I497" s="60">
        <f>INDEX('个人技术总览'!$G$5:$G$46,MATCH($A497,'个人技术总览'!$A$5:$A$46,0))</f>
        <v/>
      </c>
      <c r="J497" s="59">
        <f>INDEX('个人技术总览'!$H$5:$H$46,MATCH($A497,'个人技术总览'!$A$5:$A$46,0))</f>
        <v/>
      </c>
      <c r="K497" s="60">
        <f>INDEX('个人技术总览'!$I$5:$I$46,MATCH($A497,'个人技术总览'!$A$5:$A$46,0))</f>
        <v/>
      </c>
      <c r="L497" s="67">
        <f>H497+V497+IF(E497=G497-1,MAX(0,P497-H497*G497-SUMIFS($V$5:$V$589,$A$5:$A$589,$A497)),0)</f>
        <v/>
      </c>
      <c r="M497" s="61">
        <f>MAX(1,ROUNDDOWN($L497/'参数与公式'!$B$5,0))</f>
        <v/>
      </c>
      <c r="N497" s="67">
        <f>J497+Y497+IF(E497=G497-1,MAX(0,R497-J497*G497-SUMIFS($Y$5:$Y$589,$A$5:$A$589,$A497)),0)</f>
        <v/>
      </c>
      <c r="O497" s="18" t="inlineStr">
        <is>
          <t>data/technology_templates.yaml; upgrade_profiles.martial; code: technology_rules.allocate_upgrade_budget</t>
        </is>
      </c>
      <c r="P497" s="67">
        <f>INDEX('个人技术总览'!$O$5:$O$46,MATCH($A497,'个人技术总览'!$A$5:$A$46,0))</f>
        <v/>
      </c>
      <c r="Q497" s="64">
        <f>INDEX('个人技术总览'!$P$5:$P$46,MATCH($A497,'个人技术总览'!$A$5:$A$46,0))</f>
        <v/>
      </c>
      <c r="R497" s="67">
        <f>INDEX('个人技术总览'!$Q$5:$Q$46,MATCH($A497,'个人技术总览'!$A$5:$A$46,0))</f>
        <v/>
      </c>
      <c r="S497" s="64">
        <f>INDEX('个人技术总览'!$R$5:$R$46,MATCH($A497,'个人技术总览'!$A$5:$A$46,0))</f>
        <v/>
      </c>
      <c r="T497" s="68">
        <f>POWER($Q497,$E497)</f>
        <v/>
      </c>
      <c r="U497" s="68">
        <f>SUMIFS($T$5:$T$589,$A$5:$A$589,$A497)</f>
        <v/>
      </c>
      <c r="V497" s="67">
        <f>ROUNDDOWN(MAX(0,$P497-$H497*$G497)*$T497/MAX(1,$U497),0)</f>
        <v/>
      </c>
      <c r="W497" s="68">
        <f>POWER($S497,$E497)</f>
        <v/>
      </c>
      <c r="X497" s="68">
        <f>SUMIFS($W$5:$W$589,$A$5:$A$589,$A497)</f>
        <v/>
      </c>
      <c r="Y497" s="67">
        <f>ROUNDDOWN(MAX(0,$R497-$J497*$G497)*$W497/MAX(1,$X497),0)</f>
        <v/>
      </c>
    </row>
    <row r="498">
      <c r="A498" s="17" t="inlineStr">
        <is>
          <t>gong_agility</t>
        </is>
      </c>
      <c r="B498" s="18" t="inlineStr">
        <is>
          <t>御风追月</t>
        </is>
      </c>
      <c r="C498" s="18" t="inlineStr">
        <is>
          <t>武艺技术</t>
        </is>
      </c>
      <c r="D498" s="18" t="inlineStr">
        <is>
          <t>弓箭类</t>
        </is>
      </c>
      <c r="E498" s="65" t="n">
        <v>8</v>
      </c>
      <c r="F498" s="66">
        <f>E498+1</f>
        <v/>
      </c>
      <c r="G498" s="65">
        <f>INDEX('个人技术总览'!$E$5:$E$46,MATCH($A498,'个人技术总览'!$A$5:$A$46,0))</f>
        <v/>
      </c>
      <c r="H498" s="59">
        <f>INDEX('个人技术总览'!$F$5:$F$46,MATCH($A498,'个人技术总览'!$A$5:$A$46,0))</f>
        <v/>
      </c>
      <c r="I498" s="60">
        <f>INDEX('个人技术总览'!$G$5:$G$46,MATCH($A498,'个人技术总览'!$A$5:$A$46,0))</f>
        <v/>
      </c>
      <c r="J498" s="59">
        <f>INDEX('个人技术总览'!$H$5:$H$46,MATCH($A498,'个人技术总览'!$A$5:$A$46,0))</f>
        <v/>
      </c>
      <c r="K498" s="60">
        <f>INDEX('个人技术总览'!$I$5:$I$46,MATCH($A498,'个人技术总览'!$A$5:$A$46,0))</f>
        <v/>
      </c>
      <c r="L498" s="67">
        <f>H498+V498+IF(E498=G498-1,MAX(0,P498-H498*G498-SUMIFS($V$5:$V$589,$A$5:$A$589,$A498)),0)</f>
        <v/>
      </c>
      <c r="M498" s="61">
        <f>MAX(1,ROUNDDOWN($L498/'参数与公式'!$B$5,0))</f>
        <v/>
      </c>
      <c r="N498" s="67">
        <f>J498+Y498+IF(E498=G498-1,MAX(0,R498-J498*G498-SUMIFS($Y$5:$Y$589,$A$5:$A$589,$A498)),0)</f>
        <v/>
      </c>
      <c r="O498" s="18" t="inlineStr">
        <is>
          <t>data/technology_templates.yaml; upgrade_profiles.martial; code: technology_rules.allocate_upgrade_budget</t>
        </is>
      </c>
      <c r="P498" s="67">
        <f>INDEX('个人技术总览'!$O$5:$O$46,MATCH($A498,'个人技术总览'!$A$5:$A$46,0))</f>
        <v/>
      </c>
      <c r="Q498" s="64">
        <f>INDEX('个人技术总览'!$P$5:$P$46,MATCH($A498,'个人技术总览'!$A$5:$A$46,0))</f>
        <v/>
      </c>
      <c r="R498" s="67">
        <f>INDEX('个人技术总览'!$Q$5:$Q$46,MATCH($A498,'个人技术总览'!$A$5:$A$46,0))</f>
        <v/>
      </c>
      <c r="S498" s="64">
        <f>INDEX('个人技术总览'!$R$5:$R$46,MATCH($A498,'个人技术总览'!$A$5:$A$46,0))</f>
        <v/>
      </c>
      <c r="T498" s="68">
        <f>POWER($Q498,$E498)</f>
        <v/>
      </c>
      <c r="U498" s="68">
        <f>SUMIFS($T$5:$T$589,$A$5:$A$589,$A498)</f>
        <v/>
      </c>
      <c r="V498" s="67">
        <f>ROUNDDOWN(MAX(0,$P498-$H498*$G498)*$T498/MAX(1,$U498),0)</f>
        <v/>
      </c>
      <c r="W498" s="68">
        <f>POWER($S498,$E498)</f>
        <v/>
      </c>
      <c r="X498" s="68">
        <f>SUMIFS($W$5:$W$589,$A$5:$A$589,$A498)</f>
        <v/>
      </c>
      <c r="Y498" s="67">
        <f>ROUNDDOWN(MAX(0,$R498-$J498*$G498)*$W498/MAX(1,$X498),0)</f>
        <v/>
      </c>
    </row>
    <row r="499">
      <c r="A499" s="17" t="inlineStr">
        <is>
          <t>gong_agility</t>
        </is>
      </c>
      <c r="B499" s="18" t="inlineStr">
        <is>
          <t>御风追月</t>
        </is>
      </c>
      <c r="C499" s="18" t="inlineStr">
        <is>
          <t>武艺技术</t>
        </is>
      </c>
      <c r="D499" s="18" t="inlineStr">
        <is>
          <t>弓箭类</t>
        </is>
      </c>
      <c r="E499" s="65" t="n">
        <v>9</v>
      </c>
      <c r="F499" s="66">
        <f>E499+1</f>
        <v/>
      </c>
      <c r="G499" s="65">
        <f>INDEX('个人技术总览'!$E$5:$E$46,MATCH($A499,'个人技术总览'!$A$5:$A$46,0))</f>
        <v/>
      </c>
      <c r="H499" s="59">
        <f>INDEX('个人技术总览'!$F$5:$F$46,MATCH($A499,'个人技术总览'!$A$5:$A$46,0))</f>
        <v/>
      </c>
      <c r="I499" s="60">
        <f>INDEX('个人技术总览'!$G$5:$G$46,MATCH($A499,'个人技术总览'!$A$5:$A$46,0))</f>
        <v/>
      </c>
      <c r="J499" s="59">
        <f>INDEX('个人技术总览'!$H$5:$H$46,MATCH($A499,'个人技术总览'!$A$5:$A$46,0))</f>
        <v/>
      </c>
      <c r="K499" s="60">
        <f>INDEX('个人技术总览'!$I$5:$I$46,MATCH($A499,'个人技术总览'!$A$5:$A$46,0))</f>
        <v/>
      </c>
      <c r="L499" s="67">
        <f>H499+V499+IF(E499=G499-1,MAX(0,P499-H499*G499-SUMIFS($V$5:$V$589,$A$5:$A$589,$A499)),0)</f>
        <v/>
      </c>
      <c r="M499" s="61">
        <f>MAX(1,ROUNDDOWN($L499/'参数与公式'!$B$5,0))</f>
        <v/>
      </c>
      <c r="N499" s="67">
        <f>J499+Y499+IF(E499=G499-1,MAX(0,R499-J499*G499-SUMIFS($Y$5:$Y$589,$A$5:$A$589,$A499)),0)</f>
        <v/>
      </c>
      <c r="O499" s="18" t="inlineStr">
        <is>
          <t>data/technology_templates.yaml; upgrade_profiles.martial; code: technology_rules.allocate_upgrade_budget</t>
        </is>
      </c>
      <c r="P499" s="67">
        <f>INDEX('个人技术总览'!$O$5:$O$46,MATCH($A499,'个人技术总览'!$A$5:$A$46,0))</f>
        <v/>
      </c>
      <c r="Q499" s="64">
        <f>INDEX('个人技术总览'!$P$5:$P$46,MATCH($A499,'个人技术总览'!$A$5:$A$46,0))</f>
        <v/>
      </c>
      <c r="R499" s="67">
        <f>INDEX('个人技术总览'!$Q$5:$Q$46,MATCH($A499,'个人技术总览'!$A$5:$A$46,0))</f>
        <v/>
      </c>
      <c r="S499" s="64">
        <f>INDEX('个人技术总览'!$R$5:$R$46,MATCH($A499,'个人技术总览'!$A$5:$A$46,0))</f>
        <v/>
      </c>
      <c r="T499" s="68">
        <f>POWER($Q499,$E499)</f>
        <v/>
      </c>
      <c r="U499" s="68">
        <f>SUMIFS($T$5:$T$589,$A$5:$A$589,$A499)</f>
        <v/>
      </c>
      <c r="V499" s="67">
        <f>ROUNDDOWN(MAX(0,$P499-$H499*$G499)*$T499/MAX(1,$U499),0)</f>
        <v/>
      </c>
      <c r="W499" s="68">
        <f>POWER($S499,$E499)</f>
        <v/>
      </c>
      <c r="X499" s="68">
        <f>SUMIFS($W$5:$W$589,$A$5:$A$589,$A499)</f>
        <v/>
      </c>
      <c r="Y499" s="67">
        <f>ROUNDDOWN(MAX(0,$R499-$J499*$G499)*$W499/MAX(1,$X499),0)</f>
        <v/>
      </c>
    </row>
    <row r="500">
      <c r="A500" s="17" t="inlineStr">
        <is>
          <t>gong_hp</t>
        </is>
      </c>
      <c r="B500" s="18" t="inlineStr">
        <is>
          <t>云流转气</t>
        </is>
      </c>
      <c r="C500" s="18" t="inlineStr">
        <is>
          <t>武艺技术</t>
        </is>
      </c>
      <c r="D500" s="18" t="inlineStr">
        <is>
          <t>弓箭类</t>
        </is>
      </c>
      <c r="E500" s="65" t="n">
        <v>0</v>
      </c>
      <c r="F500" s="66">
        <f>E500+1</f>
        <v/>
      </c>
      <c r="G500" s="65">
        <f>INDEX('个人技术总览'!$E$5:$E$46,MATCH($A500,'个人技术总览'!$A$5:$A$46,0))</f>
        <v/>
      </c>
      <c r="H500" s="59">
        <f>INDEX('个人技术总览'!$F$5:$F$46,MATCH($A500,'个人技术总览'!$A$5:$A$46,0))</f>
        <v/>
      </c>
      <c r="I500" s="60">
        <f>INDEX('个人技术总览'!$G$5:$G$46,MATCH($A500,'个人技术总览'!$A$5:$A$46,0))</f>
        <v/>
      </c>
      <c r="J500" s="59">
        <f>INDEX('个人技术总览'!$H$5:$H$46,MATCH($A500,'个人技术总览'!$A$5:$A$46,0))</f>
        <v/>
      </c>
      <c r="K500" s="60">
        <f>INDEX('个人技术总览'!$I$5:$I$46,MATCH($A500,'个人技术总览'!$A$5:$A$46,0))</f>
        <v/>
      </c>
      <c r="L500" s="67">
        <f>H500+V500+IF(E500=G500-1,MAX(0,P500-H500*G500-SUMIFS($V$5:$V$589,$A$5:$A$589,$A500)),0)</f>
        <v/>
      </c>
      <c r="M500" s="61">
        <f>MAX(1,ROUNDDOWN($L500/'参数与公式'!$B$5,0))</f>
        <v/>
      </c>
      <c r="N500" s="67">
        <f>J500+Y500+IF(E500=G500-1,MAX(0,R500-J500*G500-SUMIFS($Y$5:$Y$589,$A$5:$A$589,$A500)),0)</f>
        <v/>
      </c>
      <c r="O500" s="18" t="inlineStr">
        <is>
          <t>data/technology_templates.yaml; upgrade_profiles.martial; code: technology_rules.allocate_upgrade_budget</t>
        </is>
      </c>
      <c r="P500" s="67">
        <f>INDEX('个人技术总览'!$O$5:$O$46,MATCH($A500,'个人技术总览'!$A$5:$A$46,0))</f>
        <v/>
      </c>
      <c r="Q500" s="64">
        <f>INDEX('个人技术总览'!$P$5:$P$46,MATCH($A500,'个人技术总览'!$A$5:$A$46,0))</f>
        <v/>
      </c>
      <c r="R500" s="67">
        <f>INDEX('个人技术总览'!$Q$5:$Q$46,MATCH($A500,'个人技术总览'!$A$5:$A$46,0))</f>
        <v/>
      </c>
      <c r="S500" s="64">
        <f>INDEX('个人技术总览'!$R$5:$R$46,MATCH($A500,'个人技术总览'!$A$5:$A$46,0))</f>
        <v/>
      </c>
      <c r="T500" s="68">
        <f>POWER($Q500,$E500)</f>
        <v/>
      </c>
      <c r="U500" s="68">
        <f>SUMIFS($T$5:$T$589,$A$5:$A$589,$A500)</f>
        <v/>
      </c>
      <c r="V500" s="67">
        <f>ROUNDDOWN(MAX(0,$P500-$H500*$G500)*$T500/MAX(1,$U500),0)</f>
        <v/>
      </c>
      <c r="W500" s="68">
        <f>POWER($S500,$E500)</f>
        <v/>
      </c>
      <c r="X500" s="68">
        <f>SUMIFS($W$5:$W$589,$A$5:$A$589,$A500)</f>
        <v/>
      </c>
      <c r="Y500" s="67">
        <f>ROUNDDOWN(MAX(0,$R500-$J500*$G500)*$W500/MAX(1,$X500),0)</f>
        <v/>
      </c>
    </row>
    <row r="501">
      <c r="A501" s="17" t="inlineStr">
        <is>
          <t>gong_hp</t>
        </is>
      </c>
      <c r="B501" s="18" t="inlineStr">
        <is>
          <t>云流转气</t>
        </is>
      </c>
      <c r="C501" s="18" t="inlineStr">
        <is>
          <t>武艺技术</t>
        </is>
      </c>
      <c r="D501" s="18" t="inlineStr">
        <is>
          <t>弓箭类</t>
        </is>
      </c>
      <c r="E501" s="65" t="n">
        <v>1</v>
      </c>
      <c r="F501" s="66">
        <f>E501+1</f>
        <v/>
      </c>
      <c r="G501" s="65">
        <f>INDEX('个人技术总览'!$E$5:$E$46,MATCH($A501,'个人技术总览'!$A$5:$A$46,0))</f>
        <v/>
      </c>
      <c r="H501" s="59">
        <f>INDEX('个人技术总览'!$F$5:$F$46,MATCH($A501,'个人技术总览'!$A$5:$A$46,0))</f>
        <v/>
      </c>
      <c r="I501" s="60">
        <f>INDEX('个人技术总览'!$G$5:$G$46,MATCH($A501,'个人技术总览'!$A$5:$A$46,0))</f>
        <v/>
      </c>
      <c r="J501" s="59">
        <f>INDEX('个人技术总览'!$H$5:$H$46,MATCH($A501,'个人技术总览'!$A$5:$A$46,0))</f>
        <v/>
      </c>
      <c r="K501" s="60">
        <f>INDEX('个人技术总览'!$I$5:$I$46,MATCH($A501,'个人技术总览'!$A$5:$A$46,0))</f>
        <v/>
      </c>
      <c r="L501" s="67">
        <f>H501+V501+IF(E501=G501-1,MAX(0,P501-H501*G501-SUMIFS($V$5:$V$589,$A$5:$A$589,$A501)),0)</f>
        <v/>
      </c>
      <c r="M501" s="61">
        <f>MAX(1,ROUNDDOWN($L501/'参数与公式'!$B$5,0))</f>
        <v/>
      </c>
      <c r="N501" s="67">
        <f>J501+Y501+IF(E501=G501-1,MAX(0,R501-J501*G501-SUMIFS($Y$5:$Y$589,$A$5:$A$589,$A501)),0)</f>
        <v/>
      </c>
      <c r="O501" s="18" t="inlineStr">
        <is>
          <t>data/technology_templates.yaml; upgrade_profiles.martial; code: technology_rules.allocate_upgrade_budget</t>
        </is>
      </c>
      <c r="P501" s="67">
        <f>INDEX('个人技术总览'!$O$5:$O$46,MATCH($A501,'个人技术总览'!$A$5:$A$46,0))</f>
        <v/>
      </c>
      <c r="Q501" s="64">
        <f>INDEX('个人技术总览'!$P$5:$P$46,MATCH($A501,'个人技术总览'!$A$5:$A$46,0))</f>
        <v/>
      </c>
      <c r="R501" s="67">
        <f>INDEX('个人技术总览'!$Q$5:$Q$46,MATCH($A501,'个人技术总览'!$A$5:$A$46,0))</f>
        <v/>
      </c>
      <c r="S501" s="64">
        <f>INDEX('个人技术总览'!$R$5:$R$46,MATCH($A501,'个人技术总览'!$A$5:$A$46,0))</f>
        <v/>
      </c>
      <c r="T501" s="68">
        <f>POWER($Q501,$E501)</f>
        <v/>
      </c>
      <c r="U501" s="68">
        <f>SUMIFS($T$5:$T$589,$A$5:$A$589,$A501)</f>
        <v/>
      </c>
      <c r="V501" s="67">
        <f>ROUNDDOWN(MAX(0,$P501-$H501*$G501)*$T501/MAX(1,$U501),0)</f>
        <v/>
      </c>
      <c r="W501" s="68">
        <f>POWER($S501,$E501)</f>
        <v/>
      </c>
      <c r="X501" s="68">
        <f>SUMIFS($W$5:$W$589,$A$5:$A$589,$A501)</f>
        <v/>
      </c>
      <c r="Y501" s="67">
        <f>ROUNDDOWN(MAX(0,$R501-$J501*$G501)*$W501/MAX(1,$X501),0)</f>
        <v/>
      </c>
    </row>
    <row r="502">
      <c r="A502" s="17" t="inlineStr">
        <is>
          <t>gong_hp</t>
        </is>
      </c>
      <c r="B502" s="18" t="inlineStr">
        <is>
          <t>云流转气</t>
        </is>
      </c>
      <c r="C502" s="18" t="inlineStr">
        <is>
          <t>武艺技术</t>
        </is>
      </c>
      <c r="D502" s="18" t="inlineStr">
        <is>
          <t>弓箭类</t>
        </is>
      </c>
      <c r="E502" s="65" t="n">
        <v>2</v>
      </c>
      <c r="F502" s="66">
        <f>E502+1</f>
        <v/>
      </c>
      <c r="G502" s="65">
        <f>INDEX('个人技术总览'!$E$5:$E$46,MATCH($A502,'个人技术总览'!$A$5:$A$46,0))</f>
        <v/>
      </c>
      <c r="H502" s="59">
        <f>INDEX('个人技术总览'!$F$5:$F$46,MATCH($A502,'个人技术总览'!$A$5:$A$46,0))</f>
        <v/>
      </c>
      <c r="I502" s="60">
        <f>INDEX('个人技术总览'!$G$5:$G$46,MATCH($A502,'个人技术总览'!$A$5:$A$46,0))</f>
        <v/>
      </c>
      <c r="J502" s="59">
        <f>INDEX('个人技术总览'!$H$5:$H$46,MATCH($A502,'个人技术总览'!$A$5:$A$46,0))</f>
        <v/>
      </c>
      <c r="K502" s="60">
        <f>INDEX('个人技术总览'!$I$5:$I$46,MATCH($A502,'个人技术总览'!$A$5:$A$46,0))</f>
        <v/>
      </c>
      <c r="L502" s="67">
        <f>H502+V502+IF(E502=G502-1,MAX(0,P502-H502*G502-SUMIFS($V$5:$V$589,$A$5:$A$589,$A502)),0)</f>
        <v/>
      </c>
      <c r="M502" s="61">
        <f>MAX(1,ROUNDDOWN($L502/'参数与公式'!$B$5,0))</f>
        <v/>
      </c>
      <c r="N502" s="67">
        <f>J502+Y502+IF(E502=G502-1,MAX(0,R502-J502*G502-SUMIFS($Y$5:$Y$589,$A$5:$A$589,$A502)),0)</f>
        <v/>
      </c>
      <c r="O502" s="18" t="inlineStr">
        <is>
          <t>data/technology_templates.yaml; upgrade_profiles.martial; code: technology_rules.allocate_upgrade_budget</t>
        </is>
      </c>
      <c r="P502" s="67">
        <f>INDEX('个人技术总览'!$O$5:$O$46,MATCH($A502,'个人技术总览'!$A$5:$A$46,0))</f>
        <v/>
      </c>
      <c r="Q502" s="64">
        <f>INDEX('个人技术总览'!$P$5:$P$46,MATCH($A502,'个人技术总览'!$A$5:$A$46,0))</f>
        <v/>
      </c>
      <c r="R502" s="67">
        <f>INDEX('个人技术总览'!$Q$5:$Q$46,MATCH($A502,'个人技术总览'!$A$5:$A$46,0))</f>
        <v/>
      </c>
      <c r="S502" s="64">
        <f>INDEX('个人技术总览'!$R$5:$R$46,MATCH($A502,'个人技术总览'!$A$5:$A$46,0))</f>
        <v/>
      </c>
      <c r="T502" s="68">
        <f>POWER($Q502,$E502)</f>
        <v/>
      </c>
      <c r="U502" s="68">
        <f>SUMIFS($T$5:$T$589,$A$5:$A$589,$A502)</f>
        <v/>
      </c>
      <c r="V502" s="67">
        <f>ROUNDDOWN(MAX(0,$P502-$H502*$G502)*$T502/MAX(1,$U502),0)</f>
        <v/>
      </c>
      <c r="W502" s="68">
        <f>POWER($S502,$E502)</f>
        <v/>
      </c>
      <c r="X502" s="68">
        <f>SUMIFS($W$5:$W$589,$A$5:$A$589,$A502)</f>
        <v/>
      </c>
      <c r="Y502" s="67">
        <f>ROUNDDOWN(MAX(0,$R502-$J502*$G502)*$W502/MAX(1,$X502),0)</f>
        <v/>
      </c>
    </row>
    <row r="503">
      <c r="A503" s="17" t="inlineStr">
        <is>
          <t>gong_hp</t>
        </is>
      </c>
      <c r="B503" s="18" t="inlineStr">
        <is>
          <t>云流转气</t>
        </is>
      </c>
      <c r="C503" s="18" t="inlineStr">
        <is>
          <t>武艺技术</t>
        </is>
      </c>
      <c r="D503" s="18" t="inlineStr">
        <is>
          <t>弓箭类</t>
        </is>
      </c>
      <c r="E503" s="65" t="n">
        <v>3</v>
      </c>
      <c r="F503" s="66">
        <f>E503+1</f>
        <v/>
      </c>
      <c r="G503" s="65">
        <f>INDEX('个人技术总览'!$E$5:$E$46,MATCH($A503,'个人技术总览'!$A$5:$A$46,0))</f>
        <v/>
      </c>
      <c r="H503" s="59">
        <f>INDEX('个人技术总览'!$F$5:$F$46,MATCH($A503,'个人技术总览'!$A$5:$A$46,0))</f>
        <v/>
      </c>
      <c r="I503" s="60">
        <f>INDEX('个人技术总览'!$G$5:$G$46,MATCH($A503,'个人技术总览'!$A$5:$A$46,0))</f>
        <v/>
      </c>
      <c r="J503" s="59">
        <f>INDEX('个人技术总览'!$H$5:$H$46,MATCH($A503,'个人技术总览'!$A$5:$A$46,0))</f>
        <v/>
      </c>
      <c r="K503" s="60">
        <f>INDEX('个人技术总览'!$I$5:$I$46,MATCH($A503,'个人技术总览'!$A$5:$A$46,0))</f>
        <v/>
      </c>
      <c r="L503" s="67">
        <f>H503+V503+IF(E503=G503-1,MAX(0,P503-H503*G503-SUMIFS($V$5:$V$589,$A$5:$A$589,$A503)),0)</f>
        <v/>
      </c>
      <c r="M503" s="61">
        <f>MAX(1,ROUNDDOWN($L503/'参数与公式'!$B$5,0))</f>
        <v/>
      </c>
      <c r="N503" s="67">
        <f>J503+Y503+IF(E503=G503-1,MAX(0,R503-J503*G503-SUMIFS($Y$5:$Y$589,$A$5:$A$589,$A503)),0)</f>
        <v/>
      </c>
      <c r="O503" s="18" t="inlineStr">
        <is>
          <t>data/technology_templates.yaml; upgrade_profiles.martial; code: technology_rules.allocate_upgrade_budget</t>
        </is>
      </c>
      <c r="P503" s="67">
        <f>INDEX('个人技术总览'!$O$5:$O$46,MATCH($A503,'个人技术总览'!$A$5:$A$46,0))</f>
        <v/>
      </c>
      <c r="Q503" s="64">
        <f>INDEX('个人技术总览'!$P$5:$P$46,MATCH($A503,'个人技术总览'!$A$5:$A$46,0))</f>
        <v/>
      </c>
      <c r="R503" s="67">
        <f>INDEX('个人技术总览'!$Q$5:$Q$46,MATCH($A503,'个人技术总览'!$A$5:$A$46,0))</f>
        <v/>
      </c>
      <c r="S503" s="64">
        <f>INDEX('个人技术总览'!$R$5:$R$46,MATCH($A503,'个人技术总览'!$A$5:$A$46,0))</f>
        <v/>
      </c>
      <c r="T503" s="68">
        <f>POWER($Q503,$E503)</f>
        <v/>
      </c>
      <c r="U503" s="68">
        <f>SUMIFS($T$5:$T$589,$A$5:$A$589,$A503)</f>
        <v/>
      </c>
      <c r="V503" s="67">
        <f>ROUNDDOWN(MAX(0,$P503-$H503*$G503)*$T503/MAX(1,$U503),0)</f>
        <v/>
      </c>
      <c r="W503" s="68">
        <f>POWER($S503,$E503)</f>
        <v/>
      </c>
      <c r="X503" s="68">
        <f>SUMIFS($W$5:$W$589,$A$5:$A$589,$A503)</f>
        <v/>
      </c>
      <c r="Y503" s="67">
        <f>ROUNDDOWN(MAX(0,$R503-$J503*$G503)*$W503/MAX(1,$X503),0)</f>
        <v/>
      </c>
    </row>
    <row r="504">
      <c r="A504" s="17" t="inlineStr">
        <is>
          <t>gong_hp</t>
        </is>
      </c>
      <c r="B504" s="18" t="inlineStr">
        <is>
          <t>云流转气</t>
        </is>
      </c>
      <c r="C504" s="18" t="inlineStr">
        <is>
          <t>武艺技术</t>
        </is>
      </c>
      <c r="D504" s="18" t="inlineStr">
        <is>
          <t>弓箭类</t>
        </is>
      </c>
      <c r="E504" s="65" t="n">
        <v>4</v>
      </c>
      <c r="F504" s="66">
        <f>E504+1</f>
        <v/>
      </c>
      <c r="G504" s="65">
        <f>INDEX('个人技术总览'!$E$5:$E$46,MATCH($A504,'个人技术总览'!$A$5:$A$46,0))</f>
        <v/>
      </c>
      <c r="H504" s="59">
        <f>INDEX('个人技术总览'!$F$5:$F$46,MATCH($A504,'个人技术总览'!$A$5:$A$46,0))</f>
        <v/>
      </c>
      <c r="I504" s="60">
        <f>INDEX('个人技术总览'!$G$5:$G$46,MATCH($A504,'个人技术总览'!$A$5:$A$46,0))</f>
        <v/>
      </c>
      <c r="J504" s="59">
        <f>INDEX('个人技术总览'!$H$5:$H$46,MATCH($A504,'个人技术总览'!$A$5:$A$46,0))</f>
        <v/>
      </c>
      <c r="K504" s="60">
        <f>INDEX('个人技术总览'!$I$5:$I$46,MATCH($A504,'个人技术总览'!$A$5:$A$46,0))</f>
        <v/>
      </c>
      <c r="L504" s="67">
        <f>H504+V504+IF(E504=G504-1,MAX(0,P504-H504*G504-SUMIFS($V$5:$V$589,$A$5:$A$589,$A504)),0)</f>
        <v/>
      </c>
      <c r="M504" s="61">
        <f>MAX(1,ROUNDDOWN($L504/'参数与公式'!$B$5,0))</f>
        <v/>
      </c>
      <c r="N504" s="67">
        <f>J504+Y504+IF(E504=G504-1,MAX(0,R504-J504*G504-SUMIFS($Y$5:$Y$589,$A$5:$A$589,$A504)),0)</f>
        <v/>
      </c>
      <c r="O504" s="18" t="inlineStr">
        <is>
          <t>data/technology_templates.yaml; upgrade_profiles.martial; code: technology_rules.allocate_upgrade_budget</t>
        </is>
      </c>
      <c r="P504" s="67">
        <f>INDEX('个人技术总览'!$O$5:$O$46,MATCH($A504,'个人技术总览'!$A$5:$A$46,0))</f>
        <v/>
      </c>
      <c r="Q504" s="64">
        <f>INDEX('个人技术总览'!$P$5:$P$46,MATCH($A504,'个人技术总览'!$A$5:$A$46,0))</f>
        <v/>
      </c>
      <c r="R504" s="67">
        <f>INDEX('个人技术总览'!$Q$5:$Q$46,MATCH($A504,'个人技术总览'!$A$5:$A$46,0))</f>
        <v/>
      </c>
      <c r="S504" s="64">
        <f>INDEX('个人技术总览'!$R$5:$R$46,MATCH($A504,'个人技术总览'!$A$5:$A$46,0))</f>
        <v/>
      </c>
      <c r="T504" s="68">
        <f>POWER($Q504,$E504)</f>
        <v/>
      </c>
      <c r="U504" s="68">
        <f>SUMIFS($T$5:$T$589,$A$5:$A$589,$A504)</f>
        <v/>
      </c>
      <c r="V504" s="67">
        <f>ROUNDDOWN(MAX(0,$P504-$H504*$G504)*$T504/MAX(1,$U504),0)</f>
        <v/>
      </c>
      <c r="W504" s="68">
        <f>POWER($S504,$E504)</f>
        <v/>
      </c>
      <c r="X504" s="68">
        <f>SUMIFS($W$5:$W$589,$A$5:$A$589,$A504)</f>
        <v/>
      </c>
      <c r="Y504" s="67">
        <f>ROUNDDOWN(MAX(0,$R504-$J504*$G504)*$W504/MAX(1,$X504),0)</f>
        <v/>
      </c>
    </row>
    <row r="505">
      <c r="A505" s="17" t="inlineStr">
        <is>
          <t>gong_hp</t>
        </is>
      </c>
      <c r="B505" s="18" t="inlineStr">
        <is>
          <t>云流转气</t>
        </is>
      </c>
      <c r="C505" s="18" t="inlineStr">
        <is>
          <t>武艺技术</t>
        </is>
      </c>
      <c r="D505" s="18" t="inlineStr">
        <is>
          <t>弓箭类</t>
        </is>
      </c>
      <c r="E505" s="65" t="n">
        <v>5</v>
      </c>
      <c r="F505" s="66">
        <f>E505+1</f>
        <v/>
      </c>
      <c r="G505" s="65">
        <f>INDEX('个人技术总览'!$E$5:$E$46,MATCH($A505,'个人技术总览'!$A$5:$A$46,0))</f>
        <v/>
      </c>
      <c r="H505" s="59">
        <f>INDEX('个人技术总览'!$F$5:$F$46,MATCH($A505,'个人技术总览'!$A$5:$A$46,0))</f>
        <v/>
      </c>
      <c r="I505" s="60">
        <f>INDEX('个人技术总览'!$G$5:$G$46,MATCH($A505,'个人技术总览'!$A$5:$A$46,0))</f>
        <v/>
      </c>
      <c r="J505" s="59">
        <f>INDEX('个人技术总览'!$H$5:$H$46,MATCH($A505,'个人技术总览'!$A$5:$A$46,0))</f>
        <v/>
      </c>
      <c r="K505" s="60">
        <f>INDEX('个人技术总览'!$I$5:$I$46,MATCH($A505,'个人技术总览'!$A$5:$A$46,0))</f>
        <v/>
      </c>
      <c r="L505" s="67">
        <f>H505+V505+IF(E505=G505-1,MAX(0,P505-H505*G505-SUMIFS($V$5:$V$589,$A$5:$A$589,$A505)),0)</f>
        <v/>
      </c>
      <c r="M505" s="61">
        <f>MAX(1,ROUNDDOWN($L505/'参数与公式'!$B$5,0))</f>
        <v/>
      </c>
      <c r="N505" s="67">
        <f>J505+Y505+IF(E505=G505-1,MAX(0,R505-J505*G505-SUMIFS($Y$5:$Y$589,$A$5:$A$589,$A505)),0)</f>
        <v/>
      </c>
      <c r="O505" s="18" t="inlineStr">
        <is>
          <t>data/technology_templates.yaml; upgrade_profiles.martial; code: technology_rules.allocate_upgrade_budget</t>
        </is>
      </c>
      <c r="P505" s="67">
        <f>INDEX('个人技术总览'!$O$5:$O$46,MATCH($A505,'个人技术总览'!$A$5:$A$46,0))</f>
        <v/>
      </c>
      <c r="Q505" s="64">
        <f>INDEX('个人技术总览'!$P$5:$P$46,MATCH($A505,'个人技术总览'!$A$5:$A$46,0))</f>
        <v/>
      </c>
      <c r="R505" s="67">
        <f>INDEX('个人技术总览'!$Q$5:$Q$46,MATCH($A505,'个人技术总览'!$A$5:$A$46,0))</f>
        <v/>
      </c>
      <c r="S505" s="64">
        <f>INDEX('个人技术总览'!$R$5:$R$46,MATCH($A505,'个人技术总览'!$A$5:$A$46,0))</f>
        <v/>
      </c>
      <c r="T505" s="68">
        <f>POWER($Q505,$E505)</f>
        <v/>
      </c>
      <c r="U505" s="68">
        <f>SUMIFS($T$5:$T$589,$A$5:$A$589,$A505)</f>
        <v/>
      </c>
      <c r="V505" s="67">
        <f>ROUNDDOWN(MAX(0,$P505-$H505*$G505)*$T505/MAX(1,$U505),0)</f>
        <v/>
      </c>
      <c r="W505" s="68">
        <f>POWER($S505,$E505)</f>
        <v/>
      </c>
      <c r="X505" s="68">
        <f>SUMIFS($W$5:$W$589,$A$5:$A$589,$A505)</f>
        <v/>
      </c>
      <c r="Y505" s="67">
        <f>ROUNDDOWN(MAX(0,$R505-$J505*$G505)*$W505/MAX(1,$X505),0)</f>
        <v/>
      </c>
    </row>
    <row r="506">
      <c r="A506" s="17" t="inlineStr">
        <is>
          <t>gong_hp</t>
        </is>
      </c>
      <c r="B506" s="18" t="inlineStr">
        <is>
          <t>云流转气</t>
        </is>
      </c>
      <c r="C506" s="18" t="inlineStr">
        <is>
          <t>武艺技术</t>
        </is>
      </c>
      <c r="D506" s="18" t="inlineStr">
        <is>
          <t>弓箭类</t>
        </is>
      </c>
      <c r="E506" s="65" t="n">
        <v>6</v>
      </c>
      <c r="F506" s="66">
        <f>E506+1</f>
        <v/>
      </c>
      <c r="G506" s="65">
        <f>INDEX('个人技术总览'!$E$5:$E$46,MATCH($A506,'个人技术总览'!$A$5:$A$46,0))</f>
        <v/>
      </c>
      <c r="H506" s="59">
        <f>INDEX('个人技术总览'!$F$5:$F$46,MATCH($A506,'个人技术总览'!$A$5:$A$46,0))</f>
        <v/>
      </c>
      <c r="I506" s="60">
        <f>INDEX('个人技术总览'!$G$5:$G$46,MATCH($A506,'个人技术总览'!$A$5:$A$46,0))</f>
        <v/>
      </c>
      <c r="J506" s="59">
        <f>INDEX('个人技术总览'!$H$5:$H$46,MATCH($A506,'个人技术总览'!$A$5:$A$46,0))</f>
        <v/>
      </c>
      <c r="K506" s="60">
        <f>INDEX('个人技术总览'!$I$5:$I$46,MATCH($A506,'个人技术总览'!$A$5:$A$46,0))</f>
        <v/>
      </c>
      <c r="L506" s="67">
        <f>H506+V506+IF(E506=G506-1,MAX(0,P506-H506*G506-SUMIFS($V$5:$V$589,$A$5:$A$589,$A506)),0)</f>
        <v/>
      </c>
      <c r="M506" s="61">
        <f>MAX(1,ROUNDDOWN($L506/'参数与公式'!$B$5,0))</f>
        <v/>
      </c>
      <c r="N506" s="67">
        <f>J506+Y506+IF(E506=G506-1,MAX(0,R506-J506*G506-SUMIFS($Y$5:$Y$589,$A$5:$A$589,$A506)),0)</f>
        <v/>
      </c>
      <c r="O506" s="18" t="inlineStr">
        <is>
          <t>data/technology_templates.yaml; upgrade_profiles.martial; code: technology_rules.allocate_upgrade_budget</t>
        </is>
      </c>
      <c r="P506" s="67">
        <f>INDEX('个人技术总览'!$O$5:$O$46,MATCH($A506,'个人技术总览'!$A$5:$A$46,0))</f>
        <v/>
      </c>
      <c r="Q506" s="64">
        <f>INDEX('个人技术总览'!$P$5:$P$46,MATCH($A506,'个人技术总览'!$A$5:$A$46,0))</f>
        <v/>
      </c>
      <c r="R506" s="67">
        <f>INDEX('个人技术总览'!$Q$5:$Q$46,MATCH($A506,'个人技术总览'!$A$5:$A$46,0))</f>
        <v/>
      </c>
      <c r="S506" s="64">
        <f>INDEX('个人技术总览'!$R$5:$R$46,MATCH($A506,'个人技术总览'!$A$5:$A$46,0))</f>
        <v/>
      </c>
      <c r="T506" s="68">
        <f>POWER($Q506,$E506)</f>
        <v/>
      </c>
      <c r="U506" s="68">
        <f>SUMIFS($T$5:$T$589,$A$5:$A$589,$A506)</f>
        <v/>
      </c>
      <c r="V506" s="67">
        <f>ROUNDDOWN(MAX(0,$P506-$H506*$G506)*$T506/MAX(1,$U506),0)</f>
        <v/>
      </c>
      <c r="W506" s="68">
        <f>POWER($S506,$E506)</f>
        <v/>
      </c>
      <c r="X506" s="68">
        <f>SUMIFS($W$5:$W$589,$A$5:$A$589,$A506)</f>
        <v/>
      </c>
      <c r="Y506" s="67">
        <f>ROUNDDOWN(MAX(0,$R506-$J506*$G506)*$W506/MAX(1,$X506),0)</f>
        <v/>
      </c>
    </row>
    <row r="507">
      <c r="A507" s="17" t="inlineStr">
        <is>
          <t>gong_hp</t>
        </is>
      </c>
      <c r="B507" s="18" t="inlineStr">
        <is>
          <t>云流转气</t>
        </is>
      </c>
      <c r="C507" s="18" t="inlineStr">
        <is>
          <t>武艺技术</t>
        </is>
      </c>
      <c r="D507" s="18" t="inlineStr">
        <is>
          <t>弓箭类</t>
        </is>
      </c>
      <c r="E507" s="65" t="n">
        <v>7</v>
      </c>
      <c r="F507" s="66">
        <f>E507+1</f>
        <v/>
      </c>
      <c r="G507" s="65">
        <f>INDEX('个人技术总览'!$E$5:$E$46,MATCH($A507,'个人技术总览'!$A$5:$A$46,0))</f>
        <v/>
      </c>
      <c r="H507" s="59">
        <f>INDEX('个人技术总览'!$F$5:$F$46,MATCH($A507,'个人技术总览'!$A$5:$A$46,0))</f>
        <v/>
      </c>
      <c r="I507" s="60">
        <f>INDEX('个人技术总览'!$G$5:$G$46,MATCH($A507,'个人技术总览'!$A$5:$A$46,0))</f>
        <v/>
      </c>
      <c r="J507" s="59">
        <f>INDEX('个人技术总览'!$H$5:$H$46,MATCH($A507,'个人技术总览'!$A$5:$A$46,0))</f>
        <v/>
      </c>
      <c r="K507" s="60">
        <f>INDEX('个人技术总览'!$I$5:$I$46,MATCH($A507,'个人技术总览'!$A$5:$A$46,0))</f>
        <v/>
      </c>
      <c r="L507" s="67">
        <f>H507+V507+IF(E507=G507-1,MAX(0,P507-H507*G507-SUMIFS($V$5:$V$589,$A$5:$A$589,$A507)),0)</f>
        <v/>
      </c>
      <c r="M507" s="61">
        <f>MAX(1,ROUNDDOWN($L507/'参数与公式'!$B$5,0))</f>
        <v/>
      </c>
      <c r="N507" s="67">
        <f>J507+Y507+IF(E507=G507-1,MAX(0,R507-J507*G507-SUMIFS($Y$5:$Y$589,$A$5:$A$589,$A507)),0)</f>
        <v/>
      </c>
      <c r="O507" s="18" t="inlineStr">
        <is>
          <t>data/technology_templates.yaml; upgrade_profiles.martial; code: technology_rules.allocate_upgrade_budget</t>
        </is>
      </c>
      <c r="P507" s="67">
        <f>INDEX('个人技术总览'!$O$5:$O$46,MATCH($A507,'个人技术总览'!$A$5:$A$46,0))</f>
        <v/>
      </c>
      <c r="Q507" s="64">
        <f>INDEX('个人技术总览'!$P$5:$P$46,MATCH($A507,'个人技术总览'!$A$5:$A$46,0))</f>
        <v/>
      </c>
      <c r="R507" s="67">
        <f>INDEX('个人技术总览'!$Q$5:$Q$46,MATCH($A507,'个人技术总览'!$A$5:$A$46,0))</f>
        <v/>
      </c>
      <c r="S507" s="64">
        <f>INDEX('个人技术总览'!$R$5:$R$46,MATCH($A507,'个人技术总览'!$A$5:$A$46,0))</f>
        <v/>
      </c>
      <c r="T507" s="68">
        <f>POWER($Q507,$E507)</f>
        <v/>
      </c>
      <c r="U507" s="68">
        <f>SUMIFS($T$5:$T$589,$A$5:$A$589,$A507)</f>
        <v/>
      </c>
      <c r="V507" s="67">
        <f>ROUNDDOWN(MAX(0,$P507-$H507*$G507)*$T507/MAX(1,$U507),0)</f>
        <v/>
      </c>
      <c r="W507" s="68">
        <f>POWER($S507,$E507)</f>
        <v/>
      </c>
      <c r="X507" s="68">
        <f>SUMIFS($W$5:$W$589,$A$5:$A$589,$A507)</f>
        <v/>
      </c>
      <c r="Y507" s="67">
        <f>ROUNDDOWN(MAX(0,$R507-$J507*$G507)*$W507/MAX(1,$X507),0)</f>
        <v/>
      </c>
    </row>
    <row r="508">
      <c r="A508" s="17" t="inlineStr">
        <is>
          <t>gong_hp</t>
        </is>
      </c>
      <c r="B508" s="18" t="inlineStr">
        <is>
          <t>云流转气</t>
        </is>
      </c>
      <c r="C508" s="18" t="inlineStr">
        <is>
          <t>武艺技术</t>
        </is>
      </c>
      <c r="D508" s="18" t="inlineStr">
        <is>
          <t>弓箭类</t>
        </is>
      </c>
      <c r="E508" s="65" t="n">
        <v>8</v>
      </c>
      <c r="F508" s="66">
        <f>E508+1</f>
        <v/>
      </c>
      <c r="G508" s="65">
        <f>INDEX('个人技术总览'!$E$5:$E$46,MATCH($A508,'个人技术总览'!$A$5:$A$46,0))</f>
        <v/>
      </c>
      <c r="H508" s="59">
        <f>INDEX('个人技术总览'!$F$5:$F$46,MATCH($A508,'个人技术总览'!$A$5:$A$46,0))</f>
        <v/>
      </c>
      <c r="I508" s="60">
        <f>INDEX('个人技术总览'!$G$5:$G$46,MATCH($A508,'个人技术总览'!$A$5:$A$46,0))</f>
        <v/>
      </c>
      <c r="J508" s="59">
        <f>INDEX('个人技术总览'!$H$5:$H$46,MATCH($A508,'个人技术总览'!$A$5:$A$46,0))</f>
        <v/>
      </c>
      <c r="K508" s="60">
        <f>INDEX('个人技术总览'!$I$5:$I$46,MATCH($A508,'个人技术总览'!$A$5:$A$46,0))</f>
        <v/>
      </c>
      <c r="L508" s="67">
        <f>H508+V508+IF(E508=G508-1,MAX(0,P508-H508*G508-SUMIFS($V$5:$V$589,$A$5:$A$589,$A508)),0)</f>
        <v/>
      </c>
      <c r="M508" s="61">
        <f>MAX(1,ROUNDDOWN($L508/'参数与公式'!$B$5,0))</f>
        <v/>
      </c>
      <c r="N508" s="67">
        <f>J508+Y508+IF(E508=G508-1,MAX(0,R508-J508*G508-SUMIFS($Y$5:$Y$589,$A$5:$A$589,$A508)),0)</f>
        <v/>
      </c>
      <c r="O508" s="18" t="inlineStr">
        <is>
          <t>data/technology_templates.yaml; upgrade_profiles.martial; code: technology_rules.allocate_upgrade_budget</t>
        </is>
      </c>
      <c r="P508" s="67">
        <f>INDEX('个人技术总览'!$O$5:$O$46,MATCH($A508,'个人技术总览'!$A$5:$A$46,0))</f>
        <v/>
      </c>
      <c r="Q508" s="64">
        <f>INDEX('个人技术总览'!$P$5:$P$46,MATCH($A508,'个人技术总览'!$A$5:$A$46,0))</f>
        <v/>
      </c>
      <c r="R508" s="67">
        <f>INDEX('个人技术总览'!$Q$5:$Q$46,MATCH($A508,'个人技术总览'!$A$5:$A$46,0))</f>
        <v/>
      </c>
      <c r="S508" s="64">
        <f>INDEX('个人技术总览'!$R$5:$R$46,MATCH($A508,'个人技术总览'!$A$5:$A$46,0))</f>
        <v/>
      </c>
      <c r="T508" s="68">
        <f>POWER($Q508,$E508)</f>
        <v/>
      </c>
      <c r="U508" s="68">
        <f>SUMIFS($T$5:$T$589,$A$5:$A$589,$A508)</f>
        <v/>
      </c>
      <c r="V508" s="67">
        <f>ROUNDDOWN(MAX(0,$P508-$H508*$G508)*$T508/MAX(1,$U508),0)</f>
        <v/>
      </c>
      <c r="W508" s="68">
        <f>POWER($S508,$E508)</f>
        <v/>
      </c>
      <c r="X508" s="68">
        <f>SUMIFS($W$5:$W$589,$A$5:$A$589,$A508)</f>
        <v/>
      </c>
      <c r="Y508" s="67">
        <f>ROUNDDOWN(MAX(0,$R508-$J508*$G508)*$W508/MAX(1,$X508),0)</f>
        <v/>
      </c>
    </row>
    <row r="509">
      <c r="A509" s="17" t="inlineStr">
        <is>
          <t>gong_hp</t>
        </is>
      </c>
      <c r="B509" s="18" t="inlineStr">
        <is>
          <t>云流转气</t>
        </is>
      </c>
      <c r="C509" s="18" t="inlineStr">
        <is>
          <t>武艺技术</t>
        </is>
      </c>
      <c r="D509" s="18" t="inlineStr">
        <is>
          <t>弓箭类</t>
        </is>
      </c>
      <c r="E509" s="65" t="n">
        <v>9</v>
      </c>
      <c r="F509" s="66">
        <f>E509+1</f>
        <v/>
      </c>
      <c r="G509" s="65">
        <f>INDEX('个人技术总览'!$E$5:$E$46,MATCH($A509,'个人技术总览'!$A$5:$A$46,0))</f>
        <v/>
      </c>
      <c r="H509" s="59">
        <f>INDEX('个人技术总览'!$F$5:$F$46,MATCH($A509,'个人技术总览'!$A$5:$A$46,0))</f>
        <v/>
      </c>
      <c r="I509" s="60">
        <f>INDEX('个人技术总览'!$G$5:$G$46,MATCH($A509,'个人技术总览'!$A$5:$A$46,0))</f>
        <v/>
      </c>
      <c r="J509" s="59">
        <f>INDEX('个人技术总览'!$H$5:$H$46,MATCH($A509,'个人技术总览'!$A$5:$A$46,0))</f>
        <v/>
      </c>
      <c r="K509" s="60">
        <f>INDEX('个人技术总览'!$I$5:$I$46,MATCH($A509,'个人技术总览'!$A$5:$A$46,0))</f>
        <v/>
      </c>
      <c r="L509" s="67">
        <f>H509+V509+IF(E509=G509-1,MAX(0,P509-H509*G509-SUMIFS($V$5:$V$589,$A$5:$A$589,$A509)),0)</f>
        <v/>
      </c>
      <c r="M509" s="61">
        <f>MAX(1,ROUNDDOWN($L509/'参数与公式'!$B$5,0))</f>
        <v/>
      </c>
      <c r="N509" s="67">
        <f>J509+Y509+IF(E509=G509-1,MAX(0,R509-J509*G509-SUMIFS($Y$5:$Y$589,$A$5:$A$589,$A509)),0)</f>
        <v/>
      </c>
      <c r="O509" s="18" t="inlineStr">
        <is>
          <t>data/technology_templates.yaml; upgrade_profiles.martial; code: technology_rules.allocate_upgrade_budget</t>
        </is>
      </c>
      <c r="P509" s="67">
        <f>INDEX('个人技术总览'!$O$5:$O$46,MATCH($A509,'个人技术总览'!$A$5:$A$46,0))</f>
        <v/>
      </c>
      <c r="Q509" s="64">
        <f>INDEX('个人技术总览'!$P$5:$P$46,MATCH($A509,'个人技术总览'!$A$5:$A$46,0))</f>
        <v/>
      </c>
      <c r="R509" s="67">
        <f>INDEX('个人技术总览'!$Q$5:$Q$46,MATCH($A509,'个人技术总览'!$A$5:$A$46,0))</f>
        <v/>
      </c>
      <c r="S509" s="64">
        <f>INDEX('个人技术总览'!$R$5:$R$46,MATCH($A509,'个人技术总览'!$A$5:$A$46,0))</f>
        <v/>
      </c>
      <c r="T509" s="68">
        <f>POWER($Q509,$E509)</f>
        <v/>
      </c>
      <c r="U509" s="68">
        <f>SUMIFS($T$5:$T$589,$A$5:$A$589,$A509)</f>
        <v/>
      </c>
      <c r="V509" s="67">
        <f>ROUNDDOWN(MAX(0,$P509-$H509*$G509)*$T509/MAX(1,$U509),0)</f>
        <v/>
      </c>
      <c r="W509" s="68">
        <f>POWER($S509,$E509)</f>
        <v/>
      </c>
      <c r="X509" s="68">
        <f>SUMIFS($W$5:$W$589,$A$5:$A$589,$A509)</f>
        <v/>
      </c>
      <c r="Y509" s="67">
        <f>ROUNDDOWN(MAX(0,$R509-$J509*$G509)*$W509/MAX(1,$X509),0)</f>
        <v/>
      </c>
    </row>
    <row r="510">
      <c r="A510" s="17" t="inlineStr">
        <is>
          <t>gong_range</t>
        </is>
      </c>
      <c r="B510" s="18" t="inlineStr">
        <is>
          <t>凤舞九天</t>
        </is>
      </c>
      <c r="C510" s="18" t="inlineStr">
        <is>
          <t>武艺技术</t>
        </is>
      </c>
      <c r="D510" s="18" t="inlineStr">
        <is>
          <t>弓箭类</t>
        </is>
      </c>
      <c r="E510" s="65" t="n">
        <v>0</v>
      </c>
      <c r="F510" s="66">
        <f>E510+1</f>
        <v/>
      </c>
      <c r="G510" s="65">
        <f>INDEX('个人技术总览'!$E$5:$E$46,MATCH($A510,'个人技术总览'!$A$5:$A$46,0))</f>
        <v/>
      </c>
      <c r="H510" s="59">
        <f>INDEX('个人技术总览'!$F$5:$F$46,MATCH($A510,'个人技术总览'!$A$5:$A$46,0))</f>
        <v/>
      </c>
      <c r="I510" s="60">
        <f>INDEX('个人技术总览'!$G$5:$G$46,MATCH($A510,'个人技术总览'!$A$5:$A$46,0))</f>
        <v/>
      </c>
      <c r="J510" s="59">
        <f>INDEX('个人技术总览'!$H$5:$H$46,MATCH($A510,'个人技术总览'!$A$5:$A$46,0))</f>
        <v/>
      </c>
      <c r="K510" s="60">
        <f>INDEX('个人技术总览'!$I$5:$I$46,MATCH($A510,'个人技术总览'!$A$5:$A$46,0))</f>
        <v/>
      </c>
      <c r="L510" s="67">
        <f>H510+V510+IF(E510=G510-1,MAX(0,P510-H510*G510-SUMIFS($V$5:$V$589,$A$5:$A$589,$A510)),0)</f>
        <v/>
      </c>
      <c r="M510" s="61">
        <f>MAX(1,ROUNDDOWN($L510/'参数与公式'!$B$5,0))</f>
        <v/>
      </c>
      <c r="N510" s="67">
        <f>J510+Y510+IF(E510=G510-1,MAX(0,R510-J510*G510-SUMIFS($Y$5:$Y$589,$A$5:$A$589,$A510)),0)</f>
        <v/>
      </c>
      <c r="O510" s="18" t="inlineStr">
        <is>
          <t>data/technology_templates.yaml; upgrade_profiles.martial; code: technology_rules.allocate_upgrade_budget</t>
        </is>
      </c>
      <c r="P510" s="67">
        <f>INDEX('个人技术总览'!$O$5:$O$46,MATCH($A510,'个人技术总览'!$A$5:$A$46,0))</f>
        <v/>
      </c>
      <c r="Q510" s="64">
        <f>INDEX('个人技术总览'!$P$5:$P$46,MATCH($A510,'个人技术总览'!$A$5:$A$46,0))</f>
        <v/>
      </c>
      <c r="R510" s="67">
        <f>INDEX('个人技术总览'!$Q$5:$Q$46,MATCH($A510,'个人技术总览'!$A$5:$A$46,0))</f>
        <v/>
      </c>
      <c r="S510" s="64">
        <f>INDEX('个人技术总览'!$R$5:$R$46,MATCH($A510,'个人技术总览'!$A$5:$A$46,0))</f>
        <v/>
      </c>
      <c r="T510" s="68">
        <f>POWER($Q510,$E510)</f>
        <v/>
      </c>
      <c r="U510" s="68">
        <f>SUMIFS($T$5:$T$589,$A$5:$A$589,$A510)</f>
        <v/>
      </c>
      <c r="V510" s="67">
        <f>ROUNDDOWN(MAX(0,$P510-$H510*$G510)*$T510/MAX(1,$U510),0)</f>
        <v/>
      </c>
      <c r="W510" s="68">
        <f>POWER($S510,$E510)</f>
        <v/>
      </c>
      <c r="X510" s="68">
        <f>SUMIFS($W$5:$W$589,$A$5:$A$589,$A510)</f>
        <v/>
      </c>
      <c r="Y510" s="67">
        <f>ROUNDDOWN(MAX(0,$R510-$J510*$G510)*$W510/MAX(1,$X510),0)</f>
        <v/>
      </c>
    </row>
    <row r="511">
      <c r="A511" s="17" t="inlineStr">
        <is>
          <t>gong_range</t>
        </is>
      </c>
      <c r="B511" s="18" t="inlineStr">
        <is>
          <t>凤舞九天</t>
        </is>
      </c>
      <c r="C511" s="18" t="inlineStr">
        <is>
          <t>武艺技术</t>
        </is>
      </c>
      <c r="D511" s="18" t="inlineStr">
        <is>
          <t>弓箭类</t>
        </is>
      </c>
      <c r="E511" s="65" t="n">
        <v>1</v>
      </c>
      <c r="F511" s="66">
        <f>E511+1</f>
        <v/>
      </c>
      <c r="G511" s="65">
        <f>INDEX('个人技术总览'!$E$5:$E$46,MATCH($A511,'个人技术总览'!$A$5:$A$46,0))</f>
        <v/>
      </c>
      <c r="H511" s="59">
        <f>INDEX('个人技术总览'!$F$5:$F$46,MATCH($A511,'个人技术总览'!$A$5:$A$46,0))</f>
        <v/>
      </c>
      <c r="I511" s="60">
        <f>INDEX('个人技术总览'!$G$5:$G$46,MATCH($A511,'个人技术总览'!$A$5:$A$46,0))</f>
        <v/>
      </c>
      <c r="J511" s="59">
        <f>INDEX('个人技术总览'!$H$5:$H$46,MATCH($A511,'个人技术总览'!$A$5:$A$46,0))</f>
        <v/>
      </c>
      <c r="K511" s="60">
        <f>INDEX('个人技术总览'!$I$5:$I$46,MATCH($A511,'个人技术总览'!$A$5:$A$46,0))</f>
        <v/>
      </c>
      <c r="L511" s="67">
        <f>H511+V511+IF(E511=G511-1,MAX(0,P511-H511*G511-SUMIFS($V$5:$V$589,$A$5:$A$589,$A511)),0)</f>
        <v/>
      </c>
      <c r="M511" s="61">
        <f>MAX(1,ROUNDDOWN($L511/'参数与公式'!$B$5,0))</f>
        <v/>
      </c>
      <c r="N511" s="67">
        <f>J511+Y511+IF(E511=G511-1,MAX(0,R511-J511*G511-SUMIFS($Y$5:$Y$589,$A$5:$A$589,$A511)),0)</f>
        <v/>
      </c>
      <c r="O511" s="18" t="inlineStr">
        <is>
          <t>data/technology_templates.yaml; upgrade_profiles.martial; code: technology_rules.allocate_upgrade_budget</t>
        </is>
      </c>
      <c r="P511" s="67">
        <f>INDEX('个人技术总览'!$O$5:$O$46,MATCH($A511,'个人技术总览'!$A$5:$A$46,0))</f>
        <v/>
      </c>
      <c r="Q511" s="64">
        <f>INDEX('个人技术总览'!$P$5:$P$46,MATCH($A511,'个人技术总览'!$A$5:$A$46,0))</f>
        <v/>
      </c>
      <c r="R511" s="67">
        <f>INDEX('个人技术总览'!$Q$5:$Q$46,MATCH($A511,'个人技术总览'!$A$5:$A$46,0))</f>
        <v/>
      </c>
      <c r="S511" s="64">
        <f>INDEX('个人技术总览'!$R$5:$R$46,MATCH($A511,'个人技术总览'!$A$5:$A$46,0))</f>
        <v/>
      </c>
      <c r="T511" s="68">
        <f>POWER($Q511,$E511)</f>
        <v/>
      </c>
      <c r="U511" s="68">
        <f>SUMIFS($T$5:$T$589,$A$5:$A$589,$A511)</f>
        <v/>
      </c>
      <c r="V511" s="67">
        <f>ROUNDDOWN(MAX(0,$P511-$H511*$G511)*$T511/MAX(1,$U511),0)</f>
        <v/>
      </c>
      <c r="W511" s="68">
        <f>POWER($S511,$E511)</f>
        <v/>
      </c>
      <c r="X511" s="68">
        <f>SUMIFS($W$5:$W$589,$A$5:$A$589,$A511)</f>
        <v/>
      </c>
      <c r="Y511" s="67">
        <f>ROUNDDOWN(MAX(0,$R511-$J511*$G511)*$W511/MAX(1,$X511),0)</f>
        <v/>
      </c>
    </row>
    <row r="512">
      <c r="A512" s="17" t="inlineStr">
        <is>
          <t>gong_range</t>
        </is>
      </c>
      <c r="B512" s="18" t="inlineStr">
        <is>
          <t>凤舞九天</t>
        </is>
      </c>
      <c r="C512" s="18" t="inlineStr">
        <is>
          <t>武艺技术</t>
        </is>
      </c>
      <c r="D512" s="18" t="inlineStr">
        <is>
          <t>弓箭类</t>
        </is>
      </c>
      <c r="E512" s="65" t="n">
        <v>2</v>
      </c>
      <c r="F512" s="66">
        <f>E512+1</f>
        <v/>
      </c>
      <c r="G512" s="65">
        <f>INDEX('个人技术总览'!$E$5:$E$46,MATCH($A512,'个人技术总览'!$A$5:$A$46,0))</f>
        <v/>
      </c>
      <c r="H512" s="59">
        <f>INDEX('个人技术总览'!$F$5:$F$46,MATCH($A512,'个人技术总览'!$A$5:$A$46,0))</f>
        <v/>
      </c>
      <c r="I512" s="60">
        <f>INDEX('个人技术总览'!$G$5:$G$46,MATCH($A512,'个人技术总览'!$A$5:$A$46,0))</f>
        <v/>
      </c>
      <c r="J512" s="59">
        <f>INDEX('个人技术总览'!$H$5:$H$46,MATCH($A512,'个人技术总览'!$A$5:$A$46,0))</f>
        <v/>
      </c>
      <c r="K512" s="60">
        <f>INDEX('个人技术总览'!$I$5:$I$46,MATCH($A512,'个人技术总览'!$A$5:$A$46,0))</f>
        <v/>
      </c>
      <c r="L512" s="67">
        <f>H512+V512+IF(E512=G512-1,MAX(0,P512-H512*G512-SUMIFS($V$5:$V$589,$A$5:$A$589,$A512)),0)</f>
        <v/>
      </c>
      <c r="M512" s="61">
        <f>MAX(1,ROUNDDOWN($L512/'参数与公式'!$B$5,0))</f>
        <v/>
      </c>
      <c r="N512" s="67">
        <f>J512+Y512+IF(E512=G512-1,MAX(0,R512-J512*G512-SUMIFS($Y$5:$Y$589,$A$5:$A$589,$A512)),0)</f>
        <v/>
      </c>
      <c r="O512" s="18" t="inlineStr">
        <is>
          <t>data/technology_templates.yaml; upgrade_profiles.martial; code: technology_rules.allocate_upgrade_budget</t>
        </is>
      </c>
      <c r="P512" s="67">
        <f>INDEX('个人技术总览'!$O$5:$O$46,MATCH($A512,'个人技术总览'!$A$5:$A$46,0))</f>
        <v/>
      </c>
      <c r="Q512" s="64">
        <f>INDEX('个人技术总览'!$P$5:$P$46,MATCH($A512,'个人技术总览'!$A$5:$A$46,0))</f>
        <v/>
      </c>
      <c r="R512" s="67">
        <f>INDEX('个人技术总览'!$Q$5:$Q$46,MATCH($A512,'个人技术总览'!$A$5:$A$46,0))</f>
        <v/>
      </c>
      <c r="S512" s="64">
        <f>INDEX('个人技术总览'!$R$5:$R$46,MATCH($A512,'个人技术总览'!$A$5:$A$46,0))</f>
        <v/>
      </c>
      <c r="T512" s="68">
        <f>POWER($Q512,$E512)</f>
        <v/>
      </c>
      <c r="U512" s="68">
        <f>SUMIFS($T$5:$T$589,$A$5:$A$589,$A512)</f>
        <v/>
      </c>
      <c r="V512" s="67">
        <f>ROUNDDOWN(MAX(0,$P512-$H512*$G512)*$T512/MAX(1,$U512),0)</f>
        <v/>
      </c>
      <c r="W512" s="68">
        <f>POWER($S512,$E512)</f>
        <v/>
      </c>
      <c r="X512" s="68">
        <f>SUMIFS($W$5:$W$589,$A$5:$A$589,$A512)</f>
        <v/>
      </c>
      <c r="Y512" s="67">
        <f>ROUNDDOWN(MAX(0,$R512-$J512*$G512)*$W512/MAX(1,$X512),0)</f>
        <v/>
      </c>
    </row>
    <row r="513">
      <c r="A513" s="17" t="inlineStr">
        <is>
          <t>gong_range</t>
        </is>
      </c>
      <c r="B513" s="18" t="inlineStr">
        <is>
          <t>凤舞九天</t>
        </is>
      </c>
      <c r="C513" s="18" t="inlineStr">
        <is>
          <t>武艺技术</t>
        </is>
      </c>
      <c r="D513" s="18" t="inlineStr">
        <is>
          <t>弓箭类</t>
        </is>
      </c>
      <c r="E513" s="65" t="n">
        <v>3</v>
      </c>
      <c r="F513" s="66">
        <f>E513+1</f>
        <v/>
      </c>
      <c r="G513" s="65">
        <f>INDEX('个人技术总览'!$E$5:$E$46,MATCH($A513,'个人技术总览'!$A$5:$A$46,0))</f>
        <v/>
      </c>
      <c r="H513" s="59">
        <f>INDEX('个人技术总览'!$F$5:$F$46,MATCH($A513,'个人技术总览'!$A$5:$A$46,0))</f>
        <v/>
      </c>
      <c r="I513" s="60">
        <f>INDEX('个人技术总览'!$G$5:$G$46,MATCH($A513,'个人技术总览'!$A$5:$A$46,0))</f>
        <v/>
      </c>
      <c r="J513" s="59">
        <f>INDEX('个人技术总览'!$H$5:$H$46,MATCH($A513,'个人技术总览'!$A$5:$A$46,0))</f>
        <v/>
      </c>
      <c r="K513" s="60">
        <f>INDEX('个人技术总览'!$I$5:$I$46,MATCH($A513,'个人技术总览'!$A$5:$A$46,0))</f>
        <v/>
      </c>
      <c r="L513" s="67">
        <f>H513+V513+IF(E513=G513-1,MAX(0,P513-H513*G513-SUMIFS($V$5:$V$589,$A$5:$A$589,$A513)),0)</f>
        <v/>
      </c>
      <c r="M513" s="61">
        <f>MAX(1,ROUNDDOWN($L513/'参数与公式'!$B$5,0))</f>
        <v/>
      </c>
      <c r="N513" s="67">
        <f>J513+Y513+IF(E513=G513-1,MAX(0,R513-J513*G513-SUMIFS($Y$5:$Y$589,$A$5:$A$589,$A513)),0)</f>
        <v/>
      </c>
      <c r="O513" s="18" t="inlineStr">
        <is>
          <t>data/technology_templates.yaml; upgrade_profiles.martial; code: technology_rules.allocate_upgrade_budget</t>
        </is>
      </c>
      <c r="P513" s="67">
        <f>INDEX('个人技术总览'!$O$5:$O$46,MATCH($A513,'个人技术总览'!$A$5:$A$46,0))</f>
        <v/>
      </c>
      <c r="Q513" s="64">
        <f>INDEX('个人技术总览'!$P$5:$P$46,MATCH($A513,'个人技术总览'!$A$5:$A$46,0))</f>
        <v/>
      </c>
      <c r="R513" s="67">
        <f>INDEX('个人技术总览'!$Q$5:$Q$46,MATCH($A513,'个人技术总览'!$A$5:$A$46,0))</f>
        <v/>
      </c>
      <c r="S513" s="64">
        <f>INDEX('个人技术总览'!$R$5:$R$46,MATCH($A513,'个人技术总览'!$A$5:$A$46,0))</f>
        <v/>
      </c>
      <c r="T513" s="68">
        <f>POWER($Q513,$E513)</f>
        <v/>
      </c>
      <c r="U513" s="68">
        <f>SUMIFS($T$5:$T$589,$A$5:$A$589,$A513)</f>
        <v/>
      </c>
      <c r="V513" s="67">
        <f>ROUNDDOWN(MAX(0,$P513-$H513*$G513)*$T513/MAX(1,$U513),0)</f>
        <v/>
      </c>
      <c r="W513" s="68">
        <f>POWER($S513,$E513)</f>
        <v/>
      </c>
      <c r="X513" s="68">
        <f>SUMIFS($W$5:$W$589,$A$5:$A$589,$A513)</f>
        <v/>
      </c>
      <c r="Y513" s="67">
        <f>ROUNDDOWN(MAX(0,$R513-$J513*$G513)*$W513/MAX(1,$X513),0)</f>
        <v/>
      </c>
    </row>
    <row r="514">
      <c r="A514" s="17" t="inlineStr">
        <is>
          <t>gong_range</t>
        </is>
      </c>
      <c r="B514" s="18" t="inlineStr">
        <is>
          <t>凤舞九天</t>
        </is>
      </c>
      <c r="C514" s="18" t="inlineStr">
        <is>
          <t>武艺技术</t>
        </is>
      </c>
      <c r="D514" s="18" t="inlineStr">
        <is>
          <t>弓箭类</t>
        </is>
      </c>
      <c r="E514" s="65" t="n">
        <v>4</v>
      </c>
      <c r="F514" s="66">
        <f>E514+1</f>
        <v/>
      </c>
      <c r="G514" s="65">
        <f>INDEX('个人技术总览'!$E$5:$E$46,MATCH($A514,'个人技术总览'!$A$5:$A$46,0))</f>
        <v/>
      </c>
      <c r="H514" s="59">
        <f>INDEX('个人技术总览'!$F$5:$F$46,MATCH($A514,'个人技术总览'!$A$5:$A$46,0))</f>
        <v/>
      </c>
      <c r="I514" s="60">
        <f>INDEX('个人技术总览'!$G$5:$G$46,MATCH($A514,'个人技术总览'!$A$5:$A$46,0))</f>
        <v/>
      </c>
      <c r="J514" s="59">
        <f>INDEX('个人技术总览'!$H$5:$H$46,MATCH($A514,'个人技术总览'!$A$5:$A$46,0))</f>
        <v/>
      </c>
      <c r="K514" s="60">
        <f>INDEX('个人技术总览'!$I$5:$I$46,MATCH($A514,'个人技术总览'!$A$5:$A$46,0))</f>
        <v/>
      </c>
      <c r="L514" s="67">
        <f>H514+V514+IF(E514=G514-1,MAX(0,P514-H514*G514-SUMIFS($V$5:$V$589,$A$5:$A$589,$A514)),0)</f>
        <v/>
      </c>
      <c r="M514" s="61">
        <f>MAX(1,ROUNDDOWN($L514/'参数与公式'!$B$5,0))</f>
        <v/>
      </c>
      <c r="N514" s="67">
        <f>J514+Y514+IF(E514=G514-1,MAX(0,R514-J514*G514-SUMIFS($Y$5:$Y$589,$A$5:$A$589,$A514)),0)</f>
        <v/>
      </c>
      <c r="O514" s="18" t="inlineStr">
        <is>
          <t>data/technology_templates.yaml; upgrade_profiles.martial; code: technology_rules.allocate_upgrade_budget</t>
        </is>
      </c>
      <c r="P514" s="67">
        <f>INDEX('个人技术总览'!$O$5:$O$46,MATCH($A514,'个人技术总览'!$A$5:$A$46,0))</f>
        <v/>
      </c>
      <c r="Q514" s="64">
        <f>INDEX('个人技术总览'!$P$5:$P$46,MATCH($A514,'个人技术总览'!$A$5:$A$46,0))</f>
        <v/>
      </c>
      <c r="R514" s="67">
        <f>INDEX('个人技术总览'!$Q$5:$Q$46,MATCH($A514,'个人技术总览'!$A$5:$A$46,0))</f>
        <v/>
      </c>
      <c r="S514" s="64">
        <f>INDEX('个人技术总览'!$R$5:$R$46,MATCH($A514,'个人技术总览'!$A$5:$A$46,0))</f>
        <v/>
      </c>
      <c r="T514" s="68">
        <f>POWER($Q514,$E514)</f>
        <v/>
      </c>
      <c r="U514" s="68">
        <f>SUMIFS($T$5:$T$589,$A$5:$A$589,$A514)</f>
        <v/>
      </c>
      <c r="V514" s="67">
        <f>ROUNDDOWN(MAX(0,$P514-$H514*$G514)*$T514/MAX(1,$U514),0)</f>
        <v/>
      </c>
      <c r="W514" s="68">
        <f>POWER($S514,$E514)</f>
        <v/>
      </c>
      <c r="X514" s="68">
        <f>SUMIFS($W$5:$W$589,$A$5:$A$589,$A514)</f>
        <v/>
      </c>
      <c r="Y514" s="67">
        <f>ROUNDDOWN(MAX(0,$R514-$J514*$G514)*$W514/MAX(1,$X514),0)</f>
        <v/>
      </c>
    </row>
    <row r="515">
      <c r="A515" s="17" t="inlineStr">
        <is>
          <t>gong_melee</t>
        </is>
      </c>
      <c r="B515" s="18" t="inlineStr">
        <is>
          <t>短刃杀法</t>
        </is>
      </c>
      <c r="C515" s="18" t="inlineStr">
        <is>
          <t>武艺技术</t>
        </is>
      </c>
      <c r="D515" s="18" t="inlineStr">
        <is>
          <t>弓箭类</t>
        </is>
      </c>
      <c r="E515" s="65" t="n">
        <v>0</v>
      </c>
      <c r="F515" s="66">
        <f>E515+1</f>
        <v/>
      </c>
      <c r="G515" s="65">
        <f>INDEX('个人技术总览'!$E$5:$E$46,MATCH($A515,'个人技术总览'!$A$5:$A$46,0))</f>
        <v/>
      </c>
      <c r="H515" s="59">
        <f>INDEX('个人技术总览'!$F$5:$F$46,MATCH($A515,'个人技术总览'!$A$5:$A$46,0))</f>
        <v/>
      </c>
      <c r="I515" s="60">
        <f>INDEX('个人技术总览'!$G$5:$G$46,MATCH($A515,'个人技术总览'!$A$5:$A$46,0))</f>
        <v/>
      </c>
      <c r="J515" s="59">
        <f>INDEX('个人技术总览'!$H$5:$H$46,MATCH($A515,'个人技术总览'!$A$5:$A$46,0))</f>
        <v/>
      </c>
      <c r="K515" s="60">
        <f>INDEX('个人技术总览'!$I$5:$I$46,MATCH($A515,'个人技术总览'!$A$5:$A$46,0))</f>
        <v/>
      </c>
      <c r="L515" s="67">
        <f>H515+V515+IF(E515=G515-1,MAX(0,P515-H515*G515-SUMIFS($V$5:$V$589,$A$5:$A$589,$A515)),0)</f>
        <v/>
      </c>
      <c r="M515" s="61">
        <f>MAX(1,ROUNDDOWN($L515/'参数与公式'!$B$5,0))</f>
        <v/>
      </c>
      <c r="N515" s="67">
        <f>J515+Y515+IF(E515=G515-1,MAX(0,R515-J515*G515-SUMIFS($Y$5:$Y$589,$A$5:$A$589,$A515)),0)</f>
        <v/>
      </c>
      <c r="O515" s="18" t="inlineStr">
        <is>
          <t>data/technology_templates.yaml; upgrade_profiles.martial; code: technology_rules.allocate_upgrade_budget</t>
        </is>
      </c>
      <c r="P515" s="67">
        <f>INDEX('个人技术总览'!$O$5:$O$46,MATCH($A515,'个人技术总览'!$A$5:$A$46,0))</f>
        <v/>
      </c>
      <c r="Q515" s="64">
        <f>INDEX('个人技术总览'!$P$5:$P$46,MATCH($A515,'个人技术总览'!$A$5:$A$46,0))</f>
        <v/>
      </c>
      <c r="R515" s="67">
        <f>INDEX('个人技术总览'!$Q$5:$Q$46,MATCH($A515,'个人技术总览'!$A$5:$A$46,0))</f>
        <v/>
      </c>
      <c r="S515" s="64">
        <f>INDEX('个人技术总览'!$R$5:$R$46,MATCH($A515,'个人技术总览'!$A$5:$A$46,0))</f>
        <v/>
      </c>
      <c r="T515" s="68">
        <f>POWER($Q515,$E515)</f>
        <v/>
      </c>
      <c r="U515" s="68">
        <f>SUMIFS($T$5:$T$589,$A$5:$A$589,$A515)</f>
        <v/>
      </c>
      <c r="V515" s="67">
        <f>ROUNDDOWN(MAX(0,$P515-$H515*$G515)*$T515/MAX(1,$U515),0)</f>
        <v/>
      </c>
      <c r="W515" s="68">
        <f>POWER($S515,$E515)</f>
        <v/>
      </c>
      <c r="X515" s="68">
        <f>SUMIFS($W$5:$W$589,$A$5:$A$589,$A515)</f>
        <v/>
      </c>
      <c r="Y515" s="67">
        <f>ROUNDDOWN(MAX(0,$R515-$J515*$G515)*$W515/MAX(1,$X515),0)</f>
        <v/>
      </c>
    </row>
    <row r="516">
      <c r="A516" s="17" t="inlineStr">
        <is>
          <t>gong_melee</t>
        </is>
      </c>
      <c r="B516" s="18" t="inlineStr">
        <is>
          <t>短刃杀法</t>
        </is>
      </c>
      <c r="C516" s="18" t="inlineStr">
        <is>
          <t>武艺技术</t>
        </is>
      </c>
      <c r="D516" s="18" t="inlineStr">
        <is>
          <t>弓箭类</t>
        </is>
      </c>
      <c r="E516" s="65" t="n">
        <v>1</v>
      </c>
      <c r="F516" s="66">
        <f>E516+1</f>
        <v/>
      </c>
      <c r="G516" s="65">
        <f>INDEX('个人技术总览'!$E$5:$E$46,MATCH($A516,'个人技术总览'!$A$5:$A$46,0))</f>
        <v/>
      </c>
      <c r="H516" s="59">
        <f>INDEX('个人技术总览'!$F$5:$F$46,MATCH($A516,'个人技术总览'!$A$5:$A$46,0))</f>
        <v/>
      </c>
      <c r="I516" s="60">
        <f>INDEX('个人技术总览'!$G$5:$G$46,MATCH($A516,'个人技术总览'!$A$5:$A$46,0))</f>
        <v/>
      </c>
      <c r="J516" s="59">
        <f>INDEX('个人技术总览'!$H$5:$H$46,MATCH($A516,'个人技术总览'!$A$5:$A$46,0))</f>
        <v/>
      </c>
      <c r="K516" s="60">
        <f>INDEX('个人技术总览'!$I$5:$I$46,MATCH($A516,'个人技术总览'!$A$5:$A$46,0))</f>
        <v/>
      </c>
      <c r="L516" s="67">
        <f>H516+V516+IF(E516=G516-1,MAX(0,P516-H516*G516-SUMIFS($V$5:$V$589,$A$5:$A$589,$A516)),0)</f>
        <v/>
      </c>
      <c r="M516" s="61">
        <f>MAX(1,ROUNDDOWN($L516/'参数与公式'!$B$5,0))</f>
        <v/>
      </c>
      <c r="N516" s="67">
        <f>J516+Y516+IF(E516=G516-1,MAX(0,R516-J516*G516-SUMIFS($Y$5:$Y$589,$A$5:$A$589,$A516)),0)</f>
        <v/>
      </c>
      <c r="O516" s="18" t="inlineStr">
        <is>
          <t>data/technology_templates.yaml; upgrade_profiles.martial; code: technology_rules.allocate_upgrade_budget</t>
        </is>
      </c>
      <c r="P516" s="67">
        <f>INDEX('个人技术总览'!$O$5:$O$46,MATCH($A516,'个人技术总览'!$A$5:$A$46,0))</f>
        <v/>
      </c>
      <c r="Q516" s="64">
        <f>INDEX('个人技术总览'!$P$5:$P$46,MATCH($A516,'个人技术总览'!$A$5:$A$46,0))</f>
        <v/>
      </c>
      <c r="R516" s="67">
        <f>INDEX('个人技术总览'!$Q$5:$Q$46,MATCH($A516,'个人技术总览'!$A$5:$A$46,0))</f>
        <v/>
      </c>
      <c r="S516" s="64">
        <f>INDEX('个人技术总览'!$R$5:$R$46,MATCH($A516,'个人技术总览'!$A$5:$A$46,0))</f>
        <v/>
      </c>
      <c r="T516" s="68">
        <f>POWER($Q516,$E516)</f>
        <v/>
      </c>
      <c r="U516" s="68">
        <f>SUMIFS($T$5:$T$589,$A$5:$A$589,$A516)</f>
        <v/>
      </c>
      <c r="V516" s="67">
        <f>ROUNDDOWN(MAX(0,$P516-$H516*$G516)*$T516/MAX(1,$U516),0)</f>
        <v/>
      </c>
      <c r="W516" s="68">
        <f>POWER($S516,$E516)</f>
        <v/>
      </c>
      <c r="X516" s="68">
        <f>SUMIFS($W$5:$W$589,$A$5:$A$589,$A516)</f>
        <v/>
      </c>
      <c r="Y516" s="67">
        <f>ROUNDDOWN(MAX(0,$R516-$J516*$G516)*$W516/MAX(1,$X516),0)</f>
        <v/>
      </c>
    </row>
    <row r="517">
      <c r="A517" s="17" t="inlineStr">
        <is>
          <t>gong_melee</t>
        </is>
      </c>
      <c r="B517" s="18" t="inlineStr">
        <is>
          <t>短刃杀法</t>
        </is>
      </c>
      <c r="C517" s="18" t="inlineStr">
        <is>
          <t>武艺技术</t>
        </is>
      </c>
      <c r="D517" s="18" t="inlineStr">
        <is>
          <t>弓箭类</t>
        </is>
      </c>
      <c r="E517" s="65" t="n">
        <v>2</v>
      </c>
      <c r="F517" s="66">
        <f>E517+1</f>
        <v/>
      </c>
      <c r="G517" s="65">
        <f>INDEX('个人技术总览'!$E$5:$E$46,MATCH($A517,'个人技术总览'!$A$5:$A$46,0))</f>
        <v/>
      </c>
      <c r="H517" s="59">
        <f>INDEX('个人技术总览'!$F$5:$F$46,MATCH($A517,'个人技术总览'!$A$5:$A$46,0))</f>
        <v/>
      </c>
      <c r="I517" s="60">
        <f>INDEX('个人技术总览'!$G$5:$G$46,MATCH($A517,'个人技术总览'!$A$5:$A$46,0))</f>
        <v/>
      </c>
      <c r="J517" s="59">
        <f>INDEX('个人技术总览'!$H$5:$H$46,MATCH($A517,'个人技术总览'!$A$5:$A$46,0))</f>
        <v/>
      </c>
      <c r="K517" s="60">
        <f>INDEX('个人技术总览'!$I$5:$I$46,MATCH($A517,'个人技术总览'!$A$5:$A$46,0))</f>
        <v/>
      </c>
      <c r="L517" s="67">
        <f>H517+V517+IF(E517=G517-1,MAX(0,P517-H517*G517-SUMIFS($V$5:$V$589,$A$5:$A$589,$A517)),0)</f>
        <v/>
      </c>
      <c r="M517" s="61">
        <f>MAX(1,ROUNDDOWN($L517/'参数与公式'!$B$5,0))</f>
        <v/>
      </c>
      <c r="N517" s="67">
        <f>J517+Y517+IF(E517=G517-1,MAX(0,R517-J517*G517-SUMIFS($Y$5:$Y$589,$A$5:$A$589,$A517)),0)</f>
        <v/>
      </c>
      <c r="O517" s="18" t="inlineStr">
        <is>
          <t>data/technology_templates.yaml; upgrade_profiles.martial; code: technology_rules.allocate_upgrade_budget</t>
        </is>
      </c>
      <c r="P517" s="67">
        <f>INDEX('个人技术总览'!$O$5:$O$46,MATCH($A517,'个人技术总览'!$A$5:$A$46,0))</f>
        <v/>
      </c>
      <c r="Q517" s="64">
        <f>INDEX('个人技术总览'!$P$5:$P$46,MATCH($A517,'个人技术总览'!$A$5:$A$46,0))</f>
        <v/>
      </c>
      <c r="R517" s="67">
        <f>INDEX('个人技术总览'!$Q$5:$Q$46,MATCH($A517,'个人技术总览'!$A$5:$A$46,0))</f>
        <v/>
      </c>
      <c r="S517" s="64">
        <f>INDEX('个人技术总览'!$R$5:$R$46,MATCH($A517,'个人技术总览'!$A$5:$A$46,0))</f>
        <v/>
      </c>
      <c r="T517" s="68">
        <f>POWER($Q517,$E517)</f>
        <v/>
      </c>
      <c r="U517" s="68">
        <f>SUMIFS($T$5:$T$589,$A$5:$A$589,$A517)</f>
        <v/>
      </c>
      <c r="V517" s="67">
        <f>ROUNDDOWN(MAX(0,$P517-$H517*$G517)*$T517/MAX(1,$U517),0)</f>
        <v/>
      </c>
      <c r="W517" s="68">
        <f>POWER($S517,$E517)</f>
        <v/>
      </c>
      <c r="X517" s="68">
        <f>SUMIFS($W$5:$W$589,$A$5:$A$589,$A517)</f>
        <v/>
      </c>
      <c r="Y517" s="67">
        <f>ROUNDDOWN(MAX(0,$R517-$J517*$G517)*$W517/MAX(1,$X517),0)</f>
        <v/>
      </c>
    </row>
    <row r="518">
      <c r="A518" s="17" t="inlineStr">
        <is>
          <t>gong_melee</t>
        </is>
      </c>
      <c r="B518" s="18" t="inlineStr">
        <is>
          <t>短刃杀法</t>
        </is>
      </c>
      <c r="C518" s="18" t="inlineStr">
        <is>
          <t>武艺技术</t>
        </is>
      </c>
      <c r="D518" s="18" t="inlineStr">
        <is>
          <t>弓箭类</t>
        </is>
      </c>
      <c r="E518" s="65" t="n">
        <v>3</v>
      </c>
      <c r="F518" s="66">
        <f>E518+1</f>
        <v/>
      </c>
      <c r="G518" s="65">
        <f>INDEX('个人技术总览'!$E$5:$E$46,MATCH($A518,'个人技术总览'!$A$5:$A$46,0))</f>
        <v/>
      </c>
      <c r="H518" s="59">
        <f>INDEX('个人技术总览'!$F$5:$F$46,MATCH($A518,'个人技术总览'!$A$5:$A$46,0))</f>
        <v/>
      </c>
      <c r="I518" s="60">
        <f>INDEX('个人技术总览'!$G$5:$G$46,MATCH($A518,'个人技术总览'!$A$5:$A$46,0))</f>
        <v/>
      </c>
      <c r="J518" s="59">
        <f>INDEX('个人技术总览'!$H$5:$H$46,MATCH($A518,'个人技术总览'!$A$5:$A$46,0))</f>
        <v/>
      </c>
      <c r="K518" s="60">
        <f>INDEX('个人技术总览'!$I$5:$I$46,MATCH($A518,'个人技术总览'!$A$5:$A$46,0))</f>
        <v/>
      </c>
      <c r="L518" s="67">
        <f>H518+V518+IF(E518=G518-1,MAX(0,P518-H518*G518-SUMIFS($V$5:$V$589,$A$5:$A$589,$A518)),0)</f>
        <v/>
      </c>
      <c r="M518" s="61">
        <f>MAX(1,ROUNDDOWN($L518/'参数与公式'!$B$5,0))</f>
        <v/>
      </c>
      <c r="N518" s="67">
        <f>J518+Y518+IF(E518=G518-1,MAX(0,R518-J518*G518-SUMIFS($Y$5:$Y$589,$A$5:$A$589,$A518)),0)</f>
        <v/>
      </c>
      <c r="O518" s="18" t="inlineStr">
        <is>
          <t>data/technology_templates.yaml; upgrade_profiles.martial; code: technology_rules.allocate_upgrade_budget</t>
        </is>
      </c>
      <c r="P518" s="67">
        <f>INDEX('个人技术总览'!$O$5:$O$46,MATCH($A518,'个人技术总览'!$A$5:$A$46,0))</f>
        <v/>
      </c>
      <c r="Q518" s="64">
        <f>INDEX('个人技术总览'!$P$5:$P$46,MATCH($A518,'个人技术总览'!$A$5:$A$46,0))</f>
        <v/>
      </c>
      <c r="R518" s="67">
        <f>INDEX('个人技术总览'!$Q$5:$Q$46,MATCH($A518,'个人技术总览'!$A$5:$A$46,0))</f>
        <v/>
      </c>
      <c r="S518" s="64">
        <f>INDEX('个人技术总览'!$R$5:$R$46,MATCH($A518,'个人技术总览'!$A$5:$A$46,0))</f>
        <v/>
      </c>
      <c r="T518" s="68">
        <f>POWER($Q518,$E518)</f>
        <v/>
      </c>
      <c r="U518" s="68">
        <f>SUMIFS($T$5:$T$589,$A$5:$A$589,$A518)</f>
        <v/>
      </c>
      <c r="V518" s="67">
        <f>ROUNDDOWN(MAX(0,$P518-$H518*$G518)*$T518/MAX(1,$U518),0)</f>
        <v/>
      </c>
      <c r="W518" s="68">
        <f>POWER($S518,$E518)</f>
        <v/>
      </c>
      <c r="X518" s="68">
        <f>SUMIFS($W$5:$W$589,$A$5:$A$589,$A518)</f>
        <v/>
      </c>
      <c r="Y518" s="67">
        <f>ROUNDDOWN(MAX(0,$R518-$J518*$G518)*$W518/MAX(1,$X518),0)</f>
        <v/>
      </c>
    </row>
    <row r="519">
      <c r="A519" s="17" t="inlineStr">
        <is>
          <t>gong_melee</t>
        </is>
      </c>
      <c r="B519" s="18" t="inlineStr">
        <is>
          <t>短刃杀法</t>
        </is>
      </c>
      <c r="C519" s="18" t="inlineStr">
        <is>
          <t>武艺技术</t>
        </is>
      </c>
      <c r="D519" s="18" t="inlineStr">
        <is>
          <t>弓箭类</t>
        </is>
      </c>
      <c r="E519" s="65" t="n">
        <v>4</v>
      </c>
      <c r="F519" s="66">
        <f>E519+1</f>
        <v/>
      </c>
      <c r="G519" s="65">
        <f>INDEX('个人技术总览'!$E$5:$E$46,MATCH($A519,'个人技术总览'!$A$5:$A$46,0))</f>
        <v/>
      </c>
      <c r="H519" s="59">
        <f>INDEX('个人技术总览'!$F$5:$F$46,MATCH($A519,'个人技术总览'!$A$5:$A$46,0))</f>
        <v/>
      </c>
      <c r="I519" s="60">
        <f>INDEX('个人技术总览'!$G$5:$G$46,MATCH($A519,'个人技术总览'!$A$5:$A$46,0))</f>
        <v/>
      </c>
      <c r="J519" s="59">
        <f>INDEX('个人技术总览'!$H$5:$H$46,MATCH($A519,'个人技术总览'!$A$5:$A$46,0))</f>
        <v/>
      </c>
      <c r="K519" s="60">
        <f>INDEX('个人技术总览'!$I$5:$I$46,MATCH($A519,'个人技术总览'!$A$5:$A$46,0))</f>
        <v/>
      </c>
      <c r="L519" s="67">
        <f>H519+V519+IF(E519=G519-1,MAX(0,P519-H519*G519-SUMIFS($V$5:$V$589,$A$5:$A$589,$A519)),0)</f>
        <v/>
      </c>
      <c r="M519" s="61">
        <f>MAX(1,ROUNDDOWN($L519/'参数与公式'!$B$5,0))</f>
        <v/>
      </c>
      <c r="N519" s="67">
        <f>J519+Y519+IF(E519=G519-1,MAX(0,R519-J519*G519-SUMIFS($Y$5:$Y$589,$A$5:$A$589,$A519)),0)</f>
        <v/>
      </c>
      <c r="O519" s="18" t="inlineStr">
        <is>
          <t>data/technology_templates.yaml; upgrade_profiles.martial; code: technology_rules.allocate_upgrade_budget</t>
        </is>
      </c>
      <c r="P519" s="67">
        <f>INDEX('个人技术总览'!$O$5:$O$46,MATCH($A519,'个人技术总览'!$A$5:$A$46,0))</f>
        <v/>
      </c>
      <c r="Q519" s="64">
        <f>INDEX('个人技术总览'!$P$5:$P$46,MATCH($A519,'个人技术总览'!$A$5:$A$46,0))</f>
        <v/>
      </c>
      <c r="R519" s="67">
        <f>INDEX('个人技术总览'!$Q$5:$Q$46,MATCH($A519,'个人技术总览'!$A$5:$A$46,0))</f>
        <v/>
      </c>
      <c r="S519" s="64">
        <f>INDEX('个人技术总览'!$R$5:$R$46,MATCH($A519,'个人技术总览'!$A$5:$A$46,0))</f>
        <v/>
      </c>
      <c r="T519" s="68">
        <f>POWER($Q519,$E519)</f>
        <v/>
      </c>
      <c r="U519" s="68">
        <f>SUMIFS($T$5:$T$589,$A$5:$A$589,$A519)</f>
        <v/>
      </c>
      <c r="V519" s="67">
        <f>ROUNDDOWN(MAX(0,$P519-$H519*$G519)*$T519/MAX(1,$U519),0)</f>
        <v/>
      </c>
      <c r="W519" s="68">
        <f>POWER($S519,$E519)</f>
        <v/>
      </c>
      <c r="X519" s="68">
        <f>SUMIFS($W$5:$W$589,$A$5:$A$589,$A519)</f>
        <v/>
      </c>
      <c r="Y519" s="67">
        <f>ROUNDDOWN(MAX(0,$R519-$J519*$G519)*$W519/MAX(1,$X519),0)</f>
        <v/>
      </c>
    </row>
    <row r="520">
      <c r="A520" s="17" t="inlineStr">
        <is>
          <t>gong_melee</t>
        </is>
      </c>
      <c r="B520" s="18" t="inlineStr">
        <is>
          <t>短刃杀法</t>
        </is>
      </c>
      <c r="C520" s="18" t="inlineStr">
        <is>
          <t>武艺技术</t>
        </is>
      </c>
      <c r="D520" s="18" t="inlineStr">
        <is>
          <t>弓箭类</t>
        </is>
      </c>
      <c r="E520" s="65" t="n">
        <v>5</v>
      </c>
      <c r="F520" s="66">
        <f>E520+1</f>
        <v/>
      </c>
      <c r="G520" s="65">
        <f>INDEX('个人技术总览'!$E$5:$E$46,MATCH($A520,'个人技术总览'!$A$5:$A$46,0))</f>
        <v/>
      </c>
      <c r="H520" s="59">
        <f>INDEX('个人技术总览'!$F$5:$F$46,MATCH($A520,'个人技术总览'!$A$5:$A$46,0))</f>
        <v/>
      </c>
      <c r="I520" s="60">
        <f>INDEX('个人技术总览'!$G$5:$G$46,MATCH($A520,'个人技术总览'!$A$5:$A$46,0))</f>
        <v/>
      </c>
      <c r="J520" s="59">
        <f>INDEX('个人技术总览'!$H$5:$H$46,MATCH($A520,'个人技术总览'!$A$5:$A$46,0))</f>
        <v/>
      </c>
      <c r="K520" s="60">
        <f>INDEX('个人技术总览'!$I$5:$I$46,MATCH($A520,'个人技术总览'!$A$5:$A$46,0))</f>
        <v/>
      </c>
      <c r="L520" s="67">
        <f>H520+V520+IF(E520=G520-1,MAX(0,P520-H520*G520-SUMIFS($V$5:$V$589,$A$5:$A$589,$A520)),0)</f>
        <v/>
      </c>
      <c r="M520" s="61">
        <f>MAX(1,ROUNDDOWN($L520/'参数与公式'!$B$5,0))</f>
        <v/>
      </c>
      <c r="N520" s="67">
        <f>J520+Y520+IF(E520=G520-1,MAX(0,R520-J520*G520-SUMIFS($Y$5:$Y$589,$A$5:$A$589,$A520)),0)</f>
        <v/>
      </c>
      <c r="O520" s="18" t="inlineStr">
        <is>
          <t>data/technology_templates.yaml; upgrade_profiles.martial; code: technology_rules.allocate_upgrade_budget</t>
        </is>
      </c>
      <c r="P520" s="67">
        <f>INDEX('个人技术总览'!$O$5:$O$46,MATCH($A520,'个人技术总览'!$A$5:$A$46,0))</f>
        <v/>
      </c>
      <c r="Q520" s="64">
        <f>INDEX('个人技术总览'!$P$5:$P$46,MATCH($A520,'个人技术总览'!$A$5:$A$46,0))</f>
        <v/>
      </c>
      <c r="R520" s="67">
        <f>INDEX('个人技术总览'!$Q$5:$Q$46,MATCH($A520,'个人技术总览'!$A$5:$A$46,0))</f>
        <v/>
      </c>
      <c r="S520" s="64">
        <f>INDEX('个人技术总览'!$R$5:$R$46,MATCH($A520,'个人技术总览'!$A$5:$A$46,0))</f>
        <v/>
      </c>
      <c r="T520" s="68">
        <f>POWER($Q520,$E520)</f>
        <v/>
      </c>
      <c r="U520" s="68">
        <f>SUMIFS($T$5:$T$589,$A$5:$A$589,$A520)</f>
        <v/>
      </c>
      <c r="V520" s="67">
        <f>ROUNDDOWN(MAX(0,$P520-$H520*$G520)*$T520/MAX(1,$U520),0)</f>
        <v/>
      </c>
      <c r="W520" s="68">
        <f>POWER($S520,$E520)</f>
        <v/>
      </c>
      <c r="X520" s="68">
        <f>SUMIFS($W$5:$W$589,$A$5:$A$589,$A520)</f>
        <v/>
      </c>
      <c r="Y520" s="67">
        <f>ROUNDDOWN(MAX(0,$R520-$J520*$G520)*$W520/MAX(1,$X520),0)</f>
        <v/>
      </c>
    </row>
    <row r="521">
      <c r="A521" s="17" t="inlineStr">
        <is>
          <t>gong_melee</t>
        </is>
      </c>
      <c r="B521" s="18" t="inlineStr">
        <is>
          <t>短刃杀法</t>
        </is>
      </c>
      <c r="C521" s="18" t="inlineStr">
        <is>
          <t>武艺技术</t>
        </is>
      </c>
      <c r="D521" s="18" t="inlineStr">
        <is>
          <t>弓箭类</t>
        </is>
      </c>
      <c r="E521" s="65" t="n">
        <v>6</v>
      </c>
      <c r="F521" s="66">
        <f>E521+1</f>
        <v/>
      </c>
      <c r="G521" s="65">
        <f>INDEX('个人技术总览'!$E$5:$E$46,MATCH($A521,'个人技术总览'!$A$5:$A$46,0))</f>
        <v/>
      </c>
      <c r="H521" s="59">
        <f>INDEX('个人技术总览'!$F$5:$F$46,MATCH($A521,'个人技术总览'!$A$5:$A$46,0))</f>
        <v/>
      </c>
      <c r="I521" s="60">
        <f>INDEX('个人技术总览'!$G$5:$G$46,MATCH($A521,'个人技术总览'!$A$5:$A$46,0))</f>
        <v/>
      </c>
      <c r="J521" s="59">
        <f>INDEX('个人技术总览'!$H$5:$H$46,MATCH($A521,'个人技术总览'!$A$5:$A$46,0))</f>
        <v/>
      </c>
      <c r="K521" s="60">
        <f>INDEX('个人技术总览'!$I$5:$I$46,MATCH($A521,'个人技术总览'!$A$5:$A$46,0))</f>
        <v/>
      </c>
      <c r="L521" s="67">
        <f>H521+V521+IF(E521=G521-1,MAX(0,P521-H521*G521-SUMIFS($V$5:$V$589,$A$5:$A$589,$A521)),0)</f>
        <v/>
      </c>
      <c r="M521" s="61">
        <f>MAX(1,ROUNDDOWN($L521/'参数与公式'!$B$5,0))</f>
        <v/>
      </c>
      <c r="N521" s="67">
        <f>J521+Y521+IF(E521=G521-1,MAX(0,R521-J521*G521-SUMIFS($Y$5:$Y$589,$A$5:$A$589,$A521)),0)</f>
        <v/>
      </c>
      <c r="O521" s="18" t="inlineStr">
        <is>
          <t>data/technology_templates.yaml; upgrade_profiles.martial; code: technology_rules.allocate_upgrade_budget</t>
        </is>
      </c>
      <c r="P521" s="67">
        <f>INDEX('个人技术总览'!$O$5:$O$46,MATCH($A521,'个人技术总览'!$A$5:$A$46,0))</f>
        <v/>
      </c>
      <c r="Q521" s="64">
        <f>INDEX('个人技术总览'!$P$5:$P$46,MATCH($A521,'个人技术总览'!$A$5:$A$46,0))</f>
        <v/>
      </c>
      <c r="R521" s="67">
        <f>INDEX('个人技术总览'!$Q$5:$Q$46,MATCH($A521,'个人技术总览'!$A$5:$A$46,0))</f>
        <v/>
      </c>
      <c r="S521" s="64">
        <f>INDEX('个人技术总览'!$R$5:$R$46,MATCH($A521,'个人技术总览'!$A$5:$A$46,0))</f>
        <v/>
      </c>
      <c r="T521" s="68">
        <f>POWER($Q521,$E521)</f>
        <v/>
      </c>
      <c r="U521" s="68">
        <f>SUMIFS($T$5:$T$589,$A$5:$A$589,$A521)</f>
        <v/>
      </c>
      <c r="V521" s="67">
        <f>ROUNDDOWN(MAX(0,$P521-$H521*$G521)*$T521/MAX(1,$U521),0)</f>
        <v/>
      </c>
      <c r="W521" s="68">
        <f>POWER($S521,$E521)</f>
        <v/>
      </c>
      <c r="X521" s="68">
        <f>SUMIFS($W$5:$W$589,$A$5:$A$589,$A521)</f>
        <v/>
      </c>
      <c r="Y521" s="67">
        <f>ROUNDDOWN(MAX(0,$R521-$J521*$G521)*$W521/MAX(1,$X521),0)</f>
        <v/>
      </c>
    </row>
    <row r="522">
      <c r="A522" s="17" t="inlineStr">
        <is>
          <t>gong_melee</t>
        </is>
      </c>
      <c r="B522" s="18" t="inlineStr">
        <is>
          <t>短刃杀法</t>
        </is>
      </c>
      <c r="C522" s="18" t="inlineStr">
        <is>
          <t>武艺技术</t>
        </is>
      </c>
      <c r="D522" s="18" t="inlineStr">
        <is>
          <t>弓箭类</t>
        </is>
      </c>
      <c r="E522" s="65" t="n">
        <v>7</v>
      </c>
      <c r="F522" s="66">
        <f>E522+1</f>
        <v/>
      </c>
      <c r="G522" s="65">
        <f>INDEX('个人技术总览'!$E$5:$E$46,MATCH($A522,'个人技术总览'!$A$5:$A$46,0))</f>
        <v/>
      </c>
      <c r="H522" s="59">
        <f>INDEX('个人技术总览'!$F$5:$F$46,MATCH($A522,'个人技术总览'!$A$5:$A$46,0))</f>
        <v/>
      </c>
      <c r="I522" s="60">
        <f>INDEX('个人技术总览'!$G$5:$G$46,MATCH($A522,'个人技术总览'!$A$5:$A$46,0))</f>
        <v/>
      </c>
      <c r="J522" s="59">
        <f>INDEX('个人技术总览'!$H$5:$H$46,MATCH($A522,'个人技术总览'!$A$5:$A$46,0))</f>
        <v/>
      </c>
      <c r="K522" s="60">
        <f>INDEX('个人技术总览'!$I$5:$I$46,MATCH($A522,'个人技术总览'!$A$5:$A$46,0))</f>
        <v/>
      </c>
      <c r="L522" s="67">
        <f>H522+V522+IF(E522=G522-1,MAX(0,P522-H522*G522-SUMIFS($V$5:$V$589,$A$5:$A$589,$A522)),0)</f>
        <v/>
      </c>
      <c r="M522" s="61">
        <f>MAX(1,ROUNDDOWN($L522/'参数与公式'!$B$5,0))</f>
        <v/>
      </c>
      <c r="N522" s="67">
        <f>J522+Y522+IF(E522=G522-1,MAX(0,R522-J522*G522-SUMIFS($Y$5:$Y$589,$A$5:$A$589,$A522)),0)</f>
        <v/>
      </c>
      <c r="O522" s="18" t="inlineStr">
        <is>
          <t>data/technology_templates.yaml; upgrade_profiles.martial; code: technology_rules.allocate_upgrade_budget</t>
        </is>
      </c>
      <c r="P522" s="67">
        <f>INDEX('个人技术总览'!$O$5:$O$46,MATCH($A522,'个人技术总览'!$A$5:$A$46,0))</f>
        <v/>
      </c>
      <c r="Q522" s="64">
        <f>INDEX('个人技术总览'!$P$5:$P$46,MATCH($A522,'个人技术总览'!$A$5:$A$46,0))</f>
        <v/>
      </c>
      <c r="R522" s="67">
        <f>INDEX('个人技术总览'!$Q$5:$Q$46,MATCH($A522,'个人技术总览'!$A$5:$A$46,0))</f>
        <v/>
      </c>
      <c r="S522" s="64">
        <f>INDEX('个人技术总览'!$R$5:$R$46,MATCH($A522,'个人技术总览'!$A$5:$A$46,0))</f>
        <v/>
      </c>
      <c r="T522" s="68">
        <f>POWER($Q522,$E522)</f>
        <v/>
      </c>
      <c r="U522" s="68">
        <f>SUMIFS($T$5:$T$589,$A$5:$A$589,$A522)</f>
        <v/>
      </c>
      <c r="V522" s="67">
        <f>ROUNDDOWN(MAX(0,$P522-$H522*$G522)*$T522/MAX(1,$U522),0)</f>
        <v/>
      </c>
      <c r="W522" s="68">
        <f>POWER($S522,$E522)</f>
        <v/>
      </c>
      <c r="X522" s="68">
        <f>SUMIFS($W$5:$W$589,$A$5:$A$589,$A522)</f>
        <v/>
      </c>
      <c r="Y522" s="67">
        <f>ROUNDDOWN(MAX(0,$R522-$J522*$G522)*$W522/MAX(1,$X522),0)</f>
        <v/>
      </c>
    </row>
    <row r="523">
      <c r="A523" s="17" t="inlineStr">
        <is>
          <t>gong_melee</t>
        </is>
      </c>
      <c r="B523" s="18" t="inlineStr">
        <is>
          <t>短刃杀法</t>
        </is>
      </c>
      <c r="C523" s="18" t="inlineStr">
        <is>
          <t>武艺技术</t>
        </is>
      </c>
      <c r="D523" s="18" t="inlineStr">
        <is>
          <t>弓箭类</t>
        </is>
      </c>
      <c r="E523" s="65" t="n">
        <v>8</v>
      </c>
      <c r="F523" s="66">
        <f>E523+1</f>
        <v/>
      </c>
      <c r="G523" s="65">
        <f>INDEX('个人技术总览'!$E$5:$E$46,MATCH($A523,'个人技术总览'!$A$5:$A$46,0))</f>
        <v/>
      </c>
      <c r="H523" s="59">
        <f>INDEX('个人技术总览'!$F$5:$F$46,MATCH($A523,'个人技术总览'!$A$5:$A$46,0))</f>
        <v/>
      </c>
      <c r="I523" s="60">
        <f>INDEX('个人技术总览'!$G$5:$G$46,MATCH($A523,'个人技术总览'!$A$5:$A$46,0))</f>
        <v/>
      </c>
      <c r="J523" s="59">
        <f>INDEX('个人技术总览'!$H$5:$H$46,MATCH($A523,'个人技术总览'!$A$5:$A$46,0))</f>
        <v/>
      </c>
      <c r="K523" s="60">
        <f>INDEX('个人技术总览'!$I$5:$I$46,MATCH($A523,'个人技术总览'!$A$5:$A$46,0))</f>
        <v/>
      </c>
      <c r="L523" s="67">
        <f>H523+V523+IF(E523=G523-1,MAX(0,P523-H523*G523-SUMIFS($V$5:$V$589,$A$5:$A$589,$A523)),0)</f>
        <v/>
      </c>
      <c r="M523" s="61">
        <f>MAX(1,ROUNDDOWN($L523/'参数与公式'!$B$5,0))</f>
        <v/>
      </c>
      <c r="N523" s="67">
        <f>J523+Y523+IF(E523=G523-1,MAX(0,R523-J523*G523-SUMIFS($Y$5:$Y$589,$A$5:$A$589,$A523)),0)</f>
        <v/>
      </c>
      <c r="O523" s="18" t="inlineStr">
        <is>
          <t>data/technology_templates.yaml; upgrade_profiles.martial; code: technology_rules.allocate_upgrade_budget</t>
        </is>
      </c>
      <c r="P523" s="67">
        <f>INDEX('个人技术总览'!$O$5:$O$46,MATCH($A523,'个人技术总览'!$A$5:$A$46,0))</f>
        <v/>
      </c>
      <c r="Q523" s="64">
        <f>INDEX('个人技术总览'!$P$5:$P$46,MATCH($A523,'个人技术总览'!$A$5:$A$46,0))</f>
        <v/>
      </c>
      <c r="R523" s="67">
        <f>INDEX('个人技术总览'!$Q$5:$Q$46,MATCH($A523,'个人技术总览'!$A$5:$A$46,0))</f>
        <v/>
      </c>
      <c r="S523" s="64">
        <f>INDEX('个人技术总览'!$R$5:$R$46,MATCH($A523,'个人技术总览'!$A$5:$A$46,0))</f>
        <v/>
      </c>
      <c r="T523" s="68">
        <f>POWER($Q523,$E523)</f>
        <v/>
      </c>
      <c r="U523" s="68">
        <f>SUMIFS($T$5:$T$589,$A$5:$A$589,$A523)</f>
        <v/>
      </c>
      <c r="V523" s="67">
        <f>ROUNDDOWN(MAX(0,$P523-$H523*$G523)*$T523/MAX(1,$U523),0)</f>
        <v/>
      </c>
      <c r="W523" s="68">
        <f>POWER($S523,$E523)</f>
        <v/>
      </c>
      <c r="X523" s="68">
        <f>SUMIFS($W$5:$W$589,$A$5:$A$589,$A523)</f>
        <v/>
      </c>
      <c r="Y523" s="67">
        <f>ROUNDDOWN(MAX(0,$R523-$J523*$G523)*$W523/MAX(1,$X523),0)</f>
        <v/>
      </c>
    </row>
    <row r="524">
      <c r="A524" s="17" t="inlineStr">
        <is>
          <t>gong_melee</t>
        </is>
      </c>
      <c r="B524" s="18" t="inlineStr">
        <is>
          <t>短刃杀法</t>
        </is>
      </c>
      <c r="C524" s="18" t="inlineStr">
        <is>
          <t>武艺技术</t>
        </is>
      </c>
      <c r="D524" s="18" t="inlineStr">
        <is>
          <t>弓箭类</t>
        </is>
      </c>
      <c r="E524" s="65" t="n">
        <v>9</v>
      </c>
      <c r="F524" s="66">
        <f>E524+1</f>
        <v/>
      </c>
      <c r="G524" s="65">
        <f>INDEX('个人技术总览'!$E$5:$E$46,MATCH($A524,'个人技术总览'!$A$5:$A$46,0))</f>
        <v/>
      </c>
      <c r="H524" s="59">
        <f>INDEX('个人技术总览'!$F$5:$F$46,MATCH($A524,'个人技术总览'!$A$5:$A$46,0))</f>
        <v/>
      </c>
      <c r="I524" s="60">
        <f>INDEX('个人技术总览'!$G$5:$G$46,MATCH($A524,'个人技术总览'!$A$5:$A$46,0))</f>
        <v/>
      </c>
      <c r="J524" s="59">
        <f>INDEX('个人技术总览'!$H$5:$H$46,MATCH($A524,'个人技术总览'!$A$5:$A$46,0))</f>
        <v/>
      </c>
      <c r="K524" s="60">
        <f>INDEX('个人技术总览'!$I$5:$I$46,MATCH($A524,'个人技术总览'!$A$5:$A$46,0))</f>
        <v/>
      </c>
      <c r="L524" s="67">
        <f>H524+V524+IF(E524=G524-1,MAX(0,P524-H524*G524-SUMIFS($V$5:$V$589,$A$5:$A$589,$A524)),0)</f>
        <v/>
      </c>
      <c r="M524" s="61">
        <f>MAX(1,ROUNDDOWN($L524/'参数与公式'!$B$5,0))</f>
        <v/>
      </c>
      <c r="N524" s="67">
        <f>J524+Y524+IF(E524=G524-1,MAX(0,R524-J524*G524-SUMIFS($Y$5:$Y$589,$A$5:$A$589,$A524)),0)</f>
        <v/>
      </c>
      <c r="O524" s="18" t="inlineStr">
        <is>
          <t>data/technology_templates.yaml; upgrade_profiles.martial; code: technology_rules.allocate_upgrade_budget</t>
        </is>
      </c>
      <c r="P524" s="67">
        <f>INDEX('个人技术总览'!$O$5:$O$46,MATCH($A524,'个人技术总览'!$A$5:$A$46,0))</f>
        <v/>
      </c>
      <c r="Q524" s="64">
        <f>INDEX('个人技术总览'!$P$5:$P$46,MATCH($A524,'个人技术总览'!$A$5:$A$46,0))</f>
        <v/>
      </c>
      <c r="R524" s="67">
        <f>INDEX('个人技术总览'!$Q$5:$Q$46,MATCH($A524,'个人技术总览'!$A$5:$A$46,0))</f>
        <v/>
      </c>
      <c r="S524" s="64">
        <f>INDEX('个人技术总览'!$R$5:$R$46,MATCH($A524,'个人技术总览'!$A$5:$A$46,0))</f>
        <v/>
      </c>
      <c r="T524" s="68">
        <f>POWER($Q524,$E524)</f>
        <v/>
      </c>
      <c r="U524" s="68">
        <f>SUMIFS($T$5:$T$589,$A$5:$A$589,$A524)</f>
        <v/>
      </c>
      <c r="V524" s="67">
        <f>ROUNDDOWN(MAX(0,$P524-$H524*$G524)*$T524/MAX(1,$U524),0)</f>
        <v/>
      </c>
      <c r="W524" s="68">
        <f>POWER($S524,$E524)</f>
        <v/>
      </c>
      <c r="X524" s="68">
        <f>SUMIFS($W$5:$W$589,$A$5:$A$589,$A524)</f>
        <v/>
      </c>
      <c r="Y524" s="67">
        <f>ROUNDDOWN(MAX(0,$R524-$J524*$G524)*$W524/MAX(1,$X524),0)</f>
        <v/>
      </c>
    </row>
    <row r="525">
      <c r="A525" s="17" t="inlineStr">
        <is>
          <t>farming</t>
        </is>
      </c>
      <c r="B525" s="18" t="inlineStr">
        <is>
          <t>农耕术</t>
        </is>
      </c>
      <c r="C525" s="18" t="inlineStr">
        <is>
          <t>生产技术</t>
        </is>
      </c>
      <c r="D525" s="18" t="inlineStr">
        <is>
          <t>—</t>
        </is>
      </c>
      <c r="E525" s="65" t="n">
        <v>0</v>
      </c>
      <c r="F525" s="66">
        <f>E525+1</f>
        <v/>
      </c>
      <c r="G525" s="65">
        <f>INDEX('个人技术总览'!$E$5:$E$46,MATCH($A525,'个人技术总览'!$A$5:$A$46,0))</f>
        <v/>
      </c>
      <c r="H525" s="59">
        <f>INDEX('个人技术总览'!$F$5:$F$46,MATCH($A525,'个人技术总览'!$A$5:$A$46,0))</f>
        <v/>
      </c>
      <c r="I525" s="60">
        <f>INDEX('个人技术总览'!$G$5:$G$46,MATCH($A525,'个人技术总览'!$A$5:$A$46,0))</f>
        <v/>
      </c>
      <c r="J525" s="59">
        <f>INDEX('个人技术总览'!$H$5:$H$46,MATCH($A525,'个人技术总览'!$A$5:$A$46,0))</f>
        <v/>
      </c>
      <c r="K525" s="60">
        <f>INDEX('个人技术总览'!$I$5:$I$46,MATCH($A525,'个人技术总览'!$A$5:$A$46,0))</f>
        <v/>
      </c>
      <c r="L525" s="67">
        <f>H525+V525+IF(E525=G525-1,MAX(0,P525-H525*G525-SUMIFS($V$5:$V$589,$A$5:$A$589,$A525)),0)</f>
        <v/>
      </c>
      <c r="M525" s="61">
        <f>MAX(1,ROUNDDOWN($L525/'参数与公式'!$B$5,0))</f>
        <v/>
      </c>
      <c r="N525" s="67">
        <f>J525+Y525+IF(E525=G525-1,MAX(0,R525-J525*G525-SUMIFS($Y$5:$Y$589,$A$5:$A$589,$A525)),0)</f>
        <v/>
      </c>
      <c r="O525" s="18" t="inlineStr">
        <is>
          <t>data/technology_templates.yaml; upgrade_*_budget / *_curve; code: technology_rules.allocate_upgrade_budget</t>
        </is>
      </c>
      <c r="P525" s="67">
        <f>INDEX('个人技术总览'!$O$5:$O$46,MATCH($A525,'个人技术总览'!$A$5:$A$46,0))</f>
        <v/>
      </c>
      <c r="Q525" s="64">
        <f>INDEX('个人技术总览'!$P$5:$P$46,MATCH($A525,'个人技术总览'!$A$5:$A$46,0))</f>
        <v/>
      </c>
      <c r="R525" s="67">
        <f>INDEX('个人技术总览'!$Q$5:$Q$46,MATCH($A525,'个人技术总览'!$A$5:$A$46,0))</f>
        <v/>
      </c>
      <c r="S525" s="64">
        <f>INDEX('个人技术总览'!$R$5:$R$46,MATCH($A525,'个人技术总览'!$A$5:$A$46,0))</f>
        <v/>
      </c>
      <c r="T525" s="68">
        <f>POWER($Q525,$E525)</f>
        <v/>
      </c>
      <c r="U525" s="68">
        <f>SUMIFS($T$5:$T$589,$A$5:$A$589,$A525)</f>
        <v/>
      </c>
      <c r="V525" s="67">
        <f>ROUNDDOWN(MAX(0,$P525-$H525*$G525)*$T525/MAX(1,$U525),0)</f>
        <v/>
      </c>
      <c r="W525" s="68">
        <f>POWER($S525,$E525)</f>
        <v/>
      </c>
      <c r="X525" s="68">
        <f>SUMIFS($W$5:$W$589,$A$5:$A$589,$A525)</f>
        <v/>
      </c>
      <c r="Y525" s="67">
        <f>ROUNDDOWN(MAX(0,$R525-$J525*$G525)*$W525/MAX(1,$X525),0)</f>
        <v/>
      </c>
    </row>
    <row r="526">
      <c r="A526" s="17" t="inlineStr">
        <is>
          <t>farming</t>
        </is>
      </c>
      <c r="B526" s="18" t="inlineStr">
        <is>
          <t>农耕术</t>
        </is>
      </c>
      <c r="C526" s="18" t="inlineStr">
        <is>
          <t>生产技术</t>
        </is>
      </c>
      <c r="D526" s="18" t="inlineStr">
        <is>
          <t>—</t>
        </is>
      </c>
      <c r="E526" s="65" t="n">
        <v>1</v>
      </c>
      <c r="F526" s="66">
        <f>E526+1</f>
        <v/>
      </c>
      <c r="G526" s="65">
        <f>INDEX('个人技术总览'!$E$5:$E$46,MATCH($A526,'个人技术总览'!$A$5:$A$46,0))</f>
        <v/>
      </c>
      <c r="H526" s="59">
        <f>INDEX('个人技术总览'!$F$5:$F$46,MATCH($A526,'个人技术总览'!$A$5:$A$46,0))</f>
        <v/>
      </c>
      <c r="I526" s="60">
        <f>INDEX('个人技术总览'!$G$5:$G$46,MATCH($A526,'个人技术总览'!$A$5:$A$46,0))</f>
        <v/>
      </c>
      <c r="J526" s="59">
        <f>INDEX('个人技术总览'!$H$5:$H$46,MATCH($A526,'个人技术总览'!$A$5:$A$46,0))</f>
        <v/>
      </c>
      <c r="K526" s="60">
        <f>INDEX('个人技术总览'!$I$5:$I$46,MATCH($A526,'个人技术总览'!$A$5:$A$46,0))</f>
        <v/>
      </c>
      <c r="L526" s="67">
        <f>H526+V526+IF(E526=G526-1,MAX(0,P526-H526*G526-SUMIFS($V$5:$V$589,$A$5:$A$589,$A526)),0)</f>
        <v/>
      </c>
      <c r="M526" s="61">
        <f>MAX(1,ROUNDDOWN($L526/'参数与公式'!$B$5,0))</f>
        <v/>
      </c>
      <c r="N526" s="67">
        <f>J526+Y526+IF(E526=G526-1,MAX(0,R526-J526*G526-SUMIFS($Y$5:$Y$589,$A$5:$A$589,$A526)),0)</f>
        <v/>
      </c>
      <c r="O526" s="18" t="inlineStr">
        <is>
          <t>data/technology_templates.yaml; upgrade_*_budget / *_curve; code: technology_rules.allocate_upgrade_budget</t>
        </is>
      </c>
      <c r="P526" s="67">
        <f>INDEX('个人技术总览'!$O$5:$O$46,MATCH($A526,'个人技术总览'!$A$5:$A$46,0))</f>
        <v/>
      </c>
      <c r="Q526" s="64">
        <f>INDEX('个人技术总览'!$P$5:$P$46,MATCH($A526,'个人技术总览'!$A$5:$A$46,0))</f>
        <v/>
      </c>
      <c r="R526" s="67">
        <f>INDEX('个人技术总览'!$Q$5:$Q$46,MATCH($A526,'个人技术总览'!$A$5:$A$46,0))</f>
        <v/>
      </c>
      <c r="S526" s="64">
        <f>INDEX('个人技术总览'!$R$5:$R$46,MATCH($A526,'个人技术总览'!$A$5:$A$46,0))</f>
        <v/>
      </c>
      <c r="T526" s="68">
        <f>POWER($Q526,$E526)</f>
        <v/>
      </c>
      <c r="U526" s="68">
        <f>SUMIFS($T$5:$T$589,$A$5:$A$589,$A526)</f>
        <v/>
      </c>
      <c r="V526" s="67">
        <f>ROUNDDOWN(MAX(0,$P526-$H526*$G526)*$T526/MAX(1,$U526),0)</f>
        <v/>
      </c>
      <c r="W526" s="68">
        <f>POWER($S526,$E526)</f>
        <v/>
      </c>
      <c r="X526" s="68">
        <f>SUMIFS($W$5:$W$589,$A$5:$A$589,$A526)</f>
        <v/>
      </c>
      <c r="Y526" s="67">
        <f>ROUNDDOWN(MAX(0,$R526-$J526*$G526)*$W526/MAX(1,$X526),0)</f>
        <v/>
      </c>
    </row>
    <row r="527">
      <c r="A527" s="17" t="inlineStr">
        <is>
          <t>farming</t>
        </is>
      </c>
      <c r="B527" s="18" t="inlineStr">
        <is>
          <t>农耕术</t>
        </is>
      </c>
      <c r="C527" s="18" t="inlineStr">
        <is>
          <t>生产技术</t>
        </is>
      </c>
      <c r="D527" s="18" t="inlineStr">
        <is>
          <t>—</t>
        </is>
      </c>
      <c r="E527" s="65" t="n">
        <v>2</v>
      </c>
      <c r="F527" s="66">
        <f>E527+1</f>
        <v/>
      </c>
      <c r="G527" s="65">
        <f>INDEX('个人技术总览'!$E$5:$E$46,MATCH($A527,'个人技术总览'!$A$5:$A$46,0))</f>
        <v/>
      </c>
      <c r="H527" s="59">
        <f>INDEX('个人技术总览'!$F$5:$F$46,MATCH($A527,'个人技术总览'!$A$5:$A$46,0))</f>
        <v/>
      </c>
      <c r="I527" s="60">
        <f>INDEX('个人技术总览'!$G$5:$G$46,MATCH($A527,'个人技术总览'!$A$5:$A$46,0))</f>
        <v/>
      </c>
      <c r="J527" s="59">
        <f>INDEX('个人技术总览'!$H$5:$H$46,MATCH($A527,'个人技术总览'!$A$5:$A$46,0))</f>
        <v/>
      </c>
      <c r="K527" s="60">
        <f>INDEX('个人技术总览'!$I$5:$I$46,MATCH($A527,'个人技术总览'!$A$5:$A$46,0))</f>
        <v/>
      </c>
      <c r="L527" s="67">
        <f>H527+V527+IF(E527=G527-1,MAX(0,P527-H527*G527-SUMIFS($V$5:$V$589,$A$5:$A$589,$A527)),0)</f>
        <v/>
      </c>
      <c r="M527" s="61">
        <f>MAX(1,ROUNDDOWN($L527/'参数与公式'!$B$5,0))</f>
        <v/>
      </c>
      <c r="N527" s="67">
        <f>J527+Y527+IF(E527=G527-1,MAX(0,R527-J527*G527-SUMIFS($Y$5:$Y$589,$A$5:$A$589,$A527)),0)</f>
        <v/>
      </c>
      <c r="O527" s="18" t="inlineStr">
        <is>
          <t>data/technology_templates.yaml; upgrade_*_budget / *_curve; code: technology_rules.allocate_upgrade_budget</t>
        </is>
      </c>
      <c r="P527" s="67">
        <f>INDEX('个人技术总览'!$O$5:$O$46,MATCH($A527,'个人技术总览'!$A$5:$A$46,0))</f>
        <v/>
      </c>
      <c r="Q527" s="64">
        <f>INDEX('个人技术总览'!$P$5:$P$46,MATCH($A527,'个人技术总览'!$A$5:$A$46,0))</f>
        <v/>
      </c>
      <c r="R527" s="67">
        <f>INDEX('个人技术总览'!$Q$5:$Q$46,MATCH($A527,'个人技术总览'!$A$5:$A$46,0))</f>
        <v/>
      </c>
      <c r="S527" s="64">
        <f>INDEX('个人技术总览'!$R$5:$R$46,MATCH($A527,'个人技术总览'!$A$5:$A$46,0))</f>
        <v/>
      </c>
      <c r="T527" s="68">
        <f>POWER($Q527,$E527)</f>
        <v/>
      </c>
      <c r="U527" s="68">
        <f>SUMIFS($T$5:$T$589,$A$5:$A$589,$A527)</f>
        <v/>
      </c>
      <c r="V527" s="67">
        <f>ROUNDDOWN(MAX(0,$P527-$H527*$G527)*$T527/MAX(1,$U527),0)</f>
        <v/>
      </c>
      <c r="W527" s="68">
        <f>POWER($S527,$E527)</f>
        <v/>
      </c>
      <c r="X527" s="68">
        <f>SUMIFS($W$5:$W$589,$A$5:$A$589,$A527)</f>
        <v/>
      </c>
      <c r="Y527" s="67">
        <f>ROUNDDOWN(MAX(0,$R527-$J527*$G527)*$W527/MAX(1,$X527),0)</f>
        <v/>
      </c>
    </row>
    <row r="528">
      <c r="A528" s="17" t="inlineStr">
        <is>
          <t>farming</t>
        </is>
      </c>
      <c r="B528" s="18" t="inlineStr">
        <is>
          <t>农耕术</t>
        </is>
      </c>
      <c r="C528" s="18" t="inlineStr">
        <is>
          <t>生产技术</t>
        </is>
      </c>
      <c r="D528" s="18" t="inlineStr">
        <is>
          <t>—</t>
        </is>
      </c>
      <c r="E528" s="65" t="n">
        <v>3</v>
      </c>
      <c r="F528" s="66">
        <f>E528+1</f>
        <v/>
      </c>
      <c r="G528" s="65">
        <f>INDEX('个人技术总览'!$E$5:$E$46,MATCH($A528,'个人技术总览'!$A$5:$A$46,0))</f>
        <v/>
      </c>
      <c r="H528" s="59">
        <f>INDEX('个人技术总览'!$F$5:$F$46,MATCH($A528,'个人技术总览'!$A$5:$A$46,0))</f>
        <v/>
      </c>
      <c r="I528" s="60">
        <f>INDEX('个人技术总览'!$G$5:$G$46,MATCH($A528,'个人技术总览'!$A$5:$A$46,0))</f>
        <v/>
      </c>
      <c r="J528" s="59">
        <f>INDEX('个人技术总览'!$H$5:$H$46,MATCH($A528,'个人技术总览'!$A$5:$A$46,0))</f>
        <v/>
      </c>
      <c r="K528" s="60">
        <f>INDEX('个人技术总览'!$I$5:$I$46,MATCH($A528,'个人技术总览'!$A$5:$A$46,0))</f>
        <v/>
      </c>
      <c r="L528" s="67">
        <f>H528+V528+IF(E528=G528-1,MAX(0,P528-H528*G528-SUMIFS($V$5:$V$589,$A$5:$A$589,$A528)),0)</f>
        <v/>
      </c>
      <c r="M528" s="61">
        <f>MAX(1,ROUNDDOWN($L528/'参数与公式'!$B$5,0))</f>
        <v/>
      </c>
      <c r="N528" s="67">
        <f>J528+Y528+IF(E528=G528-1,MAX(0,R528-J528*G528-SUMIFS($Y$5:$Y$589,$A$5:$A$589,$A528)),0)</f>
        <v/>
      </c>
      <c r="O528" s="18" t="inlineStr">
        <is>
          <t>data/technology_templates.yaml; upgrade_*_budget / *_curve; code: technology_rules.allocate_upgrade_budget</t>
        </is>
      </c>
      <c r="P528" s="67">
        <f>INDEX('个人技术总览'!$O$5:$O$46,MATCH($A528,'个人技术总览'!$A$5:$A$46,0))</f>
        <v/>
      </c>
      <c r="Q528" s="64">
        <f>INDEX('个人技术总览'!$P$5:$P$46,MATCH($A528,'个人技术总览'!$A$5:$A$46,0))</f>
        <v/>
      </c>
      <c r="R528" s="67">
        <f>INDEX('个人技术总览'!$Q$5:$Q$46,MATCH($A528,'个人技术总览'!$A$5:$A$46,0))</f>
        <v/>
      </c>
      <c r="S528" s="64">
        <f>INDEX('个人技术总览'!$R$5:$R$46,MATCH($A528,'个人技术总览'!$A$5:$A$46,0))</f>
        <v/>
      </c>
      <c r="T528" s="68">
        <f>POWER($Q528,$E528)</f>
        <v/>
      </c>
      <c r="U528" s="68">
        <f>SUMIFS($T$5:$T$589,$A$5:$A$589,$A528)</f>
        <v/>
      </c>
      <c r="V528" s="67">
        <f>ROUNDDOWN(MAX(0,$P528-$H528*$G528)*$T528/MAX(1,$U528),0)</f>
        <v/>
      </c>
      <c r="W528" s="68">
        <f>POWER($S528,$E528)</f>
        <v/>
      </c>
      <c r="X528" s="68">
        <f>SUMIFS($W$5:$W$589,$A$5:$A$589,$A528)</f>
        <v/>
      </c>
      <c r="Y528" s="67">
        <f>ROUNDDOWN(MAX(0,$R528-$J528*$G528)*$W528/MAX(1,$X528),0)</f>
        <v/>
      </c>
    </row>
    <row r="529">
      <c r="A529" s="17" t="inlineStr">
        <is>
          <t>farming</t>
        </is>
      </c>
      <c r="B529" s="18" t="inlineStr">
        <is>
          <t>农耕术</t>
        </is>
      </c>
      <c r="C529" s="18" t="inlineStr">
        <is>
          <t>生产技术</t>
        </is>
      </c>
      <c r="D529" s="18" t="inlineStr">
        <is>
          <t>—</t>
        </is>
      </c>
      <c r="E529" s="65" t="n">
        <v>4</v>
      </c>
      <c r="F529" s="66">
        <f>E529+1</f>
        <v/>
      </c>
      <c r="G529" s="65">
        <f>INDEX('个人技术总览'!$E$5:$E$46,MATCH($A529,'个人技术总览'!$A$5:$A$46,0))</f>
        <v/>
      </c>
      <c r="H529" s="59">
        <f>INDEX('个人技术总览'!$F$5:$F$46,MATCH($A529,'个人技术总览'!$A$5:$A$46,0))</f>
        <v/>
      </c>
      <c r="I529" s="60">
        <f>INDEX('个人技术总览'!$G$5:$G$46,MATCH($A529,'个人技术总览'!$A$5:$A$46,0))</f>
        <v/>
      </c>
      <c r="J529" s="59">
        <f>INDEX('个人技术总览'!$H$5:$H$46,MATCH($A529,'个人技术总览'!$A$5:$A$46,0))</f>
        <v/>
      </c>
      <c r="K529" s="60">
        <f>INDEX('个人技术总览'!$I$5:$I$46,MATCH($A529,'个人技术总览'!$A$5:$A$46,0))</f>
        <v/>
      </c>
      <c r="L529" s="67">
        <f>H529+V529+IF(E529=G529-1,MAX(0,P529-H529*G529-SUMIFS($V$5:$V$589,$A$5:$A$589,$A529)),0)</f>
        <v/>
      </c>
      <c r="M529" s="61">
        <f>MAX(1,ROUNDDOWN($L529/'参数与公式'!$B$5,0))</f>
        <v/>
      </c>
      <c r="N529" s="67">
        <f>J529+Y529+IF(E529=G529-1,MAX(0,R529-J529*G529-SUMIFS($Y$5:$Y$589,$A$5:$A$589,$A529)),0)</f>
        <v/>
      </c>
      <c r="O529" s="18" t="inlineStr">
        <is>
          <t>data/technology_templates.yaml; upgrade_*_budget / *_curve; code: technology_rules.allocate_upgrade_budget</t>
        </is>
      </c>
      <c r="P529" s="67">
        <f>INDEX('个人技术总览'!$O$5:$O$46,MATCH($A529,'个人技术总览'!$A$5:$A$46,0))</f>
        <v/>
      </c>
      <c r="Q529" s="64">
        <f>INDEX('个人技术总览'!$P$5:$P$46,MATCH($A529,'个人技术总览'!$A$5:$A$46,0))</f>
        <v/>
      </c>
      <c r="R529" s="67">
        <f>INDEX('个人技术总览'!$Q$5:$Q$46,MATCH($A529,'个人技术总览'!$A$5:$A$46,0))</f>
        <v/>
      </c>
      <c r="S529" s="64">
        <f>INDEX('个人技术总览'!$R$5:$R$46,MATCH($A529,'个人技术总览'!$A$5:$A$46,0))</f>
        <v/>
      </c>
      <c r="T529" s="68">
        <f>POWER($Q529,$E529)</f>
        <v/>
      </c>
      <c r="U529" s="68">
        <f>SUMIFS($T$5:$T$589,$A$5:$A$589,$A529)</f>
        <v/>
      </c>
      <c r="V529" s="67">
        <f>ROUNDDOWN(MAX(0,$P529-$H529*$G529)*$T529/MAX(1,$U529),0)</f>
        <v/>
      </c>
      <c r="W529" s="68">
        <f>POWER($S529,$E529)</f>
        <v/>
      </c>
      <c r="X529" s="68">
        <f>SUMIFS($W$5:$W$589,$A$5:$A$589,$A529)</f>
        <v/>
      </c>
      <c r="Y529" s="67">
        <f>ROUNDDOWN(MAX(0,$R529-$J529*$G529)*$W529/MAX(1,$X529),0)</f>
        <v/>
      </c>
    </row>
    <row r="530">
      <c r="A530" s="17" t="inlineStr">
        <is>
          <t>farming</t>
        </is>
      </c>
      <c r="B530" s="18" t="inlineStr">
        <is>
          <t>农耕术</t>
        </is>
      </c>
      <c r="C530" s="18" t="inlineStr">
        <is>
          <t>生产技术</t>
        </is>
      </c>
      <c r="D530" s="18" t="inlineStr">
        <is>
          <t>—</t>
        </is>
      </c>
      <c r="E530" s="65" t="n">
        <v>5</v>
      </c>
      <c r="F530" s="66">
        <f>E530+1</f>
        <v/>
      </c>
      <c r="G530" s="65">
        <f>INDEX('个人技术总览'!$E$5:$E$46,MATCH($A530,'个人技术总览'!$A$5:$A$46,0))</f>
        <v/>
      </c>
      <c r="H530" s="59">
        <f>INDEX('个人技术总览'!$F$5:$F$46,MATCH($A530,'个人技术总览'!$A$5:$A$46,0))</f>
        <v/>
      </c>
      <c r="I530" s="60">
        <f>INDEX('个人技术总览'!$G$5:$G$46,MATCH($A530,'个人技术总览'!$A$5:$A$46,0))</f>
        <v/>
      </c>
      <c r="J530" s="59">
        <f>INDEX('个人技术总览'!$H$5:$H$46,MATCH($A530,'个人技术总览'!$A$5:$A$46,0))</f>
        <v/>
      </c>
      <c r="K530" s="60">
        <f>INDEX('个人技术总览'!$I$5:$I$46,MATCH($A530,'个人技术总览'!$A$5:$A$46,0))</f>
        <v/>
      </c>
      <c r="L530" s="67">
        <f>H530+V530+IF(E530=G530-1,MAX(0,P530-H530*G530-SUMIFS($V$5:$V$589,$A$5:$A$589,$A530)),0)</f>
        <v/>
      </c>
      <c r="M530" s="61">
        <f>MAX(1,ROUNDDOWN($L530/'参数与公式'!$B$5,0))</f>
        <v/>
      </c>
      <c r="N530" s="67">
        <f>J530+Y530+IF(E530=G530-1,MAX(0,R530-J530*G530-SUMIFS($Y$5:$Y$589,$A$5:$A$589,$A530)),0)</f>
        <v/>
      </c>
      <c r="O530" s="18" t="inlineStr">
        <is>
          <t>data/technology_templates.yaml; upgrade_*_budget / *_curve; code: technology_rules.allocate_upgrade_budget</t>
        </is>
      </c>
      <c r="P530" s="67">
        <f>INDEX('个人技术总览'!$O$5:$O$46,MATCH($A530,'个人技术总览'!$A$5:$A$46,0))</f>
        <v/>
      </c>
      <c r="Q530" s="64">
        <f>INDEX('个人技术总览'!$P$5:$P$46,MATCH($A530,'个人技术总览'!$A$5:$A$46,0))</f>
        <v/>
      </c>
      <c r="R530" s="67">
        <f>INDEX('个人技术总览'!$Q$5:$Q$46,MATCH($A530,'个人技术总览'!$A$5:$A$46,0))</f>
        <v/>
      </c>
      <c r="S530" s="64">
        <f>INDEX('个人技术总览'!$R$5:$R$46,MATCH($A530,'个人技术总览'!$A$5:$A$46,0))</f>
        <v/>
      </c>
      <c r="T530" s="68">
        <f>POWER($Q530,$E530)</f>
        <v/>
      </c>
      <c r="U530" s="68">
        <f>SUMIFS($T$5:$T$589,$A$5:$A$589,$A530)</f>
        <v/>
      </c>
      <c r="V530" s="67">
        <f>ROUNDDOWN(MAX(0,$P530-$H530*$G530)*$T530/MAX(1,$U530),0)</f>
        <v/>
      </c>
      <c r="W530" s="68">
        <f>POWER($S530,$E530)</f>
        <v/>
      </c>
      <c r="X530" s="68">
        <f>SUMIFS($W$5:$W$589,$A$5:$A$589,$A530)</f>
        <v/>
      </c>
      <c r="Y530" s="67">
        <f>ROUNDDOWN(MAX(0,$R530-$J530*$G530)*$W530/MAX(1,$X530),0)</f>
        <v/>
      </c>
    </row>
    <row r="531">
      <c r="A531" s="17" t="inlineStr">
        <is>
          <t>farming</t>
        </is>
      </c>
      <c r="B531" s="18" t="inlineStr">
        <is>
          <t>农耕术</t>
        </is>
      </c>
      <c r="C531" s="18" t="inlineStr">
        <is>
          <t>生产技术</t>
        </is>
      </c>
      <c r="D531" s="18" t="inlineStr">
        <is>
          <t>—</t>
        </is>
      </c>
      <c r="E531" s="65" t="n">
        <v>6</v>
      </c>
      <c r="F531" s="66">
        <f>E531+1</f>
        <v/>
      </c>
      <c r="G531" s="65">
        <f>INDEX('个人技术总览'!$E$5:$E$46,MATCH($A531,'个人技术总览'!$A$5:$A$46,0))</f>
        <v/>
      </c>
      <c r="H531" s="59">
        <f>INDEX('个人技术总览'!$F$5:$F$46,MATCH($A531,'个人技术总览'!$A$5:$A$46,0))</f>
        <v/>
      </c>
      <c r="I531" s="60">
        <f>INDEX('个人技术总览'!$G$5:$G$46,MATCH($A531,'个人技术总览'!$A$5:$A$46,0))</f>
        <v/>
      </c>
      <c r="J531" s="59">
        <f>INDEX('个人技术总览'!$H$5:$H$46,MATCH($A531,'个人技术总览'!$A$5:$A$46,0))</f>
        <v/>
      </c>
      <c r="K531" s="60">
        <f>INDEX('个人技术总览'!$I$5:$I$46,MATCH($A531,'个人技术总览'!$A$5:$A$46,0))</f>
        <v/>
      </c>
      <c r="L531" s="67">
        <f>H531+V531+IF(E531=G531-1,MAX(0,P531-H531*G531-SUMIFS($V$5:$V$589,$A$5:$A$589,$A531)),0)</f>
        <v/>
      </c>
      <c r="M531" s="61">
        <f>MAX(1,ROUNDDOWN($L531/'参数与公式'!$B$5,0))</f>
        <v/>
      </c>
      <c r="N531" s="67">
        <f>J531+Y531+IF(E531=G531-1,MAX(0,R531-J531*G531-SUMIFS($Y$5:$Y$589,$A$5:$A$589,$A531)),0)</f>
        <v/>
      </c>
      <c r="O531" s="18" t="inlineStr">
        <is>
          <t>data/technology_templates.yaml; upgrade_*_budget / *_curve; code: technology_rules.allocate_upgrade_budget</t>
        </is>
      </c>
      <c r="P531" s="67">
        <f>INDEX('个人技术总览'!$O$5:$O$46,MATCH($A531,'个人技术总览'!$A$5:$A$46,0))</f>
        <v/>
      </c>
      <c r="Q531" s="64">
        <f>INDEX('个人技术总览'!$P$5:$P$46,MATCH($A531,'个人技术总览'!$A$5:$A$46,0))</f>
        <v/>
      </c>
      <c r="R531" s="67">
        <f>INDEX('个人技术总览'!$Q$5:$Q$46,MATCH($A531,'个人技术总览'!$A$5:$A$46,0))</f>
        <v/>
      </c>
      <c r="S531" s="64">
        <f>INDEX('个人技术总览'!$R$5:$R$46,MATCH($A531,'个人技术总览'!$A$5:$A$46,0))</f>
        <v/>
      </c>
      <c r="T531" s="68">
        <f>POWER($Q531,$E531)</f>
        <v/>
      </c>
      <c r="U531" s="68">
        <f>SUMIFS($T$5:$T$589,$A$5:$A$589,$A531)</f>
        <v/>
      </c>
      <c r="V531" s="67">
        <f>ROUNDDOWN(MAX(0,$P531-$H531*$G531)*$T531/MAX(1,$U531),0)</f>
        <v/>
      </c>
      <c r="W531" s="68">
        <f>POWER($S531,$E531)</f>
        <v/>
      </c>
      <c r="X531" s="68">
        <f>SUMIFS($W$5:$W$589,$A$5:$A$589,$A531)</f>
        <v/>
      </c>
      <c r="Y531" s="67">
        <f>ROUNDDOWN(MAX(0,$R531-$J531*$G531)*$W531/MAX(1,$X531),0)</f>
        <v/>
      </c>
    </row>
    <row r="532">
      <c r="A532" s="17" t="inlineStr">
        <is>
          <t>farming</t>
        </is>
      </c>
      <c r="B532" s="18" t="inlineStr">
        <is>
          <t>农耕术</t>
        </is>
      </c>
      <c r="C532" s="18" t="inlineStr">
        <is>
          <t>生产技术</t>
        </is>
      </c>
      <c r="D532" s="18" t="inlineStr">
        <is>
          <t>—</t>
        </is>
      </c>
      <c r="E532" s="65" t="n">
        <v>7</v>
      </c>
      <c r="F532" s="66">
        <f>E532+1</f>
        <v/>
      </c>
      <c r="G532" s="65">
        <f>INDEX('个人技术总览'!$E$5:$E$46,MATCH($A532,'个人技术总览'!$A$5:$A$46,0))</f>
        <v/>
      </c>
      <c r="H532" s="59">
        <f>INDEX('个人技术总览'!$F$5:$F$46,MATCH($A532,'个人技术总览'!$A$5:$A$46,0))</f>
        <v/>
      </c>
      <c r="I532" s="60">
        <f>INDEX('个人技术总览'!$G$5:$G$46,MATCH($A532,'个人技术总览'!$A$5:$A$46,0))</f>
        <v/>
      </c>
      <c r="J532" s="59">
        <f>INDEX('个人技术总览'!$H$5:$H$46,MATCH($A532,'个人技术总览'!$A$5:$A$46,0))</f>
        <v/>
      </c>
      <c r="K532" s="60">
        <f>INDEX('个人技术总览'!$I$5:$I$46,MATCH($A532,'个人技术总览'!$A$5:$A$46,0))</f>
        <v/>
      </c>
      <c r="L532" s="67">
        <f>H532+V532+IF(E532=G532-1,MAX(0,P532-H532*G532-SUMIFS($V$5:$V$589,$A$5:$A$589,$A532)),0)</f>
        <v/>
      </c>
      <c r="M532" s="61">
        <f>MAX(1,ROUNDDOWN($L532/'参数与公式'!$B$5,0))</f>
        <v/>
      </c>
      <c r="N532" s="67">
        <f>J532+Y532+IF(E532=G532-1,MAX(0,R532-J532*G532-SUMIFS($Y$5:$Y$589,$A$5:$A$589,$A532)),0)</f>
        <v/>
      </c>
      <c r="O532" s="18" t="inlineStr">
        <is>
          <t>data/technology_templates.yaml; upgrade_*_budget / *_curve; code: technology_rules.allocate_upgrade_budget</t>
        </is>
      </c>
      <c r="P532" s="67">
        <f>INDEX('个人技术总览'!$O$5:$O$46,MATCH($A532,'个人技术总览'!$A$5:$A$46,0))</f>
        <v/>
      </c>
      <c r="Q532" s="64">
        <f>INDEX('个人技术总览'!$P$5:$P$46,MATCH($A532,'个人技术总览'!$A$5:$A$46,0))</f>
        <v/>
      </c>
      <c r="R532" s="67">
        <f>INDEX('个人技术总览'!$Q$5:$Q$46,MATCH($A532,'个人技术总览'!$A$5:$A$46,0))</f>
        <v/>
      </c>
      <c r="S532" s="64">
        <f>INDEX('个人技术总览'!$R$5:$R$46,MATCH($A532,'个人技术总览'!$A$5:$A$46,0))</f>
        <v/>
      </c>
      <c r="T532" s="68">
        <f>POWER($Q532,$E532)</f>
        <v/>
      </c>
      <c r="U532" s="68">
        <f>SUMIFS($T$5:$T$589,$A$5:$A$589,$A532)</f>
        <v/>
      </c>
      <c r="V532" s="67">
        <f>ROUNDDOWN(MAX(0,$P532-$H532*$G532)*$T532/MAX(1,$U532),0)</f>
        <v/>
      </c>
      <c r="W532" s="68">
        <f>POWER($S532,$E532)</f>
        <v/>
      </c>
      <c r="X532" s="68">
        <f>SUMIFS($W$5:$W$589,$A$5:$A$589,$A532)</f>
        <v/>
      </c>
      <c r="Y532" s="67">
        <f>ROUNDDOWN(MAX(0,$R532-$J532*$G532)*$W532/MAX(1,$X532),0)</f>
        <v/>
      </c>
    </row>
    <row r="533">
      <c r="A533" s="17" t="inlineStr">
        <is>
          <t>farming</t>
        </is>
      </c>
      <c r="B533" s="18" t="inlineStr">
        <is>
          <t>农耕术</t>
        </is>
      </c>
      <c r="C533" s="18" t="inlineStr">
        <is>
          <t>生产技术</t>
        </is>
      </c>
      <c r="D533" s="18" t="inlineStr">
        <is>
          <t>—</t>
        </is>
      </c>
      <c r="E533" s="65" t="n">
        <v>8</v>
      </c>
      <c r="F533" s="66">
        <f>E533+1</f>
        <v/>
      </c>
      <c r="G533" s="65">
        <f>INDEX('个人技术总览'!$E$5:$E$46,MATCH($A533,'个人技术总览'!$A$5:$A$46,0))</f>
        <v/>
      </c>
      <c r="H533" s="59">
        <f>INDEX('个人技术总览'!$F$5:$F$46,MATCH($A533,'个人技术总览'!$A$5:$A$46,0))</f>
        <v/>
      </c>
      <c r="I533" s="60">
        <f>INDEX('个人技术总览'!$G$5:$G$46,MATCH($A533,'个人技术总览'!$A$5:$A$46,0))</f>
        <v/>
      </c>
      <c r="J533" s="59">
        <f>INDEX('个人技术总览'!$H$5:$H$46,MATCH($A533,'个人技术总览'!$A$5:$A$46,0))</f>
        <v/>
      </c>
      <c r="K533" s="60">
        <f>INDEX('个人技术总览'!$I$5:$I$46,MATCH($A533,'个人技术总览'!$A$5:$A$46,0))</f>
        <v/>
      </c>
      <c r="L533" s="67">
        <f>H533+V533+IF(E533=G533-1,MAX(0,P533-H533*G533-SUMIFS($V$5:$V$589,$A$5:$A$589,$A533)),0)</f>
        <v/>
      </c>
      <c r="M533" s="61">
        <f>MAX(1,ROUNDDOWN($L533/'参数与公式'!$B$5,0))</f>
        <v/>
      </c>
      <c r="N533" s="67">
        <f>J533+Y533+IF(E533=G533-1,MAX(0,R533-J533*G533-SUMIFS($Y$5:$Y$589,$A$5:$A$589,$A533)),0)</f>
        <v/>
      </c>
      <c r="O533" s="18" t="inlineStr">
        <is>
          <t>data/technology_templates.yaml; upgrade_*_budget / *_curve; code: technology_rules.allocate_upgrade_budget</t>
        </is>
      </c>
      <c r="P533" s="67">
        <f>INDEX('个人技术总览'!$O$5:$O$46,MATCH($A533,'个人技术总览'!$A$5:$A$46,0))</f>
        <v/>
      </c>
      <c r="Q533" s="64">
        <f>INDEX('个人技术总览'!$P$5:$P$46,MATCH($A533,'个人技术总览'!$A$5:$A$46,0))</f>
        <v/>
      </c>
      <c r="R533" s="67">
        <f>INDEX('个人技术总览'!$Q$5:$Q$46,MATCH($A533,'个人技术总览'!$A$5:$A$46,0))</f>
        <v/>
      </c>
      <c r="S533" s="64">
        <f>INDEX('个人技术总览'!$R$5:$R$46,MATCH($A533,'个人技术总览'!$A$5:$A$46,0))</f>
        <v/>
      </c>
      <c r="T533" s="68">
        <f>POWER($Q533,$E533)</f>
        <v/>
      </c>
      <c r="U533" s="68">
        <f>SUMIFS($T$5:$T$589,$A$5:$A$589,$A533)</f>
        <v/>
      </c>
      <c r="V533" s="67">
        <f>ROUNDDOWN(MAX(0,$P533-$H533*$G533)*$T533/MAX(1,$U533),0)</f>
        <v/>
      </c>
      <c r="W533" s="68">
        <f>POWER($S533,$E533)</f>
        <v/>
      </c>
      <c r="X533" s="68">
        <f>SUMIFS($W$5:$W$589,$A$5:$A$589,$A533)</f>
        <v/>
      </c>
      <c r="Y533" s="67">
        <f>ROUNDDOWN(MAX(0,$R533-$J533*$G533)*$W533/MAX(1,$X533),0)</f>
        <v/>
      </c>
    </row>
    <row r="534">
      <c r="A534" s="17" t="inlineStr">
        <is>
          <t>farming</t>
        </is>
      </c>
      <c r="B534" s="18" t="inlineStr">
        <is>
          <t>农耕术</t>
        </is>
      </c>
      <c r="C534" s="18" t="inlineStr">
        <is>
          <t>生产技术</t>
        </is>
      </c>
      <c r="D534" s="18" t="inlineStr">
        <is>
          <t>—</t>
        </is>
      </c>
      <c r="E534" s="65" t="n">
        <v>9</v>
      </c>
      <c r="F534" s="66">
        <f>E534+1</f>
        <v/>
      </c>
      <c r="G534" s="65">
        <f>INDEX('个人技术总览'!$E$5:$E$46,MATCH($A534,'个人技术总览'!$A$5:$A$46,0))</f>
        <v/>
      </c>
      <c r="H534" s="59">
        <f>INDEX('个人技术总览'!$F$5:$F$46,MATCH($A534,'个人技术总览'!$A$5:$A$46,0))</f>
        <v/>
      </c>
      <c r="I534" s="60">
        <f>INDEX('个人技术总览'!$G$5:$G$46,MATCH($A534,'个人技术总览'!$A$5:$A$46,0))</f>
        <v/>
      </c>
      <c r="J534" s="59">
        <f>INDEX('个人技术总览'!$H$5:$H$46,MATCH($A534,'个人技术总览'!$A$5:$A$46,0))</f>
        <v/>
      </c>
      <c r="K534" s="60">
        <f>INDEX('个人技术总览'!$I$5:$I$46,MATCH($A534,'个人技术总览'!$A$5:$A$46,0))</f>
        <v/>
      </c>
      <c r="L534" s="67">
        <f>H534+V534+IF(E534=G534-1,MAX(0,P534-H534*G534-SUMIFS($V$5:$V$589,$A$5:$A$589,$A534)),0)</f>
        <v/>
      </c>
      <c r="M534" s="61">
        <f>MAX(1,ROUNDDOWN($L534/'参数与公式'!$B$5,0))</f>
        <v/>
      </c>
      <c r="N534" s="67">
        <f>J534+Y534+IF(E534=G534-1,MAX(0,R534-J534*G534-SUMIFS($Y$5:$Y$589,$A$5:$A$589,$A534)),0)</f>
        <v/>
      </c>
      <c r="O534" s="18" t="inlineStr">
        <is>
          <t>data/technology_templates.yaml; upgrade_*_budget / *_curve; code: technology_rules.allocate_upgrade_budget</t>
        </is>
      </c>
      <c r="P534" s="67">
        <f>INDEX('个人技术总览'!$O$5:$O$46,MATCH($A534,'个人技术总览'!$A$5:$A$46,0))</f>
        <v/>
      </c>
      <c r="Q534" s="64">
        <f>INDEX('个人技术总览'!$P$5:$P$46,MATCH($A534,'个人技术总览'!$A$5:$A$46,0))</f>
        <v/>
      </c>
      <c r="R534" s="67">
        <f>INDEX('个人技术总览'!$Q$5:$Q$46,MATCH($A534,'个人技术总览'!$A$5:$A$46,0))</f>
        <v/>
      </c>
      <c r="S534" s="64">
        <f>INDEX('个人技术总览'!$R$5:$R$46,MATCH($A534,'个人技术总览'!$A$5:$A$46,0))</f>
        <v/>
      </c>
      <c r="T534" s="68">
        <f>POWER($Q534,$E534)</f>
        <v/>
      </c>
      <c r="U534" s="68">
        <f>SUMIFS($T$5:$T$589,$A$5:$A$589,$A534)</f>
        <v/>
      </c>
      <c r="V534" s="67">
        <f>ROUNDDOWN(MAX(0,$P534-$H534*$G534)*$T534/MAX(1,$U534),0)</f>
        <v/>
      </c>
      <c r="W534" s="68">
        <f>POWER($S534,$E534)</f>
        <v/>
      </c>
      <c r="X534" s="68">
        <f>SUMIFS($W$5:$W$589,$A$5:$A$589,$A534)</f>
        <v/>
      </c>
      <c r="Y534" s="67">
        <f>ROUNDDOWN(MAX(0,$R534-$J534*$G534)*$W534/MAX(1,$X534),0)</f>
        <v/>
      </c>
    </row>
    <row r="535">
      <c r="A535" s="17" t="inlineStr">
        <is>
          <t>farming</t>
        </is>
      </c>
      <c r="B535" s="18" t="inlineStr">
        <is>
          <t>农耕术</t>
        </is>
      </c>
      <c r="C535" s="18" t="inlineStr">
        <is>
          <t>生产技术</t>
        </is>
      </c>
      <c r="D535" s="18" t="inlineStr">
        <is>
          <t>—</t>
        </is>
      </c>
      <c r="E535" s="65" t="n">
        <v>10</v>
      </c>
      <c r="F535" s="66">
        <f>E535+1</f>
        <v/>
      </c>
      <c r="G535" s="65">
        <f>INDEX('个人技术总览'!$E$5:$E$46,MATCH($A535,'个人技术总览'!$A$5:$A$46,0))</f>
        <v/>
      </c>
      <c r="H535" s="59">
        <f>INDEX('个人技术总览'!$F$5:$F$46,MATCH($A535,'个人技术总览'!$A$5:$A$46,0))</f>
        <v/>
      </c>
      <c r="I535" s="60">
        <f>INDEX('个人技术总览'!$G$5:$G$46,MATCH($A535,'个人技术总览'!$A$5:$A$46,0))</f>
        <v/>
      </c>
      <c r="J535" s="59">
        <f>INDEX('个人技术总览'!$H$5:$H$46,MATCH($A535,'个人技术总览'!$A$5:$A$46,0))</f>
        <v/>
      </c>
      <c r="K535" s="60">
        <f>INDEX('个人技术总览'!$I$5:$I$46,MATCH($A535,'个人技术总览'!$A$5:$A$46,0))</f>
        <v/>
      </c>
      <c r="L535" s="67">
        <f>H535+V535+IF(E535=G535-1,MAX(0,P535-H535*G535-SUMIFS($V$5:$V$589,$A$5:$A$589,$A535)),0)</f>
        <v/>
      </c>
      <c r="M535" s="61">
        <f>MAX(1,ROUNDDOWN($L535/'参数与公式'!$B$5,0))</f>
        <v/>
      </c>
      <c r="N535" s="67">
        <f>J535+Y535+IF(E535=G535-1,MAX(0,R535-J535*G535-SUMIFS($Y$5:$Y$589,$A$5:$A$589,$A535)),0)</f>
        <v/>
      </c>
      <c r="O535" s="18" t="inlineStr">
        <is>
          <t>data/technology_templates.yaml; upgrade_*_budget / *_curve; code: technology_rules.allocate_upgrade_budget</t>
        </is>
      </c>
      <c r="P535" s="67">
        <f>INDEX('个人技术总览'!$O$5:$O$46,MATCH($A535,'个人技术总览'!$A$5:$A$46,0))</f>
        <v/>
      </c>
      <c r="Q535" s="64">
        <f>INDEX('个人技术总览'!$P$5:$P$46,MATCH($A535,'个人技术总览'!$A$5:$A$46,0))</f>
        <v/>
      </c>
      <c r="R535" s="67">
        <f>INDEX('个人技术总览'!$Q$5:$Q$46,MATCH($A535,'个人技术总览'!$A$5:$A$46,0))</f>
        <v/>
      </c>
      <c r="S535" s="64">
        <f>INDEX('个人技术总览'!$R$5:$R$46,MATCH($A535,'个人技术总览'!$A$5:$A$46,0))</f>
        <v/>
      </c>
      <c r="T535" s="68">
        <f>POWER($Q535,$E535)</f>
        <v/>
      </c>
      <c r="U535" s="68">
        <f>SUMIFS($T$5:$T$589,$A$5:$A$589,$A535)</f>
        <v/>
      </c>
      <c r="V535" s="67">
        <f>ROUNDDOWN(MAX(0,$P535-$H535*$G535)*$T535/MAX(1,$U535),0)</f>
        <v/>
      </c>
      <c r="W535" s="68">
        <f>POWER($S535,$E535)</f>
        <v/>
      </c>
      <c r="X535" s="68">
        <f>SUMIFS($W$5:$W$589,$A$5:$A$589,$A535)</f>
        <v/>
      </c>
      <c r="Y535" s="67">
        <f>ROUNDDOWN(MAX(0,$R535-$J535*$G535)*$W535/MAX(1,$X535),0)</f>
        <v/>
      </c>
    </row>
    <row r="536">
      <c r="A536" s="17" t="inlineStr">
        <is>
          <t>farming</t>
        </is>
      </c>
      <c r="B536" s="18" t="inlineStr">
        <is>
          <t>农耕术</t>
        </is>
      </c>
      <c r="C536" s="18" t="inlineStr">
        <is>
          <t>生产技术</t>
        </is>
      </c>
      <c r="D536" s="18" t="inlineStr">
        <is>
          <t>—</t>
        </is>
      </c>
      <c r="E536" s="65" t="n">
        <v>11</v>
      </c>
      <c r="F536" s="66">
        <f>E536+1</f>
        <v/>
      </c>
      <c r="G536" s="65">
        <f>INDEX('个人技术总览'!$E$5:$E$46,MATCH($A536,'个人技术总览'!$A$5:$A$46,0))</f>
        <v/>
      </c>
      <c r="H536" s="59">
        <f>INDEX('个人技术总览'!$F$5:$F$46,MATCH($A536,'个人技术总览'!$A$5:$A$46,0))</f>
        <v/>
      </c>
      <c r="I536" s="60">
        <f>INDEX('个人技术总览'!$G$5:$G$46,MATCH($A536,'个人技术总览'!$A$5:$A$46,0))</f>
        <v/>
      </c>
      <c r="J536" s="59">
        <f>INDEX('个人技术总览'!$H$5:$H$46,MATCH($A536,'个人技术总览'!$A$5:$A$46,0))</f>
        <v/>
      </c>
      <c r="K536" s="60">
        <f>INDEX('个人技术总览'!$I$5:$I$46,MATCH($A536,'个人技术总览'!$A$5:$A$46,0))</f>
        <v/>
      </c>
      <c r="L536" s="67">
        <f>H536+V536+IF(E536=G536-1,MAX(0,P536-H536*G536-SUMIFS($V$5:$V$589,$A$5:$A$589,$A536)),0)</f>
        <v/>
      </c>
      <c r="M536" s="61">
        <f>MAX(1,ROUNDDOWN($L536/'参数与公式'!$B$5,0))</f>
        <v/>
      </c>
      <c r="N536" s="67">
        <f>J536+Y536+IF(E536=G536-1,MAX(0,R536-J536*G536-SUMIFS($Y$5:$Y$589,$A$5:$A$589,$A536)),0)</f>
        <v/>
      </c>
      <c r="O536" s="18" t="inlineStr">
        <is>
          <t>data/technology_templates.yaml; upgrade_*_budget / *_curve; code: technology_rules.allocate_upgrade_budget</t>
        </is>
      </c>
      <c r="P536" s="67">
        <f>INDEX('个人技术总览'!$O$5:$O$46,MATCH($A536,'个人技术总览'!$A$5:$A$46,0))</f>
        <v/>
      </c>
      <c r="Q536" s="64">
        <f>INDEX('个人技术总览'!$P$5:$P$46,MATCH($A536,'个人技术总览'!$A$5:$A$46,0))</f>
        <v/>
      </c>
      <c r="R536" s="67">
        <f>INDEX('个人技术总览'!$Q$5:$Q$46,MATCH($A536,'个人技术总览'!$A$5:$A$46,0))</f>
        <v/>
      </c>
      <c r="S536" s="64">
        <f>INDEX('个人技术总览'!$R$5:$R$46,MATCH($A536,'个人技术总览'!$A$5:$A$46,0))</f>
        <v/>
      </c>
      <c r="T536" s="68">
        <f>POWER($Q536,$E536)</f>
        <v/>
      </c>
      <c r="U536" s="68">
        <f>SUMIFS($T$5:$T$589,$A$5:$A$589,$A536)</f>
        <v/>
      </c>
      <c r="V536" s="67">
        <f>ROUNDDOWN(MAX(0,$P536-$H536*$G536)*$T536/MAX(1,$U536),0)</f>
        <v/>
      </c>
      <c r="W536" s="68">
        <f>POWER($S536,$E536)</f>
        <v/>
      </c>
      <c r="X536" s="68">
        <f>SUMIFS($W$5:$W$589,$A$5:$A$589,$A536)</f>
        <v/>
      </c>
      <c r="Y536" s="67">
        <f>ROUNDDOWN(MAX(0,$R536-$J536*$G536)*$W536/MAX(1,$X536),0)</f>
        <v/>
      </c>
    </row>
    <row r="537">
      <c r="A537" s="17" t="inlineStr">
        <is>
          <t>farming</t>
        </is>
      </c>
      <c r="B537" s="18" t="inlineStr">
        <is>
          <t>农耕术</t>
        </is>
      </c>
      <c r="C537" s="18" t="inlineStr">
        <is>
          <t>生产技术</t>
        </is>
      </c>
      <c r="D537" s="18" t="inlineStr">
        <is>
          <t>—</t>
        </is>
      </c>
      <c r="E537" s="65" t="n">
        <v>12</v>
      </c>
      <c r="F537" s="66">
        <f>E537+1</f>
        <v/>
      </c>
      <c r="G537" s="65">
        <f>INDEX('个人技术总览'!$E$5:$E$46,MATCH($A537,'个人技术总览'!$A$5:$A$46,0))</f>
        <v/>
      </c>
      <c r="H537" s="59">
        <f>INDEX('个人技术总览'!$F$5:$F$46,MATCH($A537,'个人技术总览'!$A$5:$A$46,0))</f>
        <v/>
      </c>
      <c r="I537" s="60">
        <f>INDEX('个人技术总览'!$G$5:$G$46,MATCH($A537,'个人技术总览'!$A$5:$A$46,0))</f>
        <v/>
      </c>
      <c r="J537" s="59">
        <f>INDEX('个人技术总览'!$H$5:$H$46,MATCH($A537,'个人技术总览'!$A$5:$A$46,0))</f>
        <v/>
      </c>
      <c r="K537" s="60">
        <f>INDEX('个人技术总览'!$I$5:$I$46,MATCH($A537,'个人技术总览'!$A$5:$A$46,0))</f>
        <v/>
      </c>
      <c r="L537" s="67">
        <f>H537+V537+IF(E537=G537-1,MAX(0,P537-H537*G537-SUMIFS($V$5:$V$589,$A$5:$A$589,$A537)),0)</f>
        <v/>
      </c>
      <c r="M537" s="61">
        <f>MAX(1,ROUNDDOWN($L537/'参数与公式'!$B$5,0))</f>
        <v/>
      </c>
      <c r="N537" s="67">
        <f>J537+Y537+IF(E537=G537-1,MAX(0,R537-J537*G537-SUMIFS($Y$5:$Y$589,$A$5:$A$589,$A537)),0)</f>
        <v/>
      </c>
      <c r="O537" s="18" t="inlineStr">
        <is>
          <t>data/technology_templates.yaml; upgrade_*_budget / *_curve; code: technology_rules.allocate_upgrade_budget</t>
        </is>
      </c>
      <c r="P537" s="67">
        <f>INDEX('个人技术总览'!$O$5:$O$46,MATCH($A537,'个人技术总览'!$A$5:$A$46,0))</f>
        <v/>
      </c>
      <c r="Q537" s="64">
        <f>INDEX('个人技术总览'!$P$5:$P$46,MATCH($A537,'个人技术总览'!$A$5:$A$46,0))</f>
        <v/>
      </c>
      <c r="R537" s="67">
        <f>INDEX('个人技术总览'!$Q$5:$Q$46,MATCH($A537,'个人技术总览'!$A$5:$A$46,0))</f>
        <v/>
      </c>
      <c r="S537" s="64">
        <f>INDEX('个人技术总览'!$R$5:$R$46,MATCH($A537,'个人技术总览'!$A$5:$A$46,0))</f>
        <v/>
      </c>
      <c r="T537" s="68">
        <f>POWER($Q537,$E537)</f>
        <v/>
      </c>
      <c r="U537" s="68">
        <f>SUMIFS($T$5:$T$589,$A$5:$A$589,$A537)</f>
        <v/>
      </c>
      <c r="V537" s="67">
        <f>ROUNDDOWN(MAX(0,$P537-$H537*$G537)*$T537/MAX(1,$U537),0)</f>
        <v/>
      </c>
      <c r="W537" s="68">
        <f>POWER($S537,$E537)</f>
        <v/>
      </c>
      <c r="X537" s="68">
        <f>SUMIFS($W$5:$W$589,$A$5:$A$589,$A537)</f>
        <v/>
      </c>
      <c r="Y537" s="67">
        <f>ROUNDDOWN(MAX(0,$R537-$J537*$G537)*$W537/MAX(1,$X537),0)</f>
        <v/>
      </c>
    </row>
    <row r="538">
      <c r="A538" s="17" t="inlineStr">
        <is>
          <t>farming</t>
        </is>
      </c>
      <c r="B538" s="18" t="inlineStr">
        <is>
          <t>农耕术</t>
        </is>
      </c>
      <c r="C538" s="18" t="inlineStr">
        <is>
          <t>生产技术</t>
        </is>
      </c>
      <c r="D538" s="18" t="inlineStr">
        <is>
          <t>—</t>
        </is>
      </c>
      <c r="E538" s="65" t="n">
        <v>13</v>
      </c>
      <c r="F538" s="66">
        <f>E538+1</f>
        <v/>
      </c>
      <c r="G538" s="65">
        <f>INDEX('个人技术总览'!$E$5:$E$46,MATCH($A538,'个人技术总览'!$A$5:$A$46,0))</f>
        <v/>
      </c>
      <c r="H538" s="59">
        <f>INDEX('个人技术总览'!$F$5:$F$46,MATCH($A538,'个人技术总览'!$A$5:$A$46,0))</f>
        <v/>
      </c>
      <c r="I538" s="60">
        <f>INDEX('个人技术总览'!$G$5:$G$46,MATCH($A538,'个人技术总览'!$A$5:$A$46,0))</f>
        <v/>
      </c>
      <c r="J538" s="59">
        <f>INDEX('个人技术总览'!$H$5:$H$46,MATCH($A538,'个人技术总览'!$A$5:$A$46,0))</f>
        <v/>
      </c>
      <c r="K538" s="60">
        <f>INDEX('个人技术总览'!$I$5:$I$46,MATCH($A538,'个人技术总览'!$A$5:$A$46,0))</f>
        <v/>
      </c>
      <c r="L538" s="67">
        <f>H538+V538+IF(E538=G538-1,MAX(0,P538-H538*G538-SUMIFS($V$5:$V$589,$A$5:$A$589,$A538)),0)</f>
        <v/>
      </c>
      <c r="M538" s="61">
        <f>MAX(1,ROUNDDOWN($L538/'参数与公式'!$B$5,0))</f>
        <v/>
      </c>
      <c r="N538" s="67">
        <f>J538+Y538+IF(E538=G538-1,MAX(0,R538-J538*G538-SUMIFS($Y$5:$Y$589,$A$5:$A$589,$A538)),0)</f>
        <v/>
      </c>
      <c r="O538" s="18" t="inlineStr">
        <is>
          <t>data/technology_templates.yaml; upgrade_*_budget / *_curve; code: technology_rules.allocate_upgrade_budget</t>
        </is>
      </c>
      <c r="P538" s="67">
        <f>INDEX('个人技术总览'!$O$5:$O$46,MATCH($A538,'个人技术总览'!$A$5:$A$46,0))</f>
        <v/>
      </c>
      <c r="Q538" s="64">
        <f>INDEX('个人技术总览'!$P$5:$P$46,MATCH($A538,'个人技术总览'!$A$5:$A$46,0))</f>
        <v/>
      </c>
      <c r="R538" s="67">
        <f>INDEX('个人技术总览'!$Q$5:$Q$46,MATCH($A538,'个人技术总览'!$A$5:$A$46,0))</f>
        <v/>
      </c>
      <c r="S538" s="64">
        <f>INDEX('个人技术总览'!$R$5:$R$46,MATCH($A538,'个人技术总览'!$A$5:$A$46,0))</f>
        <v/>
      </c>
      <c r="T538" s="68">
        <f>POWER($Q538,$E538)</f>
        <v/>
      </c>
      <c r="U538" s="68">
        <f>SUMIFS($T$5:$T$589,$A$5:$A$589,$A538)</f>
        <v/>
      </c>
      <c r="V538" s="67">
        <f>ROUNDDOWN(MAX(0,$P538-$H538*$G538)*$T538/MAX(1,$U538),0)</f>
        <v/>
      </c>
      <c r="W538" s="68">
        <f>POWER($S538,$E538)</f>
        <v/>
      </c>
      <c r="X538" s="68">
        <f>SUMIFS($W$5:$W$589,$A$5:$A$589,$A538)</f>
        <v/>
      </c>
      <c r="Y538" s="67">
        <f>ROUNDDOWN(MAX(0,$R538-$J538*$G538)*$W538/MAX(1,$X538),0)</f>
        <v/>
      </c>
    </row>
    <row r="539">
      <c r="A539" s="17" t="inlineStr">
        <is>
          <t>farming</t>
        </is>
      </c>
      <c r="B539" s="18" t="inlineStr">
        <is>
          <t>农耕术</t>
        </is>
      </c>
      <c r="C539" s="18" t="inlineStr">
        <is>
          <t>生产技术</t>
        </is>
      </c>
      <c r="D539" s="18" t="inlineStr">
        <is>
          <t>—</t>
        </is>
      </c>
      <c r="E539" s="65" t="n">
        <v>14</v>
      </c>
      <c r="F539" s="66">
        <f>E539+1</f>
        <v/>
      </c>
      <c r="G539" s="65">
        <f>INDEX('个人技术总览'!$E$5:$E$46,MATCH($A539,'个人技术总览'!$A$5:$A$46,0))</f>
        <v/>
      </c>
      <c r="H539" s="59">
        <f>INDEX('个人技术总览'!$F$5:$F$46,MATCH($A539,'个人技术总览'!$A$5:$A$46,0))</f>
        <v/>
      </c>
      <c r="I539" s="60">
        <f>INDEX('个人技术总览'!$G$5:$G$46,MATCH($A539,'个人技术总览'!$A$5:$A$46,0))</f>
        <v/>
      </c>
      <c r="J539" s="59">
        <f>INDEX('个人技术总览'!$H$5:$H$46,MATCH($A539,'个人技术总览'!$A$5:$A$46,0))</f>
        <v/>
      </c>
      <c r="K539" s="60">
        <f>INDEX('个人技术总览'!$I$5:$I$46,MATCH($A539,'个人技术总览'!$A$5:$A$46,0))</f>
        <v/>
      </c>
      <c r="L539" s="67">
        <f>H539+V539+IF(E539=G539-1,MAX(0,P539-H539*G539-SUMIFS($V$5:$V$589,$A$5:$A$589,$A539)),0)</f>
        <v/>
      </c>
      <c r="M539" s="61">
        <f>MAX(1,ROUNDDOWN($L539/'参数与公式'!$B$5,0))</f>
        <v/>
      </c>
      <c r="N539" s="67">
        <f>J539+Y539+IF(E539=G539-1,MAX(0,R539-J539*G539-SUMIFS($Y$5:$Y$589,$A$5:$A$589,$A539)),0)</f>
        <v/>
      </c>
      <c r="O539" s="18" t="inlineStr">
        <is>
          <t>data/technology_templates.yaml; upgrade_*_budget / *_curve; code: technology_rules.allocate_upgrade_budget</t>
        </is>
      </c>
      <c r="P539" s="67">
        <f>INDEX('个人技术总览'!$O$5:$O$46,MATCH($A539,'个人技术总览'!$A$5:$A$46,0))</f>
        <v/>
      </c>
      <c r="Q539" s="64">
        <f>INDEX('个人技术总览'!$P$5:$P$46,MATCH($A539,'个人技术总览'!$A$5:$A$46,0))</f>
        <v/>
      </c>
      <c r="R539" s="67">
        <f>INDEX('个人技术总览'!$Q$5:$Q$46,MATCH($A539,'个人技术总览'!$A$5:$A$46,0))</f>
        <v/>
      </c>
      <c r="S539" s="64">
        <f>INDEX('个人技术总览'!$R$5:$R$46,MATCH($A539,'个人技术总览'!$A$5:$A$46,0))</f>
        <v/>
      </c>
      <c r="T539" s="68">
        <f>POWER($Q539,$E539)</f>
        <v/>
      </c>
      <c r="U539" s="68">
        <f>SUMIFS($T$5:$T$589,$A$5:$A$589,$A539)</f>
        <v/>
      </c>
      <c r="V539" s="67">
        <f>ROUNDDOWN(MAX(0,$P539-$H539*$G539)*$T539/MAX(1,$U539),0)</f>
        <v/>
      </c>
      <c r="W539" s="68">
        <f>POWER($S539,$E539)</f>
        <v/>
      </c>
      <c r="X539" s="68">
        <f>SUMIFS($W$5:$W$589,$A$5:$A$589,$A539)</f>
        <v/>
      </c>
      <c r="Y539" s="67">
        <f>ROUNDDOWN(MAX(0,$R539-$J539*$G539)*$W539/MAX(1,$X539),0)</f>
        <v/>
      </c>
    </row>
    <row r="540">
      <c r="A540" s="17" t="inlineStr">
        <is>
          <t>farming</t>
        </is>
      </c>
      <c r="B540" s="18" t="inlineStr">
        <is>
          <t>农耕术</t>
        </is>
      </c>
      <c r="C540" s="18" t="inlineStr">
        <is>
          <t>生产技术</t>
        </is>
      </c>
      <c r="D540" s="18" t="inlineStr">
        <is>
          <t>—</t>
        </is>
      </c>
      <c r="E540" s="65" t="n">
        <v>15</v>
      </c>
      <c r="F540" s="66">
        <f>E540+1</f>
        <v/>
      </c>
      <c r="G540" s="65">
        <f>INDEX('个人技术总览'!$E$5:$E$46,MATCH($A540,'个人技术总览'!$A$5:$A$46,0))</f>
        <v/>
      </c>
      <c r="H540" s="59">
        <f>INDEX('个人技术总览'!$F$5:$F$46,MATCH($A540,'个人技术总览'!$A$5:$A$46,0))</f>
        <v/>
      </c>
      <c r="I540" s="60">
        <f>INDEX('个人技术总览'!$G$5:$G$46,MATCH($A540,'个人技术总览'!$A$5:$A$46,0))</f>
        <v/>
      </c>
      <c r="J540" s="59">
        <f>INDEX('个人技术总览'!$H$5:$H$46,MATCH($A540,'个人技术总览'!$A$5:$A$46,0))</f>
        <v/>
      </c>
      <c r="K540" s="60">
        <f>INDEX('个人技术总览'!$I$5:$I$46,MATCH($A540,'个人技术总览'!$A$5:$A$46,0))</f>
        <v/>
      </c>
      <c r="L540" s="67">
        <f>H540+V540+IF(E540=G540-1,MAX(0,P540-H540*G540-SUMIFS($V$5:$V$589,$A$5:$A$589,$A540)),0)</f>
        <v/>
      </c>
      <c r="M540" s="61">
        <f>MAX(1,ROUNDDOWN($L540/'参数与公式'!$B$5,0))</f>
        <v/>
      </c>
      <c r="N540" s="67">
        <f>J540+Y540+IF(E540=G540-1,MAX(0,R540-J540*G540-SUMIFS($Y$5:$Y$589,$A$5:$A$589,$A540)),0)</f>
        <v/>
      </c>
      <c r="O540" s="18" t="inlineStr">
        <is>
          <t>data/technology_templates.yaml; upgrade_*_budget / *_curve; code: technology_rules.allocate_upgrade_budget</t>
        </is>
      </c>
      <c r="P540" s="67">
        <f>INDEX('个人技术总览'!$O$5:$O$46,MATCH($A540,'个人技术总览'!$A$5:$A$46,0))</f>
        <v/>
      </c>
      <c r="Q540" s="64">
        <f>INDEX('个人技术总览'!$P$5:$P$46,MATCH($A540,'个人技术总览'!$A$5:$A$46,0))</f>
        <v/>
      </c>
      <c r="R540" s="67">
        <f>INDEX('个人技术总览'!$Q$5:$Q$46,MATCH($A540,'个人技术总览'!$A$5:$A$46,0))</f>
        <v/>
      </c>
      <c r="S540" s="64">
        <f>INDEX('个人技术总览'!$R$5:$R$46,MATCH($A540,'个人技术总览'!$A$5:$A$46,0))</f>
        <v/>
      </c>
      <c r="T540" s="68">
        <f>POWER($Q540,$E540)</f>
        <v/>
      </c>
      <c r="U540" s="68">
        <f>SUMIFS($T$5:$T$589,$A$5:$A$589,$A540)</f>
        <v/>
      </c>
      <c r="V540" s="67">
        <f>ROUNDDOWN(MAX(0,$P540-$H540*$G540)*$T540/MAX(1,$U540),0)</f>
        <v/>
      </c>
      <c r="W540" s="68">
        <f>POWER($S540,$E540)</f>
        <v/>
      </c>
      <c r="X540" s="68">
        <f>SUMIFS($W$5:$W$589,$A$5:$A$589,$A540)</f>
        <v/>
      </c>
      <c r="Y540" s="67">
        <f>ROUNDDOWN(MAX(0,$R540-$J540*$G540)*$W540/MAX(1,$X540),0)</f>
        <v/>
      </c>
    </row>
    <row r="541">
      <c r="A541" s="17" t="inlineStr">
        <is>
          <t>farming</t>
        </is>
      </c>
      <c r="B541" s="18" t="inlineStr">
        <is>
          <t>农耕术</t>
        </is>
      </c>
      <c r="C541" s="18" t="inlineStr">
        <is>
          <t>生产技术</t>
        </is>
      </c>
      <c r="D541" s="18" t="inlineStr">
        <is>
          <t>—</t>
        </is>
      </c>
      <c r="E541" s="65" t="n">
        <v>16</v>
      </c>
      <c r="F541" s="66">
        <f>E541+1</f>
        <v/>
      </c>
      <c r="G541" s="65">
        <f>INDEX('个人技术总览'!$E$5:$E$46,MATCH($A541,'个人技术总览'!$A$5:$A$46,0))</f>
        <v/>
      </c>
      <c r="H541" s="59">
        <f>INDEX('个人技术总览'!$F$5:$F$46,MATCH($A541,'个人技术总览'!$A$5:$A$46,0))</f>
        <v/>
      </c>
      <c r="I541" s="60">
        <f>INDEX('个人技术总览'!$G$5:$G$46,MATCH($A541,'个人技术总览'!$A$5:$A$46,0))</f>
        <v/>
      </c>
      <c r="J541" s="59">
        <f>INDEX('个人技术总览'!$H$5:$H$46,MATCH($A541,'个人技术总览'!$A$5:$A$46,0))</f>
        <v/>
      </c>
      <c r="K541" s="60">
        <f>INDEX('个人技术总览'!$I$5:$I$46,MATCH($A541,'个人技术总览'!$A$5:$A$46,0))</f>
        <v/>
      </c>
      <c r="L541" s="67">
        <f>H541+V541+IF(E541=G541-1,MAX(0,P541-H541*G541-SUMIFS($V$5:$V$589,$A$5:$A$589,$A541)),0)</f>
        <v/>
      </c>
      <c r="M541" s="61">
        <f>MAX(1,ROUNDDOWN($L541/'参数与公式'!$B$5,0))</f>
        <v/>
      </c>
      <c r="N541" s="67">
        <f>J541+Y541+IF(E541=G541-1,MAX(0,R541-J541*G541-SUMIFS($Y$5:$Y$589,$A$5:$A$589,$A541)),0)</f>
        <v/>
      </c>
      <c r="O541" s="18" t="inlineStr">
        <is>
          <t>data/technology_templates.yaml; upgrade_*_budget / *_curve; code: technology_rules.allocate_upgrade_budget</t>
        </is>
      </c>
      <c r="P541" s="67">
        <f>INDEX('个人技术总览'!$O$5:$O$46,MATCH($A541,'个人技术总览'!$A$5:$A$46,0))</f>
        <v/>
      </c>
      <c r="Q541" s="64">
        <f>INDEX('个人技术总览'!$P$5:$P$46,MATCH($A541,'个人技术总览'!$A$5:$A$46,0))</f>
        <v/>
      </c>
      <c r="R541" s="67">
        <f>INDEX('个人技术总览'!$Q$5:$Q$46,MATCH($A541,'个人技术总览'!$A$5:$A$46,0))</f>
        <v/>
      </c>
      <c r="S541" s="64">
        <f>INDEX('个人技术总览'!$R$5:$R$46,MATCH($A541,'个人技术总览'!$A$5:$A$46,0))</f>
        <v/>
      </c>
      <c r="T541" s="68">
        <f>POWER($Q541,$E541)</f>
        <v/>
      </c>
      <c r="U541" s="68">
        <f>SUMIFS($T$5:$T$589,$A$5:$A$589,$A541)</f>
        <v/>
      </c>
      <c r="V541" s="67">
        <f>ROUNDDOWN(MAX(0,$P541-$H541*$G541)*$T541/MAX(1,$U541),0)</f>
        <v/>
      </c>
      <c r="W541" s="68">
        <f>POWER($S541,$E541)</f>
        <v/>
      </c>
      <c r="X541" s="68">
        <f>SUMIFS($W$5:$W$589,$A$5:$A$589,$A541)</f>
        <v/>
      </c>
      <c r="Y541" s="67">
        <f>ROUNDDOWN(MAX(0,$R541-$J541*$G541)*$W541/MAX(1,$X541),0)</f>
        <v/>
      </c>
    </row>
    <row r="542">
      <c r="A542" s="17" t="inlineStr">
        <is>
          <t>farming</t>
        </is>
      </c>
      <c r="B542" s="18" t="inlineStr">
        <is>
          <t>农耕术</t>
        </is>
      </c>
      <c r="C542" s="18" t="inlineStr">
        <is>
          <t>生产技术</t>
        </is>
      </c>
      <c r="D542" s="18" t="inlineStr">
        <is>
          <t>—</t>
        </is>
      </c>
      <c r="E542" s="65" t="n">
        <v>17</v>
      </c>
      <c r="F542" s="66">
        <f>E542+1</f>
        <v/>
      </c>
      <c r="G542" s="65">
        <f>INDEX('个人技术总览'!$E$5:$E$46,MATCH($A542,'个人技术总览'!$A$5:$A$46,0))</f>
        <v/>
      </c>
      <c r="H542" s="59">
        <f>INDEX('个人技术总览'!$F$5:$F$46,MATCH($A542,'个人技术总览'!$A$5:$A$46,0))</f>
        <v/>
      </c>
      <c r="I542" s="60">
        <f>INDEX('个人技术总览'!$G$5:$G$46,MATCH($A542,'个人技术总览'!$A$5:$A$46,0))</f>
        <v/>
      </c>
      <c r="J542" s="59">
        <f>INDEX('个人技术总览'!$H$5:$H$46,MATCH($A542,'个人技术总览'!$A$5:$A$46,0))</f>
        <v/>
      </c>
      <c r="K542" s="60">
        <f>INDEX('个人技术总览'!$I$5:$I$46,MATCH($A542,'个人技术总览'!$A$5:$A$46,0))</f>
        <v/>
      </c>
      <c r="L542" s="67">
        <f>H542+V542+IF(E542=G542-1,MAX(0,P542-H542*G542-SUMIFS($V$5:$V$589,$A$5:$A$589,$A542)),0)</f>
        <v/>
      </c>
      <c r="M542" s="61">
        <f>MAX(1,ROUNDDOWN($L542/'参数与公式'!$B$5,0))</f>
        <v/>
      </c>
      <c r="N542" s="67">
        <f>J542+Y542+IF(E542=G542-1,MAX(0,R542-J542*G542-SUMIFS($Y$5:$Y$589,$A$5:$A$589,$A542)),0)</f>
        <v/>
      </c>
      <c r="O542" s="18" t="inlineStr">
        <is>
          <t>data/technology_templates.yaml; upgrade_*_budget / *_curve; code: technology_rules.allocate_upgrade_budget</t>
        </is>
      </c>
      <c r="P542" s="67">
        <f>INDEX('个人技术总览'!$O$5:$O$46,MATCH($A542,'个人技术总览'!$A$5:$A$46,0))</f>
        <v/>
      </c>
      <c r="Q542" s="64">
        <f>INDEX('个人技术总览'!$P$5:$P$46,MATCH($A542,'个人技术总览'!$A$5:$A$46,0))</f>
        <v/>
      </c>
      <c r="R542" s="67">
        <f>INDEX('个人技术总览'!$Q$5:$Q$46,MATCH($A542,'个人技术总览'!$A$5:$A$46,0))</f>
        <v/>
      </c>
      <c r="S542" s="64">
        <f>INDEX('个人技术总览'!$R$5:$R$46,MATCH($A542,'个人技术总览'!$A$5:$A$46,0))</f>
        <v/>
      </c>
      <c r="T542" s="68">
        <f>POWER($Q542,$E542)</f>
        <v/>
      </c>
      <c r="U542" s="68">
        <f>SUMIFS($T$5:$T$589,$A$5:$A$589,$A542)</f>
        <v/>
      </c>
      <c r="V542" s="67">
        <f>ROUNDDOWN(MAX(0,$P542-$H542*$G542)*$T542/MAX(1,$U542),0)</f>
        <v/>
      </c>
      <c r="W542" s="68">
        <f>POWER($S542,$E542)</f>
        <v/>
      </c>
      <c r="X542" s="68">
        <f>SUMIFS($W$5:$W$589,$A$5:$A$589,$A542)</f>
        <v/>
      </c>
      <c r="Y542" s="67">
        <f>ROUNDDOWN(MAX(0,$R542-$J542*$G542)*$W542/MAX(1,$X542),0)</f>
        <v/>
      </c>
    </row>
    <row r="543">
      <c r="A543" s="17" t="inlineStr">
        <is>
          <t>farming</t>
        </is>
      </c>
      <c r="B543" s="18" t="inlineStr">
        <is>
          <t>农耕术</t>
        </is>
      </c>
      <c r="C543" s="18" t="inlineStr">
        <is>
          <t>生产技术</t>
        </is>
      </c>
      <c r="D543" s="18" t="inlineStr">
        <is>
          <t>—</t>
        </is>
      </c>
      <c r="E543" s="65" t="n">
        <v>18</v>
      </c>
      <c r="F543" s="66">
        <f>E543+1</f>
        <v/>
      </c>
      <c r="G543" s="65">
        <f>INDEX('个人技术总览'!$E$5:$E$46,MATCH($A543,'个人技术总览'!$A$5:$A$46,0))</f>
        <v/>
      </c>
      <c r="H543" s="59">
        <f>INDEX('个人技术总览'!$F$5:$F$46,MATCH($A543,'个人技术总览'!$A$5:$A$46,0))</f>
        <v/>
      </c>
      <c r="I543" s="60">
        <f>INDEX('个人技术总览'!$G$5:$G$46,MATCH($A543,'个人技术总览'!$A$5:$A$46,0))</f>
        <v/>
      </c>
      <c r="J543" s="59">
        <f>INDEX('个人技术总览'!$H$5:$H$46,MATCH($A543,'个人技术总览'!$A$5:$A$46,0))</f>
        <v/>
      </c>
      <c r="K543" s="60">
        <f>INDEX('个人技术总览'!$I$5:$I$46,MATCH($A543,'个人技术总览'!$A$5:$A$46,0))</f>
        <v/>
      </c>
      <c r="L543" s="67">
        <f>H543+V543+IF(E543=G543-1,MAX(0,P543-H543*G543-SUMIFS($V$5:$V$589,$A$5:$A$589,$A543)),0)</f>
        <v/>
      </c>
      <c r="M543" s="61">
        <f>MAX(1,ROUNDDOWN($L543/'参数与公式'!$B$5,0))</f>
        <v/>
      </c>
      <c r="N543" s="67">
        <f>J543+Y543+IF(E543=G543-1,MAX(0,R543-J543*G543-SUMIFS($Y$5:$Y$589,$A$5:$A$589,$A543)),0)</f>
        <v/>
      </c>
      <c r="O543" s="18" t="inlineStr">
        <is>
          <t>data/technology_templates.yaml; upgrade_*_budget / *_curve; code: technology_rules.allocate_upgrade_budget</t>
        </is>
      </c>
      <c r="P543" s="67">
        <f>INDEX('个人技术总览'!$O$5:$O$46,MATCH($A543,'个人技术总览'!$A$5:$A$46,0))</f>
        <v/>
      </c>
      <c r="Q543" s="64">
        <f>INDEX('个人技术总览'!$P$5:$P$46,MATCH($A543,'个人技术总览'!$A$5:$A$46,0))</f>
        <v/>
      </c>
      <c r="R543" s="67">
        <f>INDEX('个人技术总览'!$Q$5:$Q$46,MATCH($A543,'个人技术总览'!$A$5:$A$46,0))</f>
        <v/>
      </c>
      <c r="S543" s="64">
        <f>INDEX('个人技术总览'!$R$5:$R$46,MATCH($A543,'个人技术总览'!$A$5:$A$46,0))</f>
        <v/>
      </c>
      <c r="T543" s="68">
        <f>POWER($Q543,$E543)</f>
        <v/>
      </c>
      <c r="U543" s="68">
        <f>SUMIFS($T$5:$T$589,$A$5:$A$589,$A543)</f>
        <v/>
      </c>
      <c r="V543" s="67">
        <f>ROUNDDOWN(MAX(0,$P543-$H543*$G543)*$T543/MAX(1,$U543),0)</f>
        <v/>
      </c>
      <c r="W543" s="68">
        <f>POWER($S543,$E543)</f>
        <v/>
      </c>
      <c r="X543" s="68">
        <f>SUMIFS($W$5:$W$589,$A$5:$A$589,$A543)</f>
        <v/>
      </c>
      <c r="Y543" s="67">
        <f>ROUNDDOWN(MAX(0,$R543-$J543*$G543)*$W543/MAX(1,$X543),0)</f>
        <v/>
      </c>
    </row>
    <row r="544">
      <c r="A544" s="17" t="inlineStr">
        <is>
          <t>farming</t>
        </is>
      </c>
      <c r="B544" s="18" t="inlineStr">
        <is>
          <t>农耕术</t>
        </is>
      </c>
      <c r="C544" s="18" t="inlineStr">
        <is>
          <t>生产技术</t>
        </is>
      </c>
      <c r="D544" s="18" t="inlineStr">
        <is>
          <t>—</t>
        </is>
      </c>
      <c r="E544" s="65" t="n">
        <v>19</v>
      </c>
      <c r="F544" s="66">
        <f>E544+1</f>
        <v/>
      </c>
      <c r="G544" s="65">
        <f>INDEX('个人技术总览'!$E$5:$E$46,MATCH($A544,'个人技术总览'!$A$5:$A$46,0))</f>
        <v/>
      </c>
      <c r="H544" s="59">
        <f>INDEX('个人技术总览'!$F$5:$F$46,MATCH($A544,'个人技术总览'!$A$5:$A$46,0))</f>
        <v/>
      </c>
      <c r="I544" s="60">
        <f>INDEX('个人技术总览'!$G$5:$G$46,MATCH($A544,'个人技术总览'!$A$5:$A$46,0))</f>
        <v/>
      </c>
      <c r="J544" s="59">
        <f>INDEX('个人技术总览'!$H$5:$H$46,MATCH($A544,'个人技术总览'!$A$5:$A$46,0))</f>
        <v/>
      </c>
      <c r="K544" s="60">
        <f>INDEX('个人技术总览'!$I$5:$I$46,MATCH($A544,'个人技术总览'!$A$5:$A$46,0))</f>
        <v/>
      </c>
      <c r="L544" s="67">
        <f>H544+V544+IF(E544=G544-1,MAX(0,P544-H544*G544-SUMIFS($V$5:$V$589,$A$5:$A$589,$A544)),0)</f>
        <v/>
      </c>
      <c r="M544" s="61">
        <f>MAX(1,ROUNDDOWN($L544/'参数与公式'!$B$5,0))</f>
        <v/>
      </c>
      <c r="N544" s="67">
        <f>J544+Y544+IF(E544=G544-1,MAX(0,R544-J544*G544-SUMIFS($Y$5:$Y$589,$A$5:$A$589,$A544)),0)</f>
        <v/>
      </c>
      <c r="O544" s="18" t="inlineStr">
        <is>
          <t>data/technology_templates.yaml; upgrade_*_budget / *_curve; code: technology_rules.allocate_upgrade_budget</t>
        </is>
      </c>
      <c r="P544" s="67">
        <f>INDEX('个人技术总览'!$O$5:$O$46,MATCH($A544,'个人技术总览'!$A$5:$A$46,0))</f>
        <v/>
      </c>
      <c r="Q544" s="64">
        <f>INDEX('个人技术总览'!$P$5:$P$46,MATCH($A544,'个人技术总览'!$A$5:$A$46,0))</f>
        <v/>
      </c>
      <c r="R544" s="67">
        <f>INDEX('个人技术总览'!$Q$5:$Q$46,MATCH($A544,'个人技术总览'!$A$5:$A$46,0))</f>
        <v/>
      </c>
      <c r="S544" s="64">
        <f>INDEX('个人技术总览'!$R$5:$R$46,MATCH($A544,'个人技术总览'!$A$5:$A$46,0))</f>
        <v/>
      </c>
      <c r="T544" s="68">
        <f>POWER($Q544,$E544)</f>
        <v/>
      </c>
      <c r="U544" s="68">
        <f>SUMIFS($T$5:$T$589,$A$5:$A$589,$A544)</f>
        <v/>
      </c>
      <c r="V544" s="67">
        <f>ROUNDDOWN(MAX(0,$P544-$H544*$G544)*$T544/MAX(1,$U544),0)</f>
        <v/>
      </c>
      <c r="W544" s="68">
        <f>POWER($S544,$E544)</f>
        <v/>
      </c>
      <c r="X544" s="68">
        <f>SUMIFS($W$5:$W$589,$A$5:$A$589,$A544)</f>
        <v/>
      </c>
      <c r="Y544" s="67">
        <f>ROUNDDOWN(MAX(0,$R544-$J544*$G544)*$W544/MAX(1,$X544),0)</f>
        <v/>
      </c>
    </row>
    <row r="545">
      <c r="A545" s="17" t="inlineStr">
        <is>
          <t>farming</t>
        </is>
      </c>
      <c r="B545" s="18" t="inlineStr">
        <is>
          <t>农耕术</t>
        </is>
      </c>
      <c r="C545" s="18" t="inlineStr">
        <is>
          <t>生产技术</t>
        </is>
      </c>
      <c r="D545" s="18" t="inlineStr">
        <is>
          <t>—</t>
        </is>
      </c>
      <c r="E545" s="65" t="n">
        <v>20</v>
      </c>
      <c r="F545" s="66">
        <f>E545+1</f>
        <v/>
      </c>
      <c r="G545" s="65">
        <f>INDEX('个人技术总览'!$E$5:$E$46,MATCH($A545,'个人技术总览'!$A$5:$A$46,0))</f>
        <v/>
      </c>
      <c r="H545" s="59">
        <f>INDEX('个人技术总览'!$F$5:$F$46,MATCH($A545,'个人技术总览'!$A$5:$A$46,0))</f>
        <v/>
      </c>
      <c r="I545" s="60">
        <f>INDEX('个人技术总览'!$G$5:$G$46,MATCH($A545,'个人技术总览'!$A$5:$A$46,0))</f>
        <v/>
      </c>
      <c r="J545" s="59">
        <f>INDEX('个人技术总览'!$H$5:$H$46,MATCH($A545,'个人技术总览'!$A$5:$A$46,0))</f>
        <v/>
      </c>
      <c r="K545" s="60">
        <f>INDEX('个人技术总览'!$I$5:$I$46,MATCH($A545,'个人技术总览'!$A$5:$A$46,0))</f>
        <v/>
      </c>
      <c r="L545" s="67">
        <f>H545+V545+IF(E545=G545-1,MAX(0,P545-H545*G545-SUMIFS($V$5:$V$589,$A$5:$A$589,$A545)),0)</f>
        <v/>
      </c>
      <c r="M545" s="61">
        <f>MAX(1,ROUNDDOWN($L545/'参数与公式'!$B$5,0))</f>
        <v/>
      </c>
      <c r="N545" s="67">
        <f>J545+Y545+IF(E545=G545-1,MAX(0,R545-J545*G545-SUMIFS($Y$5:$Y$589,$A$5:$A$589,$A545)),0)</f>
        <v/>
      </c>
      <c r="O545" s="18" t="inlineStr">
        <is>
          <t>data/technology_templates.yaml; upgrade_*_budget / *_curve; code: technology_rules.allocate_upgrade_budget</t>
        </is>
      </c>
      <c r="P545" s="67">
        <f>INDEX('个人技术总览'!$O$5:$O$46,MATCH($A545,'个人技术总览'!$A$5:$A$46,0))</f>
        <v/>
      </c>
      <c r="Q545" s="64">
        <f>INDEX('个人技术总览'!$P$5:$P$46,MATCH($A545,'个人技术总览'!$A$5:$A$46,0))</f>
        <v/>
      </c>
      <c r="R545" s="67">
        <f>INDEX('个人技术总览'!$Q$5:$Q$46,MATCH($A545,'个人技术总览'!$A$5:$A$46,0))</f>
        <v/>
      </c>
      <c r="S545" s="64">
        <f>INDEX('个人技术总览'!$R$5:$R$46,MATCH($A545,'个人技术总览'!$A$5:$A$46,0))</f>
        <v/>
      </c>
      <c r="T545" s="68">
        <f>POWER($Q545,$E545)</f>
        <v/>
      </c>
      <c r="U545" s="68">
        <f>SUMIFS($T$5:$T$589,$A$5:$A$589,$A545)</f>
        <v/>
      </c>
      <c r="V545" s="67">
        <f>ROUNDDOWN(MAX(0,$P545-$H545*$G545)*$T545/MAX(1,$U545),0)</f>
        <v/>
      </c>
      <c r="W545" s="68">
        <f>POWER($S545,$E545)</f>
        <v/>
      </c>
      <c r="X545" s="68">
        <f>SUMIFS($W$5:$W$589,$A$5:$A$589,$A545)</f>
        <v/>
      </c>
      <c r="Y545" s="67">
        <f>ROUNDDOWN(MAX(0,$R545-$J545*$G545)*$W545/MAX(1,$X545),0)</f>
        <v/>
      </c>
    </row>
    <row r="546">
      <c r="A546" s="17" t="inlineStr">
        <is>
          <t>farming</t>
        </is>
      </c>
      <c r="B546" s="18" t="inlineStr">
        <is>
          <t>农耕术</t>
        </is>
      </c>
      <c r="C546" s="18" t="inlineStr">
        <is>
          <t>生产技术</t>
        </is>
      </c>
      <c r="D546" s="18" t="inlineStr">
        <is>
          <t>—</t>
        </is>
      </c>
      <c r="E546" s="65" t="n">
        <v>21</v>
      </c>
      <c r="F546" s="66">
        <f>E546+1</f>
        <v/>
      </c>
      <c r="G546" s="65">
        <f>INDEX('个人技术总览'!$E$5:$E$46,MATCH($A546,'个人技术总览'!$A$5:$A$46,0))</f>
        <v/>
      </c>
      <c r="H546" s="59">
        <f>INDEX('个人技术总览'!$F$5:$F$46,MATCH($A546,'个人技术总览'!$A$5:$A$46,0))</f>
        <v/>
      </c>
      <c r="I546" s="60">
        <f>INDEX('个人技术总览'!$G$5:$G$46,MATCH($A546,'个人技术总览'!$A$5:$A$46,0))</f>
        <v/>
      </c>
      <c r="J546" s="59">
        <f>INDEX('个人技术总览'!$H$5:$H$46,MATCH($A546,'个人技术总览'!$A$5:$A$46,0))</f>
        <v/>
      </c>
      <c r="K546" s="60">
        <f>INDEX('个人技术总览'!$I$5:$I$46,MATCH($A546,'个人技术总览'!$A$5:$A$46,0))</f>
        <v/>
      </c>
      <c r="L546" s="67">
        <f>H546+V546+IF(E546=G546-1,MAX(0,P546-H546*G546-SUMIFS($V$5:$V$589,$A$5:$A$589,$A546)),0)</f>
        <v/>
      </c>
      <c r="M546" s="61">
        <f>MAX(1,ROUNDDOWN($L546/'参数与公式'!$B$5,0))</f>
        <v/>
      </c>
      <c r="N546" s="67">
        <f>J546+Y546+IF(E546=G546-1,MAX(0,R546-J546*G546-SUMIFS($Y$5:$Y$589,$A$5:$A$589,$A546)),0)</f>
        <v/>
      </c>
      <c r="O546" s="18" t="inlineStr">
        <is>
          <t>data/technology_templates.yaml; upgrade_*_budget / *_curve; code: technology_rules.allocate_upgrade_budget</t>
        </is>
      </c>
      <c r="P546" s="67">
        <f>INDEX('个人技术总览'!$O$5:$O$46,MATCH($A546,'个人技术总览'!$A$5:$A$46,0))</f>
        <v/>
      </c>
      <c r="Q546" s="64">
        <f>INDEX('个人技术总览'!$P$5:$P$46,MATCH($A546,'个人技术总览'!$A$5:$A$46,0))</f>
        <v/>
      </c>
      <c r="R546" s="67">
        <f>INDEX('个人技术总览'!$Q$5:$Q$46,MATCH($A546,'个人技术总览'!$A$5:$A$46,0))</f>
        <v/>
      </c>
      <c r="S546" s="64">
        <f>INDEX('个人技术总览'!$R$5:$R$46,MATCH($A546,'个人技术总览'!$A$5:$A$46,0))</f>
        <v/>
      </c>
      <c r="T546" s="68">
        <f>POWER($Q546,$E546)</f>
        <v/>
      </c>
      <c r="U546" s="68">
        <f>SUMIFS($T$5:$T$589,$A$5:$A$589,$A546)</f>
        <v/>
      </c>
      <c r="V546" s="67">
        <f>ROUNDDOWN(MAX(0,$P546-$H546*$G546)*$T546/MAX(1,$U546),0)</f>
        <v/>
      </c>
      <c r="W546" s="68">
        <f>POWER($S546,$E546)</f>
        <v/>
      </c>
      <c r="X546" s="68">
        <f>SUMIFS($W$5:$W$589,$A$5:$A$589,$A546)</f>
        <v/>
      </c>
      <c r="Y546" s="67">
        <f>ROUNDDOWN(MAX(0,$R546-$J546*$G546)*$W546/MAX(1,$X546),0)</f>
        <v/>
      </c>
    </row>
    <row r="547">
      <c r="A547" s="17" t="inlineStr">
        <is>
          <t>farming</t>
        </is>
      </c>
      <c r="B547" s="18" t="inlineStr">
        <is>
          <t>农耕术</t>
        </is>
      </c>
      <c r="C547" s="18" t="inlineStr">
        <is>
          <t>生产技术</t>
        </is>
      </c>
      <c r="D547" s="18" t="inlineStr">
        <is>
          <t>—</t>
        </is>
      </c>
      <c r="E547" s="65" t="n">
        <v>22</v>
      </c>
      <c r="F547" s="66">
        <f>E547+1</f>
        <v/>
      </c>
      <c r="G547" s="65">
        <f>INDEX('个人技术总览'!$E$5:$E$46,MATCH($A547,'个人技术总览'!$A$5:$A$46,0))</f>
        <v/>
      </c>
      <c r="H547" s="59">
        <f>INDEX('个人技术总览'!$F$5:$F$46,MATCH($A547,'个人技术总览'!$A$5:$A$46,0))</f>
        <v/>
      </c>
      <c r="I547" s="60">
        <f>INDEX('个人技术总览'!$G$5:$G$46,MATCH($A547,'个人技术总览'!$A$5:$A$46,0))</f>
        <v/>
      </c>
      <c r="J547" s="59">
        <f>INDEX('个人技术总览'!$H$5:$H$46,MATCH($A547,'个人技术总览'!$A$5:$A$46,0))</f>
        <v/>
      </c>
      <c r="K547" s="60">
        <f>INDEX('个人技术总览'!$I$5:$I$46,MATCH($A547,'个人技术总览'!$A$5:$A$46,0))</f>
        <v/>
      </c>
      <c r="L547" s="67">
        <f>H547+V547+IF(E547=G547-1,MAX(0,P547-H547*G547-SUMIFS($V$5:$V$589,$A$5:$A$589,$A547)),0)</f>
        <v/>
      </c>
      <c r="M547" s="61">
        <f>MAX(1,ROUNDDOWN($L547/'参数与公式'!$B$5,0))</f>
        <v/>
      </c>
      <c r="N547" s="67">
        <f>J547+Y547+IF(E547=G547-1,MAX(0,R547-J547*G547-SUMIFS($Y$5:$Y$589,$A$5:$A$589,$A547)),0)</f>
        <v/>
      </c>
      <c r="O547" s="18" t="inlineStr">
        <is>
          <t>data/technology_templates.yaml; upgrade_*_budget / *_curve; code: technology_rules.allocate_upgrade_budget</t>
        </is>
      </c>
      <c r="P547" s="67">
        <f>INDEX('个人技术总览'!$O$5:$O$46,MATCH($A547,'个人技术总览'!$A$5:$A$46,0))</f>
        <v/>
      </c>
      <c r="Q547" s="64">
        <f>INDEX('个人技术总览'!$P$5:$P$46,MATCH($A547,'个人技术总览'!$A$5:$A$46,0))</f>
        <v/>
      </c>
      <c r="R547" s="67">
        <f>INDEX('个人技术总览'!$Q$5:$Q$46,MATCH($A547,'个人技术总览'!$A$5:$A$46,0))</f>
        <v/>
      </c>
      <c r="S547" s="64">
        <f>INDEX('个人技术总览'!$R$5:$R$46,MATCH($A547,'个人技术总览'!$A$5:$A$46,0))</f>
        <v/>
      </c>
      <c r="T547" s="68">
        <f>POWER($Q547,$E547)</f>
        <v/>
      </c>
      <c r="U547" s="68">
        <f>SUMIFS($T$5:$T$589,$A$5:$A$589,$A547)</f>
        <v/>
      </c>
      <c r="V547" s="67">
        <f>ROUNDDOWN(MAX(0,$P547-$H547*$G547)*$T547/MAX(1,$U547),0)</f>
        <v/>
      </c>
      <c r="W547" s="68">
        <f>POWER($S547,$E547)</f>
        <v/>
      </c>
      <c r="X547" s="68">
        <f>SUMIFS($W$5:$W$589,$A$5:$A$589,$A547)</f>
        <v/>
      </c>
      <c r="Y547" s="67">
        <f>ROUNDDOWN(MAX(0,$R547-$J547*$G547)*$W547/MAX(1,$X547),0)</f>
        <v/>
      </c>
    </row>
    <row r="548">
      <c r="A548" s="17" t="inlineStr">
        <is>
          <t>farming</t>
        </is>
      </c>
      <c r="B548" s="18" t="inlineStr">
        <is>
          <t>农耕术</t>
        </is>
      </c>
      <c r="C548" s="18" t="inlineStr">
        <is>
          <t>生产技术</t>
        </is>
      </c>
      <c r="D548" s="18" t="inlineStr">
        <is>
          <t>—</t>
        </is>
      </c>
      <c r="E548" s="65" t="n">
        <v>23</v>
      </c>
      <c r="F548" s="66">
        <f>E548+1</f>
        <v/>
      </c>
      <c r="G548" s="65">
        <f>INDEX('个人技术总览'!$E$5:$E$46,MATCH($A548,'个人技术总览'!$A$5:$A$46,0))</f>
        <v/>
      </c>
      <c r="H548" s="59">
        <f>INDEX('个人技术总览'!$F$5:$F$46,MATCH($A548,'个人技术总览'!$A$5:$A$46,0))</f>
        <v/>
      </c>
      <c r="I548" s="60">
        <f>INDEX('个人技术总览'!$G$5:$G$46,MATCH($A548,'个人技术总览'!$A$5:$A$46,0))</f>
        <v/>
      </c>
      <c r="J548" s="59">
        <f>INDEX('个人技术总览'!$H$5:$H$46,MATCH($A548,'个人技术总览'!$A$5:$A$46,0))</f>
        <v/>
      </c>
      <c r="K548" s="60">
        <f>INDEX('个人技术总览'!$I$5:$I$46,MATCH($A548,'个人技术总览'!$A$5:$A$46,0))</f>
        <v/>
      </c>
      <c r="L548" s="67">
        <f>H548+V548+IF(E548=G548-1,MAX(0,P548-H548*G548-SUMIFS($V$5:$V$589,$A$5:$A$589,$A548)),0)</f>
        <v/>
      </c>
      <c r="M548" s="61">
        <f>MAX(1,ROUNDDOWN($L548/'参数与公式'!$B$5,0))</f>
        <v/>
      </c>
      <c r="N548" s="67">
        <f>J548+Y548+IF(E548=G548-1,MAX(0,R548-J548*G548-SUMIFS($Y$5:$Y$589,$A$5:$A$589,$A548)),0)</f>
        <v/>
      </c>
      <c r="O548" s="18" t="inlineStr">
        <is>
          <t>data/technology_templates.yaml; upgrade_*_budget / *_curve; code: technology_rules.allocate_upgrade_budget</t>
        </is>
      </c>
      <c r="P548" s="67">
        <f>INDEX('个人技术总览'!$O$5:$O$46,MATCH($A548,'个人技术总览'!$A$5:$A$46,0))</f>
        <v/>
      </c>
      <c r="Q548" s="64">
        <f>INDEX('个人技术总览'!$P$5:$P$46,MATCH($A548,'个人技术总览'!$A$5:$A$46,0))</f>
        <v/>
      </c>
      <c r="R548" s="67">
        <f>INDEX('个人技术总览'!$Q$5:$Q$46,MATCH($A548,'个人技术总览'!$A$5:$A$46,0))</f>
        <v/>
      </c>
      <c r="S548" s="64">
        <f>INDEX('个人技术总览'!$R$5:$R$46,MATCH($A548,'个人技术总览'!$A$5:$A$46,0))</f>
        <v/>
      </c>
      <c r="T548" s="68">
        <f>POWER($Q548,$E548)</f>
        <v/>
      </c>
      <c r="U548" s="68">
        <f>SUMIFS($T$5:$T$589,$A$5:$A$589,$A548)</f>
        <v/>
      </c>
      <c r="V548" s="67">
        <f>ROUNDDOWN(MAX(0,$P548-$H548*$G548)*$T548/MAX(1,$U548),0)</f>
        <v/>
      </c>
      <c r="W548" s="68">
        <f>POWER($S548,$E548)</f>
        <v/>
      </c>
      <c r="X548" s="68">
        <f>SUMIFS($W$5:$W$589,$A$5:$A$589,$A548)</f>
        <v/>
      </c>
      <c r="Y548" s="67">
        <f>ROUNDDOWN(MAX(0,$R548-$J548*$G548)*$W548/MAX(1,$X548),0)</f>
        <v/>
      </c>
    </row>
    <row r="549">
      <c r="A549" s="17" t="inlineStr">
        <is>
          <t>farming</t>
        </is>
      </c>
      <c r="B549" s="18" t="inlineStr">
        <is>
          <t>农耕术</t>
        </is>
      </c>
      <c r="C549" s="18" t="inlineStr">
        <is>
          <t>生产技术</t>
        </is>
      </c>
      <c r="D549" s="18" t="inlineStr">
        <is>
          <t>—</t>
        </is>
      </c>
      <c r="E549" s="65" t="n">
        <v>24</v>
      </c>
      <c r="F549" s="66">
        <f>E549+1</f>
        <v/>
      </c>
      <c r="G549" s="65">
        <f>INDEX('个人技术总览'!$E$5:$E$46,MATCH($A549,'个人技术总览'!$A$5:$A$46,0))</f>
        <v/>
      </c>
      <c r="H549" s="59">
        <f>INDEX('个人技术总览'!$F$5:$F$46,MATCH($A549,'个人技术总览'!$A$5:$A$46,0))</f>
        <v/>
      </c>
      <c r="I549" s="60">
        <f>INDEX('个人技术总览'!$G$5:$G$46,MATCH($A549,'个人技术总览'!$A$5:$A$46,0))</f>
        <v/>
      </c>
      <c r="J549" s="59">
        <f>INDEX('个人技术总览'!$H$5:$H$46,MATCH($A549,'个人技术总览'!$A$5:$A$46,0))</f>
        <v/>
      </c>
      <c r="K549" s="60">
        <f>INDEX('个人技术总览'!$I$5:$I$46,MATCH($A549,'个人技术总览'!$A$5:$A$46,0))</f>
        <v/>
      </c>
      <c r="L549" s="67">
        <f>H549+V549+IF(E549=G549-1,MAX(0,P549-H549*G549-SUMIFS($V$5:$V$589,$A$5:$A$589,$A549)),0)</f>
        <v/>
      </c>
      <c r="M549" s="61">
        <f>MAX(1,ROUNDDOWN($L549/'参数与公式'!$B$5,0))</f>
        <v/>
      </c>
      <c r="N549" s="67">
        <f>J549+Y549+IF(E549=G549-1,MAX(0,R549-J549*G549-SUMIFS($Y$5:$Y$589,$A$5:$A$589,$A549)),0)</f>
        <v/>
      </c>
      <c r="O549" s="18" t="inlineStr">
        <is>
          <t>data/technology_templates.yaml; upgrade_*_budget / *_curve; code: technology_rules.allocate_upgrade_budget</t>
        </is>
      </c>
      <c r="P549" s="67">
        <f>INDEX('个人技术总览'!$O$5:$O$46,MATCH($A549,'个人技术总览'!$A$5:$A$46,0))</f>
        <v/>
      </c>
      <c r="Q549" s="64">
        <f>INDEX('个人技术总览'!$P$5:$P$46,MATCH($A549,'个人技术总览'!$A$5:$A$46,0))</f>
        <v/>
      </c>
      <c r="R549" s="67">
        <f>INDEX('个人技术总览'!$Q$5:$Q$46,MATCH($A549,'个人技术总览'!$A$5:$A$46,0))</f>
        <v/>
      </c>
      <c r="S549" s="64">
        <f>INDEX('个人技术总览'!$R$5:$R$46,MATCH($A549,'个人技术总览'!$A$5:$A$46,0))</f>
        <v/>
      </c>
      <c r="T549" s="68">
        <f>POWER($Q549,$E549)</f>
        <v/>
      </c>
      <c r="U549" s="68">
        <f>SUMIFS($T$5:$T$589,$A$5:$A$589,$A549)</f>
        <v/>
      </c>
      <c r="V549" s="67">
        <f>ROUNDDOWN(MAX(0,$P549-$H549*$G549)*$T549/MAX(1,$U549),0)</f>
        <v/>
      </c>
      <c r="W549" s="68">
        <f>POWER($S549,$E549)</f>
        <v/>
      </c>
      <c r="X549" s="68">
        <f>SUMIFS($W$5:$W$589,$A$5:$A$589,$A549)</f>
        <v/>
      </c>
      <c r="Y549" s="67">
        <f>ROUNDDOWN(MAX(0,$R549-$J549*$G549)*$W549/MAX(1,$X549),0)</f>
        <v/>
      </c>
    </row>
    <row r="550">
      <c r="A550" s="17" t="inlineStr">
        <is>
          <t>farming</t>
        </is>
      </c>
      <c r="B550" s="18" t="inlineStr">
        <is>
          <t>农耕术</t>
        </is>
      </c>
      <c r="C550" s="18" t="inlineStr">
        <is>
          <t>生产技术</t>
        </is>
      </c>
      <c r="D550" s="18" t="inlineStr">
        <is>
          <t>—</t>
        </is>
      </c>
      <c r="E550" s="65" t="n">
        <v>25</v>
      </c>
      <c r="F550" s="66">
        <f>E550+1</f>
        <v/>
      </c>
      <c r="G550" s="65">
        <f>INDEX('个人技术总览'!$E$5:$E$46,MATCH($A550,'个人技术总览'!$A$5:$A$46,0))</f>
        <v/>
      </c>
      <c r="H550" s="59">
        <f>INDEX('个人技术总览'!$F$5:$F$46,MATCH($A550,'个人技术总览'!$A$5:$A$46,0))</f>
        <v/>
      </c>
      <c r="I550" s="60">
        <f>INDEX('个人技术总览'!$G$5:$G$46,MATCH($A550,'个人技术总览'!$A$5:$A$46,0))</f>
        <v/>
      </c>
      <c r="J550" s="59">
        <f>INDEX('个人技术总览'!$H$5:$H$46,MATCH($A550,'个人技术总览'!$A$5:$A$46,0))</f>
        <v/>
      </c>
      <c r="K550" s="60">
        <f>INDEX('个人技术总览'!$I$5:$I$46,MATCH($A550,'个人技术总览'!$A$5:$A$46,0))</f>
        <v/>
      </c>
      <c r="L550" s="67">
        <f>H550+V550+IF(E550=G550-1,MAX(0,P550-H550*G550-SUMIFS($V$5:$V$589,$A$5:$A$589,$A550)),0)</f>
        <v/>
      </c>
      <c r="M550" s="61">
        <f>MAX(1,ROUNDDOWN($L550/'参数与公式'!$B$5,0))</f>
        <v/>
      </c>
      <c r="N550" s="67">
        <f>J550+Y550+IF(E550=G550-1,MAX(0,R550-J550*G550-SUMIFS($Y$5:$Y$589,$A$5:$A$589,$A550)),0)</f>
        <v/>
      </c>
      <c r="O550" s="18" t="inlineStr">
        <is>
          <t>data/technology_templates.yaml; upgrade_*_budget / *_curve; code: technology_rules.allocate_upgrade_budget</t>
        </is>
      </c>
      <c r="P550" s="67">
        <f>INDEX('个人技术总览'!$O$5:$O$46,MATCH($A550,'个人技术总览'!$A$5:$A$46,0))</f>
        <v/>
      </c>
      <c r="Q550" s="64">
        <f>INDEX('个人技术总览'!$P$5:$P$46,MATCH($A550,'个人技术总览'!$A$5:$A$46,0))</f>
        <v/>
      </c>
      <c r="R550" s="67">
        <f>INDEX('个人技术总览'!$Q$5:$Q$46,MATCH($A550,'个人技术总览'!$A$5:$A$46,0))</f>
        <v/>
      </c>
      <c r="S550" s="64">
        <f>INDEX('个人技术总览'!$R$5:$R$46,MATCH($A550,'个人技术总览'!$A$5:$A$46,0))</f>
        <v/>
      </c>
      <c r="T550" s="68">
        <f>POWER($Q550,$E550)</f>
        <v/>
      </c>
      <c r="U550" s="68">
        <f>SUMIFS($T$5:$T$589,$A$5:$A$589,$A550)</f>
        <v/>
      </c>
      <c r="V550" s="67">
        <f>ROUNDDOWN(MAX(0,$P550-$H550*$G550)*$T550/MAX(1,$U550),0)</f>
        <v/>
      </c>
      <c r="W550" s="68">
        <f>POWER($S550,$E550)</f>
        <v/>
      </c>
      <c r="X550" s="68">
        <f>SUMIFS($W$5:$W$589,$A$5:$A$589,$A550)</f>
        <v/>
      </c>
      <c r="Y550" s="67">
        <f>ROUNDDOWN(MAX(0,$R550-$J550*$G550)*$W550/MAX(1,$X550),0)</f>
        <v/>
      </c>
    </row>
    <row r="551">
      <c r="A551" s="17" t="inlineStr">
        <is>
          <t>farming</t>
        </is>
      </c>
      <c r="B551" s="18" t="inlineStr">
        <is>
          <t>农耕术</t>
        </is>
      </c>
      <c r="C551" s="18" t="inlineStr">
        <is>
          <t>生产技术</t>
        </is>
      </c>
      <c r="D551" s="18" t="inlineStr">
        <is>
          <t>—</t>
        </is>
      </c>
      <c r="E551" s="65" t="n">
        <v>26</v>
      </c>
      <c r="F551" s="66">
        <f>E551+1</f>
        <v/>
      </c>
      <c r="G551" s="65">
        <f>INDEX('个人技术总览'!$E$5:$E$46,MATCH($A551,'个人技术总览'!$A$5:$A$46,0))</f>
        <v/>
      </c>
      <c r="H551" s="59">
        <f>INDEX('个人技术总览'!$F$5:$F$46,MATCH($A551,'个人技术总览'!$A$5:$A$46,0))</f>
        <v/>
      </c>
      <c r="I551" s="60">
        <f>INDEX('个人技术总览'!$G$5:$G$46,MATCH($A551,'个人技术总览'!$A$5:$A$46,0))</f>
        <v/>
      </c>
      <c r="J551" s="59">
        <f>INDEX('个人技术总览'!$H$5:$H$46,MATCH($A551,'个人技术总览'!$A$5:$A$46,0))</f>
        <v/>
      </c>
      <c r="K551" s="60">
        <f>INDEX('个人技术总览'!$I$5:$I$46,MATCH($A551,'个人技术总览'!$A$5:$A$46,0))</f>
        <v/>
      </c>
      <c r="L551" s="67">
        <f>H551+V551+IF(E551=G551-1,MAX(0,P551-H551*G551-SUMIFS($V$5:$V$589,$A$5:$A$589,$A551)),0)</f>
        <v/>
      </c>
      <c r="M551" s="61">
        <f>MAX(1,ROUNDDOWN($L551/'参数与公式'!$B$5,0))</f>
        <v/>
      </c>
      <c r="N551" s="67">
        <f>J551+Y551+IF(E551=G551-1,MAX(0,R551-J551*G551-SUMIFS($Y$5:$Y$589,$A$5:$A$589,$A551)),0)</f>
        <v/>
      </c>
      <c r="O551" s="18" t="inlineStr">
        <is>
          <t>data/technology_templates.yaml; upgrade_*_budget / *_curve; code: technology_rules.allocate_upgrade_budget</t>
        </is>
      </c>
      <c r="P551" s="67">
        <f>INDEX('个人技术总览'!$O$5:$O$46,MATCH($A551,'个人技术总览'!$A$5:$A$46,0))</f>
        <v/>
      </c>
      <c r="Q551" s="64">
        <f>INDEX('个人技术总览'!$P$5:$P$46,MATCH($A551,'个人技术总览'!$A$5:$A$46,0))</f>
        <v/>
      </c>
      <c r="R551" s="67">
        <f>INDEX('个人技术总览'!$Q$5:$Q$46,MATCH($A551,'个人技术总览'!$A$5:$A$46,0))</f>
        <v/>
      </c>
      <c r="S551" s="64">
        <f>INDEX('个人技术总览'!$R$5:$R$46,MATCH($A551,'个人技术总览'!$A$5:$A$46,0))</f>
        <v/>
      </c>
      <c r="T551" s="68">
        <f>POWER($Q551,$E551)</f>
        <v/>
      </c>
      <c r="U551" s="68">
        <f>SUMIFS($T$5:$T$589,$A$5:$A$589,$A551)</f>
        <v/>
      </c>
      <c r="V551" s="67">
        <f>ROUNDDOWN(MAX(0,$P551-$H551*$G551)*$T551/MAX(1,$U551),0)</f>
        <v/>
      </c>
      <c r="W551" s="68">
        <f>POWER($S551,$E551)</f>
        <v/>
      </c>
      <c r="X551" s="68">
        <f>SUMIFS($W$5:$W$589,$A$5:$A$589,$A551)</f>
        <v/>
      </c>
      <c r="Y551" s="67">
        <f>ROUNDDOWN(MAX(0,$R551-$J551*$G551)*$W551/MAX(1,$X551),0)</f>
        <v/>
      </c>
    </row>
    <row r="552">
      <c r="A552" s="17" t="inlineStr">
        <is>
          <t>farming</t>
        </is>
      </c>
      <c r="B552" s="18" t="inlineStr">
        <is>
          <t>农耕术</t>
        </is>
      </c>
      <c r="C552" s="18" t="inlineStr">
        <is>
          <t>生产技术</t>
        </is>
      </c>
      <c r="D552" s="18" t="inlineStr">
        <is>
          <t>—</t>
        </is>
      </c>
      <c r="E552" s="65" t="n">
        <v>27</v>
      </c>
      <c r="F552" s="66">
        <f>E552+1</f>
        <v/>
      </c>
      <c r="G552" s="65">
        <f>INDEX('个人技术总览'!$E$5:$E$46,MATCH($A552,'个人技术总览'!$A$5:$A$46,0))</f>
        <v/>
      </c>
      <c r="H552" s="59">
        <f>INDEX('个人技术总览'!$F$5:$F$46,MATCH($A552,'个人技术总览'!$A$5:$A$46,0))</f>
        <v/>
      </c>
      <c r="I552" s="60">
        <f>INDEX('个人技术总览'!$G$5:$G$46,MATCH($A552,'个人技术总览'!$A$5:$A$46,0))</f>
        <v/>
      </c>
      <c r="J552" s="59">
        <f>INDEX('个人技术总览'!$H$5:$H$46,MATCH($A552,'个人技术总览'!$A$5:$A$46,0))</f>
        <v/>
      </c>
      <c r="K552" s="60">
        <f>INDEX('个人技术总览'!$I$5:$I$46,MATCH($A552,'个人技术总览'!$A$5:$A$46,0))</f>
        <v/>
      </c>
      <c r="L552" s="67">
        <f>H552+V552+IF(E552=G552-1,MAX(0,P552-H552*G552-SUMIFS($V$5:$V$589,$A$5:$A$589,$A552)),0)</f>
        <v/>
      </c>
      <c r="M552" s="61">
        <f>MAX(1,ROUNDDOWN($L552/'参数与公式'!$B$5,0))</f>
        <v/>
      </c>
      <c r="N552" s="67">
        <f>J552+Y552+IF(E552=G552-1,MAX(0,R552-J552*G552-SUMIFS($Y$5:$Y$589,$A$5:$A$589,$A552)),0)</f>
        <v/>
      </c>
      <c r="O552" s="18" t="inlineStr">
        <is>
          <t>data/technology_templates.yaml; upgrade_*_budget / *_curve; code: technology_rules.allocate_upgrade_budget</t>
        </is>
      </c>
      <c r="P552" s="67">
        <f>INDEX('个人技术总览'!$O$5:$O$46,MATCH($A552,'个人技术总览'!$A$5:$A$46,0))</f>
        <v/>
      </c>
      <c r="Q552" s="64">
        <f>INDEX('个人技术总览'!$P$5:$P$46,MATCH($A552,'个人技术总览'!$A$5:$A$46,0))</f>
        <v/>
      </c>
      <c r="R552" s="67">
        <f>INDEX('个人技术总览'!$Q$5:$Q$46,MATCH($A552,'个人技术总览'!$A$5:$A$46,0))</f>
        <v/>
      </c>
      <c r="S552" s="64">
        <f>INDEX('个人技术总览'!$R$5:$R$46,MATCH($A552,'个人技术总览'!$A$5:$A$46,0))</f>
        <v/>
      </c>
      <c r="T552" s="68">
        <f>POWER($Q552,$E552)</f>
        <v/>
      </c>
      <c r="U552" s="68">
        <f>SUMIFS($T$5:$T$589,$A$5:$A$589,$A552)</f>
        <v/>
      </c>
      <c r="V552" s="67">
        <f>ROUNDDOWN(MAX(0,$P552-$H552*$G552)*$T552/MAX(1,$U552),0)</f>
        <v/>
      </c>
      <c r="W552" s="68">
        <f>POWER($S552,$E552)</f>
        <v/>
      </c>
      <c r="X552" s="68">
        <f>SUMIFS($W$5:$W$589,$A$5:$A$589,$A552)</f>
        <v/>
      </c>
      <c r="Y552" s="67">
        <f>ROUNDDOWN(MAX(0,$R552-$J552*$G552)*$W552/MAX(1,$X552),0)</f>
        <v/>
      </c>
    </row>
    <row r="553">
      <c r="A553" s="17" t="inlineStr">
        <is>
          <t>farming</t>
        </is>
      </c>
      <c r="B553" s="18" t="inlineStr">
        <is>
          <t>农耕术</t>
        </is>
      </c>
      <c r="C553" s="18" t="inlineStr">
        <is>
          <t>生产技术</t>
        </is>
      </c>
      <c r="D553" s="18" t="inlineStr">
        <is>
          <t>—</t>
        </is>
      </c>
      <c r="E553" s="65" t="n">
        <v>28</v>
      </c>
      <c r="F553" s="66">
        <f>E553+1</f>
        <v/>
      </c>
      <c r="G553" s="65">
        <f>INDEX('个人技术总览'!$E$5:$E$46,MATCH($A553,'个人技术总览'!$A$5:$A$46,0))</f>
        <v/>
      </c>
      <c r="H553" s="59">
        <f>INDEX('个人技术总览'!$F$5:$F$46,MATCH($A553,'个人技术总览'!$A$5:$A$46,0))</f>
        <v/>
      </c>
      <c r="I553" s="60">
        <f>INDEX('个人技术总览'!$G$5:$G$46,MATCH($A553,'个人技术总览'!$A$5:$A$46,0))</f>
        <v/>
      </c>
      <c r="J553" s="59">
        <f>INDEX('个人技术总览'!$H$5:$H$46,MATCH($A553,'个人技术总览'!$A$5:$A$46,0))</f>
        <v/>
      </c>
      <c r="K553" s="60">
        <f>INDEX('个人技术总览'!$I$5:$I$46,MATCH($A553,'个人技术总览'!$A$5:$A$46,0))</f>
        <v/>
      </c>
      <c r="L553" s="67">
        <f>H553+V553+IF(E553=G553-1,MAX(0,P553-H553*G553-SUMIFS($V$5:$V$589,$A$5:$A$589,$A553)),0)</f>
        <v/>
      </c>
      <c r="M553" s="61">
        <f>MAX(1,ROUNDDOWN($L553/'参数与公式'!$B$5,0))</f>
        <v/>
      </c>
      <c r="N553" s="67">
        <f>J553+Y553+IF(E553=G553-1,MAX(0,R553-J553*G553-SUMIFS($Y$5:$Y$589,$A$5:$A$589,$A553)),0)</f>
        <v/>
      </c>
      <c r="O553" s="18" t="inlineStr">
        <is>
          <t>data/technology_templates.yaml; upgrade_*_budget / *_curve; code: technology_rules.allocate_upgrade_budget</t>
        </is>
      </c>
      <c r="P553" s="67">
        <f>INDEX('个人技术总览'!$O$5:$O$46,MATCH($A553,'个人技术总览'!$A$5:$A$46,0))</f>
        <v/>
      </c>
      <c r="Q553" s="64">
        <f>INDEX('个人技术总览'!$P$5:$P$46,MATCH($A553,'个人技术总览'!$A$5:$A$46,0))</f>
        <v/>
      </c>
      <c r="R553" s="67">
        <f>INDEX('个人技术总览'!$Q$5:$Q$46,MATCH($A553,'个人技术总览'!$A$5:$A$46,0))</f>
        <v/>
      </c>
      <c r="S553" s="64">
        <f>INDEX('个人技术总览'!$R$5:$R$46,MATCH($A553,'个人技术总览'!$A$5:$A$46,0))</f>
        <v/>
      </c>
      <c r="T553" s="68">
        <f>POWER($Q553,$E553)</f>
        <v/>
      </c>
      <c r="U553" s="68">
        <f>SUMIFS($T$5:$T$589,$A$5:$A$589,$A553)</f>
        <v/>
      </c>
      <c r="V553" s="67">
        <f>ROUNDDOWN(MAX(0,$P553-$H553*$G553)*$T553/MAX(1,$U553),0)</f>
        <v/>
      </c>
      <c r="W553" s="68">
        <f>POWER($S553,$E553)</f>
        <v/>
      </c>
      <c r="X553" s="68">
        <f>SUMIFS($W$5:$W$589,$A$5:$A$589,$A553)</f>
        <v/>
      </c>
      <c r="Y553" s="67">
        <f>ROUNDDOWN(MAX(0,$R553-$J553*$G553)*$W553/MAX(1,$X553),0)</f>
        <v/>
      </c>
    </row>
    <row r="554">
      <c r="A554" s="17" t="inlineStr">
        <is>
          <t>farming</t>
        </is>
      </c>
      <c r="B554" s="18" t="inlineStr">
        <is>
          <t>农耕术</t>
        </is>
      </c>
      <c r="C554" s="18" t="inlineStr">
        <is>
          <t>生产技术</t>
        </is>
      </c>
      <c r="D554" s="18" t="inlineStr">
        <is>
          <t>—</t>
        </is>
      </c>
      <c r="E554" s="65" t="n">
        <v>29</v>
      </c>
      <c r="F554" s="66">
        <f>E554+1</f>
        <v/>
      </c>
      <c r="G554" s="65">
        <f>INDEX('个人技术总览'!$E$5:$E$46,MATCH($A554,'个人技术总览'!$A$5:$A$46,0))</f>
        <v/>
      </c>
      <c r="H554" s="59">
        <f>INDEX('个人技术总览'!$F$5:$F$46,MATCH($A554,'个人技术总览'!$A$5:$A$46,0))</f>
        <v/>
      </c>
      <c r="I554" s="60">
        <f>INDEX('个人技术总览'!$G$5:$G$46,MATCH($A554,'个人技术总览'!$A$5:$A$46,0))</f>
        <v/>
      </c>
      <c r="J554" s="59">
        <f>INDEX('个人技术总览'!$H$5:$H$46,MATCH($A554,'个人技术总览'!$A$5:$A$46,0))</f>
        <v/>
      </c>
      <c r="K554" s="60">
        <f>INDEX('个人技术总览'!$I$5:$I$46,MATCH($A554,'个人技术总览'!$A$5:$A$46,0))</f>
        <v/>
      </c>
      <c r="L554" s="67">
        <f>H554+V554+IF(E554=G554-1,MAX(0,P554-H554*G554-SUMIFS($V$5:$V$589,$A$5:$A$589,$A554)),0)</f>
        <v/>
      </c>
      <c r="M554" s="61">
        <f>MAX(1,ROUNDDOWN($L554/'参数与公式'!$B$5,0))</f>
        <v/>
      </c>
      <c r="N554" s="67">
        <f>J554+Y554+IF(E554=G554-1,MAX(0,R554-J554*G554-SUMIFS($Y$5:$Y$589,$A$5:$A$589,$A554)),0)</f>
        <v/>
      </c>
      <c r="O554" s="18" t="inlineStr">
        <is>
          <t>data/technology_templates.yaml; upgrade_*_budget / *_curve; code: technology_rules.allocate_upgrade_budget</t>
        </is>
      </c>
      <c r="P554" s="67">
        <f>INDEX('个人技术总览'!$O$5:$O$46,MATCH($A554,'个人技术总览'!$A$5:$A$46,0))</f>
        <v/>
      </c>
      <c r="Q554" s="64">
        <f>INDEX('个人技术总览'!$P$5:$P$46,MATCH($A554,'个人技术总览'!$A$5:$A$46,0))</f>
        <v/>
      </c>
      <c r="R554" s="67">
        <f>INDEX('个人技术总览'!$Q$5:$Q$46,MATCH($A554,'个人技术总览'!$A$5:$A$46,0))</f>
        <v/>
      </c>
      <c r="S554" s="64">
        <f>INDEX('个人技术总览'!$R$5:$R$46,MATCH($A554,'个人技术总览'!$A$5:$A$46,0))</f>
        <v/>
      </c>
      <c r="T554" s="68">
        <f>POWER($Q554,$E554)</f>
        <v/>
      </c>
      <c r="U554" s="68">
        <f>SUMIFS($T$5:$T$589,$A$5:$A$589,$A554)</f>
        <v/>
      </c>
      <c r="V554" s="67">
        <f>ROUNDDOWN(MAX(0,$P554-$H554*$G554)*$T554/MAX(1,$U554),0)</f>
        <v/>
      </c>
      <c r="W554" s="68">
        <f>POWER($S554,$E554)</f>
        <v/>
      </c>
      <c r="X554" s="68">
        <f>SUMIFS($W$5:$W$589,$A$5:$A$589,$A554)</f>
        <v/>
      </c>
      <c r="Y554" s="67">
        <f>ROUNDDOWN(MAX(0,$R554-$J554*$G554)*$W554/MAX(1,$X554),0)</f>
        <v/>
      </c>
    </row>
    <row r="555">
      <c r="A555" s="17" t="inlineStr">
        <is>
          <t>dao_recruit</t>
        </is>
      </c>
      <c r="B555" s="18" t="inlineStr">
        <is>
          <t>造兵术-刀</t>
        </is>
      </c>
      <c r="C555" s="18" t="inlineStr">
        <is>
          <t>武艺技术</t>
        </is>
      </c>
      <c r="D555" s="18" t="inlineStr">
        <is>
          <t>刀类</t>
        </is>
      </c>
      <c r="E555" s="65" t="n">
        <v>0</v>
      </c>
      <c r="F555" s="66">
        <f>E555+1</f>
        <v/>
      </c>
      <c r="G555" s="65">
        <f>INDEX('个人技术总览'!$E$5:$E$46,MATCH($A555,'个人技术总览'!$A$5:$A$46,0))</f>
        <v/>
      </c>
      <c r="H555" s="59">
        <f>INDEX('个人技术总览'!$F$5:$F$46,MATCH($A555,'个人技术总览'!$A$5:$A$46,0))</f>
        <v/>
      </c>
      <c r="I555" s="60">
        <f>INDEX('个人技术总览'!$G$5:$G$46,MATCH($A555,'个人技术总览'!$A$5:$A$46,0))</f>
        <v/>
      </c>
      <c r="J555" s="59">
        <f>INDEX('个人技术总览'!$H$5:$H$46,MATCH($A555,'个人技术总览'!$A$5:$A$46,0))</f>
        <v/>
      </c>
      <c r="K555" s="60">
        <f>INDEX('个人技术总览'!$I$5:$I$46,MATCH($A555,'个人技术总览'!$A$5:$A$46,0))</f>
        <v/>
      </c>
      <c r="L555" s="67">
        <f>H555+V555+IF(E555=G555-1,MAX(0,P555-H555*G555-SUMIFS($V$5:$V$589,$A$5:$A$589,$A555)),0)</f>
        <v/>
      </c>
      <c r="M555" s="61">
        <f>MAX(1,ROUNDDOWN($L555/'参数与公式'!$B$5,0))</f>
        <v/>
      </c>
      <c r="N555" s="67">
        <f>J555+Y555+IF(E555=G555-1,MAX(0,R555-J555*G555-SUMIFS($Y$5:$Y$589,$A$5:$A$589,$A555)),0)</f>
        <v/>
      </c>
      <c r="O555" s="18" t="inlineStr">
        <is>
          <t>data/technology_templates.yaml; upgrade_profiles.martial; code: technology_rules.allocate_upgrade_budget</t>
        </is>
      </c>
      <c r="P555" s="67">
        <f>INDEX('个人技术总览'!$O$5:$O$46,MATCH($A555,'个人技术总览'!$A$5:$A$46,0))</f>
        <v/>
      </c>
      <c r="Q555" s="64">
        <f>INDEX('个人技术总览'!$P$5:$P$46,MATCH($A555,'个人技术总览'!$A$5:$A$46,0))</f>
        <v/>
      </c>
      <c r="R555" s="67">
        <f>INDEX('个人技术总览'!$Q$5:$Q$46,MATCH($A555,'个人技术总览'!$A$5:$A$46,0))</f>
        <v/>
      </c>
      <c r="S555" s="64">
        <f>INDEX('个人技术总览'!$R$5:$R$46,MATCH($A555,'个人技术总览'!$A$5:$A$46,0))</f>
        <v/>
      </c>
      <c r="T555" s="68">
        <f>POWER($Q555,$E555)</f>
        <v/>
      </c>
      <c r="U555" s="68">
        <f>SUMIFS($T$5:$T$589,$A$5:$A$589,$A555)</f>
        <v/>
      </c>
      <c r="V555" s="67">
        <f>ROUNDDOWN(MAX(0,$P555-$H555*$G555)*$T555/MAX(1,$U555),0)</f>
        <v/>
      </c>
      <c r="W555" s="68">
        <f>POWER($S555,$E555)</f>
        <v/>
      </c>
      <c r="X555" s="68">
        <f>SUMIFS($W$5:$W$589,$A$5:$A$589,$A555)</f>
        <v/>
      </c>
      <c r="Y555" s="67">
        <f>ROUNDDOWN(MAX(0,$R555-$J555*$G555)*$W555/MAX(1,$X555),0)</f>
        <v/>
      </c>
    </row>
    <row r="556">
      <c r="A556" s="17" t="inlineStr">
        <is>
          <t>dao_recruit</t>
        </is>
      </c>
      <c r="B556" s="18" t="inlineStr">
        <is>
          <t>造兵术-刀</t>
        </is>
      </c>
      <c r="C556" s="18" t="inlineStr">
        <is>
          <t>武艺技术</t>
        </is>
      </c>
      <c r="D556" s="18" t="inlineStr">
        <is>
          <t>刀类</t>
        </is>
      </c>
      <c r="E556" s="65" t="n">
        <v>1</v>
      </c>
      <c r="F556" s="66">
        <f>E556+1</f>
        <v/>
      </c>
      <c r="G556" s="65">
        <f>INDEX('个人技术总览'!$E$5:$E$46,MATCH($A556,'个人技术总览'!$A$5:$A$46,0))</f>
        <v/>
      </c>
      <c r="H556" s="59">
        <f>INDEX('个人技术总览'!$F$5:$F$46,MATCH($A556,'个人技术总览'!$A$5:$A$46,0))</f>
        <v/>
      </c>
      <c r="I556" s="60">
        <f>INDEX('个人技术总览'!$G$5:$G$46,MATCH($A556,'个人技术总览'!$A$5:$A$46,0))</f>
        <v/>
      </c>
      <c r="J556" s="59">
        <f>INDEX('个人技术总览'!$H$5:$H$46,MATCH($A556,'个人技术总览'!$A$5:$A$46,0))</f>
        <v/>
      </c>
      <c r="K556" s="60">
        <f>INDEX('个人技术总览'!$I$5:$I$46,MATCH($A556,'个人技术总览'!$A$5:$A$46,0))</f>
        <v/>
      </c>
      <c r="L556" s="67">
        <f>H556+V556+IF(E556=G556-1,MAX(0,P556-H556*G556-SUMIFS($V$5:$V$589,$A$5:$A$589,$A556)),0)</f>
        <v/>
      </c>
      <c r="M556" s="61">
        <f>MAX(1,ROUNDDOWN($L556/'参数与公式'!$B$5,0))</f>
        <v/>
      </c>
      <c r="N556" s="67">
        <f>J556+Y556+IF(E556=G556-1,MAX(0,R556-J556*G556-SUMIFS($Y$5:$Y$589,$A$5:$A$589,$A556)),0)</f>
        <v/>
      </c>
      <c r="O556" s="18" t="inlineStr">
        <is>
          <t>data/technology_templates.yaml; upgrade_profiles.martial; code: technology_rules.allocate_upgrade_budget</t>
        </is>
      </c>
      <c r="P556" s="67">
        <f>INDEX('个人技术总览'!$O$5:$O$46,MATCH($A556,'个人技术总览'!$A$5:$A$46,0))</f>
        <v/>
      </c>
      <c r="Q556" s="64">
        <f>INDEX('个人技术总览'!$P$5:$P$46,MATCH($A556,'个人技术总览'!$A$5:$A$46,0))</f>
        <v/>
      </c>
      <c r="R556" s="67">
        <f>INDEX('个人技术总览'!$Q$5:$Q$46,MATCH($A556,'个人技术总览'!$A$5:$A$46,0))</f>
        <v/>
      </c>
      <c r="S556" s="64">
        <f>INDEX('个人技术总览'!$R$5:$R$46,MATCH($A556,'个人技术总览'!$A$5:$A$46,0))</f>
        <v/>
      </c>
      <c r="T556" s="68">
        <f>POWER($Q556,$E556)</f>
        <v/>
      </c>
      <c r="U556" s="68">
        <f>SUMIFS($T$5:$T$589,$A$5:$A$589,$A556)</f>
        <v/>
      </c>
      <c r="V556" s="67">
        <f>ROUNDDOWN(MAX(0,$P556-$H556*$G556)*$T556/MAX(1,$U556),0)</f>
        <v/>
      </c>
      <c r="W556" s="68">
        <f>POWER($S556,$E556)</f>
        <v/>
      </c>
      <c r="X556" s="68">
        <f>SUMIFS($W$5:$W$589,$A$5:$A$589,$A556)</f>
        <v/>
      </c>
      <c r="Y556" s="67">
        <f>ROUNDDOWN(MAX(0,$R556-$J556*$G556)*$W556/MAX(1,$X556),0)</f>
        <v/>
      </c>
    </row>
    <row r="557">
      <c r="A557" s="17" t="inlineStr">
        <is>
          <t>dao_recruit</t>
        </is>
      </c>
      <c r="B557" s="18" t="inlineStr">
        <is>
          <t>造兵术-刀</t>
        </is>
      </c>
      <c r="C557" s="18" t="inlineStr">
        <is>
          <t>武艺技术</t>
        </is>
      </c>
      <c r="D557" s="18" t="inlineStr">
        <is>
          <t>刀类</t>
        </is>
      </c>
      <c r="E557" s="65" t="n">
        <v>2</v>
      </c>
      <c r="F557" s="66">
        <f>E557+1</f>
        <v/>
      </c>
      <c r="G557" s="65">
        <f>INDEX('个人技术总览'!$E$5:$E$46,MATCH($A557,'个人技术总览'!$A$5:$A$46,0))</f>
        <v/>
      </c>
      <c r="H557" s="59">
        <f>INDEX('个人技术总览'!$F$5:$F$46,MATCH($A557,'个人技术总览'!$A$5:$A$46,0))</f>
        <v/>
      </c>
      <c r="I557" s="60">
        <f>INDEX('个人技术总览'!$G$5:$G$46,MATCH($A557,'个人技术总览'!$A$5:$A$46,0))</f>
        <v/>
      </c>
      <c r="J557" s="59">
        <f>INDEX('个人技术总览'!$H$5:$H$46,MATCH($A557,'个人技术总览'!$A$5:$A$46,0))</f>
        <v/>
      </c>
      <c r="K557" s="60">
        <f>INDEX('个人技术总览'!$I$5:$I$46,MATCH($A557,'个人技术总览'!$A$5:$A$46,0))</f>
        <v/>
      </c>
      <c r="L557" s="67">
        <f>H557+V557+IF(E557=G557-1,MAX(0,P557-H557*G557-SUMIFS($V$5:$V$589,$A$5:$A$589,$A557)),0)</f>
        <v/>
      </c>
      <c r="M557" s="61">
        <f>MAX(1,ROUNDDOWN($L557/'参数与公式'!$B$5,0))</f>
        <v/>
      </c>
      <c r="N557" s="67">
        <f>J557+Y557+IF(E557=G557-1,MAX(0,R557-J557*G557-SUMIFS($Y$5:$Y$589,$A$5:$A$589,$A557)),0)</f>
        <v/>
      </c>
      <c r="O557" s="18" t="inlineStr">
        <is>
          <t>data/technology_templates.yaml; upgrade_profiles.martial; code: technology_rules.allocate_upgrade_budget</t>
        </is>
      </c>
      <c r="P557" s="67">
        <f>INDEX('个人技术总览'!$O$5:$O$46,MATCH($A557,'个人技术总览'!$A$5:$A$46,0))</f>
        <v/>
      </c>
      <c r="Q557" s="64">
        <f>INDEX('个人技术总览'!$P$5:$P$46,MATCH($A557,'个人技术总览'!$A$5:$A$46,0))</f>
        <v/>
      </c>
      <c r="R557" s="67">
        <f>INDEX('个人技术总览'!$Q$5:$Q$46,MATCH($A557,'个人技术总览'!$A$5:$A$46,0))</f>
        <v/>
      </c>
      <c r="S557" s="64">
        <f>INDEX('个人技术总览'!$R$5:$R$46,MATCH($A557,'个人技术总览'!$A$5:$A$46,0))</f>
        <v/>
      </c>
      <c r="T557" s="68">
        <f>POWER($Q557,$E557)</f>
        <v/>
      </c>
      <c r="U557" s="68">
        <f>SUMIFS($T$5:$T$589,$A$5:$A$589,$A557)</f>
        <v/>
      </c>
      <c r="V557" s="67">
        <f>ROUNDDOWN(MAX(0,$P557-$H557*$G557)*$T557/MAX(1,$U557),0)</f>
        <v/>
      </c>
      <c r="W557" s="68">
        <f>POWER($S557,$E557)</f>
        <v/>
      </c>
      <c r="X557" s="68">
        <f>SUMIFS($W$5:$W$589,$A$5:$A$589,$A557)</f>
        <v/>
      </c>
      <c r="Y557" s="67">
        <f>ROUNDDOWN(MAX(0,$R557-$J557*$G557)*$W557/MAX(1,$X557),0)</f>
        <v/>
      </c>
    </row>
    <row r="558">
      <c r="A558" s="17" t="inlineStr">
        <is>
          <t>dao_recruit</t>
        </is>
      </c>
      <c r="B558" s="18" t="inlineStr">
        <is>
          <t>造兵术-刀</t>
        </is>
      </c>
      <c r="C558" s="18" t="inlineStr">
        <is>
          <t>武艺技术</t>
        </is>
      </c>
      <c r="D558" s="18" t="inlineStr">
        <is>
          <t>刀类</t>
        </is>
      </c>
      <c r="E558" s="65" t="n">
        <v>3</v>
      </c>
      <c r="F558" s="66">
        <f>E558+1</f>
        <v/>
      </c>
      <c r="G558" s="65">
        <f>INDEX('个人技术总览'!$E$5:$E$46,MATCH($A558,'个人技术总览'!$A$5:$A$46,0))</f>
        <v/>
      </c>
      <c r="H558" s="59">
        <f>INDEX('个人技术总览'!$F$5:$F$46,MATCH($A558,'个人技术总览'!$A$5:$A$46,0))</f>
        <v/>
      </c>
      <c r="I558" s="60">
        <f>INDEX('个人技术总览'!$G$5:$G$46,MATCH($A558,'个人技术总览'!$A$5:$A$46,0))</f>
        <v/>
      </c>
      <c r="J558" s="59">
        <f>INDEX('个人技术总览'!$H$5:$H$46,MATCH($A558,'个人技术总览'!$A$5:$A$46,0))</f>
        <v/>
      </c>
      <c r="K558" s="60">
        <f>INDEX('个人技术总览'!$I$5:$I$46,MATCH($A558,'个人技术总览'!$A$5:$A$46,0))</f>
        <v/>
      </c>
      <c r="L558" s="67">
        <f>H558+V558+IF(E558=G558-1,MAX(0,P558-H558*G558-SUMIFS($V$5:$V$589,$A$5:$A$589,$A558)),0)</f>
        <v/>
      </c>
      <c r="M558" s="61">
        <f>MAX(1,ROUNDDOWN($L558/'参数与公式'!$B$5,0))</f>
        <v/>
      </c>
      <c r="N558" s="67">
        <f>J558+Y558+IF(E558=G558-1,MAX(0,R558-J558*G558-SUMIFS($Y$5:$Y$589,$A$5:$A$589,$A558)),0)</f>
        <v/>
      </c>
      <c r="O558" s="18" t="inlineStr">
        <is>
          <t>data/technology_templates.yaml; upgrade_profiles.martial; code: technology_rules.allocate_upgrade_budget</t>
        </is>
      </c>
      <c r="P558" s="67">
        <f>INDEX('个人技术总览'!$O$5:$O$46,MATCH($A558,'个人技术总览'!$A$5:$A$46,0))</f>
        <v/>
      </c>
      <c r="Q558" s="64">
        <f>INDEX('个人技术总览'!$P$5:$P$46,MATCH($A558,'个人技术总览'!$A$5:$A$46,0))</f>
        <v/>
      </c>
      <c r="R558" s="67">
        <f>INDEX('个人技术总览'!$Q$5:$Q$46,MATCH($A558,'个人技术总览'!$A$5:$A$46,0))</f>
        <v/>
      </c>
      <c r="S558" s="64">
        <f>INDEX('个人技术总览'!$R$5:$R$46,MATCH($A558,'个人技术总览'!$A$5:$A$46,0))</f>
        <v/>
      </c>
      <c r="T558" s="68">
        <f>POWER($Q558,$E558)</f>
        <v/>
      </c>
      <c r="U558" s="68">
        <f>SUMIFS($T$5:$T$589,$A$5:$A$589,$A558)</f>
        <v/>
      </c>
      <c r="V558" s="67">
        <f>ROUNDDOWN(MAX(0,$P558-$H558*$G558)*$T558/MAX(1,$U558),0)</f>
        <v/>
      </c>
      <c r="W558" s="68">
        <f>POWER($S558,$E558)</f>
        <v/>
      </c>
      <c r="X558" s="68">
        <f>SUMIFS($W$5:$W$589,$A$5:$A$589,$A558)</f>
        <v/>
      </c>
      <c r="Y558" s="67">
        <f>ROUNDDOWN(MAX(0,$R558-$J558*$G558)*$W558/MAX(1,$X558),0)</f>
        <v/>
      </c>
    </row>
    <row r="559">
      <c r="A559" s="17" t="inlineStr">
        <is>
          <t>dao_recruit</t>
        </is>
      </c>
      <c r="B559" s="18" t="inlineStr">
        <is>
          <t>造兵术-刀</t>
        </is>
      </c>
      <c r="C559" s="18" t="inlineStr">
        <is>
          <t>武艺技术</t>
        </is>
      </c>
      <c r="D559" s="18" t="inlineStr">
        <is>
          <t>刀类</t>
        </is>
      </c>
      <c r="E559" s="65" t="n">
        <v>4</v>
      </c>
      <c r="F559" s="66">
        <f>E559+1</f>
        <v/>
      </c>
      <c r="G559" s="65">
        <f>INDEX('个人技术总览'!$E$5:$E$46,MATCH($A559,'个人技术总览'!$A$5:$A$46,0))</f>
        <v/>
      </c>
      <c r="H559" s="59">
        <f>INDEX('个人技术总览'!$F$5:$F$46,MATCH($A559,'个人技术总览'!$A$5:$A$46,0))</f>
        <v/>
      </c>
      <c r="I559" s="60">
        <f>INDEX('个人技术总览'!$G$5:$G$46,MATCH($A559,'个人技术总览'!$A$5:$A$46,0))</f>
        <v/>
      </c>
      <c r="J559" s="59">
        <f>INDEX('个人技术总览'!$H$5:$H$46,MATCH($A559,'个人技术总览'!$A$5:$A$46,0))</f>
        <v/>
      </c>
      <c r="K559" s="60">
        <f>INDEX('个人技术总览'!$I$5:$I$46,MATCH($A559,'个人技术总览'!$A$5:$A$46,0))</f>
        <v/>
      </c>
      <c r="L559" s="67">
        <f>H559+V559+IF(E559=G559-1,MAX(0,P559-H559*G559-SUMIFS($V$5:$V$589,$A$5:$A$589,$A559)),0)</f>
        <v/>
      </c>
      <c r="M559" s="61">
        <f>MAX(1,ROUNDDOWN($L559/'参数与公式'!$B$5,0))</f>
        <v/>
      </c>
      <c r="N559" s="67">
        <f>J559+Y559+IF(E559=G559-1,MAX(0,R559-J559*G559-SUMIFS($Y$5:$Y$589,$A$5:$A$589,$A559)),0)</f>
        <v/>
      </c>
      <c r="O559" s="18" t="inlineStr">
        <is>
          <t>data/technology_templates.yaml; upgrade_profiles.martial; code: technology_rules.allocate_upgrade_budget</t>
        </is>
      </c>
      <c r="P559" s="67">
        <f>INDEX('个人技术总览'!$O$5:$O$46,MATCH($A559,'个人技术总览'!$A$5:$A$46,0))</f>
        <v/>
      </c>
      <c r="Q559" s="64">
        <f>INDEX('个人技术总览'!$P$5:$P$46,MATCH($A559,'个人技术总览'!$A$5:$A$46,0))</f>
        <v/>
      </c>
      <c r="R559" s="67">
        <f>INDEX('个人技术总览'!$Q$5:$Q$46,MATCH($A559,'个人技术总览'!$A$5:$A$46,0))</f>
        <v/>
      </c>
      <c r="S559" s="64">
        <f>INDEX('个人技术总览'!$R$5:$R$46,MATCH($A559,'个人技术总览'!$A$5:$A$46,0))</f>
        <v/>
      </c>
      <c r="T559" s="68">
        <f>POWER($Q559,$E559)</f>
        <v/>
      </c>
      <c r="U559" s="68">
        <f>SUMIFS($T$5:$T$589,$A$5:$A$589,$A559)</f>
        <v/>
      </c>
      <c r="V559" s="67">
        <f>ROUNDDOWN(MAX(0,$P559-$H559*$G559)*$T559/MAX(1,$U559),0)</f>
        <v/>
      </c>
      <c r="W559" s="68">
        <f>POWER($S559,$E559)</f>
        <v/>
      </c>
      <c r="X559" s="68">
        <f>SUMIFS($W$5:$W$589,$A$5:$A$589,$A559)</f>
        <v/>
      </c>
      <c r="Y559" s="67">
        <f>ROUNDDOWN(MAX(0,$R559-$J559*$G559)*$W559/MAX(1,$X559),0)</f>
        <v/>
      </c>
    </row>
    <row r="560">
      <c r="A560" s="17" t="inlineStr">
        <is>
          <t>dao_recruit</t>
        </is>
      </c>
      <c r="B560" s="18" t="inlineStr">
        <is>
          <t>造兵术-刀</t>
        </is>
      </c>
      <c r="C560" s="18" t="inlineStr">
        <is>
          <t>武艺技术</t>
        </is>
      </c>
      <c r="D560" s="18" t="inlineStr">
        <is>
          <t>刀类</t>
        </is>
      </c>
      <c r="E560" s="65" t="n">
        <v>5</v>
      </c>
      <c r="F560" s="66">
        <f>E560+1</f>
        <v/>
      </c>
      <c r="G560" s="65">
        <f>INDEX('个人技术总览'!$E$5:$E$46,MATCH($A560,'个人技术总览'!$A$5:$A$46,0))</f>
        <v/>
      </c>
      <c r="H560" s="59">
        <f>INDEX('个人技术总览'!$F$5:$F$46,MATCH($A560,'个人技术总览'!$A$5:$A$46,0))</f>
        <v/>
      </c>
      <c r="I560" s="60">
        <f>INDEX('个人技术总览'!$G$5:$G$46,MATCH($A560,'个人技术总览'!$A$5:$A$46,0))</f>
        <v/>
      </c>
      <c r="J560" s="59">
        <f>INDEX('个人技术总览'!$H$5:$H$46,MATCH($A560,'个人技术总览'!$A$5:$A$46,0))</f>
        <v/>
      </c>
      <c r="K560" s="60">
        <f>INDEX('个人技术总览'!$I$5:$I$46,MATCH($A560,'个人技术总览'!$A$5:$A$46,0))</f>
        <v/>
      </c>
      <c r="L560" s="67">
        <f>H560+V560+IF(E560=G560-1,MAX(0,P560-H560*G560-SUMIFS($V$5:$V$589,$A$5:$A$589,$A560)),0)</f>
        <v/>
      </c>
      <c r="M560" s="61">
        <f>MAX(1,ROUNDDOWN($L560/'参数与公式'!$B$5,0))</f>
        <v/>
      </c>
      <c r="N560" s="67">
        <f>J560+Y560+IF(E560=G560-1,MAX(0,R560-J560*G560-SUMIFS($Y$5:$Y$589,$A$5:$A$589,$A560)),0)</f>
        <v/>
      </c>
      <c r="O560" s="18" t="inlineStr">
        <is>
          <t>data/technology_templates.yaml; upgrade_profiles.martial; code: technology_rules.allocate_upgrade_budget</t>
        </is>
      </c>
      <c r="P560" s="67">
        <f>INDEX('个人技术总览'!$O$5:$O$46,MATCH($A560,'个人技术总览'!$A$5:$A$46,0))</f>
        <v/>
      </c>
      <c r="Q560" s="64">
        <f>INDEX('个人技术总览'!$P$5:$P$46,MATCH($A560,'个人技术总览'!$A$5:$A$46,0))</f>
        <v/>
      </c>
      <c r="R560" s="67">
        <f>INDEX('个人技术总览'!$Q$5:$Q$46,MATCH($A560,'个人技术总览'!$A$5:$A$46,0))</f>
        <v/>
      </c>
      <c r="S560" s="64">
        <f>INDEX('个人技术总览'!$R$5:$R$46,MATCH($A560,'个人技术总览'!$A$5:$A$46,0))</f>
        <v/>
      </c>
      <c r="T560" s="68">
        <f>POWER($Q560,$E560)</f>
        <v/>
      </c>
      <c r="U560" s="68">
        <f>SUMIFS($T$5:$T$589,$A$5:$A$589,$A560)</f>
        <v/>
      </c>
      <c r="V560" s="67">
        <f>ROUNDDOWN(MAX(0,$P560-$H560*$G560)*$T560/MAX(1,$U560),0)</f>
        <v/>
      </c>
      <c r="W560" s="68">
        <f>POWER($S560,$E560)</f>
        <v/>
      </c>
      <c r="X560" s="68">
        <f>SUMIFS($W$5:$W$589,$A$5:$A$589,$A560)</f>
        <v/>
      </c>
      <c r="Y560" s="67">
        <f>ROUNDDOWN(MAX(0,$R560-$J560*$G560)*$W560/MAX(1,$X560),0)</f>
        <v/>
      </c>
    </row>
    <row r="561">
      <c r="A561" s="17" t="inlineStr">
        <is>
          <t>dao_recruit</t>
        </is>
      </c>
      <c r="B561" s="18" t="inlineStr">
        <is>
          <t>造兵术-刀</t>
        </is>
      </c>
      <c r="C561" s="18" t="inlineStr">
        <is>
          <t>武艺技术</t>
        </is>
      </c>
      <c r="D561" s="18" t="inlineStr">
        <is>
          <t>刀类</t>
        </is>
      </c>
      <c r="E561" s="65" t="n">
        <v>6</v>
      </c>
      <c r="F561" s="66">
        <f>E561+1</f>
        <v/>
      </c>
      <c r="G561" s="65">
        <f>INDEX('个人技术总览'!$E$5:$E$46,MATCH($A561,'个人技术总览'!$A$5:$A$46,0))</f>
        <v/>
      </c>
      <c r="H561" s="59">
        <f>INDEX('个人技术总览'!$F$5:$F$46,MATCH($A561,'个人技术总览'!$A$5:$A$46,0))</f>
        <v/>
      </c>
      <c r="I561" s="60">
        <f>INDEX('个人技术总览'!$G$5:$G$46,MATCH($A561,'个人技术总览'!$A$5:$A$46,0))</f>
        <v/>
      </c>
      <c r="J561" s="59">
        <f>INDEX('个人技术总览'!$H$5:$H$46,MATCH($A561,'个人技术总览'!$A$5:$A$46,0))</f>
        <v/>
      </c>
      <c r="K561" s="60">
        <f>INDEX('个人技术总览'!$I$5:$I$46,MATCH($A561,'个人技术总览'!$A$5:$A$46,0))</f>
        <v/>
      </c>
      <c r="L561" s="67">
        <f>H561+V561+IF(E561=G561-1,MAX(0,P561-H561*G561-SUMIFS($V$5:$V$589,$A$5:$A$589,$A561)),0)</f>
        <v/>
      </c>
      <c r="M561" s="61">
        <f>MAX(1,ROUNDDOWN($L561/'参数与公式'!$B$5,0))</f>
        <v/>
      </c>
      <c r="N561" s="67">
        <f>J561+Y561+IF(E561=G561-1,MAX(0,R561-J561*G561-SUMIFS($Y$5:$Y$589,$A$5:$A$589,$A561)),0)</f>
        <v/>
      </c>
      <c r="O561" s="18" t="inlineStr">
        <is>
          <t>data/technology_templates.yaml; upgrade_profiles.martial; code: technology_rules.allocate_upgrade_budget</t>
        </is>
      </c>
      <c r="P561" s="67">
        <f>INDEX('个人技术总览'!$O$5:$O$46,MATCH($A561,'个人技术总览'!$A$5:$A$46,0))</f>
        <v/>
      </c>
      <c r="Q561" s="64">
        <f>INDEX('个人技术总览'!$P$5:$P$46,MATCH($A561,'个人技术总览'!$A$5:$A$46,0))</f>
        <v/>
      </c>
      <c r="R561" s="67">
        <f>INDEX('个人技术总览'!$Q$5:$Q$46,MATCH($A561,'个人技术总览'!$A$5:$A$46,0))</f>
        <v/>
      </c>
      <c r="S561" s="64">
        <f>INDEX('个人技术总览'!$R$5:$R$46,MATCH($A561,'个人技术总览'!$A$5:$A$46,0))</f>
        <v/>
      </c>
      <c r="T561" s="68">
        <f>POWER($Q561,$E561)</f>
        <v/>
      </c>
      <c r="U561" s="68">
        <f>SUMIFS($T$5:$T$589,$A$5:$A$589,$A561)</f>
        <v/>
      </c>
      <c r="V561" s="67">
        <f>ROUNDDOWN(MAX(0,$P561-$H561*$G561)*$T561/MAX(1,$U561),0)</f>
        <v/>
      </c>
      <c r="W561" s="68">
        <f>POWER($S561,$E561)</f>
        <v/>
      </c>
      <c r="X561" s="68">
        <f>SUMIFS($W$5:$W$589,$A$5:$A$589,$A561)</f>
        <v/>
      </c>
      <c r="Y561" s="67">
        <f>ROUNDDOWN(MAX(0,$R561-$J561*$G561)*$W561/MAX(1,$X561),0)</f>
        <v/>
      </c>
    </row>
    <row r="562">
      <c r="A562" s="17" t="inlineStr">
        <is>
          <t>qiang_recruit</t>
        </is>
      </c>
      <c r="B562" s="18" t="inlineStr">
        <is>
          <t>造兵术-枪</t>
        </is>
      </c>
      <c r="C562" s="18" t="inlineStr">
        <is>
          <t>武艺技术</t>
        </is>
      </c>
      <c r="D562" s="18" t="inlineStr">
        <is>
          <t>枪类</t>
        </is>
      </c>
      <c r="E562" s="65" t="n">
        <v>0</v>
      </c>
      <c r="F562" s="66">
        <f>E562+1</f>
        <v/>
      </c>
      <c r="G562" s="65">
        <f>INDEX('个人技术总览'!$E$5:$E$46,MATCH($A562,'个人技术总览'!$A$5:$A$46,0))</f>
        <v/>
      </c>
      <c r="H562" s="59">
        <f>INDEX('个人技术总览'!$F$5:$F$46,MATCH($A562,'个人技术总览'!$A$5:$A$46,0))</f>
        <v/>
      </c>
      <c r="I562" s="60">
        <f>INDEX('个人技术总览'!$G$5:$G$46,MATCH($A562,'个人技术总览'!$A$5:$A$46,0))</f>
        <v/>
      </c>
      <c r="J562" s="59">
        <f>INDEX('个人技术总览'!$H$5:$H$46,MATCH($A562,'个人技术总览'!$A$5:$A$46,0))</f>
        <v/>
      </c>
      <c r="K562" s="60">
        <f>INDEX('个人技术总览'!$I$5:$I$46,MATCH($A562,'个人技术总览'!$A$5:$A$46,0))</f>
        <v/>
      </c>
      <c r="L562" s="67">
        <f>H562+V562+IF(E562=G562-1,MAX(0,P562-H562*G562-SUMIFS($V$5:$V$589,$A$5:$A$589,$A562)),0)</f>
        <v/>
      </c>
      <c r="M562" s="61">
        <f>MAX(1,ROUNDDOWN($L562/'参数与公式'!$B$5,0))</f>
        <v/>
      </c>
      <c r="N562" s="67">
        <f>J562+Y562+IF(E562=G562-1,MAX(0,R562-J562*G562-SUMIFS($Y$5:$Y$589,$A$5:$A$589,$A562)),0)</f>
        <v/>
      </c>
      <c r="O562" s="18" t="inlineStr">
        <is>
          <t>data/technology_templates.yaml; upgrade_profiles.martial; code: technology_rules.allocate_upgrade_budget</t>
        </is>
      </c>
      <c r="P562" s="67">
        <f>INDEX('个人技术总览'!$O$5:$O$46,MATCH($A562,'个人技术总览'!$A$5:$A$46,0))</f>
        <v/>
      </c>
      <c r="Q562" s="64">
        <f>INDEX('个人技术总览'!$P$5:$P$46,MATCH($A562,'个人技术总览'!$A$5:$A$46,0))</f>
        <v/>
      </c>
      <c r="R562" s="67">
        <f>INDEX('个人技术总览'!$Q$5:$Q$46,MATCH($A562,'个人技术总览'!$A$5:$A$46,0))</f>
        <v/>
      </c>
      <c r="S562" s="64">
        <f>INDEX('个人技术总览'!$R$5:$R$46,MATCH($A562,'个人技术总览'!$A$5:$A$46,0))</f>
        <v/>
      </c>
      <c r="T562" s="68">
        <f>POWER($Q562,$E562)</f>
        <v/>
      </c>
      <c r="U562" s="68">
        <f>SUMIFS($T$5:$T$589,$A$5:$A$589,$A562)</f>
        <v/>
      </c>
      <c r="V562" s="67">
        <f>ROUNDDOWN(MAX(0,$P562-$H562*$G562)*$T562/MAX(1,$U562),0)</f>
        <v/>
      </c>
      <c r="W562" s="68">
        <f>POWER($S562,$E562)</f>
        <v/>
      </c>
      <c r="X562" s="68">
        <f>SUMIFS($W$5:$W$589,$A$5:$A$589,$A562)</f>
        <v/>
      </c>
      <c r="Y562" s="67">
        <f>ROUNDDOWN(MAX(0,$R562-$J562*$G562)*$W562/MAX(1,$X562),0)</f>
        <v/>
      </c>
    </row>
    <row r="563">
      <c r="A563" s="17" t="inlineStr">
        <is>
          <t>qiang_recruit</t>
        </is>
      </c>
      <c r="B563" s="18" t="inlineStr">
        <is>
          <t>造兵术-枪</t>
        </is>
      </c>
      <c r="C563" s="18" t="inlineStr">
        <is>
          <t>武艺技术</t>
        </is>
      </c>
      <c r="D563" s="18" t="inlineStr">
        <is>
          <t>枪类</t>
        </is>
      </c>
      <c r="E563" s="65" t="n">
        <v>1</v>
      </c>
      <c r="F563" s="66">
        <f>E563+1</f>
        <v/>
      </c>
      <c r="G563" s="65">
        <f>INDEX('个人技术总览'!$E$5:$E$46,MATCH($A563,'个人技术总览'!$A$5:$A$46,0))</f>
        <v/>
      </c>
      <c r="H563" s="59">
        <f>INDEX('个人技术总览'!$F$5:$F$46,MATCH($A563,'个人技术总览'!$A$5:$A$46,0))</f>
        <v/>
      </c>
      <c r="I563" s="60">
        <f>INDEX('个人技术总览'!$G$5:$G$46,MATCH($A563,'个人技术总览'!$A$5:$A$46,0))</f>
        <v/>
      </c>
      <c r="J563" s="59">
        <f>INDEX('个人技术总览'!$H$5:$H$46,MATCH($A563,'个人技术总览'!$A$5:$A$46,0))</f>
        <v/>
      </c>
      <c r="K563" s="60">
        <f>INDEX('个人技术总览'!$I$5:$I$46,MATCH($A563,'个人技术总览'!$A$5:$A$46,0))</f>
        <v/>
      </c>
      <c r="L563" s="67">
        <f>H563+V563+IF(E563=G563-1,MAX(0,P563-H563*G563-SUMIFS($V$5:$V$589,$A$5:$A$589,$A563)),0)</f>
        <v/>
      </c>
      <c r="M563" s="61">
        <f>MAX(1,ROUNDDOWN($L563/'参数与公式'!$B$5,0))</f>
        <v/>
      </c>
      <c r="N563" s="67">
        <f>J563+Y563+IF(E563=G563-1,MAX(0,R563-J563*G563-SUMIFS($Y$5:$Y$589,$A$5:$A$589,$A563)),0)</f>
        <v/>
      </c>
      <c r="O563" s="18" t="inlineStr">
        <is>
          <t>data/technology_templates.yaml; upgrade_profiles.martial; code: technology_rules.allocate_upgrade_budget</t>
        </is>
      </c>
      <c r="P563" s="67">
        <f>INDEX('个人技术总览'!$O$5:$O$46,MATCH($A563,'个人技术总览'!$A$5:$A$46,0))</f>
        <v/>
      </c>
      <c r="Q563" s="64">
        <f>INDEX('个人技术总览'!$P$5:$P$46,MATCH($A563,'个人技术总览'!$A$5:$A$46,0))</f>
        <v/>
      </c>
      <c r="R563" s="67">
        <f>INDEX('个人技术总览'!$Q$5:$Q$46,MATCH($A563,'个人技术总览'!$A$5:$A$46,0))</f>
        <v/>
      </c>
      <c r="S563" s="64">
        <f>INDEX('个人技术总览'!$R$5:$R$46,MATCH($A563,'个人技术总览'!$A$5:$A$46,0))</f>
        <v/>
      </c>
      <c r="T563" s="68">
        <f>POWER($Q563,$E563)</f>
        <v/>
      </c>
      <c r="U563" s="68">
        <f>SUMIFS($T$5:$T$589,$A$5:$A$589,$A563)</f>
        <v/>
      </c>
      <c r="V563" s="67">
        <f>ROUNDDOWN(MAX(0,$P563-$H563*$G563)*$T563/MAX(1,$U563),0)</f>
        <v/>
      </c>
      <c r="W563" s="68">
        <f>POWER($S563,$E563)</f>
        <v/>
      </c>
      <c r="X563" s="68">
        <f>SUMIFS($W$5:$W$589,$A$5:$A$589,$A563)</f>
        <v/>
      </c>
      <c r="Y563" s="67">
        <f>ROUNDDOWN(MAX(0,$R563-$J563*$G563)*$W563/MAX(1,$X563),0)</f>
        <v/>
      </c>
    </row>
    <row r="564">
      <c r="A564" s="17" t="inlineStr">
        <is>
          <t>qiang_recruit</t>
        </is>
      </c>
      <c r="B564" s="18" t="inlineStr">
        <is>
          <t>造兵术-枪</t>
        </is>
      </c>
      <c r="C564" s="18" t="inlineStr">
        <is>
          <t>武艺技术</t>
        </is>
      </c>
      <c r="D564" s="18" t="inlineStr">
        <is>
          <t>枪类</t>
        </is>
      </c>
      <c r="E564" s="65" t="n">
        <v>2</v>
      </c>
      <c r="F564" s="66">
        <f>E564+1</f>
        <v/>
      </c>
      <c r="G564" s="65">
        <f>INDEX('个人技术总览'!$E$5:$E$46,MATCH($A564,'个人技术总览'!$A$5:$A$46,0))</f>
        <v/>
      </c>
      <c r="H564" s="59">
        <f>INDEX('个人技术总览'!$F$5:$F$46,MATCH($A564,'个人技术总览'!$A$5:$A$46,0))</f>
        <v/>
      </c>
      <c r="I564" s="60">
        <f>INDEX('个人技术总览'!$G$5:$G$46,MATCH($A564,'个人技术总览'!$A$5:$A$46,0))</f>
        <v/>
      </c>
      <c r="J564" s="59">
        <f>INDEX('个人技术总览'!$H$5:$H$46,MATCH($A564,'个人技术总览'!$A$5:$A$46,0))</f>
        <v/>
      </c>
      <c r="K564" s="60">
        <f>INDEX('个人技术总览'!$I$5:$I$46,MATCH($A564,'个人技术总览'!$A$5:$A$46,0))</f>
        <v/>
      </c>
      <c r="L564" s="67">
        <f>H564+V564+IF(E564=G564-1,MAX(0,P564-H564*G564-SUMIFS($V$5:$V$589,$A$5:$A$589,$A564)),0)</f>
        <v/>
      </c>
      <c r="M564" s="61">
        <f>MAX(1,ROUNDDOWN($L564/'参数与公式'!$B$5,0))</f>
        <v/>
      </c>
      <c r="N564" s="67">
        <f>J564+Y564+IF(E564=G564-1,MAX(0,R564-J564*G564-SUMIFS($Y$5:$Y$589,$A$5:$A$589,$A564)),0)</f>
        <v/>
      </c>
      <c r="O564" s="18" t="inlineStr">
        <is>
          <t>data/technology_templates.yaml; upgrade_profiles.martial; code: technology_rules.allocate_upgrade_budget</t>
        </is>
      </c>
      <c r="P564" s="67">
        <f>INDEX('个人技术总览'!$O$5:$O$46,MATCH($A564,'个人技术总览'!$A$5:$A$46,0))</f>
        <v/>
      </c>
      <c r="Q564" s="64">
        <f>INDEX('个人技术总览'!$P$5:$P$46,MATCH($A564,'个人技术总览'!$A$5:$A$46,0))</f>
        <v/>
      </c>
      <c r="R564" s="67">
        <f>INDEX('个人技术总览'!$Q$5:$Q$46,MATCH($A564,'个人技术总览'!$A$5:$A$46,0))</f>
        <v/>
      </c>
      <c r="S564" s="64">
        <f>INDEX('个人技术总览'!$R$5:$R$46,MATCH($A564,'个人技术总览'!$A$5:$A$46,0))</f>
        <v/>
      </c>
      <c r="T564" s="68">
        <f>POWER($Q564,$E564)</f>
        <v/>
      </c>
      <c r="U564" s="68">
        <f>SUMIFS($T$5:$T$589,$A$5:$A$589,$A564)</f>
        <v/>
      </c>
      <c r="V564" s="67">
        <f>ROUNDDOWN(MAX(0,$P564-$H564*$G564)*$T564/MAX(1,$U564),0)</f>
        <v/>
      </c>
      <c r="W564" s="68">
        <f>POWER($S564,$E564)</f>
        <v/>
      </c>
      <c r="X564" s="68">
        <f>SUMIFS($W$5:$W$589,$A$5:$A$589,$A564)</f>
        <v/>
      </c>
      <c r="Y564" s="67">
        <f>ROUNDDOWN(MAX(0,$R564-$J564*$G564)*$W564/MAX(1,$X564),0)</f>
        <v/>
      </c>
    </row>
    <row r="565">
      <c r="A565" s="17" t="inlineStr">
        <is>
          <t>qiang_recruit</t>
        </is>
      </c>
      <c r="B565" s="18" t="inlineStr">
        <is>
          <t>造兵术-枪</t>
        </is>
      </c>
      <c r="C565" s="18" t="inlineStr">
        <is>
          <t>武艺技术</t>
        </is>
      </c>
      <c r="D565" s="18" t="inlineStr">
        <is>
          <t>枪类</t>
        </is>
      </c>
      <c r="E565" s="65" t="n">
        <v>3</v>
      </c>
      <c r="F565" s="66">
        <f>E565+1</f>
        <v/>
      </c>
      <c r="G565" s="65">
        <f>INDEX('个人技术总览'!$E$5:$E$46,MATCH($A565,'个人技术总览'!$A$5:$A$46,0))</f>
        <v/>
      </c>
      <c r="H565" s="59">
        <f>INDEX('个人技术总览'!$F$5:$F$46,MATCH($A565,'个人技术总览'!$A$5:$A$46,0))</f>
        <v/>
      </c>
      <c r="I565" s="60">
        <f>INDEX('个人技术总览'!$G$5:$G$46,MATCH($A565,'个人技术总览'!$A$5:$A$46,0))</f>
        <v/>
      </c>
      <c r="J565" s="59">
        <f>INDEX('个人技术总览'!$H$5:$H$46,MATCH($A565,'个人技术总览'!$A$5:$A$46,0))</f>
        <v/>
      </c>
      <c r="K565" s="60">
        <f>INDEX('个人技术总览'!$I$5:$I$46,MATCH($A565,'个人技术总览'!$A$5:$A$46,0))</f>
        <v/>
      </c>
      <c r="L565" s="67">
        <f>H565+V565+IF(E565=G565-1,MAX(0,P565-H565*G565-SUMIFS($V$5:$V$589,$A$5:$A$589,$A565)),0)</f>
        <v/>
      </c>
      <c r="M565" s="61">
        <f>MAX(1,ROUNDDOWN($L565/'参数与公式'!$B$5,0))</f>
        <v/>
      </c>
      <c r="N565" s="67">
        <f>J565+Y565+IF(E565=G565-1,MAX(0,R565-J565*G565-SUMIFS($Y$5:$Y$589,$A$5:$A$589,$A565)),0)</f>
        <v/>
      </c>
      <c r="O565" s="18" t="inlineStr">
        <is>
          <t>data/technology_templates.yaml; upgrade_profiles.martial; code: technology_rules.allocate_upgrade_budget</t>
        </is>
      </c>
      <c r="P565" s="67">
        <f>INDEX('个人技术总览'!$O$5:$O$46,MATCH($A565,'个人技术总览'!$A$5:$A$46,0))</f>
        <v/>
      </c>
      <c r="Q565" s="64">
        <f>INDEX('个人技术总览'!$P$5:$P$46,MATCH($A565,'个人技术总览'!$A$5:$A$46,0))</f>
        <v/>
      </c>
      <c r="R565" s="67">
        <f>INDEX('个人技术总览'!$Q$5:$Q$46,MATCH($A565,'个人技术总览'!$A$5:$A$46,0))</f>
        <v/>
      </c>
      <c r="S565" s="64">
        <f>INDEX('个人技术总览'!$R$5:$R$46,MATCH($A565,'个人技术总览'!$A$5:$A$46,0))</f>
        <v/>
      </c>
      <c r="T565" s="68">
        <f>POWER($Q565,$E565)</f>
        <v/>
      </c>
      <c r="U565" s="68">
        <f>SUMIFS($T$5:$T$589,$A$5:$A$589,$A565)</f>
        <v/>
      </c>
      <c r="V565" s="67">
        <f>ROUNDDOWN(MAX(0,$P565-$H565*$G565)*$T565/MAX(1,$U565),0)</f>
        <v/>
      </c>
      <c r="W565" s="68">
        <f>POWER($S565,$E565)</f>
        <v/>
      </c>
      <c r="X565" s="68">
        <f>SUMIFS($W$5:$W$589,$A$5:$A$589,$A565)</f>
        <v/>
      </c>
      <c r="Y565" s="67">
        <f>ROUNDDOWN(MAX(0,$R565-$J565*$G565)*$W565/MAX(1,$X565),0)</f>
        <v/>
      </c>
    </row>
    <row r="566">
      <c r="A566" s="17" t="inlineStr">
        <is>
          <t>qiang_recruit</t>
        </is>
      </c>
      <c r="B566" s="18" t="inlineStr">
        <is>
          <t>造兵术-枪</t>
        </is>
      </c>
      <c r="C566" s="18" t="inlineStr">
        <is>
          <t>武艺技术</t>
        </is>
      </c>
      <c r="D566" s="18" t="inlineStr">
        <is>
          <t>枪类</t>
        </is>
      </c>
      <c r="E566" s="65" t="n">
        <v>4</v>
      </c>
      <c r="F566" s="66">
        <f>E566+1</f>
        <v/>
      </c>
      <c r="G566" s="65">
        <f>INDEX('个人技术总览'!$E$5:$E$46,MATCH($A566,'个人技术总览'!$A$5:$A$46,0))</f>
        <v/>
      </c>
      <c r="H566" s="59">
        <f>INDEX('个人技术总览'!$F$5:$F$46,MATCH($A566,'个人技术总览'!$A$5:$A$46,0))</f>
        <v/>
      </c>
      <c r="I566" s="60">
        <f>INDEX('个人技术总览'!$G$5:$G$46,MATCH($A566,'个人技术总览'!$A$5:$A$46,0))</f>
        <v/>
      </c>
      <c r="J566" s="59">
        <f>INDEX('个人技术总览'!$H$5:$H$46,MATCH($A566,'个人技术总览'!$A$5:$A$46,0))</f>
        <v/>
      </c>
      <c r="K566" s="60">
        <f>INDEX('个人技术总览'!$I$5:$I$46,MATCH($A566,'个人技术总览'!$A$5:$A$46,0))</f>
        <v/>
      </c>
      <c r="L566" s="67">
        <f>H566+V566+IF(E566=G566-1,MAX(0,P566-H566*G566-SUMIFS($V$5:$V$589,$A$5:$A$589,$A566)),0)</f>
        <v/>
      </c>
      <c r="M566" s="61">
        <f>MAX(1,ROUNDDOWN($L566/'参数与公式'!$B$5,0))</f>
        <v/>
      </c>
      <c r="N566" s="67">
        <f>J566+Y566+IF(E566=G566-1,MAX(0,R566-J566*G566-SUMIFS($Y$5:$Y$589,$A$5:$A$589,$A566)),0)</f>
        <v/>
      </c>
      <c r="O566" s="18" t="inlineStr">
        <is>
          <t>data/technology_templates.yaml; upgrade_profiles.martial; code: technology_rules.allocate_upgrade_budget</t>
        </is>
      </c>
      <c r="P566" s="67">
        <f>INDEX('个人技术总览'!$O$5:$O$46,MATCH($A566,'个人技术总览'!$A$5:$A$46,0))</f>
        <v/>
      </c>
      <c r="Q566" s="64">
        <f>INDEX('个人技术总览'!$P$5:$P$46,MATCH($A566,'个人技术总览'!$A$5:$A$46,0))</f>
        <v/>
      </c>
      <c r="R566" s="67">
        <f>INDEX('个人技术总览'!$Q$5:$Q$46,MATCH($A566,'个人技术总览'!$A$5:$A$46,0))</f>
        <v/>
      </c>
      <c r="S566" s="64">
        <f>INDEX('个人技术总览'!$R$5:$R$46,MATCH($A566,'个人技术总览'!$A$5:$A$46,0))</f>
        <v/>
      </c>
      <c r="T566" s="68">
        <f>POWER($Q566,$E566)</f>
        <v/>
      </c>
      <c r="U566" s="68">
        <f>SUMIFS($T$5:$T$589,$A$5:$A$589,$A566)</f>
        <v/>
      </c>
      <c r="V566" s="67">
        <f>ROUNDDOWN(MAX(0,$P566-$H566*$G566)*$T566/MAX(1,$U566),0)</f>
        <v/>
      </c>
      <c r="W566" s="68">
        <f>POWER($S566,$E566)</f>
        <v/>
      </c>
      <c r="X566" s="68">
        <f>SUMIFS($W$5:$W$589,$A$5:$A$589,$A566)</f>
        <v/>
      </c>
      <c r="Y566" s="67">
        <f>ROUNDDOWN(MAX(0,$R566-$J566*$G566)*$W566/MAX(1,$X566),0)</f>
        <v/>
      </c>
    </row>
    <row r="567">
      <c r="A567" s="17" t="inlineStr">
        <is>
          <t>qiang_recruit</t>
        </is>
      </c>
      <c r="B567" s="18" t="inlineStr">
        <is>
          <t>造兵术-枪</t>
        </is>
      </c>
      <c r="C567" s="18" t="inlineStr">
        <is>
          <t>武艺技术</t>
        </is>
      </c>
      <c r="D567" s="18" t="inlineStr">
        <is>
          <t>枪类</t>
        </is>
      </c>
      <c r="E567" s="65" t="n">
        <v>5</v>
      </c>
      <c r="F567" s="66">
        <f>E567+1</f>
        <v/>
      </c>
      <c r="G567" s="65">
        <f>INDEX('个人技术总览'!$E$5:$E$46,MATCH($A567,'个人技术总览'!$A$5:$A$46,0))</f>
        <v/>
      </c>
      <c r="H567" s="59">
        <f>INDEX('个人技术总览'!$F$5:$F$46,MATCH($A567,'个人技术总览'!$A$5:$A$46,0))</f>
        <v/>
      </c>
      <c r="I567" s="60">
        <f>INDEX('个人技术总览'!$G$5:$G$46,MATCH($A567,'个人技术总览'!$A$5:$A$46,0))</f>
        <v/>
      </c>
      <c r="J567" s="59">
        <f>INDEX('个人技术总览'!$H$5:$H$46,MATCH($A567,'个人技术总览'!$A$5:$A$46,0))</f>
        <v/>
      </c>
      <c r="K567" s="60">
        <f>INDEX('个人技术总览'!$I$5:$I$46,MATCH($A567,'个人技术总览'!$A$5:$A$46,0))</f>
        <v/>
      </c>
      <c r="L567" s="67">
        <f>H567+V567+IF(E567=G567-1,MAX(0,P567-H567*G567-SUMIFS($V$5:$V$589,$A$5:$A$589,$A567)),0)</f>
        <v/>
      </c>
      <c r="M567" s="61">
        <f>MAX(1,ROUNDDOWN($L567/'参数与公式'!$B$5,0))</f>
        <v/>
      </c>
      <c r="N567" s="67">
        <f>J567+Y567+IF(E567=G567-1,MAX(0,R567-J567*G567-SUMIFS($Y$5:$Y$589,$A$5:$A$589,$A567)),0)</f>
        <v/>
      </c>
      <c r="O567" s="18" t="inlineStr">
        <is>
          <t>data/technology_templates.yaml; upgrade_profiles.martial; code: technology_rules.allocate_upgrade_budget</t>
        </is>
      </c>
      <c r="P567" s="67">
        <f>INDEX('个人技术总览'!$O$5:$O$46,MATCH($A567,'个人技术总览'!$A$5:$A$46,0))</f>
        <v/>
      </c>
      <c r="Q567" s="64">
        <f>INDEX('个人技术总览'!$P$5:$P$46,MATCH($A567,'个人技术总览'!$A$5:$A$46,0))</f>
        <v/>
      </c>
      <c r="R567" s="67">
        <f>INDEX('个人技术总览'!$Q$5:$Q$46,MATCH($A567,'个人技术总览'!$A$5:$A$46,0))</f>
        <v/>
      </c>
      <c r="S567" s="64">
        <f>INDEX('个人技术总览'!$R$5:$R$46,MATCH($A567,'个人技术总览'!$A$5:$A$46,0))</f>
        <v/>
      </c>
      <c r="T567" s="68">
        <f>POWER($Q567,$E567)</f>
        <v/>
      </c>
      <c r="U567" s="68">
        <f>SUMIFS($T$5:$T$589,$A$5:$A$589,$A567)</f>
        <v/>
      </c>
      <c r="V567" s="67">
        <f>ROUNDDOWN(MAX(0,$P567-$H567*$G567)*$T567/MAX(1,$U567),0)</f>
        <v/>
      </c>
      <c r="W567" s="68">
        <f>POWER($S567,$E567)</f>
        <v/>
      </c>
      <c r="X567" s="68">
        <f>SUMIFS($W$5:$W$589,$A$5:$A$589,$A567)</f>
        <v/>
      </c>
      <c r="Y567" s="67">
        <f>ROUNDDOWN(MAX(0,$R567-$J567*$G567)*$W567/MAX(1,$X567),0)</f>
        <v/>
      </c>
    </row>
    <row r="568">
      <c r="A568" s="17" t="inlineStr">
        <is>
          <t>qiang_recruit</t>
        </is>
      </c>
      <c r="B568" s="18" t="inlineStr">
        <is>
          <t>造兵术-枪</t>
        </is>
      </c>
      <c r="C568" s="18" t="inlineStr">
        <is>
          <t>武艺技术</t>
        </is>
      </c>
      <c r="D568" s="18" t="inlineStr">
        <is>
          <t>枪类</t>
        </is>
      </c>
      <c r="E568" s="65" t="n">
        <v>6</v>
      </c>
      <c r="F568" s="66">
        <f>E568+1</f>
        <v/>
      </c>
      <c r="G568" s="65">
        <f>INDEX('个人技术总览'!$E$5:$E$46,MATCH($A568,'个人技术总览'!$A$5:$A$46,0))</f>
        <v/>
      </c>
      <c r="H568" s="59">
        <f>INDEX('个人技术总览'!$F$5:$F$46,MATCH($A568,'个人技术总览'!$A$5:$A$46,0))</f>
        <v/>
      </c>
      <c r="I568" s="60">
        <f>INDEX('个人技术总览'!$G$5:$G$46,MATCH($A568,'个人技术总览'!$A$5:$A$46,0))</f>
        <v/>
      </c>
      <c r="J568" s="59">
        <f>INDEX('个人技术总览'!$H$5:$H$46,MATCH($A568,'个人技术总览'!$A$5:$A$46,0))</f>
        <v/>
      </c>
      <c r="K568" s="60">
        <f>INDEX('个人技术总览'!$I$5:$I$46,MATCH($A568,'个人技术总览'!$A$5:$A$46,0))</f>
        <v/>
      </c>
      <c r="L568" s="67">
        <f>H568+V568+IF(E568=G568-1,MAX(0,P568-H568*G568-SUMIFS($V$5:$V$589,$A$5:$A$589,$A568)),0)</f>
        <v/>
      </c>
      <c r="M568" s="61">
        <f>MAX(1,ROUNDDOWN($L568/'参数与公式'!$B$5,0))</f>
        <v/>
      </c>
      <c r="N568" s="67">
        <f>J568+Y568+IF(E568=G568-1,MAX(0,R568-J568*G568-SUMIFS($Y$5:$Y$589,$A$5:$A$589,$A568)),0)</f>
        <v/>
      </c>
      <c r="O568" s="18" t="inlineStr">
        <is>
          <t>data/technology_templates.yaml; upgrade_profiles.martial; code: technology_rules.allocate_upgrade_budget</t>
        </is>
      </c>
      <c r="P568" s="67">
        <f>INDEX('个人技术总览'!$O$5:$O$46,MATCH($A568,'个人技术总览'!$A$5:$A$46,0))</f>
        <v/>
      </c>
      <c r="Q568" s="64">
        <f>INDEX('个人技术总览'!$P$5:$P$46,MATCH($A568,'个人技术总览'!$A$5:$A$46,0))</f>
        <v/>
      </c>
      <c r="R568" s="67">
        <f>INDEX('个人技术总览'!$Q$5:$Q$46,MATCH($A568,'个人技术总览'!$A$5:$A$46,0))</f>
        <v/>
      </c>
      <c r="S568" s="64">
        <f>INDEX('个人技术总览'!$R$5:$R$46,MATCH($A568,'个人技术总览'!$A$5:$A$46,0))</f>
        <v/>
      </c>
      <c r="T568" s="68">
        <f>POWER($Q568,$E568)</f>
        <v/>
      </c>
      <c r="U568" s="68">
        <f>SUMIFS($T$5:$T$589,$A$5:$A$589,$A568)</f>
        <v/>
      </c>
      <c r="V568" s="67">
        <f>ROUNDDOWN(MAX(0,$P568-$H568*$G568)*$T568/MAX(1,$U568),0)</f>
        <v/>
      </c>
      <c r="W568" s="68">
        <f>POWER($S568,$E568)</f>
        <v/>
      </c>
      <c r="X568" s="68">
        <f>SUMIFS($W$5:$W$589,$A$5:$A$589,$A568)</f>
        <v/>
      </c>
      <c r="Y568" s="67">
        <f>ROUNDDOWN(MAX(0,$R568-$J568*$G568)*$W568/MAX(1,$X568),0)</f>
        <v/>
      </c>
    </row>
    <row r="569">
      <c r="A569" s="17" t="inlineStr">
        <is>
          <t>jian_recruit</t>
        </is>
      </c>
      <c r="B569" s="18" t="inlineStr">
        <is>
          <t>造兵术-剑</t>
        </is>
      </c>
      <c r="C569" s="18" t="inlineStr">
        <is>
          <t>武艺技术</t>
        </is>
      </c>
      <c r="D569" s="18" t="inlineStr">
        <is>
          <t>剑类</t>
        </is>
      </c>
      <c r="E569" s="65" t="n">
        <v>0</v>
      </c>
      <c r="F569" s="66">
        <f>E569+1</f>
        <v/>
      </c>
      <c r="G569" s="65">
        <f>INDEX('个人技术总览'!$E$5:$E$46,MATCH($A569,'个人技术总览'!$A$5:$A$46,0))</f>
        <v/>
      </c>
      <c r="H569" s="59">
        <f>INDEX('个人技术总览'!$F$5:$F$46,MATCH($A569,'个人技术总览'!$A$5:$A$46,0))</f>
        <v/>
      </c>
      <c r="I569" s="60">
        <f>INDEX('个人技术总览'!$G$5:$G$46,MATCH($A569,'个人技术总览'!$A$5:$A$46,0))</f>
        <v/>
      </c>
      <c r="J569" s="59">
        <f>INDEX('个人技术总览'!$H$5:$H$46,MATCH($A569,'个人技术总览'!$A$5:$A$46,0))</f>
        <v/>
      </c>
      <c r="K569" s="60">
        <f>INDEX('个人技术总览'!$I$5:$I$46,MATCH($A569,'个人技术总览'!$A$5:$A$46,0))</f>
        <v/>
      </c>
      <c r="L569" s="67">
        <f>H569+V569+IF(E569=G569-1,MAX(0,P569-H569*G569-SUMIFS($V$5:$V$589,$A$5:$A$589,$A569)),0)</f>
        <v/>
      </c>
      <c r="M569" s="61">
        <f>MAX(1,ROUNDDOWN($L569/'参数与公式'!$B$5,0))</f>
        <v/>
      </c>
      <c r="N569" s="67">
        <f>J569+Y569+IF(E569=G569-1,MAX(0,R569-J569*G569-SUMIFS($Y$5:$Y$589,$A$5:$A$589,$A569)),0)</f>
        <v/>
      </c>
      <c r="O569" s="18" t="inlineStr">
        <is>
          <t>data/technology_templates.yaml; upgrade_profiles.martial; code: technology_rules.allocate_upgrade_budget</t>
        </is>
      </c>
      <c r="P569" s="67">
        <f>INDEX('个人技术总览'!$O$5:$O$46,MATCH($A569,'个人技术总览'!$A$5:$A$46,0))</f>
        <v/>
      </c>
      <c r="Q569" s="64">
        <f>INDEX('个人技术总览'!$P$5:$P$46,MATCH($A569,'个人技术总览'!$A$5:$A$46,0))</f>
        <v/>
      </c>
      <c r="R569" s="67">
        <f>INDEX('个人技术总览'!$Q$5:$Q$46,MATCH($A569,'个人技术总览'!$A$5:$A$46,0))</f>
        <v/>
      </c>
      <c r="S569" s="64">
        <f>INDEX('个人技术总览'!$R$5:$R$46,MATCH($A569,'个人技术总览'!$A$5:$A$46,0))</f>
        <v/>
      </c>
      <c r="T569" s="68">
        <f>POWER($Q569,$E569)</f>
        <v/>
      </c>
      <c r="U569" s="68">
        <f>SUMIFS($T$5:$T$589,$A$5:$A$589,$A569)</f>
        <v/>
      </c>
      <c r="V569" s="67">
        <f>ROUNDDOWN(MAX(0,$P569-$H569*$G569)*$T569/MAX(1,$U569),0)</f>
        <v/>
      </c>
      <c r="W569" s="68">
        <f>POWER($S569,$E569)</f>
        <v/>
      </c>
      <c r="X569" s="68">
        <f>SUMIFS($W$5:$W$589,$A$5:$A$589,$A569)</f>
        <v/>
      </c>
      <c r="Y569" s="67">
        <f>ROUNDDOWN(MAX(0,$R569-$J569*$G569)*$W569/MAX(1,$X569),0)</f>
        <v/>
      </c>
    </row>
    <row r="570">
      <c r="A570" s="17" t="inlineStr">
        <is>
          <t>jian_recruit</t>
        </is>
      </c>
      <c r="B570" s="18" t="inlineStr">
        <is>
          <t>造兵术-剑</t>
        </is>
      </c>
      <c r="C570" s="18" t="inlineStr">
        <is>
          <t>武艺技术</t>
        </is>
      </c>
      <c r="D570" s="18" t="inlineStr">
        <is>
          <t>剑类</t>
        </is>
      </c>
      <c r="E570" s="65" t="n">
        <v>1</v>
      </c>
      <c r="F570" s="66">
        <f>E570+1</f>
        <v/>
      </c>
      <c r="G570" s="65">
        <f>INDEX('个人技术总览'!$E$5:$E$46,MATCH($A570,'个人技术总览'!$A$5:$A$46,0))</f>
        <v/>
      </c>
      <c r="H570" s="59">
        <f>INDEX('个人技术总览'!$F$5:$F$46,MATCH($A570,'个人技术总览'!$A$5:$A$46,0))</f>
        <v/>
      </c>
      <c r="I570" s="60">
        <f>INDEX('个人技术总览'!$G$5:$G$46,MATCH($A570,'个人技术总览'!$A$5:$A$46,0))</f>
        <v/>
      </c>
      <c r="J570" s="59">
        <f>INDEX('个人技术总览'!$H$5:$H$46,MATCH($A570,'个人技术总览'!$A$5:$A$46,0))</f>
        <v/>
      </c>
      <c r="K570" s="60">
        <f>INDEX('个人技术总览'!$I$5:$I$46,MATCH($A570,'个人技术总览'!$A$5:$A$46,0))</f>
        <v/>
      </c>
      <c r="L570" s="67">
        <f>H570+V570+IF(E570=G570-1,MAX(0,P570-H570*G570-SUMIFS($V$5:$V$589,$A$5:$A$589,$A570)),0)</f>
        <v/>
      </c>
      <c r="M570" s="61">
        <f>MAX(1,ROUNDDOWN($L570/'参数与公式'!$B$5,0))</f>
        <v/>
      </c>
      <c r="N570" s="67">
        <f>J570+Y570+IF(E570=G570-1,MAX(0,R570-J570*G570-SUMIFS($Y$5:$Y$589,$A$5:$A$589,$A570)),0)</f>
        <v/>
      </c>
      <c r="O570" s="18" t="inlineStr">
        <is>
          <t>data/technology_templates.yaml; upgrade_profiles.martial; code: technology_rules.allocate_upgrade_budget</t>
        </is>
      </c>
      <c r="P570" s="67">
        <f>INDEX('个人技术总览'!$O$5:$O$46,MATCH($A570,'个人技术总览'!$A$5:$A$46,0))</f>
        <v/>
      </c>
      <c r="Q570" s="64">
        <f>INDEX('个人技术总览'!$P$5:$P$46,MATCH($A570,'个人技术总览'!$A$5:$A$46,0))</f>
        <v/>
      </c>
      <c r="R570" s="67">
        <f>INDEX('个人技术总览'!$Q$5:$Q$46,MATCH($A570,'个人技术总览'!$A$5:$A$46,0))</f>
        <v/>
      </c>
      <c r="S570" s="64">
        <f>INDEX('个人技术总览'!$R$5:$R$46,MATCH($A570,'个人技术总览'!$A$5:$A$46,0))</f>
        <v/>
      </c>
      <c r="T570" s="68">
        <f>POWER($Q570,$E570)</f>
        <v/>
      </c>
      <c r="U570" s="68">
        <f>SUMIFS($T$5:$T$589,$A$5:$A$589,$A570)</f>
        <v/>
      </c>
      <c r="V570" s="67">
        <f>ROUNDDOWN(MAX(0,$P570-$H570*$G570)*$T570/MAX(1,$U570),0)</f>
        <v/>
      </c>
      <c r="W570" s="68">
        <f>POWER($S570,$E570)</f>
        <v/>
      </c>
      <c r="X570" s="68">
        <f>SUMIFS($W$5:$W$589,$A$5:$A$589,$A570)</f>
        <v/>
      </c>
      <c r="Y570" s="67">
        <f>ROUNDDOWN(MAX(0,$R570-$J570*$G570)*$W570/MAX(1,$X570),0)</f>
        <v/>
      </c>
    </row>
    <row r="571">
      <c r="A571" s="17" t="inlineStr">
        <is>
          <t>jian_recruit</t>
        </is>
      </c>
      <c r="B571" s="18" t="inlineStr">
        <is>
          <t>造兵术-剑</t>
        </is>
      </c>
      <c r="C571" s="18" t="inlineStr">
        <is>
          <t>武艺技术</t>
        </is>
      </c>
      <c r="D571" s="18" t="inlineStr">
        <is>
          <t>剑类</t>
        </is>
      </c>
      <c r="E571" s="65" t="n">
        <v>2</v>
      </c>
      <c r="F571" s="66">
        <f>E571+1</f>
        <v/>
      </c>
      <c r="G571" s="65">
        <f>INDEX('个人技术总览'!$E$5:$E$46,MATCH($A571,'个人技术总览'!$A$5:$A$46,0))</f>
        <v/>
      </c>
      <c r="H571" s="59">
        <f>INDEX('个人技术总览'!$F$5:$F$46,MATCH($A571,'个人技术总览'!$A$5:$A$46,0))</f>
        <v/>
      </c>
      <c r="I571" s="60">
        <f>INDEX('个人技术总览'!$G$5:$G$46,MATCH($A571,'个人技术总览'!$A$5:$A$46,0))</f>
        <v/>
      </c>
      <c r="J571" s="59">
        <f>INDEX('个人技术总览'!$H$5:$H$46,MATCH($A571,'个人技术总览'!$A$5:$A$46,0))</f>
        <v/>
      </c>
      <c r="K571" s="60">
        <f>INDEX('个人技术总览'!$I$5:$I$46,MATCH($A571,'个人技术总览'!$A$5:$A$46,0))</f>
        <v/>
      </c>
      <c r="L571" s="67">
        <f>H571+V571+IF(E571=G571-1,MAX(0,P571-H571*G571-SUMIFS($V$5:$V$589,$A$5:$A$589,$A571)),0)</f>
        <v/>
      </c>
      <c r="M571" s="61">
        <f>MAX(1,ROUNDDOWN($L571/'参数与公式'!$B$5,0))</f>
        <v/>
      </c>
      <c r="N571" s="67">
        <f>J571+Y571+IF(E571=G571-1,MAX(0,R571-J571*G571-SUMIFS($Y$5:$Y$589,$A$5:$A$589,$A571)),0)</f>
        <v/>
      </c>
      <c r="O571" s="18" t="inlineStr">
        <is>
          <t>data/technology_templates.yaml; upgrade_profiles.martial; code: technology_rules.allocate_upgrade_budget</t>
        </is>
      </c>
      <c r="P571" s="67">
        <f>INDEX('个人技术总览'!$O$5:$O$46,MATCH($A571,'个人技术总览'!$A$5:$A$46,0))</f>
        <v/>
      </c>
      <c r="Q571" s="64">
        <f>INDEX('个人技术总览'!$P$5:$P$46,MATCH($A571,'个人技术总览'!$A$5:$A$46,0))</f>
        <v/>
      </c>
      <c r="R571" s="67">
        <f>INDEX('个人技术总览'!$Q$5:$Q$46,MATCH($A571,'个人技术总览'!$A$5:$A$46,0))</f>
        <v/>
      </c>
      <c r="S571" s="64">
        <f>INDEX('个人技术总览'!$R$5:$R$46,MATCH($A571,'个人技术总览'!$A$5:$A$46,0))</f>
        <v/>
      </c>
      <c r="T571" s="68">
        <f>POWER($Q571,$E571)</f>
        <v/>
      </c>
      <c r="U571" s="68">
        <f>SUMIFS($T$5:$T$589,$A$5:$A$589,$A571)</f>
        <v/>
      </c>
      <c r="V571" s="67">
        <f>ROUNDDOWN(MAX(0,$P571-$H571*$G571)*$T571/MAX(1,$U571),0)</f>
        <v/>
      </c>
      <c r="W571" s="68">
        <f>POWER($S571,$E571)</f>
        <v/>
      </c>
      <c r="X571" s="68">
        <f>SUMIFS($W$5:$W$589,$A$5:$A$589,$A571)</f>
        <v/>
      </c>
      <c r="Y571" s="67">
        <f>ROUNDDOWN(MAX(0,$R571-$J571*$G571)*$W571/MAX(1,$X571),0)</f>
        <v/>
      </c>
    </row>
    <row r="572">
      <c r="A572" s="17" t="inlineStr">
        <is>
          <t>jian_recruit</t>
        </is>
      </c>
      <c r="B572" s="18" t="inlineStr">
        <is>
          <t>造兵术-剑</t>
        </is>
      </c>
      <c r="C572" s="18" t="inlineStr">
        <is>
          <t>武艺技术</t>
        </is>
      </c>
      <c r="D572" s="18" t="inlineStr">
        <is>
          <t>剑类</t>
        </is>
      </c>
      <c r="E572" s="65" t="n">
        <v>3</v>
      </c>
      <c r="F572" s="66">
        <f>E572+1</f>
        <v/>
      </c>
      <c r="G572" s="65">
        <f>INDEX('个人技术总览'!$E$5:$E$46,MATCH($A572,'个人技术总览'!$A$5:$A$46,0))</f>
        <v/>
      </c>
      <c r="H572" s="59">
        <f>INDEX('个人技术总览'!$F$5:$F$46,MATCH($A572,'个人技术总览'!$A$5:$A$46,0))</f>
        <v/>
      </c>
      <c r="I572" s="60">
        <f>INDEX('个人技术总览'!$G$5:$G$46,MATCH($A572,'个人技术总览'!$A$5:$A$46,0))</f>
        <v/>
      </c>
      <c r="J572" s="59">
        <f>INDEX('个人技术总览'!$H$5:$H$46,MATCH($A572,'个人技术总览'!$A$5:$A$46,0))</f>
        <v/>
      </c>
      <c r="K572" s="60">
        <f>INDEX('个人技术总览'!$I$5:$I$46,MATCH($A572,'个人技术总览'!$A$5:$A$46,0))</f>
        <v/>
      </c>
      <c r="L572" s="67">
        <f>H572+V572+IF(E572=G572-1,MAX(0,P572-H572*G572-SUMIFS($V$5:$V$589,$A$5:$A$589,$A572)),0)</f>
        <v/>
      </c>
      <c r="M572" s="61">
        <f>MAX(1,ROUNDDOWN($L572/'参数与公式'!$B$5,0))</f>
        <v/>
      </c>
      <c r="N572" s="67">
        <f>J572+Y572+IF(E572=G572-1,MAX(0,R572-J572*G572-SUMIFS($Y$5:$Y$589,$A$5:$A$589,$A572)),0)</f>
        <v/>
      </c>
      <c r="O572" s="18" t="inlineStr">
        <is>
          <t>data/technology_templates.yaml; upgrade_profiles.martial; code: technology_rules.allocate_upgrade_budget</t>
        </is>
      </c>
      <c r="P572" s="67">
        <f>INDEX('个人技术总览'!$O$5:$O$46,MATCH($A572,'个人技术总览'!$A$5:$A$46,0))</f>
        <v/>
      </c>
      <c r="Q572" s="64">
        <f>INDEX('个人技术总览'!$P$5:$P$46,MATCH($A572,'个人技术总览'!$A$5:$A$46,0))</f>
        <v/>
      </c>
      <c r="R572" s="67">
        <f>INDEX('个人技术总览'!$Q$5:$Q$46,MATCH($A572,'个人技术总览'!$A$5:$A$46,0))</f>
        <v/>
      </c>
      <c r="S572" s="64">
        <f>INDEX('个人技术总览'!$R$5:$R$46,MATCH($A572,'个人技术总览'!$A$5:$A$46,0))</f>
        <v/>
      </c>
      <c r="T572" s="68">
        <f>POWER($Q572,$E572)</f>
        <v/>
      </c>
      <c r="U572" s="68">
        <f>SUMIFS($T$5:$T$589,$A$5:$A$589,$A572)</f>
        <v/>
      </c>
      <c r="V572" s="67">
        <f>ROUNDDOWN(MAX(0,$P572-$H572*$G572)*$T572/MAX(1,$U572),0)</f>
        <v/>
      </c>
      <c r="W572" s="68">
        <f>POWER($S572,$E572)</f>
        <v/>
      </c>
      <c r="X572" s="68">
        <f>SUMIFS($W$5:$W$589,$A$5:$A$589,$A572)</f>
        <v/>
      </c>
      <c r="Y572" s="67">
        <f>ROUNDDOWN(MAX(0,$R572-$J572*$G572)*$W572/MAX(1,$X572),0)</f>
        <v/>
      </c>
    </row>
    <row r="573">
      <c r="A573" s="17" t="inlineStr">
        <is>
          <t>jian_recruit</t>
        </is>
      </c>
      <c r="B573" s="18" t="inlineStr">
        <is>
          <t>造兵术-剑</t>
        </is>
      </c>
      <c r="C573" s="18" t="inlineStr">
        <is>
          <t>武艺技术</t>
        </is>
      </c>
      <c r="D573" s="18" t="inlineStr">
        <is>
          <t>剑类</t>
        </is>
      </c>
      <c r="E573" s="65" t="n">
        <v>4</v>
      </c>
      <c r="F573" s="66">
        <f>E573+1</f>
        <v/>
      </c>
      <c r="G573" s="65">
        <f>INDEX('个人技术总览'!$E$5:$E$46,MATCH($A573,'个人技术总览'!$A$5:$A$46,0))</f>
        <v/>
      </c>
      <c r="H573" s="59">
        <f>INDEX('个人技术总览'!$F$5:$F$46,MATCH($A573,'个人技术总览'!$A$5:$A$46,0))</f>
        <v/>
      </c>
      <c r="I573" s="60">
        <f>INDEX('个人技术总览'!$G$5:$G$46,MATCH($A573,'个人技术总览'!$A$5:$A$46,0))</f>
        <v/>
      </c>
      <c r="J573" s="59">
        <f>INDEX('个人技术总览'!$H$5:$H$46,MATCH($A573,'个人技术总览'!$A$5:$A$46,0))</f>
        <v/>
      </c>
      <c r="K573" s="60">
        <f>INDEX('个人技术总览'!$I$5:$I$46,MATCH($A573,'个人技术总览'!$A$5:$A$46,0))</f>
        <v/>
      </c>
      <c r="L573" s="67">
        <f>H573+V573+IF(E573=G573-1,MAX(0,P573-H573*G573-SUMIFS($V$5:$V$589,$A$5:$A$589,$A573)),0)</f>
        <v/>
      </c>
      <c r="M573" s="61">
        <f>MAX(1,ROUNDDOWN($L573/'参数与公式'!$B$5,0))</f>
        <v/>
      </c>
      <c r="N573" s="67">
        <f>J573+Y573+IF(E573=G573-1,MAX(0,R573-J573*G573-SUMIFS($Y$5:$Y$589,$A$5:$A$589,$A573)),0)</f>
        <v/>
      </c>
      <c r="O573" s="18" t="inlineStr">
        <is>
          <t>data/technology_templates.yaml; upgrade_profiles.martial; code: technology_rules.allocate_upgrade_budget</t>
        </is>
      </c>
      <c r="P573" s="67">
        <f>INDEX('个人技术总览'!$O$5:$O$46,MATCH($A573,'个人技术总览'!$A$5:$A$46,0))</f>
        <v/>
      </c>
      <c r="Q573" s="64">
        <f>INDEX('个人技术总览'!$P$5:$P$46,MATCH($A573,'个人技术总览'!$A$5:$A$46,0))</f>
        <v/>
      </c>
      <c r="R573" s="67">
        <f>INDEX('个人技术总览'!$Q$5:$Q$46,MATCH($A573,'个人技术总览'!$A$5:$A$46,0))</f>
        <v/>
      </c>
      <c r="S573" s="64">
        <f>INDEX('个人技术总览'!$R$5:$R$46,MATCH($A573,'个人技术总览'!$A$5:$A$46,0))</f>
        <v/>
      </c>
      <c r="T573" s="68">
        <f>POWER($Q573,$E573)</f>
        <v/>
      </c>
      <c r="U573" s="68">
        <f>SUMIFS($T$5:$T$589,$A$5:$A$589,$A573)</f>
        <v/>
      </c>
      <c r="V573" s="67">
        <f>ROUNDDOWN(MAX(0,$P573-$H573*$G573)*$T573/MAX(1,$U573),0)</f>
        <v/>
      </c>
      <c r="W573" s="68">
        <f>POWER($S573,$E573)</f>
        <v/>
      </c>
      <c r="X573" s="68">
        <f>SUMIFS($W$5:$W$589,$A$5:$A$589,$A573)</f>
        <v/>
      </c>
      <c r="Y573" s="67">
        <f>ROUNDDOWN(MAX(0,$R573-$J573*$G573)*$W573/MAX(1,$X573),0)</f>
        <v/>
      </c>
    </row>
    <row r="574">
      <c r="A574" s="17" t="inlineStr">
        <is>
          <t>jian_recruit</t>
        </is>
      </c>
      <c r="B574" s="18" t="inlineStr">
        <is>
          <t>造兵术-剑</t>
        </is>
      </c>
      <c r="C574" s="18" t="inlineStr">
        <is>
          <t>武艺技术</t>
        </is>
      </c>
      <c r="D574" s="18" t="inlineStr">
        <is>
          <t>剑类</t>
        </is>
      </c>
      <c r="E574" s="65" t="n">
        <v>5</v>
      </c>
      <c r="F574" s="66">
        <f>E574+1</f>
        <v/>
      </c>
      <c r="G574" s="65">
        <f>INDEX('个人技术总览'!$E$5:$E$46,MATCH($A574,'个人技术总览'!$A$5:$A$46,0))</f>
        <v/>
      </c>
      <c r="H574" s="59">
        <f>INDEX('个人技术总览'!$F$5:$F$46,MATCH($A574,'个人技术总览'!$A$5:$A$46,0))</f>
        <v/>
      </c>
      <c r="I574" s="60">
        <f>INDEX('个人技术总览'!$G$5:$G$46,MATCH($A574,'个人技术总览'!$A$5:$A$46,0))</f>
        <v/>
      </c>
      <c r="J574" s="59">
        <f>INDEX('个人技术总览'!$H$5:$H$46,MATCH($A574,'个人技术总览'!$A$5:$A$46,0))</f>
        <v/>
      </c>
      <c r="K574" s="60">
        <f>INDEX('个人技术总览'!$I$5:$I$46,MATCH($A574,'个人技术总览'!$A$5:$A$46,0))</f>
        <v/>
      </c>
      <c r="L574" s="67">
        <f>H574+V574+IF(E574=G574-1,MAX(0,P574-H574*G574-SUMIFS($V$5:$V$589,$A$5:$A$589,$A574)),0)</f>
        <v/>
      </c>
      <c r="M574" s="61">
        <f>MAX(1,ROUNDDOWN($L574/'参数与公式'!$B$5,0))</f>
        <v/>
      </c>
      <c r="N574" s="67">
        <f>J574+Y574+IF(E574=G574-1,MAX(0,R574-J574*G574-SUMIFS($Y$5:$Y$589,$A$5:$A$589,$A574)),0)</f>
        <v/>
      </c>
      <c r="O574" s="18" t="inlineStr">
        <is>
          <t>data/technology_templates.yaml; upgrade_profiles.martial; code: technology_rules.allocate_upgrade_budget</t>
        </is>
      </c>
      <c r="P574" s="67">
        <f>INDEX('个人技术总览'!$O$5:$O$46,MATCH($A574,'个人技术总览'!$A$5:$A$46,0))</f>
        <v/>
      </c>
      <c r="Q574" s="64">
        <f>INDEX('个人技术总览'!$P$5:$P$46,MATCH($A574,'个人技术总览'!$A$5:$A$46,0))</f>
        <v/>
      </c>
      <c r="R574" s="67">
        <f>INDEX('个人技术总览'!$Q$5:$Q$46,MATCH($A574,'个人技术总览'!$A$5:$A$46,0))</f>
        <v/>
      </c>
      <c r="S574" s="64">
        <f>INDEX('个人技术总览'!$R$5:$R$46,MATCH($A574,'个人技术总览'!$A$5:$A$46,0))</f>
        <v/>
      </c>
      <c r="T574" s="68">
        <f>POWER($Q574,$E574)</f>
        <v/>
      </c>
      <c r="U574" s="68">
        <f>SUMIFS($T$5:$T$589,$A$5:$A$589,$A574)</f>
        <v/>
      </c>
      <c r="V574" s="67">
        <f>ROUNDDOWN(MAX(0,$P574-$H574*$G574)*$T574/MAX(1,$U574),0)</f>
        <v/>
      </c>
      <c r="W574" s="68">
        <f>POWER($S574,$E574)</f>
        <v/>
      </c>
      <c r="X574" s="68">
        <f>SUMIFS($W$5:$W$589,$A$5:$A$589,$A574)</f>
        <v/>
      </c>
      <c r="Y574" s="67">
        <f>ROUNDDOWN(MAX(0,$R574-$J574*$G574)*$W574/MAX(1,$X574),0)</f>
        <v/>
      </c>
    </row>
    <row r="575">
      <c r="A575" s="17" t="inlineStr">
        <is>
          <t>jian_recruit</t>
        </is>
      </c>
      <c r="B575" s="18" t="inlineStr">
        <is>
          <t>造兵术-剑</t>
        </is>
      </c>
      <c r="C575" s="18" t="inlineStr">
        <is>
          <t>武艺技术</t>
        </is>
      </c>
      <c r="D575" s="18" t="inlineStr">
        <is>
          <t>剑类</t>
        </is>
      </c>
      <c r="E575" s="65" t="n">
        <v>6</v>
      </c>
      <c r="F575" s="66">
        <f>E575+1</f>
        <v/>
      </c>
      <c r="G575" s="65">
        <f>INDEX('个人技术总览'!$E$5:$E$46,MATCH($A575,'个人技术总览'!$A$5:$A$46,0))</f>
        <v/>
      </c>
      <c r="H575" s="59">
        <f>INDEX('个人技术总览'!$F$5:$F$46,MATCH($A575,'个人技术总览'!$A$5:$A$46,0))</f>
        <v/>
      </c>
      <c r="I575" s="60">
        <f>INDEX('个人技术总览'!$G$5:$G$46,MATCH($A575,'个人技术总览'!$A$5:$A$46,0))</f>
        <v/>
      </c>
      <c r="J575" s="59">
        <f>INDEX('个人技术总览'!$H$5:$H$46,MATCH($A575,'个人技术总览'!$A$5:$A$46,0))</f>
        <v/>
      </c>
      <c r="K575" s="60">
        <f>INDEX('个人技术总览'!$I$5:$I$46,MATCH($A575,'个人技术总览'!$A$5:$A$46,0))</f>
        <v/>
      </c>
      <c r="L575" s="67">
        <f>H575+V575+IF(E575=G575-1,MAX(0,P575-H575*G575-SUMIFS($V$5:$V$589,$A$5:$A$589,$A575)),0)</f>
        <v/>
      </c>
      <c r="M575" s="61">
        <f>MAX(1,ROUNDDOWN($L575/'参数与公式'!$B$5,0))</f>
        <v/>
      </c>
      <c r="N575" s="67">
        <f>J575+Y575+IF(E575=G575-1,MAX(0,R575-J575*G575-SUMIFS($Y$5:$Y$589,$A$5:$A$589,$A575)),0)</f>
        <v/>
      </c>
      <c r="O575" s="18" t="inlineStr">
        <is>
          <t>data/technology_templates.yaml; upgrade_profiles.martial; code: technology_rules.allocate_upgrade_budget</t>
        </is>
      </c>
      <c r="P575" s="67">
        <f>INDEX('个人技术总览'!$O$5:$O$46,MATCH($A575,'个人技术总览'!$A$5:$A$46,0))</f>
        <v/>
      </c>
      <c r="Q575" s="64">
        <f>INDEX('个人技术总览'!$P$5:$P$46,MATCH($A575,'个人技术总览'!$A$5:$A$46,0))</f>
        <v/>
      </c>
      <c r="R575" s="67">
        <f>INDEX('个人技术总览'!$Q$5:$Q$46,MATCH($A575,'个人技术总览'!$A$5:$A$46,0))</f>
        <v/>
      </c>
      <c r="S575" s="64">
        <f>INDEX('个人技术总览'!$R$5:$R$46,MATCH($A575,'个人技术总览'!$A$5:$A$46,0))</f>
        <v/>
      </c>
      <c r="T575" s="68">
        <f>POWER($Q575,$E575)</f>
        <v/>
      </c>
      <c r="U575" s="68">
        <f>SUMIFS($T$5:$T$589,$A$5:$A$589,$A575)</f>
        <v/>
      </c>
      <c r="V575" s="67">
        <f>ROUNDDOWN(MAX(0,$P575-$H575*$G575)*$T575/MAX(1,$U575),0)</f>
        <v/>
      </c>
      <c r="W575" s="68">
        <f>POWER($S575,$E575)</f>
        <v/>
      </c>
      <c r="X575" s="68">
        <f>SUMIFS($W$5:$W$589,$A$5:$A$589,$A575)</f>
        <v/>
      </c>
      <c r="Y575" s="67">
        <f>ROUNDDOWN(MAX(0,$R575-$J575*$G575)*$W575/MAX(1,$X575),0)</f>
        <v/>
      </c>
    </row>
    <row r="576">
      <c r="A576" s="17" t="inlineStr">
        <is>
          <t>quan_recruit</t>
        </is>
      </c>
      <c r="B576" s="18" t="inlineStr">
        <is>
          <t>造兵术-拳</t>
        </is>
      </c>
      <c r="C576" s="18" t="inlineStr">
        <is>
          <t>武艺技术</t>
        </is>
      </c>
      <c r="D576" s="18" t="inlineStr">
        <is>
          <t>拳类</t>
        </is>
      </c>
      <c r="E576" s="65" t="n">
        <v>0</v>
      </c>
      <c r="F576" s="66">
        <f>E576+1</f>
        <v/>
      </c>
      <c r="G576" s="65">
        <f>INDEX('个人技术总览'!$E$5:$E$46,MATCH($A576,'个人技术总览'!$A$5:$A$46,0))</f>
        <v/>
      </c>
      <c r="H576" s="59">
        <f>INDEX('个人技术总览'!$F$5:$F$46,MATCH($A576,'个人技术总览'!$A$5:$A$46,0))</f>
        <v/>
      </c>
      <c r="I576" s="60">
        <f>INDEX('个人技术总览'!$G$5:$G$46,MATCH($A576,'个人技术总览'!$A$5:$A$46,0))</f>
        <v/>
      </c>
      <c r="J576" s="59">
        <f>INDEX('个人技术总览'!$H$5:$H$46,MATCH($A576,'个人技术总览'!$A$5:$A$46,0))</f>
        <v/>
      </c>
      <c r="K576" s="60">
        <f>INDEX('个人技术总览'!$I$5:$I$46,MATCH($A576,'个人技术总览'!$A$5:$A$46,0))</f>
        <v/>
      </c>
      <c r="L576" s="67">
        <f>H576+V576+IF(E576=G576-1,MAX(0,P576-H576*G576-SUMIFS($V$5:$V$589,$A$5:$A$589,$A576)),0)</f>
        <v/>
      </c>
      <c r="M576" s="61">
        <f>MAX(1,ROUNDDOWN($L576/'参数与公式'!$B$5,0))</f>
        <v/>
      </c>
      <c r="N576" s="67">
        <f>J576+Y576+IF(E576=G576-1,MAX(0,R576-J576*G576-SUMIFS($Y$5:$Y$589,$A$5:$A$589,$A576)),0)</f>
        <v/>
      </c>
      <c r="O576" s="18" t="inlineStr">
        <is>
          <t>data/technology_templates.yaml; upgrade_profiles.martial; code: technology_rules.allocate_upgrade_budget</t>
        </is>
      </c>
      <c r="P576" s="67">
        <f>INDEX('个人技术总览'!$O$5:$O$46,MATCH($A576,'个人技术总览'!$A$5:$A$46,0))</f>
        <v/>
      </c>
      <c r="Q576" s="64">
        <f>INDEX('个人技术总览'!$P$5:$P$46,MATCH($A576,'个人技术总览'!$A$5:$A$46,0))</f>
        <v/>
      </c>
      <c r="R576" s="67">
        <f>INDEX('个人技术总览'!$Q$5:$Q$46,MATCH($A576,'个人技术总览'!$A$5:$A$46,0))</f>
        <v/>
      </c>
      <c r="S576" s="64">
        <f>INDEX('个人技术总览'!$R$5:$R$46,MATCH($A576,'个人技术总览'!$A$5:$A$46,0))</f>
        <v/>
      </c>
      <c r="T576" s="68">
        <f>POWER($Q576,$E576)</f>
        <v/>
      </c>
      <c r="U576" s="68">
        <f>SUMIFS($T$5:$T$589,$A$5:$A$589,$A576)</f>
        <v/>
      </c>
      <c r="V576" s="67">
        <f>ROUNDDOWN(MAX(0,$P576-$H576*$G576)*$T576/MAX(1,$U576),0)</f>
        <v/>
      </c>
      <c r="W576" s="68">
        <f>POWER($S576,$E576)</f>
        <v/>
      </c>
      <c r="X576" s="68">
        <f>SUMIFS($W$5:$W$589,$A$5:$A$589,$A576)</f>
        <v/>
      </c>
      <c r="Y576" s="67">
        <f>ROUNDDOWN(MAX(0,$R576-$J576*$G576)*$W576/MAX(1,$X576),0)</f>
        <v/>
      </c>
    </row>
    <row r="577">
      <c r="A577" s="17" t="inlineStr">
        <is>
          <t>quan_recruit</t>
        </is>
      </c>
      <c r="B577" s="18" t="inlineStr">
        <is>
          <t>造兵术-拳</t>
        </is>
      </c>
      <c r="C577" s="18" t="inlineStr">
        <is>
          <t>武艺技术</t>
        </is>
      </c>
      <c r="D577" s="18" t="inlineStr">
        <is>
          <t>拳类</t>
        </is>
      </c>
      <c r="E577" s="65" t="n">
        <v>1</v>
      </c>
      <c r="F577" s="66">
        <f>E577+1</f>
        <v/>
      </c>
      <c r="G577" s="65">
        <f>INDEX('个人技术总览'!$E$5:$E$46,MATCH($A577,'个人技术总览'!$A$5:$A$46,0))</f>
        <v/>
      </c>
      <c r="H577" s="59">
        <f>INDEX('个人技术总览'!$F$5:$F$46,MATCH($A577,'个人技术总览'!$A$5:$A$46,0))</f>
        <v/>
      </c>
      <c r="I577" s="60">
        <f>INDEX('个人技术总览'!$G$5:$G$46,MATCH($A577,'个人技术总览'!$A$5:$A$46,0))</f>
        <v/>
      </c>
      <c r="J577" s="59">
        <f>INDEX('个人技术总览'!$H$5:$H$46,MATCH($A577,'个人技术总览'!$A$5:$A$46,0))</f>
        <v/>
      </c>
      <c r="K577" s="60">
        <f>INDEX('个人技术总览'!$I$5:$I$46,MATCH($A577,'个人技术总览'!$A$5:$A$46,0))</f>
        <v/>
      </c>
      <c r="L577" s="67">
        <f>H577+V577+IF(E577=G577-1,MAX(0,P577-H577*G577-SUMIFS($V$5:$V$589,$A$5:$A$589,$A577)),0)</f>
        <v/>
      </c>
      <c r="M577" s="61">
        <f>MAX(1,ROUNDDOWN($L577/'参数与公式'!$B$5,0))</f>
        <v/>
      </c>
      <c r="N577" s="67">
        <f>J577+Y577+IF(E577=G577-1,MAX(0,R577-J577*G577-SUMIFS($Y$5:$Y$589,$A$5:$A$589,$A577)),0)</f>
        <v/>
      </c>
      <c r="O577" s="18" t="inlineStr">
        <is>
          <t>data/technology_templates.yaml; upgrade_profiles.martial; code: technology_rules.allocate_upgrade_budget</t>
        </is>
      </c>
      <c r="P577" s="67">
        <f>INDEX('个人技术总览'!$O$5:$O$46,MATCH($A577,'个人技术总览'!$A$5:$A$46,0))</f>
        <v/>
      </c>
      <c r="Q577" s="64">
        <f>INDEX('个人技术总览'!$P$5:$P$46,MATCH($A577,'个人技术总览'!$A$5:$A$46,0))</f>
        <v/>
      </c>
      <c r="R577" s="67">
        <f>INDEX('个人技术总览'!$Q$5:$Q$46,MATCH($A577,'个人技术总览'!$A$5:$A$46,0))</f>
        <v/>
      </c>
      <c r="S577" s="64">
        <f>INDEX('个人技术总览'!$R$5:$R$46,MATCH($A577,'个人技术总览'!$A$5:$A$46,0))</f>
        <v/>
      </c>
      <c r="T577" s="68">
        <f>POWER($Q577,$E577)</f>
        <v/>
      </c>
      <c r="U577" s="68">
        <f>SUMIFS($T$5:$T$589,$A$5:$A$589,$A577)</f>
        <v/>
      </c>
      <c r="V577" s="67">
        <f>ROUNDDOWN(MAX(0,$P577-$H577*$G577)*$T577/MAX(1,$U577),0)</f>
        <v/>
      </c>
      <c r="W577" s="68">
        <f>POWER($S577,$E577)</f>
        <v/>
      </c>
      <c r="X577" s="68">
        <f>SUMIFS($W$5:$W$589,$A$5:$A$589,$A577)</f>
        <v/>
      </c>
      <c r="Y577" s="67">
        <f>ROUNDDOWN(MAX(0,$R577-$J577*$G577)*$W577/MAX(1,$X577),0)</f>
        <v/>
      </c>
    </row>
    <row r="578">
      <c r="A578" s="17" t="inlineStr">
        <is>
          <t>quan_recruit</t>
        </is>
      </c>
      <c r="B578" s="18" t="inlineStr">
        <is>
          <t>造兵术-拳</t>
        </is>
      </c>
      <c r="C578" s="18" t="inlineStr">
        <is>
          <t>武艺技术</t>
        </is>
      </c>
      <c r="D578" s="18" t="inlineStr">
        <is>
          <t>拳类</t>
        </is>
      </c>
      <c r="E578" s="65" t="n">
        <v>2</v>
      </c>
      <c r="F578" s="66">
        <f>E578+1</f>
        <v/>
      </c>
      <c r="G578" s="65">
        <f>INDEX('个人技术总览'!$E$5:$E$46,MATCH($A578,'个人技术总览'!$A$5:$A$46,0))</f>
        <v/>
      </c>
      <c r="H578" s="59">
        <f>INDEX('个人技术总览'!$F$5:$F$46,MATCH($A578,'个人技术总览'!$A$5:$A$46,0))</f>
        <v/>
      </c>
      <c r="I578" s="60">
        <f>INDEX('个人技术总览'!$G$5:$G$46,MATCH($A578,'个人技术总览'!$A$5:$A$46,0))</f>
        <v/>
      </c>
      <c r="J578" s="59">
        <f>INDEX('个人技术总览'!$H$5:$H$46,MATCH($A578,'个人技术总览'!$A$5:$A$46,0))</f>
        <v/>
      </c>
      <c r="K578" s="60">
        <f>INDEX('个人技术总览'!$I$5:$I$46,MATCH($A578,'个人技术总览'!$A$5:$A$46,0))</f>
        <v/>
      </c>
      <c r="L578" s="67">
        <f>H578+V578+IF(E578=G578-1,MAX(0,P578-H578*G578-SUMIFS($V$5:$V$589,$A$5:$A$589,$A578)),0)</f>
        <v/>
      </c>
      <c r="M578" s="61">
        <f>MAX(1,ROUNDDOWN($L578/'参数与公式'!$B$5,0))</f>
        <v/>
      </c>
      <c r="N578" s="67">
        <f>J578+Y578+IF(E578=G578-1,MAX(0,R578-J578*G578-SUMIFS($Y$5:$Y$589,$A$5:$A$589,$A578)),0)</f>
        <v/>
      </c>
      <c r="O578" s="18" t="inlineStr">
        <is>
          <t>data/technology_templates.yaml; upgrade_profiles.martial; code: technology_rules.allocate_upgrade_budget</t>
        </is>
      </c>
      <c r="P578" s="67">
        <f>INDEX('个人技术总览'!$O$5:$O$46,MATCH($A578,'个人技术总览'!$A$5:$A$46,0))</f>
        <v/>
      </c>
      <c r="Q578" s="64">
        <f>INDEX('个人技术总览'!$P$5:$P$46,MATCH($A578,'个人技术总览'!$A$5:$A$46,0))</f>
        <v/>
      </c>
      <c r="R578" s="67">
        <f>INDEX('个人技术总览'!$Q$5:$Q$46,MATCH($A578,'个人技术总览'!$A$5:$A$46,0))</f>
        <v/>
      </c>
      <c r="S578" s="64">
        <f>INDEX('个人技术总览'!$R$5:$R$46,MATCH($A578,'个人技术总览'!$A$5:$A$46,0))</f>
        <v/>
      </c>
      <c r="T578" s="68">
        <f>POWER($Q578,$E578)</f>
        <v/>
      </c>
      <c r="U578" s="68">
        <f>SUMIFS($T$5:$T$589,$A$5:$A$589,$A578)</f>
        <v/>
      </c>
      <c r="V578" s="67">
        <f>ROUNDDOWN(MAX(0,$P578-$H578*$G578)*$T578/MAX(1,$U578),0)</f>
        <v/>
      </c>
      <c r="W578" s="68">
        <f>POWER($S578,$E578)</f>
        <v/>
      </c>
      <c r="X578" s="68">
        <f>SUMIFS($W$5:$W$589,$A$5:$A$589,$A578)</f>
        <v/>
      </c>
      <c r="Y578" s="67">
        <f>ROUNDDOWN(MAX(0,$R578-$J578*$G578)*$W578/MAX(1,$X578),0)</f>
        <v/>
      </c>
    </row>
    <row r="579">
      <c r="A579" s="17" t="inlineStr">
        <is>
          <t>quan_recruit</t>
        </is>
      </c>
      <c r="B579" s="18" t="inlineStr">
        <is>
          <t>造兵术-拳</t>
        </is>
      </c>
      <c r="C579" s="18" t="inlineStr">
        <is>
          <t>武艺技术</t>
        </is>
      </c>
      <c r="D579" s="18" t="inlineStr">
        <is>
          <t>拳类</t>
        </is>
      </c>
      <c r="E579" s="65" t="n">
        <v>3</v>
      </c>
      <c r="F579" s="66">
        <f>E579+1</f>
        <v/>
      </c>
      <c r="G579" s="65">
        <f>INDEX('个人技术总览'!$E$5:$E$46,MATCH($A579,'个人技术总览'!$A$5:$A$46,0))</f>
        <v/>
      </c>
      <c r="H579" s="59">
        <f>INDEX('个人技术总览'!$F$5:$F$46,MATCH($A579,'个人技术总览'!$A$5:$A$46,0))</f>
        <v/>
      </c>
      <c r="I579" s="60">
        <f>INDEX('个人技术总览'!$G$5:$G$46,MATCH($A579,'个人技术总览'!$A$5:$A$46,0))</f>
        <v/>
      </c>
      <c r="J579" s="59">
        <f>INDEX('个人技术总览'!$H$5:$H$46,MATCH($A579,'个人技术总览'!$A$5:$A$46,0))</f>
        <v/>
      </c>
      <c r="K579" s="60">
        <f>INDEX('个人技术总览'!$I$5:$I$46,MATCH($A579,'个人技术总览'!$A$5:$A$46,0))</f>
        <v/>
      </c>
      <c r="L579" s="67">
        <f>H579+V579+IF(E579=G579-1,MAX(0,P579-H579*G579-SUMIFS($V$5:$V$589,$A$5:$A$589,$A579)),0)</f>
        <v/>
      </c>
      <c r="M579" s="61">
        <f>MAX(1,ROUNDDOWN($L579/'参数与公式'!$B$5,0))</f>
        <v/>
      </c>
      <c r="N579" s="67">
        <f>J579+Y579+IF(E579=G579-1,MAX(0,R579-J579*G579-SUMIFS($Y$5:$Y$589,$A$5:$A$589,$A579)),0)</f>
        <v/>
      </c>
      <c r="O579" s="18" t="inlineStr">
        <is>
          <t>data/technology_templates.yaml; upgrade_profiles.martial; code: technology_rules.allocate_upgrade_budget</t>
        </is>
      </c>
      <c r="P579" s="67">
        <f>INDEX('个人技术总览'!$O$5:$O$46,MATCH($A579,'个人技术总览'!$A$5:$A$46,0))</f>
        <v/>
      </c>
      <c r="Q579" s="64">
        <f>INDEX('个人技术总览'!$P$5:$P$46,MATCH($A579,'个人技术总览'!$A$5:$A$46,0))</f>
        <v/>
      </c>
      <c r="R579" s="67">
        <f>INDEX('个人技术总览'!$Q$5:$Q$46,MATCH($A579,'个人技术总览'!$A$5:$A$46,0))</f>
        <v/>
      </c>
      <c r="S579" s="64">
        <f>INDEX('个人技术总览'!$R$5:$R$46,MATCH($A579,'个人技术总览'!$A$5:$A$46,0))</f>
        <v/>
      </c>
      <c r="T579" s="68">
        <f>POWER($Q579,$E579)</f>
        <v/>
      </c>
      <c r="U579" s="68">
        <f>SUMIFS($T$5:$T$589,$A$5:$A$589,$A579)</f>
        <v/>
      </c>
      <c r="V579" s="67">
        <f>ROUNDDOWN(MAX(0,$P579-$H579*$G579)*$T579/MAX(1,$U579),0)</f>
        <v/>
      </c>
      <c r="W579" s="68">
        <f>POWER($S579,$E579)</f>
        <v/>
      </c>
      <c r="X579" s="68">
        <f>SUMIFS($W$5:$W$589,$A$5:$A$589,$A579)</f>
        <v/>
      </c>
      <c r="Y579" s="67">
        <f>ROUNDDOWN(MAX(0,$R579-$J579*$G579)*$W579/MAX(1,$X579),0)</f>
        <v/>
      </c>
    </row>
    <row r="580">
      <c r="A580" s="17" t="inlineStr">
        <is>
          <t>quan_recruit</t>
        </is>
      </c>
      <c r="B580" s="18" t="inlineStr">
        <is>
          <t>造兵术-拳</t>
        </is>
      </c>
      <c r="C580" s="18" t="inlineStr">
        <is>
          <t>武艺技术</t>
        </is>
      </c>
      <c r="D580" s="18" t="inlineStr">
        <is>
          <t>拳类</t>
        </is>
      </c>
      <c r="E580" s="65" t="n">
        <v>4</v>
      </c>
      <c r="F580" s="66">
        <f>E580+1</f>
        <v/>
      </c>
      <c r="G580" s="65">
        <f>INDEX('个人技术总览'!$E$5:$E$46,MATCH($A580,'个人技术总览'!$A$5:$A$46,0))</f>
        <v/>
      </c>
      <c r="H580" s="59">
        <f>INDEX('个人技术总览'!$F$5:$F$46,MATCH($A580,'个人技术总览'!$A$5:$A$46,0))</f>
        <v/>
      </c>
      <c r="I580" s="60">
        <f>INDEX('个人技术总览'!$G$5:$G$46,MATCH($A580,'个人技术总览'!$A$5:$A$46,0))</f>
        <v/>
      </c>
      <c r="J580" s="59">
        <f>INDEX('个人技术总览'!$H$5:$H$46,MATCH($A580,'个人技术总览'!$A$5:$A$46,0))</f>
        <v/>
      </c>
      <c r="K580" s="60">
        <f>INDEX('个人技术总览'!$I$5:$I$46,MATCH($A580,'个人技术总览'!$A$5:$A$46,0))</f>
        <v/>
      </c>
      <c r="L580" s="67">
        <f>H580+V580+IF(E580=G580-1,MAX(0,P580-H580*G580-SUMIFS($V$5:$V$589,$A$5:$A$589,$A580)),0)</f>
        <v/>
      </c>
      <c r="M580" s="61">
        <f>MAX(1,ROUNDDOWN($L580/'参数与公式'!$B$5,0))</f>
        <v/>
      </c>
      <c r="N580" s="67">
        <f>J580+Y580+IF(E580=G580-1,MAX(0,R580-J580*G580-SUMIFS($Y$5:$Y$589,$A$5:$A$589,$A580)),0)</f>
        <v/>
      </c>
      <c r="O580" s="18" t="inlineStr">
        <is>
          <t>data/technology_templates.yaml; upgrade_profiles.martial; code: technology_rules.allocate_upgrade_budget</t>
        </is>
      </c>
      <c r="P580" s="67">
        <f>INDEX('个人技术总览'!$O$5:$O$46,MATCH($A580,'个人技术总览'!$A$5:$A$46,0))</f>
        <v/>
      </c>
      <c r="Q580" s="64">
        <f>INDEX('个人技术总览'!$P$5:$P$46,MATCH($A580,'个人技术总览'!$A$5:$A$46,0))</f>
        <v/>
      </c>
      <c r="R580" s="67">
        <f>INDEX('个人技术总览'!$Q$5:$Q$46,MATCH($A580,'个人技术总览'!$A$5:$A$46,0))</f>
        <v/>
      </c>
      <c r="S580" s="64">
        <f>INDEX('个人技术总览'!$R$5:$R$46,MATCH($A580,'个人技术总览'!$A$5:$A$46,0))</f>
        <v/>
      </c>
      <c r="T580" s="68">
        <f>POWER($Q580,$E580)</f>
        <v/>
      </c>
      <c r="U580" s="68">
        <f>SUMIFS($T$5:$T$589,$A$5:$A$589,$A580)</f>
        <v/>
      </c>
      <c r="V580" s="67">
        <f>ROUNDDOWN(MAX(0,$P580-$H580*$G580)*$T580/MAX(1,$U580),0)</f>
        <v/>
      </c>
      <c r="W580" s="68">
        <f>POWER($S580,$E580)</f>
        <v/>
      </c>
      <c r="X580" s="68">
        <f>SUMIFS($W$5:$W$589,$A$5:$A$589,$A580)</f>
        <v/>
      </c>
      <c r="Y580" s="67">
        <f>ROUNDDOWN(MAX(0,$R580-$J580*$G580)*$W580/MAX(1,$X580),0)</f>
        <v/>
      </c>
    </row>
    <row r="581">
      <c r="A581" s="17" t="inlineStr">
        <is>
          <t>quan_recruit</t>
        </is>
      </c>
      <c r="B581" s="18" t="inlineStr">
        <is>
          <t>造兵术-拳</t>
        </is>
      </c>
      <c r="C581" s="18" t="inlineStr">
        <is>
          <t>武艺技术</t>
        </is>
      </c>
      <c r="D581" s="18" t="inlineStr">
        <is>
          <t>拳类</t>
        </is>
      </c>
      <c r="E581" s="65" t="n">
        <v>5</v>
      </c>
      <c r="F581" s="66">
        <f>E581+1</f>
        <v/>
      </c>
      <c r="G581" s="65">
        <f>INDEX('个人技术总览'!$E$5:$E$46,MATCH($A581,'个人技术总览'!$A$5:$A$46,0))</f>
        <v/>
      </c>
      <c r="H581" s="59">
        <f>INDEX('个人技术总览'!$F$5:$F$46,MATCH($A581,'个人技术总览'!$A$5:$A$46,0))</f>
        <v/>
      </c>
      <c r="I581" s="60">
        <f>INDEX('个人技术总览'!$G$5:$G$46,MATCH($A581,'个人技术总览'!$A$5:$A$46,0))</f>
        <v/>
      </c>
      <c r="J581" s="59">
        <f>INDEX('个人技术总览'!$H$5:$H$46,MATCH($A581,'个人技术总览'!$A$5:$A$46,0))</f>
        <v/>
      </c>
      <c r="K581" s="60">
        <f>INDEX('个人技术总览'!$I$5:$I$46,MATCH($A581,'个人技术总览'!$A$5:$A$46,0))</f>
        <v/>
      </c>
      <c r="L581" s="67">
        <f>H581+V581+IF(E581=G581-1,MAX(0,P581-H581*G581-SUMIFS($V$5:$V$589,$A$5:$A$589,$A581)),0)</f>
        <v/>
      </c>
      <c r="M581" s="61">
        <f>MAX(1,ROUNDDOWN($L581/'参数与公式'!$B$5,0))</f>
        <v/>
      </c>
      <c r="N581" s="67">
        <f>J581+Y581+IF(E581=G581-1,MAX(0,R581-J581*G581-SUMIFS($Y$5:$Y$589,$A$5:$A$589,$A581)),0)</f>
        <v/>
      </c>
      <c r="O581" s="18" t="inlineStr">
        <is>
          <t>data/technology_templates.yaml; upgrade_profiles.martial; code: technology_rules.allocate_upgrade_budget</t>
        </is>
      </c>
      <c r="P581" s="67">
        <f>INDEX('个人技术总览'!$O$5:$O$46,MATCH($A581,'个人技术总览'!$A$5:$A$46,0))</f>
        <v/>
      </c>
      <c r="Q581" s="64">
        <f>INDEX('个人技术总览'!$P$5:$P$46,MATCH($A581,'个人技术总览'!$A$5:$A$46,0))</f>
        <v/>
      </c>
      <c r="R581" s="67">
        <f>INDEX('个人技术总览'!$Q$5:$Q$46,MATCH($A581,'个人技术总览'!$A$5:$A$46,0))</f>
        <v/>
      </c>
      <c r="S581" s="64">
        <f>INDEX('个人技术总览'!$R$5:$R$46,MATCH($A581,'个人技术总览'!$A$5:$A$46,0))</f>
        <v/>
      </c>
      <c r="T581" s="68">
        <f>POWER($Q581,$E581)</f>
        <v/>
      </c>
      <c r="U581" s="68">
        <f>SUMIFS($T$5:$T$589,$A$5:$A$589,$A581)</f>
        <v/>
      </c>
      <c r="V581" s="67">
        <f>ROUNDDOWN(MAX(0,$P581-$H581*$G581)*$T581/MAX(1,$U581),0)</f>
        <v/>
      </c>
      <c r="W581" s="68">
        <f>POWER($S581,$E581)</f>
        <v/>
      </c>
      <c r="X581" s="68">
        <f>SUMIFS($W$5:$W$589,$A$5:$A$589,$A581)</f>
        <v/>
      </c>
      <c r="Y581" s="67">
        <f>ROUNDDOWN(MAX(0,$R581-$J581*$G581)*$W581/MAX(1,$X581),0)</f>
        <v/>
      </c>
    </row>
    <row r="582">
      <c r="A582" s="17" t="inlineStr">
        <is>
          <t>quan_recruit</t>
        </is>
      </c>
      <c r="B582" s="18" t="inlineStr">
        <is>
          <t>造兵术-拳</t>
        </is>
      </c>
      <c r="C582" s="18" t="inlineStr">
        <is>
          <t>武艺技术</t>
        </is>
      </c>
      <c r="D582" s="18" t="inlineStr">
        <is>
          <t>拳类</t>
        </is>
      </c>
      <c r="E582" s="65" t="n">
        <v>6</v>
      </c>
      <c r="F582" s="66">
        <f>E582+1</f>
        <v/>
      </c>
      <c r="G582" s="65">
        <f>INDEX('个人技术总览'!$E$5:$E$46,MATCH($A582,'个人技术总览'!$A$5:$A$46,0))</f>
        <v/>
      </c>
      <c r="H582" s="59">
        <f>INDEX('个人技术总览'!$F$5:$F$46,MATCH($A582,'个人技术总览'!$A$5:$A$46,0))</f>
        <v/>
      </c>
      <c r="I582" s="60">
        <f>INDEX('个人技术总览'!$G$5:$G$46,MATCH($A582,'个人技术总览'!$A$5:$A$46,0))</f>
        <v/>
      </c>
      <c r="J582" s="59">
        <f>INDEX('个人技术总览'!$H$5:$H$46,MATCH($A582,'个人技术总览'!$A$5:$A$46,0))</f>
        <v/>
      </c>
      <c r="K582" s="60">
        <f>INDEX('个人技术总览'!$I$5:$I$46,MATCH($A582,'个人技术总览'!$A$5:$A$46,0))</f>
        <v/>
      </c>
      <c r="L582" s="67">
        <f>H582+V582+IF(E582=G582-1,MAX(0,P582-H582*G582-SUMIFS($V$5:$V$589,$A$5:$A$589,$A582)),0)</f>
        <v/>
      </c>
      <c r="M582" s="61">
        <f>MAX(1,ROUNDDOWN($L582/'参数与公式'!$B$5,0))</f>
        <v/>
      </c>
      <c r="N582" s="67">
        <f>J582+Y582+IF(E582=G582-1,MAX(0,R582-J582*G582-SUMIFS($Y$5:$Y$589,$A$5:$A$589,$A582)),0)</f>
        <v/>
      </c>
      <c r="O582" s="18" t="inlineStr">
        <is>
          <t>data/technology_templates.yaml; upgrade_profiles.martial; code: technology_rules.allocate_upgrade_budget</t>
        </is>
      </c>
      <c r="P582" s="67">
        <f>INDEX('个人技术总览'!$O$5:$O$46,MATCH($A582,'个人技术总览'!$A$5:$A$46,0))</f>
        <v/>
      </c>
      <c r="Q582" s="64">
        <f>INDEX('个人技术总览'!$P$5:$P$46,MATCH($A582,'个人技术总览'!$A$5:$A$46,0))</f>
        <v/>
      </c>
      <c r="R582" s="67">
        <f>INDEX('个人技术总览'!$Q$5:$Q$46,MATCH($A582,'个人技术总览'!$A$5:$A$46,0))</f>
        <v/>
      </c>
      <c r="S582" s="64">
        <f>INDEX('个人技术总览'!$R$5:$R$46,MATCH($A582,'个人技术总览'!$A$5:$A$46,0))</f>
        <v/>
      </c>
      <c r="T582" s="68">
        <f>POWER($Q582,$E582)</f>
        <v/>
      </c>
      <c r="U582" s="68">
        <f>SUMIFS($T$5:$T$589,$A$5:$A$589,$A582)</f>
        <v/>
      </c>
      <c r="V582" s="67">
        <f>ROUNDDOWN(MAX(0,$P582-$H582*$G582)*$T582/MAX(1,$U582),0)</f>
        <v/>
      </c>
      <c r="W582" s="68">
        <f>POWER($S582,$E582)</f>
        <v/>
      </c>
      <c r="X582" s="68">
        <f>SUMIFS($W$5:$W$589,$A$5:$A$589,$A582)</f>
        <v/>
      </c>
      <c r="Y582" s="67">
        <f>ROUNDDOWN(MAX(0,$R582-$J582*$G582)*$W582/MAX(1,$X582),0)</f>
        <v/>
      </c>
    </row>
    <row r="583">
      <c r="A583" s="17" t="inlineStr">
        <is>
          <t>gong_recruit</t>
        </is>
      </c>
      <c r="B583" s="18" t="inlineStr">
        <is>
          <t>造兵术-弓</t>
        </is>
      </c>
      <c r="C583" s="18" t="inlineStr">
        <is>
          <t>武艺技术</t>
        </is>
      </c>
      <c r="D583" s="18" t="inlineStr">
        <is>
          <t>弓箭类</t>
        </is>
      </c>
      <c r="E583" s="65" t="n">
        <v>0</v>
      </c>
      <c r="F583" s="66">
        <f>E583+1</f>
        <v/>
      </c>
      <c r="G583" s="65">
        <f>INDEX('个人技术总览'!$E$5:$E$46,MATCH($A583,'个人技术总览'!$A$5:$A$46,0))</f>
        <v/>
      </c>
      <c r="H583" s="59">
        <f>INDEX('个人技术总览'!$F$5:$F$46,MATCH($A583,'个人技术总览'!$A$5:$A$46,0))</f>
        <v/>
      </c>
      <c r="I583" s="60">
        <f>INDEX('个人技术总览'!$G$5:$G$46,MATCH($A583,'个人技术总览'!$A$5:$A$46,0))</f>
        <v/>
      </c>
      <c r="J583" s="59">
        <f>INDEX('个人技术总览'!$H$5:$H$46,MATCH($A583,'个人技术总览'!$A$5:$A$46,0))</f>
        <v/>
      </c>
      <c r="K583" s="60">
        <f>INDEX('个人技术总览'!$I$5:$I$46,MATCH($A583,'个人技术总览'!$A$5:$A$46,0))</f>
        <v/>
      </c>
      <c r="L583" s="67">
        <f>H583+V583+IF(E583=G583-1,MAX(0,P583-H583*G583-SUMIFS($V$5:$V$589,$A$5:$A$589,$A583)),0)</f>
        <v/>
      </c>
      <c r="M583" s="61">
        <f>MAX(1,ROUNDDOWN($L583/'参数与公式'!$B$5,0))</f>
        <v/>
      </c>
      <c r="N583" s="67">
        <f>J583+Y583+IF(E583=G583-1,MAX(0,R583-J583*G583-SUMIFS($Y$5:$Y$589,$A$5:$A$589,$A583)),0)</f>
        <v/>
      </c>
      <c r="O583" s="18" t="inlineStr">
        <is>
          <t>data/technology_templates.yaml; upgrade_profiles.martial; code: technology_rules.allocate_upgrade_budget</t>
        </is>
      </c>
      <c r="P583" s="67">
        <f>INDEX('个人技术总览'!$O$5:$O$46,MATCH($A583,'个人技术总览'!$A$5:$A$46,0))</f>
        <v/>
      </c>
      <c r="Q583" s="64">
        <f>INDEX('个人技术总览'!$P$5:$P$46,MATCH($A583,'个人技术总览'!$A$5:$A$46,0))</f>
        <v/>
      </c>
      <c r="R583" s="67">
        <f>INDEX('个人技术总览'!$Q$5:$Q$46,MATCH($A583,'个人技术总览'!$A$5:$A$46,0))</f>
        <v/>
      </c>
      <c r="S583" s="64">
        <f>INDEX('个人技术总览'!$R$5:$R$46,MATCH($A583,'个人技术总览'!$A$5:$A$46,0))</f>
        <v/>
      </c>
      <c r="T583" s="68">
        <f>POWER($Q583,$E583)</f>
        <v/>
      </c>
      <c r="U583" s="68">
        <f>SUMIFS($T$5:$T$589,$A$5:$A$589,$A583)</f>
        <v/>
      </c>
      <c r="V583" s="67">
        <f>ROUNDDOWN(MAX(0,$P583-$H583*$G583)*$T583/MAX(1,$U583),0)</f>
        <v/>
      </c>
      <c r="W583" s="68">
        <f>POWER($S583,$E583)</f>
        <v/>
      </c>
      <c r="X583" s="68">
        <f>SUMIFS($W$5:$W$589,$A$5:$A$589,$A583)</f>
        <v/>
      </c>
      <c r="Y583" s="67">
        <f>ROUNDDOWN(MAX(0,$R583-$J583*$G583)*$W583/MAX(1,$X583),0)</f>
        <v/>
      </c>
    </row>
    <row r="584">
      <c r="A584" s="17" t="inlineStr">
        <is>
          <t>gong_recruit</t>
        </is>
      </c>
      <c r="B584" s="18" t="inlineStr">
        <is>
          <t>造兵术-弓</t>
        </is>
      </c>
      <c r="C584" s="18" t="inlineStr">
        <is>
          <t>武艺技术</t>
        </is>
      </c>
      <c r="D584" s="18" t="inlineStr">
        <is>
          <t>弓箭类</t>
        </is>
      </c>
      <c r="E584" s="65" t="n">
        <v>1</v>
      </c>
      <c r="F584" s="66">
        <f>E584+1</f>
        <v/>
      </c>
      <c r="G584" s="65">
        <f>INDEX('个人技术总览'!$E$5:$E$46,MATCH($A584,'个人技术总览'!$A$5:$A$46,0))</f>
        <v/>
      </c>
      <c r="H584" s="59">
        <f>INDEX('个人技术总览'!$F$5:$F$46,MATCH($A584,'个人技术总览'!$A$5:$A$46,0))</f>
        <v/>
      </c>
      <c r="I584" s="60">
        <f>INDEX('个人技术总览'!$G$5:$G$46,MATCH($A584,'个人技术总览'!$A$5:$A$46,0))</f>
        <v/>
      </c>
      <c r="J584" s="59">
        <f>INDEX('个人技术总览'!$H$5:$H$46,MATCH($A584,'个人技术总览'!$A$5:$A$46,0))</f>
        <v/>
      </c>
      <c r="K584" s="60">
        <f>INDEX('个人技术总览'!$I$5:$I$46,MATCH($A584,'个人技术总览'!$A$5:$A$46,0))</f>
        <v/>
      </c>
      <c r="L584" s="67">
        <f>H584+V584+IF(E584=G584-1,MAX(0,P584-H584*G584-SUMIFS($V$5:$V$589,$A$5:$A$589,$A584)),0)</f>
        <v/>
      </c>
      <c r="M584" s="61">
        <f>MAX(1,ROUNDDOWN($L584/'参数与公式'!$B$5,0))</f>
        <v/>
      </c>
      <c r="N584" s="67">
        <f>J584+Y584+IF(E584=G584-1,MAX(0,R584-J584*G584-SUMIFS($Y$5:$Y$589,$A$5:$A$589,$A584)),0)</f>
        <v/>
      </c>
      <c r="O584" s="18" t="inlineStr">
        <is>
          <t>data/technology_templates.yaml; upgrade_profiles.martial; code: technology_rules.allocate_upgrade_budget</t>
        </is>
      </c>
      <c r="P584" s="67">
        <f>INDEX('个人技术总览'!$O$5:$O$46,MATCH($A584,'个人技术总览'!$A$5:$A$46,0))</f>
        <v/>
      </c>
      <c r="Q584" s="64">
        <f>INDEX('个人技术总览'!$P$5:$P$46,MATCH($A584,'个人技术总览'!$A$5:$A$46,0))</f>
        <v/>
      </c>
      <c r="R584" s="67">
        <f>INDEX('个人技术总览'!$Q$5:$Q$46,MATCH($A584,'个人技术总览'!$A$5:$A$46,0))</f>
        <v/>
      </c>
      <c r="S584" s="64">
        <f>INDEX('个人技术总览'!$R$5:$R$46,MATCH($A584,'个人技术总览'!$A$5:$A$46,0))</f>
        <v/>
      </c>
      <c r="T584" s="68">
        <f>POWER($Q584,$E584)</f>
        <v/>
      </c>
      <c r="U584" s="68">
        <f>SUMIFS($T$5:$T$589,$A$5:$A$589,$A584)</f>
        <v/>
      </c>
      <c r="V584" s="67">
        <f>ROUNDDOWN(MAX(0,$P584-$H584*$G584)*$T584/MAX(1,$U584),0)</f>
        <v/>
      </c>
      <c r="W584" s="68">
        <f>POWER($S584,$E584)</f>
        <v/>
      </c>
      <c r="X584" s="68">
        <f>SUMIFS($W$5:$W$589,$A$5:$A$589,$A584)</f>
        <v/>
      </c>
      <c r="Y584" s="67">
        <f>ROUNDDOWN(MAX(0,$R584-$J584*$G584)*$W584/MAX(1,$X584),0)</f>
        <v/>
      </c>
    </row>
    <row r="585">
      <c r="A585" s="17" t="inlineStr">
        <is>
          <t>gong_recruit</t>
        </is>
      </c>
      <c r="B585" s="18" t="inlineStr">
        <is>
          <t>造兵术-弓</t>
        </is>
      </c>
      <c r="C585" s="18" t="inlineStr">
        <is>
          <t>武艺技术</t>
        </is>
      </c>
      <c r="D585" s="18" t="inlineStr">
        <is>
          <t>弓箭类</t>
        </is>
      </c>
      <c r="E585" s="65" t="n">
        <v>2</v>
      </c>
      <c r="F585" s="66">
        <f>E585+1</f>
        <v/>
      </c>
      <c r="G585" s="65">
        <f>INDEX('个人技术总览'!$E$5:$E$46,MATCH($A585,'个人技术总览'!$A$5:$A$46,0))</f>
        <v/>
      </c>
      <c r="H585" s="59">
        <f>INDEX('个人技术总览'!$F$5:$F$46,MATCH($A585,'个人技术总览'!$A$5:$A$46,0))</f>
        <v/>
      </c>
      <c r="I585" s="60">
        <f>INDEX('个人技术总览'!$G$5:$G$46,MATCH($A585,'个人技术总览'!$A$5:$A$46,0))</f>
        <v/>
      </c>
      <c r="J585" s="59">
        <f>INDEX('个人技术总览'!$H$5:$H$46,MATCH($A585,'个人技术总览'!$A$5:$A$46,0))</f>
        <v/>
      </c>
      <c r="K585" s="60">
        <f>INDEX('个人技术总览'!$I$5:$I$46,MATCH($A585,'个人技术总览'!$A$5:$A$46,0))</f>
        <v/>
      </c>
      <c r="L585" s="67">
        <f>H585+V585+IF(E585=G585-1,MAX(0,P585-H585*G585-SUMIFS($V$5:$V$589,$A$5:$A$589,$A585)),0)</f>
        <v/>
      </c>
      <c r="M585" s="61">
        <f>MAX(1,ROUNDDOWN($L585/'参数与公式'!$B$5,0))</f>
        <v/>
      </c>
      <c r="N585" s="67">
        <f>J585+Y585+IF(E585=G585-1,MAX(0,R585-J585*G585-SUMIFS($Y$5:$Y$589,$A$5:$A$589,$A585)),0)</f>
        <v/>
      </c>
      <c r="O585" s="18" t="inlineStr">
        <is>
          <t>data/technology_templates.yaml; upgrade_profiles.martial; code: technology_rules.allocate_upgrade_budget</t>
        </is>
      </c>
      <c r="P585" s="67">
        <f>INDEX('个人技术总览'!$O$5:$O$46,MATCH($A585,'个人技术总览'!$A$5:$A$46,0))</f>
        <v/>
      </c>
      <c r="Q585" s="64">
        <f>INDEX('个人技术总览'!$P$5:$P$46,MATCH($A585,'个人技术总览'!$A$5:$A$46,0))</f>
        <v/>
      </c>
      <c r="R585" s="67">
        <f>INDEX('个人技术总览'!$Q$5:$Q$46,MATCH($A585,'个人技术总览'!$A$5:$A$46,0))</f>
        <v/>
      </c>
      <c r="S585" s="64">
        <f>INDEX('个人技术总览'!$R$5:$R$46,MATCH($A585,'个人技术总览'!$A$5:$A$46,0))</f>
        <v/>
      </c>
      <c r="T585" s="68">
        <f>POWER($Q585,$E585)</f>
        <v/>
      </c>
      <c r="U585" s="68">
        <f>SUMIFS($T$5:$T$589,$A$5:$A$589,$A585)</f>
        <v/>
      </c>
      <c r="V585" s="67">
        <f>ROUNDDOWN(MAX(0,$P585-$H585*$G585)*$T585/MAX(1,$U585),0)</f>
        <v/>
      </c>
      <c r="W585" s="68">
        <f>POWER($S585,$E585)</f>
        <v/>
      </c>
      <c r="X585" s="68">
        <f>SUMIFS($W$5:$W$589,$A$5:$A$589,$A585)</f>
        <v/>
      </c>
      <c r="Y585" s="67">
        <f>ROUNDDOWN(MAX(0,$R585-$J585*$G585)*$W585/MAX(1,$X585),0)</f>
        <v/>
      </c>
    </row>
    <row r="586">
      <c r="A586" s="17" t="inlineStr">
        <is>
          <t>gong_recruit</t>
        </is>
      </c>
      <c r="B586" s="18" t="inlineStr">
        <is>
          <t>造兵术-弓</t>
        </is>
      </c>
      <c r="C586" s="18" t="inlineStr">
        <is>
          <t>武艺技术</t>
        </is>
      </c>
      <c r="D586" s="18" t="inlineStr">
        <is>
          <t>弓箭类</t>
        </is>
      </c>
      <c r="E586" s="65" t="n">
        <v>3</v>
      </c>
      <c r="F586" s="66">
        <f>E586+1</f>
        <v/>
      </c>
      <c r="G586" s="65">
        <f>INDEX('个人技术总览'!$E$5:$E$46,MATCH($A586,'个人技术总览'!$A$5:$A$46,0))</f>
        <v/>
      </c>
      <c r="H586" s="59">
        <f>INDEX('个人技术总览'!$F$5:$F$46,MATCH($A586,'个人技术总览'!$A$5:$A$46,0))</f>
        <v/>
      </c>
      <c r="I586" s="60">
        <f>INDEX('个人技术总览'!$G$5:$G$46,MATCH($A586,'个人技术总览'!$A$5:$A$46,0))</f>
        <v/>
      </c>
      <c r="J586" s="59">
        <f>INDEX('个人技术总览'!$H$5:$H$46,MATCH($A586,'个人技术总览'!$A$5:$A$46,0))</f>
        <v/>
      </c>
      <c r="K586" s="60">
        <f>INDEX('个人技术总览'!$I$5:$I$46,MATCH($A586,'个人技术总览'!$A$5:$A$46,0))</f>
        <v/>
      </c>
      <c r="L586" s="67">
        <f>H586+V586+IF(E586=G586-1,MAX(0,P586-H586*G586-SUMIFS($V$5:$V$589,$A$5:$A$589,$A586)),0)</f>
        <v/>
      </c>
      <c r="M586" s="61">
        <f>MAX(1,ROUNDDOWN($L586/'参数与公式'!$B$5,0))</f>
        <v/>
      </c>
      <c r="N586" s="67">
        <f>J586+Y586+IF(E586=G586-1,MAX(0,R586-J586*G586-SUMIFS($Y$5:$Y$589,$A$5:$A$589,$A586)),0)</f>
        <v/>
      </c>
      <c r="O586" s="18" t="inlineStr">
        <is>
          <t>data/technology_templates.yaml; upgrade_profiles.martial; code: technology_rules.allocate_upgrade_budget</t>
        </is>
      </c>
      <c r="P586" s="67">
        <f>INDEX('个人技术总览'!$O$5:$O$46,MATCH($A586,'个人技术总览'!$A$5:$A$46,0))</f>
        <v/>
      </c>
      <c r="Q586" s="64">
        <f>INDEX('个人技术总览'!$P$5:$P$46,MATCH($A586,'个人技术总览'!$A$5:$A$46,0))</f>
        <v/>
      </c>
      <c r="R586" s="67">
        <f>INDEX('个人技术总览'!$Q$5:$Q$46,MATCH($A586,'个人技术总览'!$A$5:$A$46,0))</f>
        <v/>
      </c>
      <c r="S586" s="64">
        <f>INDEX('个人技术总览'!$R$5:$R$46,MATCH($A586,'个人技术总览'!$A$5:$A$46,0))</f>
        <v/>
      </c>
      <c r="T586" s="68">
        <f>POWER($Q586,$E586)</f>
        <v/>
      </c>
      <c r="U586" s="68">
        <f>SUMIFS($T$5:$T$589,$A$5:$A$589,$A586)</f>
        <v/>
      </c>
      <c r="V586" s="67">
        <f>ROUNDDOWN(MAX(0,$P586-$H586*$G586)*$T586/MAX(1,$U586),0)</f>
        <v/>
      </c>
      <c r="W586" s="68">
        <f>POWER($S586,$E586)</f>
        <v/>
      </c>
      <c r="X586" s="68">
        <f>SUMIFS($W$5:$W$589,$A$5:$A$589,$A586)</f>
        <v/>
      </c>
      <c r="Y586" s="67">
        <f>ROUNDDOWN(MAX(0,$R586-$J586*$G586)*$W586/MAX(1,$X586),0)</f>
        <v/>
      </c>
    </row>
    <row r="587">
      <c r="A587" s="17" t="inlineStr">
        <is>
          <t>gong_recruit</t>
        </is>
      </c>
      <c r="B587" s="18" t="inlineStr">
        <is>
          <t>造兵术-弓</t>
        </is>
      </c>
      <c r="C587" s="18" t="inlineStr">
        <is>
          <t>武艺技术</t>
        </is>
      </c>
      <c r="D587" s="18" t="inlineStr">
        <is>
          <t>弓箭类</t>
        </is>
      </c>
      <c r="E587" s="65" t="n">
        <v>4</v>
      </c>
      <c r="F587" s="66">
        <f>E587+1</f>
        <v/>
      </c>
      <c r="G587" s="65">
        <f>INDEX('个人技术总览'!$E$5:$E$46,MATCH($A587,'个人技术总览'!$A$5:$A$46,0))</f>
        <v/>
      </c>
      <c r="H587" s="59">
        <f>INDEX('个人技术总览'!$F$5:$F$46,MATCH($A587,'个人技术总览'!$A$5:$A$46,0))</f>
        <v/>
      </c>
      <c r="I587" s="60">
        <f>INDEX('个人技术总览'!$G$5:$G$46,MATCH($A587,'个人技术总览'!$A$5:$A$46,0))</f>
        <v/>
      </c>
      <c r="J587" s="59">
        <f>INDEX('个人技术总览'!$H$5:$H$46,MATCH($A587,'个人技术总览'!$A$5:$A$46,0))</f>
        <v/>
      </c>
      <c r="K587" s="60">
        <f>INDEX('个人技术总览'!$I$5:$I$46,MATCH($A587,'个人技术总览'!$A$5:$A$46,0))</f>
        <v/>
      </c>
      <c r="L587" s="67">
        <f>H587+V587+IF(E587=G587-1,MAX(0,P587-H587*G587-SUMIFS($V$5:$V$589,$A$5:$A$589,$A587)),0)</f>
        <v/>
      </c>
      <c r="M587" s="61">
        <f>MAX(1,ROUNDDOWN($L587/'参数与公式'!$B$5,0))</f>
        <v/>
      </c>
      <c r="N587" s="67">
        <f>J587+Y587+IF(E587=G587-1,MAX(0,R587-J587*G587-SUMIFS($Y$5:$Y$589,$A$5:$A$589,$A587)),0)</f>
        <v/>
      </c>
      <c r="O587" s="18" t="inlineStr">
        <is>
          <t>data/technology_templates.yaml; upgrade_profiles.martial; code: technology_rules.allocate_upgrade_budget</t>
        </is>
      </c>
      <c r="P587" s="67">
        <f>INDEX('个人技术总览'!$O$5:$O$46,MATCH($A587,'个人技术总览'!$A$5:$A$46,0))</f>
        <v/>
      </c>
      <c r="Q587" s="64">
        <f>INDEX('个人技术总览'!$P$5:$P$46,MATCH($A587,'个人技术总览'!$A$5:$A$46,0))</f>
        <v/>
      </c>
      <c r="R587" s="67">
        <f>INDEX('个人技术总览'!$Q$5:$Q$46,MATCH($A587,'个人技术总览'!$A$5:$A$46,0))</f>
        <v/>
      </c>
      <c r="S587" s="64">
        <f>INDEX('个人技术总览'!$R$5:$R$46,MATCH($A587,'个人技术总览'!$A$5:$A$46,0))</f>
        <v/>
      </c>
      <c r="T587" s="68">
        <f>POWER($Q587,$E587)</f>
        <v/>
      </c>
      <c r="U587" s="68">
        <f>SUMIFS($T$5:$T$589,$A$5:$A$589,$A587)</f>
        <v/>
      </c>
      <c r="V587" s="67">
        <f>ROUNDDOWN(MAX(0,$P587-$H587*$G587)*$T587/MAX(1,$U587),0)</f>
        <v/>
      </c>
      <c r="W587" s="68">
        <f>POWER($S587,$E587)</f>
        <v/>
      </c>
      <c r="X587" s="68">
        <f>SUMIFS($W$5:$W$589,$A$5:$A$589,$A587)</f>
        <v/>
      </c>
      <c r="Y587" s="67">
        <f>ROUNDDOWN(MAX(0,$R587-$J587*$G587)*$W587/MAX(1,$X587),0)</f>
        <v/>
      </c>
    </row>
    <row r="588">
      <c r="A588" s="17" t="inlineStr">
        <is>
          <t>gong_recruit</t>
        </is>
      </c>
      <c r="B588" s="18" t="inlineStr">
        <is>
          <t>造兵术-弓</t>
        </is>
      </c>
      <c r="C588" s="18" t="inlineStr">
        <is>
          <t>武艺技术</t>
        </is>
      </c>
      <c r="D588" s="18" t="inlineStr">
        <is>
          <t>弓箭类</t>
        </is>
      </c>
      <c r="E588" s="65" t="n">
        <v>5</v>
      </c>
      <c r="F588" s="66">
        <f>E588+1</f>
        <v/>
      </c>
      <c r="G588" s="65">
        <f>INDEX('个人技术总览'!$E$5:$E$46,MATCH($A588,'个人技术总览'!$A$5:$A$46,0))</f>
        <v/>
      </c>
      <c r="H588" s="59">
        <f>INDEX('个人技术总览'!$F$5:$F$46,MATCH($A588,'个人技术总览'!$A$5:$A$46,0))</f>
        <v/>
      </c>
      <c r="I588" s="60">
        <f>INDEX('个人技术总览'!$G$5:$G$46,MATCH($A588,'个人技术总览'!$A$5:$A$46,0))</f>
        <v/>
      </c>
      <c r="J588" s="59">
        <f>INDEX('个人技术总览'!$H$5:$H$46,MATCH($A588,'个人技术总览'!$A$5:$A$46,0))</f>
        <v/>
      </c>
      <c r="K588" s="60">
        <f>INDEX('个人技术总览'!$I$5:$I$46,MATCH($A588,'个人技术总览'!$A$5:$A$46,0))</f>
        <v/>
      </c>
      <c r="L588" s="67">
        <f>H588+V588+IF(E588=G588-1,MAX(0,P588-H588*G588-SUMIFS($V$5:$V$589,$A$5:$A$589,$A588)),0)</f>
        <v/>
      </c>
      <c r="M588" s="61">
        <f>MAX(1,ROUNDDOWN($L588/'参数与公式'!$B$5,0))</f>
        <v/>
      </c>
      <c r="N588" s="67">
        <f>J588+Y588+IF(E588=G588-1,MAX(0,R588-J588*G588-SUMIFS($Y$5:$Y$589,$A$5:$A$589,$A588)),0)</f>
        <v/>
      </c>
      <c r="O588" s="18" t="inlineStr">
        <is>
          <t>data/technology_templates.yaml; upgrade_profiles.martial; code: technology_rules.allocate_upgrade_budget</t>
        </is>
      </c>
      <c r="P588" s="67">
        <f>INDEX('个人技术总览'!$O$5:$O$46,MATCH($A588,'个人技术总览'!$A$5:$A$46,0))</f>
        <v/>
      </c>
      <c r="Q588" s="64">
        <f>INDEX('个人技术总览'!$P$5:$P$46,MATCH($A588,'个人技术总览'!$A$5:$A$46,0))</f>
        <v/>
      </c>
      <c r="R588" s="67">
        <f>INDEX('个人技术总览'!$Q$5:$Q$46,MATCH($A588,'个人技术总览'!$A$5:$A$46,0))</f>
        <v/>
      </c>
      <c r="S588" s="64">
        <f>INDEX('个人技术总览'!$R$5:$R$46,MATCH($A588,'个人技术总览'!$A$5:$A$46,0))</f>
        <v/>
      </c>
      <c r="T588" s="68">
        <f>POWER($Q588,$E588)</f>
        <v/>
      </c>
      <c r="U588" s="68">
        <f>SUMIFS($T$5:$T$589,$A$5:$A$589,$A588)</f>
        <v/>
      </c>
      <c r="V588" s="67">
        <f>ROUNDDOWN(MAX(0,$P588-$H588*$G588)*$T588/MAX(1,$U588),0)</f>
        <v/>
      </c>
      <c r="W588" s="68">
        <f>POWER($S588,$E588)</f>
        <v/>
      </c>
      <c r="X588" s="68">
        <f>SUMIFS($W$5:$W$589,$A$5:$A$589,$A588)</f>
        <v/>
      </c>
      <c r="Y588" s="67">
        <f>ROUNDDOWN(MAX(0,$R588-$J588*$G588)*$W588/MAX(1,$X588),0)</f>
        <v/>
      </c>
    </row>
    <row r="589">
      <c r="A589" s="17" t="inlineStr">
        <is>
          <t>gong_recruit</t>
        </is>
      </c>
      <c r="B589" s="18" t="inlineStr">
        <is>
          <t>造兵术-弓</t>
        </is>
      </c>
      <c r="C589" s="18" t="inlineStr">
        <is>
          <t>武艺技术</t>
        </is>
      </c>
      <c r="D589" s="18" t="inlineStr">
        <is>
          <t>弓箭类</t>
        </is>
      </c>
      <c r="E589" s="65" t="n">
        <v>6</v>
      </c>
      <c r="F589" s="66">
        <f>E589+1</f>
        <v/>
      </c>
      <c r="G589" s="65">
        <f>INDEX('个人技术总览'!$E$5:$E$46,MATCH($A589,'个人技术总览'!$A$5:$A$46,0))</f>
        <v/>
      </c>
      <c r="H589" s="59">
        <f>INDEX('个人技术总览'!$F$5:$F$46,MATCH($A589,'个人技术总览'!$A$5:$A$46,0))</f>
        <v/>
      </c>
      <c r="I589" s="60">
        <f>INDEX('个人技术总览'!$G$5:$G$46,MATCH($A589,'个人技术总览'!$A$5:$A$46,0))</f>
        <v/>
      </c>
      <c r="J589" s="59">
        <f>INDEX('个人技术总览'!$H$5:$H$46,MATCH($A589,'个人技术总览'!$A$5:$A$46,0))</f>
        <v/>
      </c>
      <c r="K589" s="60">
        <f>INDEX('个人技术总览'!$I$5:$I$46,MATCH($A589,'个人技术总览'!$A$5:$A$46,0))</f>
        <v/>
      </c>
      <c r="L589" s="67">
        <f>H589+V589+IF(E589=G589-1,MAX(0,P589-H589*G589-SUMIFS($V$5:$V$589,$A$5:$A$589,$A589)),0)</f>
        <v/>
      </c>
      <c r="M589" s="61">
        <f>MAX(1,ROUNDDOWN($L589/'参数与公式'!$B$5,0))</f>
        <v/>
      </c>
      <c r="N589" s="67">
        <f>J589+Y589+IF(E589=G589-1,MAX(0,R589-J589*G589-SUMIFS($Y$5:$Y$589,$A$5:$A$589,$A589)),0)</f>
        <v/>
      </c>
      <c r="O589" s="18" t="inlineStr">
        <is>
          <t>data/technology_templates.yaml; upgrade_profiles.martial; code: technology_rules.allocate_upgrade_budget</t>
        </is>
      </c>
      <c r="P589" s="67">
        <f>INDEX('个人技术总览'!$O$5:$O$46,MATCH($A589,'个人技术总览'!$A$5:$A$46,0))</f>
        <v/>
      </c>
      <c r="Q589" s="64">
        <f>INDEX('个人技术总览'!$P$5:$P$46,MATCH($A589,'个人技术总览'!$A$5:$A$46,0))</f>
        <v/>
      </c>
      <c r="R589" s="67">
        <f>INDEX('个人技术总览'!$Q$5:$Q$46,MATCH($A589,'个人技术总览'!$A$5:$A$46,0))</f>
        <v/>
      </c>
      <c r="S589" s="64">
        <f>INDEX('个人技术总览'!$R$5:$R$46,MATCH($A589,'个人技术总览'!$A$5:$A$46,0))</f>
        <v/>
      </c>
      <c r="T589" s="68">
        <f>POWER($Q589,$E589)</f>
        <v/>
      </c>
      <c r="U589" s="68">
        <f>SUMIFS($T$5:$T$589,$A$5:$A$589,$A589)</f>
        <v/>
      </c>
      <c r="V589" s="67">
        <f>ROUNDDOWN(MAX(0,$P589-$H589*$G589)*$T589/MAX(1,$U589),0)</f>
        <v/>
      </c>
      <c r="W589" s="68">
        <f>POWER($S589,$E589)</f>
        <v/>
      </c>
      <c r="X589" s="68">
        <f>SUMIFS($W$5:$W$589,$A$5:$A$589,$A589)</f>
        <v/>
      </c>
      <c r="Y589" s="67">
        <f>ROUNDDOWN(MAX(0,$R589-$J589*$G589)*$W589/MAX(1,$X589),0)</f>
        <v/>
      </c>
    </row>
  </sheetData>
  <autoFilter ref="A4:Y589"/>
  <mergeCells count="2">
    <mergeCell ref="A2:Y2"/>
    <mergeCell ref="A1:Y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2" customWidth="1" min="4" max="4"/>
    <col width="22" customWidth="1" min="5" max="5"/>
    <col width="14" customWidth="1" min="6" max="6"/>
    <col width="15" customWidth="1" min="7" max="7"/>
    <col width="15" customWidth="1" min="8" max="8"/>
    <col width="15" customWidth="1" min="9" max="9"/>
    <col width="16" customWidth="1" min="10" max="10"/>
    <col width="16" customWidth="1" min="11" max="11"/>
    <col width="44" customWidth="1" min="12" max="12"/>
  </cols>
  <sheetData>
    <row r="1" ht="26" customHeight="1">
      <c r="A1" s="1" t="inlineStr">
        <is>
          <t>帮会科技升级总览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30" t="n"/>
    </row>
    <row r="2" ht="34" customHeight="1">
      <c r="A2" s="2" t="inlineStr">
        <is>
          <t>帮会科技目前是资源门槛而非时间门槛：每级即时完成；总成本按各科技的离散升级曲线及覆盖项汇总。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4" ht="34" customHeight="1">
      <c r="A4" s="5" t="inlineStr">
        <is>
          <t>科技Key</t>
        </is>
      </c>
      <c r="B4" s="5" t="inlineStr">
        <is>
          <t>科技</t>
        </is>
      </c>
      <c r="C4" s="5" t="inlineStr">
        <is>
          <t>分类</t>
        </is>
      </c>
      <c r="D4" s="5" t="inlineStr">
        <is>
          <t>最高等级</t>
        </is>
      </c>
      <c r="E4" s="5" t="inlineStr">
        <is>
          <t>升级模式</t>
        </is>
      </c>
      <c r="F4" s="5" t="inlineStr">
        <is>
          <t>全程时长(s)</t>
        </is>
      </c>
      <c r="G4" s="5" t="inlineStr">
        <is>
          <t>配置总银两</t>
        </is>
      </c>
      <c r="H4" s="5" t="inlineStr">
        <is>
          <t>配置总粮食</t>
        </is>
      </c>
      <c r="I4" s="5" t="inlineStr">
        <is>
          <t>配置总金条</t>
        </is>
      </c>
      <c r="J4" s="5" t="inlineStr">
        <is>
          <t>配置总红宝石</t>
        </is>
      </c>
      <c r="K4" s="5" t="inlineStr">
        <is>
          <t>成本曲线</t>
        </is>
      </c>
      <c r="L4" s="5" t="inlineStr">
        <is>
          <t>数据来源</t>
        </is>
      </c>
    </row>
    <row r="5" ht="29" customHeight="1">
      <c r="A5" s="17" t="inlineStr">
        <is>
          <t>equipment_forge</t>
        </is>
      </c>
      <c r="B5" s="18" t="inlineStr">
        <is>
          <t>装备锻造</t>
        </is>
      </c>
      <c r="C5" s="18" t="inlineStr">
        <is>
          <t>生产类</t>
        </is>
      </c>
      <c r="D5" s="17" t="n">
        <v>10</v>
      </c>
      <c r="E5" s="18" t="inlineStr">
        <is>
          <t>即时完成（无倒计时）</t>
        </is>
      </c>
      <c r="F5" s="40">
        <f>SUMIF('帮会科技逐级'!$A$5:$A$107,$A5,'帮会科技逐级'!$G$5:$G$107)</f>
        <v/>
      </c>
      <c r="G5" s="40">
        <f>SUMIF('帮会科技逐级'!$A$5:$A$107,$A5,'帮会科技逐级'!$R$5:$R$107)</f>
        <v/>
      </c>
      <c r="H5" s="40">
        <f>SUMIF('帮会科技逐级'!$A$5:$A$107,$A5,'帮会科技逐级'!$S$5:$S$107)</f>
        <v/>
      </c>
      <c r="I5" s="40">
        <f>SUMIF('帮会科技逐级'!$A$5:$A$107,$A5,'帮会科技逐级'!$T$5:$T$107)</f>
        <v/>
      </c>
      <c r="J5" s="40">
        <f>SUMIF('帮会科技逐级'!$A$5:$A$107,$A5,'帮会科技逐级'!$U$5:$U$107)</f>
        <v/>
      </c>
      <c r="K5" s="18" t="inlineStr">
        <is>
          <t>standard_10</t>
        </is>
      </c>
      <c r="L5" s="18" t="inlineStr">
        <is>
          <t>data/guild_rules.yaml + guilds/constants.py</t>
        </is>
      </c>
    </row>
    <row r="6" ht="29" customHeight="1">
      <c r="A6" s="17" t="inlineStr">
        <is>
          <t>guard_armory</t>
        </is>
      </c>
      <c r="B6" s="18" t="inlineStr">
        <is>
          <t>护院军备</t>
        </is>
      </c>
      <c r="C6" s="18" t="inlineStr">
        <is>
          <t>生产类</t>
        </is>
      </c>
      <c r="D6" s="17" t="n">
        <v>10</v>
      </c>
      <c r="E6" s="18" t="inlineStr">
        <is>
          <t>即时完成（无倒计时）</t>
        </is>
      </c>
      <c r="F6" s="40">
        <f>SUMIF('帮会科技逐级'!$A$5:$A$107,$A6,'帮会科技逐级'!$G$5:$G$107)</f>
        <v/>
      </c>
      <c r="G6" s="40">
        <f>SUMIF('帮会科技逐级'!$A$5:$A$107,$A6,'帮会科技逐级'!$R$5:$R$107)</f>
        <v/>
      </c>
      <c r="H6" s="40">
        <f>SUMIF('帮会科技逐级'!$A$5:$A$107,$A6,'帮会科技逐级'!$S$5:$S$107)</f>
        <v/>
      </c>
      <c r="I6" s="40">
        <f>SUMIF('帮会科技逐级'!$A$5:$A$107,$A6,'帮会科技逐级'!$T$5:$T$107)</f>
        <v/>
      </c>
      <c r="J6" s="40">
        <f>SUMIF('帮会科技逐级'!$A$5:$A$107,$A6,'帮会科技逐级'!$U$5:$U$107)</f>
        <v/>
      </c>
      <c r="K6" s="18" t="inlineStr">
        <is>
          <t>standard_10</t>
        </is>
      </c>
      <c r="L6" s="18" t="inlineStr">
        <is>
          <t>data/guild_rules.yaml + guilds/constants.py</t>
        </is>
      </c>
    </row>
    <row r="7" ht="29" customHeight="1">
      <c r="A7" s="17" t="inlineStr">
        <is>
          <t>experience_refine</t>
        </is>
      </c>
      <c r="B7" s="18" t="inlineStr">
        <is>
          <t>武学研习</t>
        </is>
      </c>
      <c r="C7" s="18" t="inlineStr">
        <is>
          <t>生产类</t>
        </is>
      </c>
      <c r="D7" s="17" t="n">
        <v>10</v>
      </c>
      <c r="E7" s="18" t="inlineStr">
        <is>
          <t>即时完成（无倒计时）</t>
        </is>
      </c>
      <c r="F7" s="40">
        <f>SUMIF('帮会科技逐级'!$A$5:$A$107,$A7,'帮会科技逐级'!$G$5:$G$107)</f>
        <v/>
      </c>
      <c r="G7" s="40">
        <f>SUMIF('帮会科技逐级'!$A$5:$A$107,$A7,'帮会科技逐级'!$R$5:$R$107)</f>
        <v/>
      </c>
      <c r="H7" s="40">
        <f>SUMIF('帮会科技逐级'!$A$5:$A$107,$A7,'帮会科技逐级'!$S$5:$S$107)</f>
        <v/>
      </c>
      <c r="I7" s="40">
        <f>SUMIF('帮会科技逐级'!$A$5:$A$107,$A7,'帮会科技逐级'!$T$5:$T$107)</f>
        <v/>
      </c>
      <c r="J7" s="40">
        <f>SUMIF('帮会科技逐级'!$A$5:$A$107,$A7,'帮会科技逐级'!$U$5:$U$107)</f>
        <v/>
      </c>
      <c r="K7" s="18" t="inlineStr">
        <is>
          <t>standard_10</t>
        </is>
      </c>
      <c r="L7" s="18" t="inlineStr">
        <is>
          <t>data/guild_rules.yaml + guilds/constants.py</t>
        </is>
      </c>
    </row>
    <row r="8" ht="29" customHeight="1">
      <c r="A8" s="17" t="inlineStr">
        <is>
          <t>resource_supply</t>
        </is>
      </c>
      <c r="B8" s="18" t="inlineStr">
        <is>
          <t>资源补给</t>
        </is>
      </c>
      <c r="C8" s="18" t="inlineStr">
        <is>
          <t>生产类</t>
        </is>
      </c>
      <c r="D8" s="17" t="n">
        <v>10</v>
      </c>
      <c r="E8" s="18" t="inlineStr">
        <is>
          <t>即时完成（无倒计时）</t>
        </is>
      </c>
      <c r="F8" s="40">
        <f>SUMIF('帮会科技逐级'!$A$5:$A$107,$A8,'帮会科技逐级'!$G$5:$G$107)</f>
        <v/>
      </c>
      <c r="G8" s="40">
        <f>SUMIF('帮会科技逐级'!$A$5:$A$107,$A8,'帮会科技逐级'!$R$5:$R$107)</f>
        <v/>
      </c>
      <c r="H8" s="40">
        <f>SUMIF('帮会科技逐级'!$A$5:$A$107,$A8,'帮会科技逐级'!$S$5:$S$107)</f>
        <v/>
      </c>
      <c r="I8" s="40">
        <f>SUMIF('帮会科技逐级'!$A$5:$A$107,$A8,'帮会科技逐级'!$T$5:$T$107)</f>
        <v/>
      </c>
      <c r="J8" s="40">
        <f>SUMIF('帮会科技逐级'!$A$5:$A$107,$A8,'帮会科技逐级'!$U$5:$U$107)</f>
        <v/>
      </c>
      <c r="K8" s="18" t="inlineStr">
        <is>
          <t>standard_10</t>
        </is>
      </c>
      <c r="L8" s="18" t="inlineStr">
        <is>
          <t>data/guild_rules.yaml + guilds/constants.py</t>
        </is>
      </c>
    </row>
    <row r="9" ht="29" customHeight="1">
      <c r="A9" s="17" t="inlineStr">
        <is>
          <t>mysticism</t>
        </is>
      </c>
      <c r="B9" s="18" t="inlineStr">
        <is>
          <t>神秘学</t>
        </is>
      </c>
      <c r="C9" s="18" t="inlineStr">
        <is>
          <t>生产类</t>
        </is>
      </c>
      <c r="D9" s="17" t="n">
        <v>3</v>
      </c>
      <c r="E9" s="18" t="inlineStr">
        <is>
          <t>即时完成（无倒计时）</t>
        </is>
      </c>
      <c r="F9" s="40">
        <f>SUMIF('帮会科技逐级'!$A$5:$A$107,$A9,'帮会科技逐级'!$G$5:$G$107)</f>
        <v/>
      </c>
      <c r="G9" s="40">
        <f>SUMIF('帮会科技逐级'!$A$5:$A$107,$A9,'帮会科技逐级'!$R$5:$R$107)</f>
        <v/>
      </c>
      <c r="H9" s="40">
        <f>SUMIF('帮会科技逐级'!$A$5:$A$107,$A9,'帮会科技逐级'!$S$5:$S$107)</f>
        <v/>
      </c>
      <c r="I9" s="40">
        <f>SUMIF('帮会科技逐级'!$A$5:$A$107,$A9,'帮会科技逐级'!$T$5:$T$107)</f>
        <v/>
      </c>
      <c r="J9" s="40">
        <f>SUMIF('帮会科技逐级'!$A$5:$A$107,$A9,'帮会科技逐级'!$U$5:$U$107)</f>
        <v/>
      </c>
      <c r="K9" s="18" t="inlineStr">
        <is>
          <t>指定覆盖</t>
        </is>
      </c>
      <c r="L9" s="18" t="inlineStr">
        <is>
          <t>data/guild_rules.yaml + guilds/constants.py</t>
        </is>
      </c>
    </row>
    <row r="10" ht="29" customHeight="1">
      <c r="A10" s="17" t="inlineStr">
        <is>
          <t>troop_tactics</t>
        </is>
      </c>
      <c r="B10" s="18" t="inlineStr">
        <is>
          <t>强兵战术</t>
        </is>
      </c>
      <c r="C10" s="18" t="inlineStr">
        <is>
          <t>战斗类</t>
        </is>
      </c>
      <c r="D10" s="17" t="n">
        <v>10</v>
      </c>
      <c r="E10" s="18" t="inlineStr">
        <is>
          <t>即时完成（无倒计时）</t>
        </is>
      </c>
      <c r="F10" s="40">
        <f>SUMIF('帮会科技逐级'!$A$5:$A$107,$A10,'帮会科技逐级'!$G$5:$G$107)</f>
        <v/>
      </c>
      <c r="G10" s="40">
        <f>SUMIF('帮会科技逐级'!$A$5:$A$107,$A10,'帮会科技逐级'!$R$5:$R$107)</f>
        <v/>
      </c>
      <c r="H10" s="40">
        <f>SUMIF('帮会科技逐级'!$A$5:$A$107,$A10,'帮会科技逐级'!$S$5:$S$107)</f>
        <v/>
      </c>
      <c r="I10" s="40">
        <f>SUMIF('帮会科技逐级'!$A$5:$A$107,$A10,'帮会科技逐级'!$T$5:$T$107)</f>
        <v/>
      </c>
      <c r="J10" s="40">
        <f>SUMIF('帮会科技逐级'!$A$5:$A$107,$A10,'帮会科技逐级'!$U$5:$U$107)</f>
        <v/>
      </c>
      <c r="K10" s="18" t="inlineStr">
        <is>
          <t>standard_10</t>
        </is>
      </c>
      <c r="L10" s="18" t="inlineStr">
        <is>
          <t>data/guild_rules.yaml + guilds/constants.py</t>
        </is>
      </c>
    </row>
    <row r="11" ht="29" customHeight="1">
      <c r="A11" s="17" t="inlineStr">
        <is>
          <t>resource_boost</t>
        </is>
      </c>
      <c r="B11" s="18" t="inlineStr">
        <is>
          <t>资源增产</t>
        </is>
      </c>
      <c r="C11" s="18" t="inlineStr">
        <is>
          <t>福利类</t>
        </is>
      </c>
      <c r="D11" s="17" t="n">
        <v>5</v>
      </c>
      <c r="E11" s="18" t="inlineStr">
        <is>
          <t>即时完成（无倒计时）</t>
        </is>
      </c>
      <c r="F11" s="40">
        <f>SUMIF('帮会科技逐级'!$A$5:$A$107,$A11,'帮会科技逐级'!$G$5:$G$107)</f>
        <v/>
      </c>
      <c r="G11" s="40">
        <f>SUMIF('帮会科技逐级'!$A$5:$A$107,$A11,'帮会科技逐级'!$R$5:$R$107)</f>
        <v/>
      </c>
      <c r="H11" s="40">
        <f>SUMIF('帮会科技逐级'!$A$5:$A$107,$A11,'帮会科技逐级'!$S$5:$S$107)</f>
        <v/>
      </c>
      <c r="I11" s="40">
        <f>SUMIF('帮会科技逐级'!$A$5:$A$107,$A11,'帮会科技逐级'!$T$5:$T$107)</f>
        <v/>
      </c>
      <c r="J11" s="40">
        <f>SUMIF('帮会科技逐级'!$A$5:$A$107,$A11,'帮会科技逐级'!$U$5:$U$107)</f>
        <v/>
      </c>
      <c r="K11" s="18" t="inlineStr">
        <is>
          <t>welfare_5</t>
        </is>
      </c>
      <c r="L11" s="18" t="inlineStr">
        <is>
          <t>data/guild_rules.yaml + guilds/constants.py</t>
        </is>
      </c>
    </row>
    <row r="12" ht="29" customHeight="1">
      <c r="A12" s="17" t="inlineStr">
        <is>
          <t>march_speed</t>
        </is>
      </c>
      <c r="B12" s="18" t="inlineStr">
        <is>
          <t>行军加速</t>
        </is>
      </c>
      <c r="C12" s="18" t="inlineStr">
        <is>
          <t>福利类</t>
        </is>
      </c>
      <c r="D12" s="17" t="n">
        <v>5</v>
      </c>
      <c r="E12" s="18" t="inlineStr">
        <is>
          <t>即时完成（无倒计时）</t>
        </is>
      </c>
      <c r="F12" s="40">
        <f>SUMIF('帮会科技逐级'!$A$5:$A$107,$A12,'帮会科技逐级'!$G$5:$G$107)</f>
        <v/>
      </c>
      <c r="G12" s="40">
        <f>SUMIF('帮会科技逐级'!$A$5:$A$107,$A12,'帮会科技逐级'!$R$5:$R$107)</f>
        <v/>
      </c>
      <c r="H12" s="40">
        <f>SUMIF('帮会科技逐级'!$A$5:$A$107,$A12,'帮会科技逐级'!$S$5:$S$107)</f>
        <v/>
      </c>
      <c r="I12" s="40">
        <f>SUMIF('帮会科技逐级'!$A$5:$A$107,$A12,'帮会科技逐级'!$T$5:$T$107)</f>
        <v/>
      </c>
      <c r="J12" s="40">
        <f>SUMIF('帮会科技逐级'!$A$5:$A$107,$A12,'帮会科技逐级'!$U$5:$U$107)</f>
        <v/>
      </c>
      <c r="K12" s="18" t="inlineStr">
        <is>
          <t>welfare_5</t>
        </is>
      </c>
      <c r="L12" s="18" t="inlineStr">
        <is>
          <t>data/guild_rules.yaml + guilds/constants.py</t>
        </is>
      </c>
    </row>
    <row r="13" ht="29" customHeight="1">
      <c r="A13" s="17" t="inlineStr">
        <is>
          <t>guild_lineup_capacity</t>
        </is>
      </c>
      <c r="B13" s="18" t="inlineStr">
        <is>
          <t>出战位扩容</t>
        </is>
      </c>
      <c r="C13" s="18" t="inlineStr">
        <is>
          <t>战斗类</t>
        </is>
      </c>
      <c r="D13" s="17" t="n">
        <v>20</v>
      </c>
      <c r="E13" s="18" t="inlineStr">
        <is>
          <t>即时完成（无倒计时）</t>
        </is>
      </c>
      <c r="F13" s="40">
        <f>SUMIF('帮会科技逐级'!$A$5:$A$107,$A13,'帮会科技逐级'!$G$5:$G$107)</f>
        <v/>
      </c>
      <c r="G13" s="40">
        <f>SUMIF('帮会科技逐级'!$A$5:$A$107,$A13,'帮会科技逐级'!$R$5:$R$107)</f>
        <v/>
      </c>
      <c r="H13" s="40">
        <f>SUMIF('帮会科技逐级'!$A$5:$A$107,$A13,'帮会科技逐级'!$S$5:$S$107)</f>
        <v/>
      </c>
      <c r="I13" s="40">
        <f>SUMIF('帮会科技逐级'!$A$5:$A$107,$A13,'帮会科技逐级'!$T$5:$T$107)</f>
        <v/>
      </c>
      <c r="J13" s="40">
        <f>SUMIF('帮会科技逐级'!$A$5:$A$107,$A13,'帮会科技逐级'!$U$5:$U$107)</f>
        <v/>
      </c>
      <c r="K13" s="18" t="inlineStr">
        <is>
          <t>capacity_20</t>
        </is>
      </c>
      <c r="L13" s="18" t="inlineStr">
        <is>
          <t>data/guild_rules.yaml + guilds/constants.py</t>
        </is>
      </c>
    </row>
    <row r="14" ht="29" customHeight="1">
      <c r="A14" s="17" t="inlineStr">
        <is>
          <t>guild_dispatch_capacity</t>
        </is>
      </c>
      <c r="B14" s="18" t="inlineStr">
        <is>
          <t>出征位扩容</t>
        </is>
      </c>
      <c r="C14" s="18" t="inlineStr">
        <is>
          <t>战斗类</t>
        </is>
      </c>
      <c r="D14" s="17" t="n">
        <v>20</v>
      </c>
      <c r="E14" s="18" t="inlineStr">
        <is>
          <t>即时完成（无倒计时）</t>
        </is>
      </c>
      <c r="F14" s="40">
        <f>SUMIF('帮会科技逐级'!$A$5:$A$107,$A14,'帮会科技逐级'!$G$5:$G$107)</f>
        <v/>
      </c>
      <c r="G14" s="40">
        <f>SUMIF('帮会科技逐级'!$A$5:$A$107,$A14,'帮会科技逐级'!$R$5:$R$107)</f>
        <v/>
      </c>
      <c r="H14" s="40">
        <f>SUMIF('帮会科技逐级'!$A$5:$A$107,$A14,'帮会科技逐级'!$S$5:$S$107)</f>
        <v/>
      </c>
      <c r="I14" s="40">
        <f>SUMIF('帮会科技逐级'!$A$5:$A$107,$A14,'帮会科技逐级'!$T$5:$T$107)</f>
        <v/>
      </c>
      <c r="J14" s="40">
        <f>SUMIF('帮会科技逐级'!$A$5:$A$107,$A14,'帮会科技逐级'!$U$5:$U$107)</f>
        <v/>
      </c>
      <c r="K14" s="18" t="inlineStr">
        <is>
          <t>capacity_20</t>
        </is>
      </c>
      <c r="L14" s="18" t="inlineStr">
        <is>
          <t>data/guild_rules.yaml + guilds/constants.py</t>
        </is>
      </c>
    </row>
  </sheetData>
  <autoFilter ref="A4:L14"/>
  <mergeCells count="2">
    <mergeCell ref="A2:L2"/>
    <mergeCell ref="A1:L1"/>
  </mergeCells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10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3" customWidth="1" min="9" max="9"/>
    <col width="13" customWidth="1" min="10" max="10"/>
    <col width="13" customWidth="1" min="11" max="11"/>
    <col width="14" customWidth="1" min="12" max="12"/>
    <col width="10" customWidth="1" min="13" max="13"/>
    <col width="13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  <col width="13" customWidth="1" min="20" max="20"/>
    <col width="14" customWidth="1" min="21" max="21"/>
    <col width="72" customWidth="1" min="22" max="22"/>
  </cols>
  <sheetData>
    <row r="1" ht="26" customHeight="1">
      <c r="A1" s="1" t="inlineStr">
        <is>
          <t>帮会科技逐级明细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30" t="n"/>
    </row>
    <row r="2" ht="34" customHeight="1">
      <c r="A2" s="2" t="inlineStr">
        <is>
          <t>帮会科技当前没有倒计时：每次升级时长记为0秒；成本按 data/guild_rules.yaml 的离散曲线计算，神秘学2/3级的覆盖成本优先于曲线。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30" t="n"/>
    </row>
    <row r="4" ht="34" customHeight="1">
      <c r="A4" s="5" t="inlineStr">
        <is>
          <t>科技Key</t>
        </is>
      </c>
      <c r="B4" s="5" t="inlineStr">
        <is>
          <t>科技</t>
        </is>
      </c>
      <c r="C4" s="5" t="inlineStr">
        <is>
          <t>分类</t>
        </is>
      </c>
      <c r="D4" s="5" t="inlineStr">
        <is>
          <t>当前等级</t>
        </is>
      </c>
      <c r="E4" s="5" t="inlineStr">
        <is>
          <t>目标等级</t>
        </is>
      </c>
      <c r="F4" s="5" t="inlineStr">
        <is>
          <t>最高等级</t>
        </is>
      </c>
      <c r="G4" s="5" t="inlineStr">
        <is>
          <t>升级时长(s)</t>
        </is>
      </c>
      <c r="H4" s="5" t="inlineStr">
        <is>
          <t>曲线Key</t>
        </is>
      </c>
      <c r="I4" s="5" t="inlineStr">
        <is>
          <t>基础银两</t>
        </is>
      </c>
      <c r="J4" s="5" t="inlineStr">
        <is>
          <t>基础粮食</t>
        </is>
      </c>
      <c r="K4" s="5" t="inlineStr">
        <is>
          <t>基础金条</t>
        </is>
      </c>
      <c r="L4" s="5" t="inlineStr">
        <is>
          <t>基础红宝石</t>
        </is>
      </c>
      <c r="M4" s="5" t="inlineStr">
        <is>
          <t>倍率</t>
        </is>
      </c>
      <c r="N4" s="5" t="inlineStr">
        <is>
          <t>覆盖银两</t>
        </is>
      </c>
      <c r="O4" s="5" t="inlineStr">
        <is>
          <t>覆盖粮食</t>
        </is>
      </c>
      <c r="P4" s="5" t="inlineStr">
        <is>
          <t>覆盖金条</t>
        </is>
      </c>
      <c r="Q4" s="5" t="inlineStr">
        <is>
          <t>覆盖红宝石</t>
        </is>
      </c>
      <c r="R4" s="5" t="inlineStr">
        <is>
          <t>实际银两</t>
        </is>
      </c>
      <c r="S4" s="5" t="inlineStr">
        <is>
          <t>实际粮食</t>
        </is>
      </c>
      <c r="T4" s="5" t="inlineStr">
        <is>
          <t>实际金条</t>
        </is>
      </c>
      <c r="U4" s="5" t="inlineStr">
        <is>
          <t>实际红宝石</t>
        </is>
      </c>
      <c r="V4" s="5" t="inlineStr">
        <is>
          <t>数据来源</t>
        </is>
      </c>
    </row>
    <row r="5" ht="27" customHeight="1">
      <c r="A5" s="17" t="inlineStr">
        <is>
          <t>equipment_forge</t>
        </is>
      </c>
      <c r="B5" s="18" t="inlineStr">
        <is>
          <t>装备锻造</t>
        </is>
      </c>
      <c r="C5" s="18" t="inlineStr">
        <is>
          <t>生产类</t>
        </is>
      </c>
      <c r="D5" s="17" t="n">
        <v>0</v>
      </c>
      <c r="E5" s="24">
        <f>D5+1</f>
        <v/>
      </c>
      <c r="F5" s="17" t="n">
        <v>10</v>
      </c>
      <c r="G5" s="40">
        <f>'参数与公式'!$B$11</f>
        <v/>
      </c>
      <c r="H5" s="18" t="inlineStr">
        <is>
          <t>standard_10</t>
        </is>
      </c>
      <c r="I5" s="38" t="n">
        <v>5000</v>
      </c>
      <c r="J5" s="38" t="n">
        <v>2000</v>
      </c>
      <c r="K5" s="38" t="n">
        <v>1</v>
      </c>
      <c r="L5" s="38" t="n">
        <v>0</v>
      </c>
      <c r="M5" s="38" t="n">
        <v>1</v>
      </c>
      <c r="N5" s="38" t="n"/>
      <c r="O5" s="38" t="n"/>
      <c r="P5" s="38" t="n"/>
      <c r="Q5" s="38" t="n"/>
      <c r="R5" s="42">
        <f>IF(N5&lt;&gt;"",N5,IF(I5=0,0,ROUND(I5*M5,0)))</f>
        <v/>
      </c>
      <c r="S5" s="42">
        <f>IF(O5&lt;&gt;"",O5,IF(J5=0,0,ROUND(J5*M5,0)))</f>
        <v/>
      </c>
      <c r="T5" s="42">
        <f>IF(P5&lt;&gt;"",P5,IF(K5=0,0,ROUND(K5*M5,0)))</f>
        <v/>
      </c>
      <c r="U5" s="42">
        <f>IF(Q5&lt;&gt;"",Q5,IF(L5=0,0,ROUND(L5*M5,0)))</f>
        <v/>
      </c>
      <c r="V5" s="18" t="inlineStr">
        <is>
          <t>data/guild_rules.yaml; max_level/category: guilds/constants.py; formula: guilds/services/technology.py</t>
        </is>
      </c>
    </row>
    <row r="6" ht="27" customHeight="1">
      <c r="A6" s="17" t="inlineStr">
        <is>
          <t>equipment_forge</t>
        </is>
      </c>
      <c r="B6" s="18" t="inlineStr">
        <is>
          <t>装备锻造</t>
        </is>
      </c>
      <c r="C6" s="18" t="inlineStr">
        <is>
          <t>生产类</t>
        </is>
      </c>
      <c r="D6" s="17" t="n">
        <v>1</v>
      </c>
      <c r="E6" s="24">
        <f>D6+1</f>
        <v/>
      </c>
      <c r="F6" s="17" t="n">
        <v>10</v>
      </c>
      <c r="G6" s="40">
        <f>'参数与公式'!$B$11</f>
        <v/>
      </c>
      <c r="H6" s="18" t="inlineStr">
        <is>
          <t>standard_10</t>
        </is>
      </c>
      <c r="I6" s="38" t="n">
        <v>5000</v>
      </c>
      <c r="J6" s="38" t="n">
        <v>2000</v>
      </c>
      <c r="K6" s="38" t="n">
        <v>1</v>
      </c>
      <c r="L6" s="38" t="n">
        <v>0</v>
      </c>
      <c r="M6" s="38" t="n">
        <v>2</v>
      </c>
      <c r="N6" s="38" t="n"/>
      <c r="O6" s="38" t="n"/>
      <c r="P6" s="38" t="n"/>
      <c r="Q6" s="38" t="n"/>
      <c r="R6" s="42">
        <f>IF(N6&lt;&gt;"",N6,IF(I6=0,0,ROUND(I6*M6,0)))</f>
        <v/>
      </c>
      <c r="S6" s="42">
        <f>IF(O6&lt;&gt;"",O6,IF(J6=0,0,ROUND(J6*M6,0)))</f>
        <v/>
      </c>
      <c r="T6" s="42">
        <f>IF(P6&lt;&gt;"",P6,IF(K6=0,0,ROUND(K6*M6,0)))</f>
        <v/>
      </c>
      <c r="U6" s="42">
        <f>IF(Q6&lt;&gt;"",Q6,IF(L6=0,0,ROUND(L6*M6,0)))</f>
        <v/>
      </c>
      <c r="V6" s="18" t="inlineStr">
        <is>
          <t>data/guild_rules.yaml; max_level/category: guilds/constants.py; formula: guilds/services/technology.py</t>
        </is>
      </c>
    </row>
    <row r="7" ht="27" customHeight="1">
      <c r="A7" s="17" t="inlineStr">
        <is>
          <t>equipment_forge</t>
        </is>
      </c>
      <c r="B7" s="18" t="inlineStr">
        <is>
          <t>装备锻造</t>
        </is>
      </c>
      <c r="C7" s="18" t="inlineStr">
        <is>
          <t>生产类</t>
        </is>
      </c>
      <c r="D7" s="17" t="n">
        <v>2</v>
      </c>
      <c r="E7" s="24">
        <f>D7+1</f>
        <v/>
      </c>
      <c r="F7" s="17" t="n">
        <v>10</v>
      </c>
      <c r="G7" s="40">
        <f>'参数与公式'!$B$11</f>
        <v/>
      </c>
      <c r="H7" s="18" t="inlineStr">
        <is>
          <t>standard_10</t>
        </is>
      </c>
      <c r="I7" s="38" t="n">
        <v>5000</v>
      </c>
      <c r="J7" s="38" t="n">
        <v>2000</v>
      </c>
      <c r="K7" s="38" t="n">
        <v>1</v>
      </c>
      <c r="L7" s="38" t="n">
        <v>0</v>
      </c>
      <c r="M7" s="38" t="n">
        <v>4</v>
      </c>
      <c r="N7" s="38" t="n"/>
      <c r="O7" s="38" t="n"/>
      <c r="P7" s="38" t="n"/>
      <c r="Q7" s="38" t="n"/>
      <c r="R7" s="42">
        <f>IF(N7&lt;&gt;"",N7,IF(I7=0,0,ROUND(I7*M7,0)))</f>
        <v/>
      </c>
      <c r="S7" s="42">
        <f>IF(O7&lt;&gt;"",O7,IF(J7=0,0,ROUND(J7*M7,0)))</f>
        <v/>
      </c>
      <c r="T7" s="42">
        <f>IF(P7&lt;&gt;"",P7,IF(K7=0,0,ROUND(K7*M7,0)))</f>
        <v/>
      </c>
      <c r="U7" s="42">
        <f>IF(Q7&lt;&gt;"",Q7,IF(L7=0,0,ROUND(L7*M7,0)))</f>
        <v/>
      </c>
      <c r="V7" s="18" t="inlineStr">
        <is>
          <t>data/guild_rules.yaml; max_level/category: guilds/constants.py; formula: guilds/services/technology.py</t>
        </is>
      </c>
    </row>
    <row r="8" ht="27" customHeight="1">
      <c r="A8" s="17" t="inlineStr">
        <is>
          <t>equipment_forge</t>
        </is>
      </c>
      <c r="B8" s="18" t="inlineStr">
        <is>
          <t>装备锻造</t>
        </is>
      </c>
      <c r="C8" s="18" t="inlineStr">
        <is>
          <t>生产类</t>
        </is>
      </c>
      <c r="D8" s="17" t="n">
        <v>3</v>
      </c>
      <c r="E8" s="24">
        <f>D8+1</f>
        <v/>
      </c>
      <c r="F8" s="17" t="n">
        <v>10</v>
      </c>
      <c r="G8" s="40">
        <f>'参数与公式'!$B$11</f>
        <v/>
      </c>
      <c r="H8" s="18" t="inlineStr">
        <is>
          <t>standard_10</t>
        </is>
      </c>
      <c r="I8" s="38" t="n">
        <v>5000</v>
      </c>
      <c r="J8" s="38" t="n">
        <v>2000</v>
      </c>
      <c r="K8" s="38" t="n">
        <v>1</v>
      </c>
      <c r="L8" s="38" t="n">
        <v>0</v>
      </c>
      <c r="M8" s="38" t="n">
        <v>7</v>
      </c>
      <c r="N8" s="38" t="n"/>
      <c r="O8" s="38" t="n"/>
      <c r="P8" s="38" t="n"/>
      <c r="Q8" s="38" t="n"/>
      <c r="R8" s="42">
        <f>IF(N8&lt;&gt;"",N8,IF(I8=0,0,ROUND(I8*M8,0)))</f>
        <v/>
      </c>
      <c r="S8" s="42">
        <f>IF(O8&lt;&gt;"",O8,IF(J8=0,0,ROUND(J8*M8,0)))</f>
        <v/>
      </c>
      <c r="T8" s="42">
        <f>IF(P8&lt;&gt;"",P8,IF(K8=0,0,ROUND(K8*M8,0)))</f>
        <v/>
      </c>
      <c r="U8" s="42">
        <f>IF(Q8&lt;&gt;"",Q8,IF(L8=0,0,ROUND(L8*M8,0)))</f>
        <v/>
      </c>
      <c r="V8" s="18" t="inlineStr">
        <is>
          <t>data/guild_rules.yaml; max_level/category: guilds/constants.py; formula: guilds/services/technology.py</t>
        </is>
      </c>
    </row>
    <row r="9" ht="27" customHeight="1">
      <c r="A9" s="17" t="inlineStr">
        <is>
          <t>equipment_forge</t>
        </is>
      </c>
      <c r="B9" s="18" t="inlineStr">
        <is>
          <t>装备锻造</t>
        </is>
      </c>
      <c r="C9" s="18" t="inlineStr">
        <is>
          <t>生产类</t>
        </is>
      </c>
      <c r="D9" s="17" t="n">
        <v>4</v>
      </c>
      <c r="E9" s="24">
        <f>D9+1</f>
        <v/>
      </c>
      <c r="F9" s="17" t="n">
        <v>10</v>
      </c>
      <c r="G9" s="40">
        <f>'参数与公式'!$B$11</f>
        <v/>
      </c>
      <c r="H9" s="18" t="inlineStr">
        <is>
          <t>standard_10</t>
        </is>
      </c>
      <c r="I9" s="38" t="n">
        <v>5000</v>
      </c>
      <c r="J9" s="38" t="n">
        <v>2000</v>
      </c>
      <c r="K9" s="38" t="n">
        <v>1</v>
      </c>
      <c r="L9" s="38" t="n">
        <v>0</v>
      </c>
      <c r="M9" s="38" t="n">
        <v>12</v>
      </c>
      <c r="N9" s="38" t="n"/>
      <c r="O9" s="38" t="n"/>
      <c r="P9" s="38" t="n"/>
      <c r="Q9" s="38" t="n"/>
      <c r="R9" s="42">
        <f>IF(N9&lt;&gt;"",N9,IF(I9=0,0,ROUND(I9*M9,0)))</f>
        <v/>
      </c>
      <c r="S9" s="42">
        <f>IF(O9&lt;&gt;"",O9,IF(J9=0,0,ROUND(J9*M9,0)))</f>
        <v/>
      </c>
      <c r="T9" s="42">
        <f>IF(P9&lt;&gt;"",P9,IF(K9=0,0,ROUND(K9*M9,0)))</f>
        <v/>
      </c>
      <c r="U9" s="42">
        <f>IF(Q9&lt;&gt;"",Q9,IF(L9=0,0,ROUND(L9*M9,0)))</f>
        <v/>
      </c>
      <c r="V9" s="18" t="inlineStr">
        <is>
          <t>data/guild_rules.yaml; max_level/category: guilds/constants.py; formula: guilds/services/technology.py</t>
        </is>
      </c>
    </row>
    <row r="10" ht="27" customHeight="1">
      <c r="A10" s="17" t="inlineStr">
        <is>
          <t>equipment_forge</t>
        </is>
      </c>
      <c r="B10" s="18" t="inlineStr">
        <is>
          <t>装备锻造</t>
        </is>
      </c>
      <c r="C10" s="18" t="inlineStr">
        <is>
          <t>生产类</t>
        </is>
      </c>
      <c r="D10" s="17" t="n">
        <v>5</v>
      </c>
      <c r="E10" s="24">
        <f>D10+1</f>
        <v/>
      </c>
      <c r="F10" s="17" t="n">
        <v>10</v>
      </c>
      <c r="G10" s="40">
        <f>'参数与公式'!$B$11</f>
        <v/>
      </c>
      <c r="H10" s="18" t="inlineStr">
        <is>
          <t>standard_10</t>
        </is>
      </c>
      <c r="I10" s="38" t="n">
        <v>5000</v>
      </c>
      <c r="J10" s="38" t="n">
        <v>2000</v>
      </c>
      <c r="K10" s="38" t="n">
        <v>1</v>
      </c>
      <c r="L10" s="38" t="n">
        <v>0</v>
      </c>
      <c r="M10" s="38" t="n">
        <v>20</v>
      </c>
      <c r="N10" s="38" t="n"/>
      <c r="O10" s="38" t="n"/>
      <c r="P10" s="38" t="n"/>
      <c r="Q10" s="38" t="n"/>
      <c r="R10" s="42">
        <f>IF(N10&lt;&gt;"",N10,IF(I10=0,0,ROUND(I10*M10,0)))</f>
        <v/>
      </c>
      <c r="S10" s="42">
        <f>IF(O10&lt;&gt;"",O10,IF(J10=0,0,ROUND(J10*M10,0)))</f>
        <v/>
      </c>
      <c r="T10" s="42">
        <f>IF(P10&lt;&gt;"",P10,IF(K10=0,0,ROUND(K10*M10,0)))</f>
        <v/>
      </c>
      <c r="U10" s="42">
        <f>IF(Q10&lt;&gt;"",Q10,IF(L10=0,0,ROUND(L10*M10,0)))</f>
        <v/>
      </c>
      <c r="V10" s="18" t="inlineStr">
        <is>
          <t>data/guild_rules.yaml; max_level/category: guilds/constants.py; formula: guilds/services/technology.py</t>
        </is>
      </c>
    </row>
    <row r="11" ht="27" customHeight="1">
      <c r="A11" s="17" t="inlineStr">
        <is>
          <t>equipment_forge</t>
        </is>
      </c>
      <c r="B11" s="18" t="inlineStr">
        <is>
          <t>装备锻造</t>
        </is>
      </c>
      <c r="C11" s="18" t="inlineStr">
        <is>
          <t>生产类</t>
        </is>
      </c>
      <c r="D11" s="17" t="n">
        <v>6</v>
      </c>
      <c r="E11" s="24">
        <f>D11+1</f>
        <v/>
      </c>
      <c r="F11" s="17" t="n">
        <v>10</v>
      </c>
      <c r="G11" s="40">
        <f>'参数与公式'!$B$11</f>
        <v/>
      </c>
      <c r="H11" s="18" t="inlineStr">
        <is>
          <t>standard_10</t>
        </is>
      </c>
      <c r="I11" s="38" t="n">
        <v>5000</v>
      </c>
      <c r="J11" s="38" t="n">
        <v>2000</v>
      </c>
      <c r="K11" s="38" t="n">
        <v>1</v>
      </c>
      <c r="L11" s="38" t="n">
        <v>0</v>
      </c>
      <c r="M11" s="38" t="n">
        <v>35</v>
      </c>
      <c r="N11" s="38" t="n"/>
      <c r="O11" s="38" t="n"/>
      <c r="P11" s="38" t="n"/>
      <c r="Q11" s="38" t="n"/>
      <c r="R11" s="42">
        <f>IF(N11&lt;&gt;"",N11,IF(I11=0,0,ROUND(I11*M11,0)))</f>
        <v/>
      </c>
      <c r="S11" s="42">
        <f>IF(O11&lt;&gt;"",O11,IF(J11=0,0,ROUND(J11*M11,0)))</f>
        <v/>
      </c>
      <c r="T11" s="42">
        <f>IF(P11&lt;&gt;"",P11,IF(K11=0,0,ROUND(K11*M11,0)))</f>
        <v/>
      </c>
      <c r="U11" s="42">
        <f>IF(Q11&lt;&gt;"",Q11,IF(L11=0,0,ROUND(L11*M11,0)))</f>
        <v/>
      </c>
      <c r="V11" s="18" t="inlineStr">
        <is>
          <t>data/guild_rules.yaml; max_level/category: guilds/constants.py; formula: guilds/services/technology.py</t>
        </is>
      </c>
    </row>
    <row r="12" ht="27" customHeight="1">
      <c r="A12" s="17" t="inlineStr">
        <is>
          <t>equipment_forge</t>
        </is>
      </c>
      <c r="B12" s="18" t="inlineStr">
        <is>
          <t>装备锻造</t>
        </is>
      </c>
      <c r="C12" s="18" t="inlineStr">
        <is>
          <t>生产类</t>
        </is>
      </c>
      <c r="D12" s="17" t="n">
        <v>7</v>
      </c>
      <c r="E12" s="24">
        <f>D12+1</f>
        <v/>
      </c>
      <c r="F12" s="17" t="n">
        <v>10</v>
      </c>
      <c r="G12" s="40">
        <f>'参数与公式'!$B$11</f>
        <v/>
      </c>
      <c r="H12" s="18" t="inlineStr">
        <is>
          <t>standard_10</t>
        </is>
      </c>
      <c r="I12" s="38" t="n">
        <v>5000</v>
      </c>
      <c r="J12" s="38" t="n">
        <v>2000</v>
      </c>
      <c r="K12" s="38" t="n">
        <v>1</v>
      </c>
      <c r="L12" s="38" t="n">
        <v>0</v>
      </c>
      <c r="M12" s="38" t="n">
        <v>70</v>
      </c>
      <c r="N12" s="38" t="n"/>
      <c r="O12" s="38" t="n"/>
      <c r="P12" s="38" t="n"/>
      <c r="Q12" s="38" t="n"/>
      <c r="R12" s="42">
        <f>IF(N12&lt;&gt;"",N12,IF(I12=0,0,ROUND(I12*M12,0)))</f>
        <v/>
      </c>
      <c r="S12" s="42">
        <f>IF(O12&lt;&gt;"",O12,IF(J12=0,0,ROUND(J12*M12,0)))</f>
        <v/>
      </c>
      <c r="T12" s="42">
        <f>IF(P12&lt;&gt;"",P12,IF(K12=0,0,ROUND(K12*M12,0)))</f>
        <v/>
      </c>
      <c r="U12" s="42">
        <f>IF(Q12&lt;&gt;"",Q12,IF(L12=0,0,ROUND(L12*M12,0)))</f>
        <v/>
      </c>
      <c r="V12" s="18" t="inlineStr">
        <is>
          <t>data/guild_rules.yaml; max_level/category: guilds/constants.py; formula: guilds/services/technology.py</t>
        </is>
      </c>
    </row>
    <row r="13" ht="27" customHeight="1">
      <c r="A13" s="17" t="inlineStr">
        <is>
          <t>equipment_forge</t>
        </is>
      </c>
      <c r="B13" s="18" t="inlineStr">
        <is>
          <t>装备锻造</t>
        </is>
      </c>
      <c r="C13" s="18" t="inlineStr">
        <is>
          <t>生产类</t>
        </is>
      </c>
      <c r="D13" s="17" t="n">
        <v>8</v>
      </c>
      <c r="E13" s="24">
        <f>D13+1</f>
        <v/>
      </c>
      <c r="F13" s="17" t="n">
        <v>10</v>
      </c>
      <c r="G13" s="40">
        <f>'参数与公式'!$B$11</f>
        <v/>
      </c>
      <c r="H13" s="18" t="inlineStr">
        <is>
          <t>standard_10</t>
        </is>
      </c>
      <c r="I13" s="38" t="n">
        <v>5000</v>
      </c>
      <c r="J13" s="38" t="n">
        <v>2000</v>
      </c>
      <c r="K13" s="38" t="n">
        <v>1</v>
      </c>
      <c r="L13" s="38" t="n">
        <v>0</v>
      </c>
      <c r="M13" s="38" t="n">
        <v>150</v>
      </c>
      <c r="N13" s="38" t="n"/>
      <c r="O13" s="38" t="n"/>
      <c r="P13" s="38" t="n"/>
      <c r="Q13" s="38" t="n"/>
      <c r="R13" s="42">
        <f>IF(N13&lt;&gt;"",N13,IF(I13=0,0,ROUND(I13*M13,0)))</f>
        <v/>
      </c>
      <c r="S13" s="42">
        <f>IF(O13&lt;&gt;"",O13,IF(J13=0,0,ROUND(J13*M13,0)))</f>
        <v/>
      </c>
      <c r="T13" s="42">
        <f>IF(P13&lt;&gt;"",P13,IF(K13=0,0,ROUND(K13*M13,0)))</f>
        <v/>
      </c>
      <c r="U13" s="42">
        <f>IF(Q13&lt;&gt;"",Q13,IF(L13=0,0,ROUND(L13*M13,0)))</f>
        <v/>
      </c>
      <c r="V13" s="18" t="inlineStr">
        <is>
          <t>data/guild_rules.yaml; max_level/category: guilds/constants.py; formula: guilds/services/technology.py</t>
        </is>
      </c>
    </row>
    <row r="14" ht="27" customHeight="1">
      <c r="A14" s="17" t="inlineStr">
        <is>
          <t>equipment_forge</t>
        </is>
      </c>
      <c r="B14" s="18" t="inlineStr">
        <is>
          <t>装备锻造</t>
        </is>
      </c>
      <c r="C14" s="18" t="inlineStr">
        <is>
          <t>生产类</t>
        </is>
      </c>
      <c r="D14" s="17" t="n">
        <v>9</v>
      </c>
      <c r="E14" s="24">
        <f>D14+1</f>
        <v/>
      </c>
      <c r="F14" s="17" t="n">
        <v>10</v>
      </c>
      <c r="G14" s="40">
        <f>'参数与公式'!$B$11</f>
        <v/>
      </c>
      <c r="H14" s="18" t="inlineStr">
        <is>
          <t>standard_10</t>
        </is>
      </c>
      <c r="I14" s="38" t="n">
        <v>5000</v>
      </c>
      <c r="J14" s="38" t="n">
        <v>2000</v>
      </c>
      <c r="K14" s="38" t="n">
        <v>1</v>
      </c>
      <c r="L14" s="38" t="n">
        <v>0</v>
      </c>
      <c r="M14" s="38" t="n">
        <v>350</v>
      </c>
      <c r="N14" s="38" t="n"/>
      <c r="O14" s="38" t="n"/>
      <c r="P14" s="38" t="n"/>
      <c r="Q14" s="38" t="n"/>
      <c r="R14" s="42">
        <f>IF(N14&lt;&gt;"",N14,IF(I14=0,0,ROUND(I14*M14,0)))</f>
        <v/>
      </c>
      <c r="S14" s="42">
        <f>IF(O14&lt;&gt;"",O14,IF(J14=0,0,ROUND(J14*M14,0)))</f>
        <v/>
      </c>
      <c r="T14" s="42">
        <f>IF(P14&lt;&gt;"",P14,IF(K14=0,0,ROUND(K14*M14,0)))</f>
        <v/>
      </c>
      <c r="U14" s="42">
        <f>IF(Q14&lt;&gt;"",Q14,IF(L14=0,0,ROUND(L14*M14,0)))</f>
        <v/>
      </c>
      <c r="V14" s="18" t="inlineStr">
        <is>
          <t>data/guild_rules.yaml; max_level/category: guilds/constants.py; formula: guilds/services/technology.py</t>
        </is>
      </c>
    </row>
    <row r="15" ht="27" customHeight="1">
      <c r="A15" s="17" t="inlineStr">
        <is>
          <t>guard_armory</t>
        </is>
      </c>
      <c r="B15" s="18" t="inlineStr">
        <is>
          <t>护院军备</t>
        </is>
      </c>
      <c r="C15" s="18" t="inlineStr">
        <is>
          <t>生产类</t>
        </is>
      </c>
      <c r="D15" s="17" t="n">
        <v>0</v>
      </c>
      <c r="E15" s="24">
        <f>D15+1</f>
        <v/>
      </c>
      <c r="F15" s="17" t="n">
        <v>10</v>
      </c>
      <c r="G15" s="40">
        <f>'参数与公式'!$B$11</f>
        <v/>
      </c>
      <c r="H15" s="18" t="inlineStr">
        <is>
          <t>standard_10</t>
        </is>
      </c>
      <c r="I15" s="38" t="n">
        <v>5000</v>
      </c>
      <c r="J15" s="38" t="n">
        <v>2500</v>
      </c>
      <c r="K15" s="38" t="n">
        <v>1</v>
      </c>
      <c r="L15" s="38" t="n">
        <v>0</v>
      </c>
      <c r="M15" s="38" t="n">
        <v>1</v>
      </c>
      <c r="N15" s="38" t="n"/>
      <c r="O15" s="38" t="n"/>
      <c r="P15" s="38" t="n"/>
      <c r="Q15" s="38" t="n"/>
      <c r="R15" s="42">
        <f>IF(N15&lt;&gt;"",N15,IF(I15=0,0,ROUND(I15*M15,0)))</f>
        <v/>
      </c>
      <c r="S15" s="42">
        <f>IF(O15&lt;&gt;"",O15,IF(J15=0,0,ROUND(J15*M15,0)))</f>
        <v/>
      </c>
      <c r="T15" s="42">
        <f>IF(P15&lt;&gt;"",P15,IF(K15=0,0,ROUND(K15*M15,0)))</f>
        <v/>
      </c>
      <c r="U15" s="42">
        <f>IF(Q15&lt;&gt;"",Q15,IF(L15=0,0,ROUND(L15*M15,0)))</f>
        <v/>
      </c>
      <c r="V15" s="18" t="inlineStr">
        <is>
          <t>data/guild_rules.yaml; max_level/category: guilds/constants.py; formula: guilds/services/technology.py</t>
        </is>
      </c>
    </row>
    <row r="16" ht="27" customHeight="1">
      <c r="A16" s="17" t="inlineStr">
        <is>
          <t>guard_armory</t>
        </is>
      </c>
      <c r="B16" s="18" t="inlineStr">
        <is>
          <t>护院军备</t>
        </is>
      </c>
      <c r="C16" s="18" t="inlineStr">
        <is>
          <t>生产类</t>
        </is>
      </c>
      <c r="D16" s="17" t="n">
        <v>1</v>
      </c>
      <c r="E16" s="24">
        <f>D16+1</f>
        <v/>
      </c>
      <c r="F16" s="17" t="n">
        <v>10</v>
      </c>
      <c r="G16" s="40">
        <f>'参数与公式'!$B$11</f>
        <v/>
      </c>
      <c r="H16" s="18" t="inlineStr">
        <is>
          <t>standard_10</t>
        </is>
      </c>
      <c r="I16" s="38" t="n">
        <v>5000</v>
      </c>
      <c r="J16" s="38" t="n">
        <v>2500</v>
      </c>
      <c r="K16" s="38" t="n">
        <v>1</v>
      </c>
      <c r="L16" s="38" t="n">
        <v>0</v>
      </c>
      <c r="M16" s="38" t="n">
        <v>2</v>
      </c>
      <c r="N16" s="38" t="n"/>
      <c r="O16" s="38" t="n"/>
      <c r="P16" s="38" t="n"/>
      <c r="Q16" s="38" t="n"/>
      <c r="R16" s="42">
        <f>IF(N16&lt;&gt;"",N16,IF(I16=0,0,ROUND(I16*M16,0)))</f>
        <v/>
      </c>
      <c r="S16" s="42">
        <f>IF(O16&lt;&gt;"",O16,IF(J16=0,0,ROUND(J16*M16,0)))</f>
        <v/>
      </c>
      <c r="T16" s="42">
        <f>IF(P16&lt;&gt;"",P16,IF(K16=0,0,ROUND(K16*M16,0)))</f>
        <v/>
      </c>
      <c r="U16" s="42">
        <f>IF(Q16&lt;&gt;"",Q16,IF(L16=0,0,ROUND(L16*M16,0)))</f>
        <v/>
      </c>
      <c r="V16" s="18" t="inlineStr">
        <is>
          <t>data/guild_rules.yaml; max_level/category: guilds/constants.py; formula: guilds/services/technology.py</t>
        </is>
      </c>
    </row>
    <row r="17" ht="27" customHeight="1">
      <c r="A17" s="17" t="inlineStr">
        <is>
          <t>guard_armory</t>
        </is>
      </c>
      <c r="B17" s="18" t="inlineStr">
        <is>
          <t>护院军备</t>
        </is>
      </c>
      <c r="C17" s="18" t="inlineStr">
        <is>
          <t>生产类</t>
        </is>
      </c>
      <c r="D17" s="17" t="n">
        <v>2</v>
      </c>
      <c r="E17" s="24">
        <f>D17+1</f>
        <v/>
      </c>
      <c r="F17" s="17" t="n">
        <v>10</v>
      </c>
      <c r="G17" s="40">
        <f>'参数与公式'!$B$11</f>
        <v/>
      </c>
      <c r="H17" s="18" t="inlineStr">
        <is>
          <t>standard_10</t>
        </is>
      </c>
      <c r="I17" s="38" t="n">
        <v>5000</v>
      </c>
      <c r="J17" s="38" t="n">
        <v>2500</v>
      </c>
      <c r="K17" s="38" t="n">
        <v>1</v>
      </c>
      <c r="L17" s="38" t="n">
        <v>0</v>
      </c>
      <c r="M17" s="38" t="n">
        <v>4</v>
      </c>
      <c r="N17" s="38" t="n"/>
      <c r="O17" s="38" t="n"/>
      <c r="P17" s="38" t="n"/>
      <c r="Q17" s="38" t="n"/>
      <c r="R17" s="42">
        <f>IF(N17&lt;&gt;"",N17,IF(I17=0,0,ROUND(I17*M17,0)))</f>
        <v/>
      </c>
      <c r="S17" s="42">
        <f>IF(O17&lt;&gt;"",O17,IF(J17=0,0,ROUND(J17*M17,0)))</f>
        <v/>
      </c>
      <c r="T17" s="42">
        <f>IF(P17&lt;&gt;"",P17,IF(K17=0,0,ROUND(K17*M17,0)))</f>
        <v/>
      </c>
      <c r="U17" s="42">
        <f>IF(Q17&lt;&gt;"",Q17,IF(L17=0,0,ROUND(L17*M17,0)))</f>
        <v/>
      </c>
      <c r="V17" s="18" t="inlineStr">
        <is>
          <t>data/guild_rules.yaml; max_level/category: guilds/constants.py; formula: guilds/services/technology.py</t>
        </is>
      </c>
    </row>
    <row r="18" ht="27" customHeight="1">
      <c r="A18" s="17" t="inlineStr">
        <is>
          <t>guard_armory</t>
        </is>
      </c>
      <c r="B18" s="18" t="inlineStr">
        <is>
          <t>护院军备</t>
        </is>
      </c>
      <c r="C18" s="18" t="inlineStr">
        <is>
          <t>生产类</t>
        </is>
      </c>
      <c r="D18" s="17" t="n">
        <v>3</v>
      </c>
      <c r="E18" s="24">
        <f>D18+1</f>
        <v/>
      </c>
      <c r="F18" s="17" t="n">
        <v>10</v>
      </c>
      <c r="G18" s="40">
        <f>'参数与公式'!$B$11</f>
        <v/>
      </c>
      <c r="H18" s="18" t="inlineStr">
        <is>
          <t>standard_10</t>
        </is>
      </c>
      <c r="I18" s="38" t="n">
        <v>5000</v>
      </c>
      <c r="J18" s="38" t="n">
        <v>2500</v>
      </c>
      <c r="K18" s="38" t="n">
        <v>1</v>
      </c>
      <c r="L18" s="38" t="n">
        <v>0</v>
      </c>
      <c r="M18" s="38" t="n">
        <v>7</v>
      </c>
      <c r="N18" s="38" t="n"/>
      <c r="O18" s="38" t="n"/>
      <c r="P18" s="38" t="n"/>
      <c r="Q18" s="38" t="n"/>
      <c r="R18" s="42">
        <f>IF(N18&lt;&gt;"",N18,IF(I18=0,0,ROUND(I18*M18,0)))</f>
        <v/>
      </c>
      <c r="S18" s="42">
        <f>IF(O18&lt;&gt;"",O18,IF(J18=0,0,ROUND(J18*M18,0)))</f>
        <v/>
      </c>
      <c r="T18" s="42">
        <f>IF(P18&lt;&gt;"",P18,IF(K18=0,0,ROUND(K18*M18,0)))</f>
        <v/>
      </c>
      <c r="U18" s="42">
        <f>IF(Q18&lt;&gt;"",Q18,IF(L18=0,0,ROUND(L18*M18,0)))</f>
        <v/>
      </c>
      <c r="V18" s="18" t="inlineStr">
        <is>
          <t>data/guild_rules.yaml; max_level/category: guilds/constants.py; formula: guilds/services/technology.py</t>
        </is>
      </c>
    </row>
    <row r="19" ht="27" customHeight="1">
      <c r="A19" s="17" t="inlineStr">
        <is>
          <t>guard_armory</t>
        </is>
      </c>
      <c r="B19" s="18" t="inlineStr">
        <is>
          <t>护院军备</t>
        </is>
      </c>
      <c r="C19" s="18" t="inlineStr">
        <is>
          <t>生产类</t>
        </is>
      </c>
      <c r="D19" s="17" t="n">
        <v>4</v>
      </c>
      <c r="E19" s="24">
        <f>D19+1</f>
        <v/>
      </c>
      <c r="F19" s="17" t="n">
        <v>10</v>
      </c>
      <c r="G19" s="40">
        <f>'参数与公式'!$B$11</f>
        <v/>
      </c>
      <c r="H19" s="18" t="inlineStr">
        <is>
          <t>standard_10</t>
        </is>
      </c>
      <c r="I19" s="38" t="n">
        <v>5000</v>
      </c>
      <c r="J19" s="38" t="n">
        <v>2500</v>
      </c>
      <c r="K19" s="38" t="n">
        <v>1</v>
      </c>
      <c r="L19" s="38" t="n">
        <v>0</v>
      </c>
      <c r="M19" s="38" t="n">
        <v>12</v>
      </c>
      <c r="N19" s="38" t="n"/>
      <c r="O19" s="38" t="n"/>
      <c r="P19" s="38" t="n"/>
      <c r="Q19" s="38" t="n"/>
      <c r="R19" s="42">
        <f>IF(N19&lt;&gt;"",N19,IF(I19=0,0,ROUND(I19*M19,0)))</f>
        <v/>
      </c>
      <c r="S19" s="42">
        <f>IF(O19&lt;&gt;"",O19,IF(J19=0,0,ROUND(J19*M19,0)))</f>
        <v/>
      </c>
      <c r="T19" s="42">
        <f>IF(P19&lt;&gt;"",P19,IF(K19=0,0,ROUND(K19*M19,0)))</f>
        <v/>
      </c>
      <c r="U19" s="42">
        <f>IF(Q19&lt;&gt;"",Q19,IF(L19=0,0,ROUND(L19*M19,0)))</f>
        <v/>
      </c>
      <c r="V19" s="18" t="inlineStr">
        <is>
          <t>data/guild_rules.yaml; max_level/category: guilds/constants.py; formula: guilds/services/technology.py</t>
        </is>
      </c>
    </row>
    <row r="20" ht="27" customHeight="1">
      <c r="A20" s="17" t="inlineStr">
        <is>
          <t>guard_armory</t>
        </is>
      </c>
      <c r="B20" s="18" t="inlineStr">
        <is>
          <t>护院军备</t>
        </is>
      </c>
      <c r="C20" s="18" t="inlineStr">
        <is>
          <t>生产类</t>
        </is>
      </c>
      <c r="D20" s="17" t="n">
        <v>5</v>
      </c>
      <c r="E20" s="24">
        <f>D20+1</f>
        <v/>
      </c>
      <c r="F20" s="17" t="n">
        <v>10</v>
      </c>
      <c r="G20" s="40">
        <f>'参数与公式'!$B$11</f>
        <v/>
      </c>
      <c r="H20" s="18" t="inlineStr">
        <is>
          <t>standard_10</t>
        </is>
      </c>
      <c r="I20" s="38" t="n">
        <v>5000</v>
      </c>
      <c r="J20" s="38" t="n">
        <v>2500</v>
      </c>
      <c r="K20" s="38" t="n">
        <v>1</v>
      </c>
      <c r="L20" s="38" t="n">
        <v>0</v>
      </c>
      <c r="M20" s="38" t="n">
        <v>20</v>
      </c>
      <c r="N20" s="38" t="n"/>
      <c r="O20" s="38" t="n"/>
      <c r="P20" s="38" t="n"/>
      <c r="Q20" s="38" t="n"/>
      <c r="R20" s="42">
        <f>IF(N20&lt;&gt;"",N20,IF(I20=0,0,ROUND(I20*M20,0)))</f>
        <v/>
      </c>
      <c r="S20" s="42">
        <f>IF(O20&lt;&gt;"",O20,IF(J20=0,0,ROUND(J20*M20,0)))</f>
        <v/>
      </c>
      <c r="T20" s="42">
        <f>IF(P20&lt;&gt;"",P20,IF(K20=0,0,ROUND(K20*M20,0)))</f>
        <v/>
      </c>
      <c r="U20" s="42">
        <f>IF(Q20&lt;&gt;"",Q20,IF(L20=0,0,ROUND(L20*M20,0)))</f>
        <v/>
      </c>
      <c r="V20" s="18" t="inlineStr">
        <is>
          <t>data/guild_rules.yaml; max_level/category: guilds/constants.py; formula: guilds/services/technology.py</t>
        </is>
      </c>
    </row>
    <row r="21" ht="27" customHeight="1">
      <c r="A21" s="17" t="inlineStr">
        <is>
          <t>guard_armory</t>
        </is>
      </c>
      <c r="B21" s="18" t="inlineStr">
        <is>
          <t>护院军备</t>
        </is>
      </c>
      <c r="C21" s="18" t="inlineStr">
        <is>
          <t>生产类</t>
        </is>
      </c>
      <c r="D21" s="17" t="n">
        <v>6</v>
      </c>
      <c r="E21" s="24">
        <f>D21+1</f>
        <v/>
      </c>
      <c r="F21" s="17" t="n">
        <v>10</v>
      </c>
      <c r="G21" s="40">
        <f>'参数与公式'!$B$11</f>
        <v/>
      </c>
      <c r="H21" s="18" t="inlineStr">
        <is>
          <t>standard_10</t>
        </is>
      </c>
      <c r="I21" s="38" t="n">
        <v>5000</v>
      </c>
      <c r="J21" s="38" t="n">
        <v>2500</v>
      </c>
      <c r="K21" s="38" t="n">
        <v>1</v>
      </c>
      <c r="L21" s="38" t="n">
        <v>0</v>
      </c>
      <c r="M21" s="38" t="n">
        <v>35</v>
      </c>
      <c r="N21" s="38" t="n"/>
      <c r="O21" s="38" t="n"/>
      <c r="P21" s="38" t="n"/>
      <c r="Q21" s="38" t="n"/>
      <c r="R21" s="42">
        <f>IF(N21&lt;&gt;"",N21,IF(I21=0,0,ROUND(I21*M21,0)))</f>
        <v/>
      </c>
      <c r="S21" s="42">
        <f>IF(O21&lt;&gt;"",O21,IF(J21=0,0,ROUND(J21*M21,0)))</f>
        <v/>
      </c>
      <c r="T21" s="42">
        <f>IF(P21&lt;&gt;"",P21,IF(K21=0,0,ROUND(K21*M21,0)))</f>
        <v/>
      </c>
      <c r="U21" s="42">
        <f>IF(Q21&lt;&gt;"",Q21,IF(L21=0,0,ROUND(L21*M21,0)))</f>
        <v/>
      </c>
      <c r="V21" s="18" t="inlineStr">
        <is>
          <t>data/guild_rules.yaml; max_level/category: guilds/constants.py; formula: guilds/services/technology.py</t>
        </is>
      </c>
    </row>
    <row r="22" ht="27" customHeight="1">
      <c r="A22" s="17" t="inlineStr">
        <is>
          <t>guard_armory</t>
        </is>
      </c>
      <c r="B22" s="18" t="inlineStr">
        <is>
          <t>护院军备</t>
        </is>
      </c>
      <c r="C22" s="18" t="inlineStr">
        <is>
          <t>生产类</t>
        </is>
      </c>
      <c r="D22" s="17" t="n">
        <v>7</v>
      </c>
      <c r="E22" s="24">
        <f>D22+1</f>
        <v/>
      </c>
      <c r="F22" s="17" t="n">
        <v>10</v>
      </c>
      <c r="G22" s="40">
        <f>'参数与公式'!$B$11</f>
        <v/>
      </c>
      <c r="H22" s="18" t="inlineStr">
        <is>
          <t>standard_10</t>
        </is>
      </c>
      <c r="I22" s="38" t="n">
        <v>5000</v>
      </c>
      <c r="J22" s="38" t="n">
        <v>2500</v>
      </c>
      <c r="K22" s="38" t="n">
        <v>1</v>
      </c>
      <c r="L22" s="38" t="n">
        <v>0</v>
      </c>
      <c r="M22" s="38" t="n">
        <v>70</v>
      </c>
      <c r="N22" s="38" t="n"/>
      <c r="O22" s="38" t="n"/>
      <c r="P22" s="38" t="n"/>
      <c r="Q22" s="38" t="n"/>
      <c r="R22" s="42">
        <f>IF(N22&lt;&gt;"",N22,IF(I22=0,0,ROUND(I22*M22,0)))</f>
        <v/>
      </c>
      <c r="S22" s="42">
        <f>IF(O22&lt;&gt;"",O22,IF(J22=0,0,ROUND(J22*M22,0)))</f>
        <v/>
      </c>
      <c r="T22" s="42">
        <f>IF(P22&lt;&gt;"",P22,IF(K22=0,0,ROUND(K22*M22,0)))</f>
        <v/>
      </c>
      <c r="U22" s="42">
        <f>IF(Q22&lt;&gt;"",Q22,IF(L22=0,0,ROUND(L22*M22,0)))</f>
        <v/>
      </c>
      <c r="V22" s="18" t="inlineStr">
        <is>
          <t>data/guild_rules.yaml; max_level/category: guilds/constants.py; formula: guilds/services/technology.py</t>
        </is>
      </c>
    </row>
    <row r="23" ht="27" customHeight="1">
      <c r="A23" s="17" t="inlineStr">
        <is>
          <t>guard_armory</t>
        </is>
      </c>
      <c r="B23" s="18" t="inlineStr">
        <is>
          <t>护院军备</t>
        </is>
      </c>
      <c r="C23" s="18" t="inlineStr">
        <is>
          <t>生产类</t>
        </is>
      </c>
      <c r="D23" s="17" t="n">
        <v>8</v>
      </c>
      <c r="E23" s="24">
        <f>D23+1</f>
        <v/>
      </c>
      <c r="F23" s="17" t="n">
        <v>10</v>
      </c>
      <c r="G23" s="40">
        <f>'参数与公式'!$B$11</f>
        <v/>
      </c>
      <c r="H23" s="18" t="inlineStr">
        <is>
          <t>standard_10</t>
        </is>
      </c>
      <c r="I23" s="38" t="n">
        <v>5000</v>
      </c>
      <c r="J23" s="38" t="n">
        <v>2500</v>
      </c>
      <c r="K23" s="38" t="n">
        <v>1</v>
      </c>
      <c r="L23" s="38" t="n">
        <v>0</v>
      </c>
      <c r="M23" s="38" t="n">
        <v>150</v>
      </c>
      <c r="N23" s="38" t="n"/>
      <c r="O23" s="38" t="n"/>
      <c r="P23" s="38" t="n"/>
      <c r="Q23" s="38" t="n"/>
      <c r="R23" s="42">
        <f>IF(N23&lt;&gt;"",N23,IF(I23=0,0,ROUND(I23*M23,0)))</f>
        <v/>
      </c>
      <c r="S23" s="42">
        <f>IF(O23&lt;&gt;"",O23,IF(J23=0,0,ROUND(J23*M23,0)))</f>
        <v/>
      </c>
      <c r="T23" s="42">
        <f>IF(P23&lt;&gt;"",P23,IF(K23=0,0,ROUND(K23*M23,0)))</f>
        <v/>
      </c>
      <c r="U23" s="42">
        <f>IF(Q23&lt;&gt;"",Q23,IF(L23=0,0,ROUND(L23*M23,0)))</f>
        <v/>
      </c>
      <c r="V23" s="18" t="inlineStr">
        <is>
          <t>data/guild_rules.yaml; max_level/category: guilds/constants.py; formula: guilds/services/technology.py</t>
        </is>
      </c>
    </row>
    <row r="24" ht="27" customHeight="1">
      <c r="A24" s="17" t="inlineStr">
        <is>
          <t>guard_armory</t>
        </is>
      </c>
      <c r="B24" s="18" t="inlineStr">
        <is>
          <t>护院军备</t>
        </is>
      </c>
      <c r="C24" s="18" t="inlineStr">
        <is>
          <t>生产类</t>
        </is>
      </c>
      <c r="D24" s="17" t="n">
        <v>9</v>
      </c>
      <c r="E24" s="24">
        <f>D24+1</f>
        <v/>
      </c>
      <c r="F24" s="17" t="n">
        <v>10</v>
      </c>
      <c r="G24" s="40">
        <f>'参数与公式'!$B$11</f>
        <v/>
      </c>
      <c r="H24" s="18" t="inlineStr">
        <is>
          <t>standard_10</t>
        </is>
      </c>
      <c r="I24" s="38" t="n">
        <v>5000</v>
      </c>
      <c r="J24" s="38" t="n">
        <v>2500</v>
      </c>
      <c r="K24" s="38" t="n">
        <v>1</v>
      </c>
      <c r="L24" s="38" t="n">
        <v>0</v>
      </c>
      <c r="M24" s="38" t="n">
        <v>350</v>
      </c>
      <c r="N24" s="38" t="n"/>
      <c r="O24" s="38" t="n"/>
      <c r="P24" s="38" t="n"/>
      <c r="Q24" s="38" t="n"/>
      <c r="R24" s="42">
        <f>IF(N24&lt;&gt;"",N24,IF(I24=0,0,ROUND(I24*M24,0)))</f>
        <v/>
      </c>
      <c r="S24" s="42">
        <f>IF(O24&lt;&gt;"",O24,IF(J24=0,0,ROUND(J24*M24,0)))</f>
        <v/>
      </c>
      <c r="T24" s="42">
        <f>IF(P24&lt;&gt;"",P24,IF(K24=0,0,ROUND(K24*M24,0)))</f>
        <v/>
      </c>
      <c r="U24" s="42">
        <f>IF(Q24&lt;&gt;"",Q24,IF(L24=0,0,ROUND(L24*M24,0)))</f>
        <v/>
      </c>
      <c r="V24" s="18" t="inlineStr">
        <is>
          <t>data/guild_rules.yaml; max_level/category: guilds/constants.py; formula: guilds/services/technology.py</t>
        </is>
      </c>
    </row>
    <row r="25" ht="27" customHeight="1">
      <c r="A25" s="17" t="inlineStr">
        <is>
          <t>experience_refine</t>
        </is>
      </c>
      <c r="B25" s="18" t="inlineStr">
        <is>
          <t>武学研习</t>
        </is>
      </c>
      <c r="C25" s="18" t="inlineStr">
        <is>
          <t>生产类</t>
        </is>
      </c>
      <c r="D25" s="17" t="n">
        <v>0</v>
      </c>
      <c r="E25" s="24">
        <f>D25+1</f>
        <v/>
      </c>
      <c r="F25" s="17" t="n">
        <v>10</v>
      </c>
      <c r="G25" s="40">
        <f>'参数与公式'!$B$11</f>
        <v/>
      </c>
      <c r="H25" s="18" t="inlineStr">
        <is>
          <t>standard_10</t>
        </is>
      </c>
      <c r="I25" s="38" t="n">
        <v>5000</v>
      </c>
      <c r="J25" s="38" t="n">
        <v>2000</v>
      </c>
      <c r="K25" s="38" t="n">
        <v>1</v>
      </c>
      <c r="L25" s="38" t="n">
        <v>0</v>
      </c>
      <c r="M25" s="38" t="n">
        <v>1</v>
      </c>
      <c r="N25" s="38" t="n"/>
      <c r="O25" s="38" t="n"/>
      <c r="P25" s="38" t="n"/>
      <c r="Q25" s="38" t="n"/>
      <c r="R25" s="42">
        <f>IF(N25&lt;&gt;"",N25,IF(I25=0,0,ROUND(I25*M25,0)))</f>
        <v/>
      </c>
      <c r="S25" s="42">
        <f>IF(O25&lt;&gt;"",O25,IF(J25=0,0,ROUND(J25*M25,0)))</f>
        <v/>
      </c>
      <c r="T25" s="42">
        <f>IF(P25&lt;&gt;"",P25,IF(K25=0,0,ROUND(K25*M25,0)))</f>
        <v/>
      </c>
      <c r="U25" s="42">
        <f>IF(Q25&lt;&gt;"",Q25,IF(L25=0,0,ROUND(L25*M25,0)))</f>
        <v/>
      </c>
      <c r="V25" s="18" t="inlineStr">
        <is>
          <t>data/guild_rules.yaml; max_level/category: guilds/constants.py; formula: guilds/services/technology.py</t>
        </is>
      </c>
    </row>
    <row r="26" ht="27" customHeight="1">
      <c r="A26" s="17" t="inlineStr">
        <is>
          <t>experience_refine</t>
        </is>
      </c>
      <c r="B26" s="18" t="inlineStr">
        <is>
          <t>武学研习</t>
        </is>
      </c>
      <c r="C26" s="18" t="inlineStr">
        <is>
          <t>生产类</t>
        </is>
      </c>
      <c r="D26" s="17" t="n">
        <v>1</v>
      </c>
      <c r="E26" s="24">
        <f>D26+1</f>
        <v/>
      </c>
      <c r="F26" s="17" t="n">
        <v>10</v>
      </c>
      <c r="G26" s="40">
        <f>'参数与公式'!$B$11</f>
        <v/>
      </c>
      <c r="H26" s="18" t="inlineStr">
        <is>
          <t>standard_10</t>
        </is>
      </c>
      <c r="I26" s="38" t="n">
        <v>5000</v>
      </c>
      <c r="J26" s="38" t="n">
        <v>2000</v>
      </c>
      <c r="K26" s="38" t="n">
        <v>1</v>
      </c>
      <c r="L26" s="38" t="n">
        <v>0</v>
      </c>
      <c r="M26" s="38" t="n">
        <v>2</v>
      </c>
      <c r="N26" s="38" t="n"/>
      <c r="O26" s="38" t="n"/>
      <c r="P26" s="38" t="n"/>
      <c r="Q26" s="38" t="n"/>
      <c r="R26" s="42">
        <f>IF(N26&lt;&gt;"",N26,IF(I26=0,0,ROUND(I26*M26,0)))</f>
        <v/>
      </c>
      <c r="S26" s="42">
        <f>IF(O26&lt;&gt;"",O26,IF(J26=0,0,ROUND(J26*M26,0)))</f>
        <v/>
      </c>
      <c r="T26" s="42">
        <f>IF(P26&lt;&gt;"",P26,IF(K26=0,0,ROUND(K26*M26,0)))</f>
        <v/>
      </c>
      <c r="U26" s="42">
        <f>IF(Q26&lt;&gt;"",Q26,IF(L26=0,0,ROUND(L26*M26,0)))</f>
        <v/>
      </c>
      <c r="V26" s="18" t="inlineStr">
        <is>
          <t>data/guild_rules.yaml; max_level/category: guilds/constants.py; formula: guilds/services/technology.py</t>
        </is>
      </c>
    </row>
    <row r="27" ht="27" customHeight="1">
      <c r="A27" s="17" t="inlineStr">
        <is>
          <t>experience_refine</t>
        </is>
      </c>
      <c r="B27" s="18" t="inlineStr">
        <is>
          <t>武学研习</t>
        </is>
      </c>
      <c r="C27" s="18" t="inlineStr">
        <is>
          <t>生产类</t>
        </is>
      </c>
      <c r="D27" s="17" t="n">
        <v>2</v>
      </c>
      <c r="E27" s="24">
        <f>D27+1</f>
        <v/>
      </c>
      <c r="F27" s="17" t="n">
        <v>10</v>
      </c>
      <c r="G27" s="40">
        <f>'参数与公式'!$B$11</f>
        <v/>
      </c>
      <c r="H27" s="18" t="inlineStr">
        <is>
          <t>standard_10</t>
        </is>
      </c>
      <c r="I27" s="38" t="n">
        <v>5000</v>
      </c>
      <c r="J27" s="38" t="n">
        <v>2000</v>
      </c>
      <c r="K27" s="38" t="n">
        <v>1</v>
      </c>
      <c r="L27" s="38" t="n">
        <v>0</v>
      </c>
      <c r="M27" s="38" t="n">
        <v>4</v>
      </c>
      <c r="N27" s="38" t="n"/>
      <c r="O27" s="38" t="n"/>
      <c r="P27" s="38" t="n"/>
      <c r="Q27" s="38" t="n"/>
      <c r="R27" s="42">
        <f>IF(N27&lt;&gt;"",N27,IF(I27=0,0,ROUND(I27*M27,0)))</f>
        <v/>
      </c>
      <c r="S27" s="42">
        <f>IF(O27&lt;&gt;"",O27,IF(J27=0,0,ROUND(J27*M27,0)))</f>
        <v/>
      </c>
      <c r="T27" s="42">
        <f>IF(P27&lt;&gt;"",P27,IF(K27=0,0,ROUND(K27*M27,0)))</f>
        <v/>
      </c>
      <c r="U27" s="42">
        <f>IF(Q27&lt;&gt;"",Q27,IF(L27=0,0,ROUND(L27*M27,0)))</f>
        <v/>
      </c>
      <c r="V27" s="18" t="inlineStr">
        <is>
          <t>data/guild_rules.yaml; max_level/category: guilds/constants.py; formula: guilds/services/technology.py</t>
        </is>
      </c>
    </row>
    <row r="28" ht="27" customHeight="1">
      <c r="A28" s="17" t="inlineStr">
        <is>
          <t>experience_refine</t>
        </is>
      </c>
      <c r="B28" s="18" t="inlineStr">
        <is>
          <t>武学研习</t>
        </is>
      </c>
      <c r="C28" s="18" t="inlineStr">
        <is>
          <t>生产类</t>
        </is>
      </c>
      <c r="D28" s="17" t="n">
        <v>3</v>
      </c>
      <c r="E28" s="24">
        <f>D28+1</f>
        <v/>
      </c>
      <c r="F28" s="17" t="n">
        <v>10</v>
      </c>
      <c r="G28" s="40">
        <f>'参数与公式'!$B$11</f>
        <v/>
      </c>
      <c r="H28" s="18" t="inlineStr">
        <is>
          <t>standard_10</t>
        </is>
      </c>
      <c r="I28" s="38" t="n">
        <v>5000</v>
      </c>
      <c r="J28" s="38" t="n">
        <v>2000</v>
      </c>
      <c r="K28" s="38" t="n">
        <v>1</v>
      </c>
      <c r="L28" s="38" t="n">
        <v>0</v>
      </c>
      <c r="M28" s="38" t="n">
        <v>7</v>
      </c>
      <c r="N28" s="38" t="n"/>
      <c r="O28" s="38" t="n"/>
      <c r="P28" s="38" t="n"/>
      <c r="Q28" s="38" t="n"/>
      <c r="R28" s="42">
        <f>IF(N28&lt;&gt;"",N28,IF(I28=0,0,ROUND(I28*M28,0)))</f>
        <v/>
      </c>
      <c r="S28" s="42">
        <f>IF(O28&lt;&gt;"",O28,IF(J28=0,0,ROUND(J28*M28,0)))</f>
        <v/>
      </c>
      <c r="T28" s="42">
        <f>IF(P28&lt;&gt;"",P28,IF(K28=0,0,ROUND(K28*M28,0)))</f>
        <v/>
      </c>
      <c r="U28" s="42">
        <f>IF(Q28&lt;&gt;"",Q28,IF(L28=0,0,ROUND(L28*M28,0)))</f>
        <v/>
      </c>
      <c r="V28" s="18" t="inlineStr">
        <is>
          <t>data/guild_rules.yaml; max_level/category: guilds/constants.py; formula: guilds/services/technology.py</t>
        </is>
      </c>
    </row>
    <row r="29" ht="27" customHeight="1">
      <c r="A29" s="17" t="inlineStr">
        <is>
          <t>experience_refine</t>
        </is>
      </c>
      <c r="B29" s="18" t="inlineStr">
        <is>
          <t>武学研习</t>
        </is>
      </c>
      <c r="C29" s="18" t="inlineStr">
        <is>
          <t>生产类</t>
        </is>
      </c>
      <c r="D29" s="17" t="n">
        <v>4</v>
      </c>
      <c r="E29" s="24">
        <f>D29+1</f>
        <v/>
      </c>
      <c r="F29" s="17" t="n">
        <v>10</v>
      </c>
      <c r="G29" s="40">
        <f>'参数与公式'!$B$11</f>
        <v/>
      </c>
      <c r="H29" s="18" t="inlineStr">
        <is>
          <t>standard_10</t>
        </is>
      </c>
      <c r="I29" s="38" t="n">
        <v>5000</v>
      </c>
      <c r="J29" s="38" t="n">
        <v>2000</v>
      </c>
      <c r="K29" s="38" t="n">
        <v>1</v>
      </c>
      <c r="L29" s="38" t="n">
        <v>0</v>
      </c>
      <c r="M29" s="38" t="n">
        <v>12</v>
      </c>
      <c r="N29" s="38" t="n"/>
      <c r="O29" s="38" t="n"/>
      <c r="P29" s="38" t="n"/>
      <c r="Q29" s="38" t="n"/>
      <c r="R29" s="42">
        <f>IF(N29&lt;&gt;"",N29,IF(I29=0,0,ROUND(I29*M29,0)))</f>
        <v/>
      </c>
      <c r="S29" s="42">
        <f>IF(O29&lt;&gt;"",O29,IF(J29=0,0,ROUND(J29*M29,0)))</f>
        <v/>
      </c>
      <c r="T29" s="42">
        <f>IF(P29&lt;&gt;"",P29,IF(K29=0,0,ROUND(K29*M29,0)))</f>
        <v/>
      </c>
      <c r="U29" s="42">
        <f>IF(Q29&lt;&gt;"",Q29,IF(L29=0,0,ROUND(L29*M29,0)))</f>
        <v/>
      </c>
      <c r="V29" s="18" t="inlineStr">
        <is>
          <t>data/guild_rules.yaml; max_level/category: guilds/constants.py; formula: guilds/services/technology.py</t>
        </is>
      </c>
    </row>
    <row r="30" ht="27" customHeight="1">
      <c r="A30" s="17" t="inlineStr">
        <is>
          <t>experience_refine</t>
        </is>
      </c>
      <c r="B30" s="18" t="inlineStr">
        <is>
          <t>武学研习</t>
        </is>
      </c>
      <c r="C30" s="18" t="inlineStr">
        <is>
          <t>生产类</t>
        </is>
      </c>
      <c r="D30" s="17" t="n">
        <v>5</v>
      </c>
      <c r="E30" s="24">
        <f>D30+1</f>
        <v/>
      </c>
      <c r="F30" s="17" t="n">
        <v>10</v>
      </c>
      <c r="G30" s="40">
        <f>'参数与公式'!$B$11</f>
        <v/>
      </c>
      <c r="H30" s="18" t="inlineStr">
        <is>
          <t>standard_10</t>
        </is>
      </c>
      <c r="I30" s="38" t="n">
        <v>5000</v>
      </c>
      <c r="J30" s="38" t="n">
        <v>2000</v>
      </c>
      <c r="K30" s="38" t="n">
        <v>1</v>
      </c>
      <c r="L30" s="38" t="n">
        <v>0</v>
      </c>
      <c r="M30" s="38" t="n">
        <v>20</v>
      </c>
      <c r="N30" s="38" t="n"/>
      <c r="O30" s="38" t="n"/>
      <c r="P30" s="38" t="n"/>
      <c r="Q30" s="38" t="n"/>
      <c r="R30" s="42">
        <f>IF(N30&lt;&gt;"",N30,IF(I30=0,0,ROUND(I30*M30,0)))</f>
        <v/>
      </c>
      <c r="S30" s="42">
        <f>IF(O30&lt;&gt;"",O30,IF(J30=0,0,ROUND(J30*M30,0)))</f>
        <v/>
      </c>
      <c r="T30" s="42">
        <f>IF(P30&lt;&gt;"",P30,IF(K30=0,0,ROUND(K30*M30,0)))</f>
        <v/>
      </c>
      <c r="U30" s="42">
        <f>IF(Q30&lt;&gt;"",Q30,IF(L30=0,0,ROUND(L30*M30,0)))</f>
        <v/>
      </c>
      <c r="V30" s="18" t="inlineStr">
        <is>
          <t>data/guild_rules.yaml; max_level/category: guilds/constants.py; formula: guilds/services/technology.py</t>
        </is>
      </c>
    </row>
    <row r="31" ht="27" customHeight="1">
      <c r="A31" s="17" t="inlineStr">
        <is>
          <t>experience_refine</t>
        </is>
      </c>
      <c r="B31" s="18" t="inlineStr">
        <is>
          <t>武学研习</t>
        </is>
      </c>
      <c r="C31" s="18" t="inlineStr">
        <is>
          <t>生产类</t>
        </is>
      </c>
      <c r="D31" s="17" t="n">
        <v>6</v>
      </c>
      <c r="E31" s="24">
        <f>D31+1</f>
        <v/>
      </c>
      <c r="F31" s="17" t="n">
        <v>10</v>
      </c>
      <c r="G31" s="40">
        <f>'参数与公式'!$B$11</f>
        <v/>
      </c>
      <c r="H31" s="18" t="inlineStr">
        <is>
          <t>standard_10</t>
        </is>
      </c>
      <c r="I31" s="38" t="n">
        <v>5000</v>
      </c>
      <c r="J31" s="38" t="n">
        <v>2000</v>
      </c>
      <c r="K31" s="38" t="n">
        <v>1</v>
      </c>
      <c r="L31" s="38" t="n">
        <v>0</v>
      </c>
      <c r="M31" s="38" t="n">
        <v>35</v>
      </c>
      <c r="N31" s="38" t="n"/>
      <c r="O31" s="38" t="n"/>
      <c r="P31" s="38" t="n"/>
      <c r="Q31" s="38" t="n"/>
      <c r="R31" s="42">
        <f>IF(N31&lt;&gt;"",N31,IF(I31=0,0,ROUND(I31*M31,0)))</f>
        <v/>
      </c>
      <c r="S31" s="42">
        <f>IF(O31&lt;&gt;"",O31,IF(J31=0,0,ROUND(J31*M31,0)))</f>
        <v/>
      </c>
      <c r="T31" s="42">
        <f>IF(P31&lt;&gt;"",P31,IF(K31=0,0,ROUND(K31*M31,0)))</f>
        <v/>
      </c>
      <c r="U31" s="42">
        <f>IF(Q31&lt;&gt;"",Q31,IF(L31=0,0,ROUND(L31*M31,0)))</f>
        <v/>
      </c>
      <c r="V31" s="18" t="inlineStr">
        <is>
          <t>data/guild_rules.yaml; max_level/category: guilds/constants.py; formula: guilds/services/technology.py</t>
        </is>
      </c>
    </row>
    <row r="32" ht="27" customHeight="1">
      <c r="A32" s="17" t="inlineStr">
        <is>
          <t>experience_refine</t>
        </is>
      </c>
      <c r="B32" s="18" t="inlineStr">
        <is>
          <t>武学研习</t>
        </is>
      </c>
      <c r="C32" s="18" t="inlineStr">
        <is>
          <t>生产类</t>
        </is>
      </c>
      <c r="D32" s="17" t="n">
        <v>7</v>
      </c>
      <c r="E32" s="24">
        <f>D32+1</f>
        <v/>
      </c>
      <c r="F32" s="17" t="n">
        <v>10</v>
      </c>
      <c r="G32" s="40">
        <f>'参数与公式'!$B$11</f>
        <v/>
      </c>
      <c r="H32" s="18" t="inlineStr">
        <is>
          <t>standard_10</t>
        </is>
      </c>
      <c r="I32" s="38" t="n">
        <v>5000</v>
      </c>
      <c r="J32" s="38" t="n">
        <v>2000</v>
      </c>
      <c r="K32" s="38" t="n">
        <v>1</v>
      </c>
      <c r="L32" s="38" t="n">
        <v>0</v>
      </c>
      <c r="M32" s="38" t="n">
        <v>70</v>
      </c>
      <c r="N32" s="38" t="n"/>
      <c r="O32" s="38" t="n"/>
      <c r="P32" s="38" t="n"/>
      <c r="Q32" s="38" t="n"/>
      <c r="R32" s="42">
        <f>IF(N32&lt;&gt;"",N32,IF(I32=0,0,ROUND(I32*M32,0)))</f>
        <v/>
      </c>
      <c r="S32" s="42">
        <f>IF(O32&lt;&gt;"",O32,IF(J32=0,0,ROUND(J32*M32,0)))</f>
        <v/>
      </c>
      <c r="T32" s="42">
        <f>IF(P32&lt;&gt;"",P32,IF(K32=0,0,ROUND(K32*M32,0)))</f>
        <v/>
      </c>
      <c r="U32" s="42">
        <f>IF(Q32&lt;&gt;"",Q32,IF(L32=0,0,ROUND(L32*M32,0)))</f>
        <v/>
      </c>
      <c r="V32" s="18" t="inlineStr">
        <is>
          <t>data/guild_rules.yaml; max_level/category: guilds/constants.py; formula: guilds/services/technology.py</t>
        </is>
      </c>
    </row>
    <row r="33" ht="27" customHeight="1">
      <c r="A33" s="17" t="inlineStr">
        <is>
          <t>experience_refine</t>
        </is>
      </c>
      <c r="B33" s="18" t="inlineStr">
        <is>
          <t>武学研习</t>
        </is>
      </c>
      <c r="C33" s="18" t="inlineStr">
        <is>
          <t>生产类</t>
        </is>
      </c>
      <c r="D33" s="17" t="n">
        <v>8</v>
      </c>
      <c r="E33" s="24">
        <f>D33+1</f>
        <v/>
      </c>
      <c r="F33" s="17" t="n">
        <v>10</v>
      </c>
      <c r="G33" s="40">
        <f>'参数与公式'!$B$11</f>
        <v/>
      </c>
      <c r="H33" s="18" t="inlineStr">
        <is>
          <t>standard_10</t>
        </is>
      </c>
      <c r="I33" s="38" t="n">
        <v>5000</v>
      </c>
      <c r="J33" s="38" t="n">
        <v>2000</v>
      </c>
      <c r="K33" s="38" t="n">
        <v>1</v>
      </c>
      <c r="L33" s="38" t="n">
        <v>0</v>
      </c>
      <c r="M33" s="38" t="n">
        <v>150</v>
      </c>
      <c r="N33" s="38" t="n"/>
      <c r="O33" s="38" t="n"/>
      <c r="P33" s="38" t="n"/>
      <c r="Q33" s="38" t="n"/>
      <c r="R33" s="42">
        <f>IF(N33&lt;&gt;"",N33,IF(I33=0,0,ROUND(I33*M33,0)))</f>
        <v/>
      </c>
      <c r="S33" s="42">
        <f>IF(O33&lt;&gt;"",O33,IF(J33=0,0,ROUND(J33*M33,0)))</f>
        <v/>
      </c>
      <c r="T33" s="42">
        <f>IF(P33&lt;&gt;"",P33,IF(K33=0,0,ROUND(K33*M33,0)))</f>
        <v/>
      </c>
      <c r="U33" s="42">
        <f>IF(Q33&lt;&gt;"",Q33,IF(L33=0,0,ROUND(L33*M33,0)))</f>
        <v/>
      </c>
      <c r="V33" s="18" t="inlineStr">
        <is>
          <t>data/guild_rules.yaml; max_level/category: guilds/constants.py; formula: guilds/services/technology.py</t>
        </is>
      </c>
    </row>
    <row r="34" ht="27" customHeight="1">
      <c r="A34" s="17" t="inlineStr">
        <is>
          <t>experience_refine</t>
        </is>
      </c>
      <c r="B34" s="18" t="inlineStr">
        <is>
          <t>武学研习</t>
        </is>
      </c>
      <c r="C34" s="18" t="inlineStr">
        <is>
          <t>生产类</t>
        </is>
      </c>
      <c r="D34" s="17" t="n">
        <v>9</v>
      </c>
      <c r="E34" s="24">
        <f>D34+1</f>
        <v/>
      </c>
      <c r="F34" s="17" t="n">
        <v>10</v>
      </c>
      <c r="G34" s="40">
        <f>'参数与公式'!$B$11</f>
        <v/>
      </c>
      <c r="H34" s="18" t="inlineStr">
        <is>
          <t>standard_10</t>
        </is>
      </c>
      <c r="I34" s="38" t="n">
        <v>5000</v>
      </c>
      <c r="J34" s="38" t="n">
        <v>2000</v>
      </c>
      <c r="K34" s="38" t="n">
        <v>1</v>
      </c>
      <c r="L34" s="38" t="n">
        <v>0</v>
      </c>
      <c r="M34" s="38" t="n">
        <v>350</v>
      </c>
      <c r="N34" s="38" t="n"/>
      <c r="O34" s="38" t="n"/>
      <c r="P34" s="38" t="n"/>
      <c r="Q34" s="38" t="n"/>
      <c r="R34" s="42">
        <f>IF(N34&lt;&gt;"",N34,IF(I34=0,0,ROUND(I34*M34,0)))</f>
        <v/>
      </c>
      <c r="S34" s="42">
        <f>IF(O34&lt;&gt;"",O34,IF(J34=0,0,ROUND(J34*M34,0)))</f>
        <v/>
      </c>
      <c r="T34" s="42">
        <f>IF(P34&lt;&gt;"",P34,IF(K34=0,0,ROUND(K34*M34,0)))</f>
        <v/>
      </c>
      <c r="U34" s="42">
        <f>IF(Q34&lt;&gt;"",Q34,IF(L34=0,0,ROUND(L34*M34,0)))</f>
        <v/>
      </c>
      <c r="V34" s="18" t="inlineStr">
        <is>
          <t>data/guild_rules.yaml; max_level/category: guilds/constants.py; formula: guilds/services/technology.py</t>
        </is>
      </c>
    </row>
    <row r="35" ht="27" customHeight="1">
      <c r="A35" s="17" t="inlineStr">
        <is>
          <t>resource_supply</t>
        </is>
      </c>
      <c r="B35" s="18" t="inlineStr">
        <is>
          <t>资源补给</t>
        </is>
      </c>
      <c r="C35" s="18" t="inlineStr">
        <is>
          <t>生产类</t>
        </is>
      </c>
      <c r="D35" s="17" t="n">
        <v>0</v>
      </c>
      <c r="E35" s="24">
        <f>D35+1</f>
        <v/>
      </c>
      <c r="F35" s="17" t="n">
        <v>10</v>
      </c>
      <c r="G35" s="40">
        <f>'参数与公式'!$B$11</f>
        <v/>
      </c>
      <c r="H35" s="18" t="inlineStr">
        <is>
          <t>standard_10</t>
        </is>
      </c>
      <c r="I35" s="38" t="n">
        <v>4000</v>
      </c>
      <c r="J35" s="38" t="n">
        <v>3000</v>
      </c>
      <c r="K35" s="38" t="n">
        <v>1</v>
      </c>
      <c r="L35" s="38" t="n">
        <v>0</v>
      </c>
      <c r="M35" s="38" t="n">
        <v>1</v>
      </c>
      <c r="N35" s="38" t="n"/>
      <c r="O35" s="38" t="n"/>
      <c r="P35" s="38" t="n"/>
      <c r="Q35" s="38" t="n"/>
      <c r="R35" s="42">
        <f>IF(N35&lt;&gt;"",N35,IF(I35=0,0,ROUND(I35*M35,0)))</f>
        <v/>
      </c>
      <c r="S35" s="42">
        <f>IF(O35&lt;&gt;"",O35,IF(J35=0,0,ROUND(J35*M35,0)))</f>
        <v/>
      </c>
      <c r="T35" s="42">
        <f>IF(P35&lt;&gt;"",P35,IF(K35=0,0,ROUND(K35*M35,0)))</f>
        <v/>
      </c>
      <c r="U35" s="42">
        <f>IF(Q35&lt;&gt;"",Q35,IF(L35=0,0,ROUND(L35*M35,0)))</f>
        <v/>
      </c>
      <c r="V35" s="18" t="inlineStr">
        <is>
          <t>data/guild_rules.yaml; max_level/category: guilds/constants.py; formula: guilds/services/technology.py</t>
        </is>
      </c>
    </row>
    <row r="36" ht="27" customHeight="1">
      <c r="A36" s="17" t="inlineStr">
        <is>
          <t>resource_supply</t>
        </is>
      </c>
      <c r="B36" s="18" t="inlineStr">
        <is>
          <t>资源补给</t>
        </is>
      </c>
      <c r="C36" s="18" t="inlineStr">
        <is>
          <t>生产类</t>
        </is>
      </c>
      <c r="D36" s="17" t="n">
        <v>1</v>
      </c>
      <c r="E36" s="24">
        <f>D36+1</f>
        <v/>
      </c>
      <c r="F36" s="17" t="n">
        <v>10</v>
      </c>
      <c r="G36" s="40">
        <f>'参数与公式'!$B$11</f>
        <v/>
      </c>
      <c r="H36" s="18" t="inlineStr">
        <is>
          <t>standard_10</t>
        </is>
      </c>
      <c r="I36" s="38" t="n">
        <v>4000</v>
      </c>
      <c r="J36" s="38" t="n">
        <v>3000</v>
      </c>
      <c r="K36" s="38" t="n">
        <v>1</v>
      </c>
      <c r="L36" s="38" t="n">
        <v>0</v>
      </c>
      <c r="M36" s="38" t="n">
        <v>2</v>
      </c>
      <c r="N36" s="38" t="n"/>
      <c r="O36" s="38" t="n"/>
      <c r="P36" s="38" t="n"/>
      <c r="Q36" s="38" t="n"/>
      <c r="R36" s="42">
        <f>IF(N36&lt;&gt;"",N36,IF(I36=0,0,ROUND(I36*M36,0)))</f>
        <v/>
      </c>
      <c r="S36" s="42">
        <f>IF(O36&lt;&gt;"",O36,IF(J36=0,0,ROUND(J36*M36,0)))</f>
        <v/>
      </c>
      <c r="T36" s="42">
        <f>IF(P36&lt;&gt;"",P36,IF(K36=0,0,ROUND(K36*M36,0)))</f>
        <v/>
      </c>
      <c r="U36" s="42">
        <f>IF(Q36&lt;&gt;"",Q36,IF(L36=0,0,ROUND(L36*M36,0)))</f>
        <v/>
      </c>
      <c r="V36" s="18" t="inlineStr">
        <is>
          <t>data/guild_rules.yaml; max_level/category: guilds/constants.py; formula: guilds/services/technology.py</t>
        </is>
      </c>
    </row>
    <row r="37" ht="27" customHeight="1">
      <c r="A37" s="17" t="inlineStr">
        <is>
          <t>resource_supply</t>
        </is>
      </c>
      <c r="B37" s="18" t="inlineStr">
        <is>
          <t>资源补给</t>
        </is>
      </c>
      <c r="C37" s="18" t="inlineStr">
        <is>
          <t>生产类</t>
        </is>
      </c>
      <c r="D37" s="17" t="n">
        <v>2</v>
      </c>
      <c r="E37" s="24">
        <f>D37+1</f>
        <v/>
      </c>
      <c r="F37" s="17" t="n">
        <v>10</v>
      </c>
      <c r="G37" s="40">
        <f>'参数与公式'!$B$11</f>
        <v/>
      </c>
      <c r="H37" s="18" t="inlineStr">
        <is>
          <t>standard_10</t>
        </is>
      </c>
      <c r="I37" s="38" t="n">
        <v>4000</v>
      </c>
      <c r="J37" s="38" t="n">
        <v>3000</v>
      </c>
      <c r="K37" s="38" t="n">
        <v>1</v>
      </c>
      <c r="L37" s="38" t="n">
        <v>0</v>
      </c>
      <c r="M37" s="38" t="n">
        <v>4</v>
      </c>
      <c r="N37" s="38" t="n"/>
      <c r="O37" s="38" t="n"/>
      <c r="P37" s="38" t="n"/>
      <c r="Q37" s="38" t="n"/>
      <c r="R37" s="42">
        <f>IF(N37&lt;&gt;"",N37,IF(I37=0,0,ROUND(I37*M37,0)))</f>
        <v/>
      </c>
      <c r="S37" s="42">
        <f>IF(O37&lt;&gt;"",O37,IF(J37=0,0,ROUND(J37*M37,0)))</f>
        <v/>
      </c>
      <c r="T37" s="42">
        <f>IF(P37&lt;&gt;"",P37,IF(K37=0,0,ROUND(K37*M37,0)))</f>
        <v/>
      </c>
      <c r="U37" s="42">
        <f>IF(Q37&lt;&gt;"",Q37,IF(L37=0,0,ROUND(L37*M37,0)))</f>
        <v/>
      </c>
      <c r="V37" s="18" t="inlineStr">
        <is>
          <t>data/guild_rules.yaml; max_level/category: guilds/constants.py; formula: guilds/services/technology.py</t>
        </is>
      </c>
    </row>
    <row r="38" ht="27" customHeight="1">
      <c r="A38" s="17" t="inlineStr">
        <is>
          <t>resource_supply</t>
        </is>
      </c>
      <c r="B38" s="18" t="inlineStr">
        <is>
          <t>资源补给</t>
        </is>
      </c>
      <c r="C38" s="18" t="inlineStr">
        <is>
          <t>生产类</t>
        </is>
      </c>
      <c r="D38" s="17" t="n">
        <v>3</v>
      </c>
      <c r="E38" s="24">
        <f>D38+1</f>
        <v/>
      </c>
      <c r="F38" s="17" t="n">
        <v>10</v>
      </c>
      <c r="G38" s="40">
        <f>'参数与公式'!$B$11</f>
        <v/>
      </c>
      <c r="H38" s="18" t="inlineStr">
        <is>
          <t>standard_10</t>
        </is>
      </c>
      <c r="I38" s="38" t="n">
        <v>4000</v>
      </c>
      <c r="J38" s="38" t="n">
        <v>3000</v>
      </c>
      <c r="K38" s="38" t="n">
        <v>1</v>
      </c>
      <c r="L38" s="38" t="n">
        <v>0</v>
      </c>
      <c r="M38" s="38" t="n">
        <v>7</v>
      </c>
      <c r="N38" s="38" t="n"/>
      <c r="O38" s="38" t="n"/>
      <c r="P38" s="38" t="n"/>
      <c r="Q38" s="38" t="n"/>
      <c r="R38" s="42">
        <f>IF(N38&lt;&gt;"",N38,IF(I38=0,0,ROUND(I38*M38,0)))</f>
        <v/>
      </c>
      <c r="S38" s="42">
        <f>IF(O38&lt;&gt;"",O38,IF(J38=0,0,ROUND(J38*M38,0)))</f>
        <v/>
      </c>
      <c r="T38" s="42">
        <f>IF(P38&lt;&gt;"",P38,IF(K38=0,0,ROUND(K38*M38,0)))</f>
        <v/>
      </c>
      <c r="U38" s="42">
        <f>IF(Q38&lt;&gt;"",Q38,IF(L38=0,0,ROUND(L38*M38,0)))</f>
        <v/>
      </c>
      <c r="V38" s="18" t="inlineStr">
        <is>
          <t>data/guild_rules.yaml; max_level/category: guilds/constants.py; formula: guilds/services/technology.py</t>
        </is>
      </c>
    </row>
    <row r="39" ht="27" customHeight="1">
      <c r="A39" s="17" t="inlineStr">
        <is>
          <t>resource_supply</t>
        </is>
      </c>
      <c r="B39" s="18" t="inlineStr">
        <is>
          <t>资源补给</t>
        </is>
      </c>
      <c r="C39" s="18" t="inlineStr">
        <is>
          <t>生产类</t>
        </is>
      </c>
      <c r="D39" s="17" t="n">
        <v>4</v>
      </c>
      <c r="E39" s="24">
        <f>D39+1</f>
        <v/>
      </c>
      <c r="F39" s="17" t="n">
        <v>10</v>
      </c>
      <c r="G39" s="40">
        <f>'参数与公式'!$B$11</f>
        <v/>
      </c>
      <c r="H39" s="18" t="inlineStr">
        <is>
          <t>standard_10</t>
        </is>
      </c>
      <c r="I39" s="38" t="n">
        <v>4000</v>
      </c>
      <c r="J39" s="38" t="n">
        <v>3000</v>
      </c>
      <c r="K39" s="38" t="n">
        <v>1</v>
      </c>
      <c r="L39" s="38" t="n">
        <v>0</v>
      </c>
      <c r="M39" s="38" t="n">
        <v>12</v>
      </c>
      <c r="N39" s="38" t="n"/>
      <c r="O39" s="38" t="n"/>
      <c r="P39" s="38" t="n"/>
      <c r="Q39" s="38" t="n"/>
      <c r="R39" s="42">
        <f>IF(N39&lt;&gt;"",N39,IF(I39=0,0,ROUND(I39*M39,0)))</f>
        <v/>
      </c>
      <c r="S39" s="42">
        <f>IF(O39&lt;&gt;"",O39,IF(J39=0,0,ROUND(J39*M39,0)))</f>
        <v/>
      </c>
      <c r="T39" s="42">
        <f>IF(P39&lt;&gt;"",P39,IF(K39=0,0,ROUND(K39*M39,0)))</f>
        <v/>
      </c>
      <c r="U39" s="42">
        <f>IF(Q39&lt;&gt;"",Q39,IF(L39=0,0,ROUND(L39*M39,0)))</f>
        <v/>
      </c>
      <c r="V39" s="18" t="inlineStr">
        <is>
          <t>data/guild_rules.yaml; max_level/category: guilds/constants.py; formula: guilds/services/technology.py</t>
        </is>
      </c>
    </row>
    <row r="40" ht="27" customHeight="1">
      <c r="A40" s="17" t="inlineStr">
        <is>
          <t>resource_supply</t>
        </is>
      </c>
      <c r="B40" s="18" t="inlineStr">
        <is>
          <t>资源补给</t>
        </is>
      </c>
      <c r="C40" s="18" t="inlineStr">
        <is>
          <t>生产类</t>
        </is>
      </c>
      <c r="D40" s="17" t="n">
        <v>5</v>
      </c>
      <c r="E40" s="24">
        <f>D40+1</f>
        <v/>
      </c>
      <c r="F40" s="17" t="n">
        <v>10</v>
      </c>
      <c r="G40" s="40">
        <f>'参数与公式'!$B$11</f>
        <v/>
      </c>
      <c r="H40" s="18" t="inlineStr">
        <is>
          <t>standard_10</t>
        </is>
      </c>
      <c r="I40" s="38" t="n">
        <v>4000</v>
      </c>
      <c r="J40" s="38" t="n">
        <v>3000</v>
      </c>
      <c r="K40" s="38" t="n">
        <v>1</v>
      </c>
      <c r="L40" s="38" t="n">
        <v>0</v>
      </c>
      <c r="M40" s="38" t="n">
        <v>20</v>
      </c>
      <c r="N40" s="38" t="n"/>
      <c r="O40" s="38" t="n"/>
      <c r="P40" s="38" t="n"/>
      <c r="Q40" s="38" t="n"/>
      <c r="R40" s="42">
        <f>IF(N40&lt;&gt;"",N40,IF(I40=0,0,ROUND(I40*M40,0)))</f>
        <v/>
      </c>
      <c r="S40" s="42">
        <f>IF(O40&lt;&gt;"",O40,IF(J40=0,0,ROUND(J40*M40,0)))</f>
        <v/>
      </c>
      <c r="T40" s="42">
        <f>IF(P40&lt;&gt;"",P40,IF(K40=0,0,ROUND(K40*M40,0)))</f>
        <v/>
      </c>
      <c r="U40" s="42">
        <f>IF(Q40&lt;&gt;"",Q40,IF(L40=0,0,ROUND(L40*M40,0)))</f>
        <v/>
      </c>
      <c r="V40" s="18" t="inlineStr">
        <is>
          <t>data/guild_rules.yaml; max_level/category: guilds/constants.py; formula: guilds/services/technology.py</t>
        </is>
      </c>
    </row>
    <row r="41" ht="27" customHeight="1">
      <c r="A41" s="17" t="inlineStr">
        <is>
          <t>resource_supply</t>
        </is>
      </c>
      <c r="B41" s="18" t="inlineStr">
        <is>
          <t>资源补给</t>
        </is>
      </c>
      <c r="C41" s="18" t="inlineStr">
        <is>
          <t>生产类</t>
        </is>
      </c>
      <c r="D41" s="17" t="n">
        <v>6</v>
      </c>
      <c r="E41" s="24">
        <f>D41+1</f>
        <v/>
      </c>
      <c r="F41" s="17" t="n">
        <v>10</v>
      </c>
      <c r="G41" s="40">
        <f>'参数与公式'!$B$11</f>
        <v/>
      </c>
      <c r="H41" s="18" t="inlineStr">
        <is>
          <t>standard_10</t>
        </is>
      </c>
      <c r="I41" s="38" t="n">
        <v>4000</v>
      </c>
      <c r="J41" s="38" t="n">
        <v>3000</v>
      </c>
      <c r="K41" s="38" t="n">
        <v>1</v>
      </c>
      <c r="L41" s="38" t="n">
        <v>0</v>
      </c>
      <c r="M41" s="38" t="n">
        <v>35</v>
      </c>
      <c r="N41" s="38" t="n"/>
      <c r="O41" s="38" t="n"/>
      <c r="P41" s="38" t="n"/>
      <c r="Q41" s="38" t="n"/>
      <c r="R41" s="42">
        <f>IF(N41&lt;&gt;"",N41,IF(I41=0,0,ROUND(I41*M41,0)))</f>
        <v/>
      </c>
      <c r="S41" s="42">
        <f>IF(O41&lt;&gt;"",O41,IF(J41=0,0,ROUND(J41*M41,0)))</f>
        <v/>
      </c>
      <c r="T41" s="42">
        <f>IF(P41&lt;&gt;"",P41,IF(K41=0,0,ROUND(K41*M41,0)))</f>
        <v/>
      </c>
      <c r="U41" s="42">
        <f>IF(Q41&lt;&gt;"",Q41,IF(L41=0,0,ROUND(L41*M41,0)))</f>
        <v/>
      </c>
      <c r="V41" s="18" t="inlineStr">
        <is>
          <t>data/guild_rules.yaml; max_level/category: guilds/constants.py; formula: guilds/services/technology.py</t>
        </is>
      </c>
    </row>
    <row r="42" ht="27" customHeight="1">
      <c r="A42" s="17" t="inlineStr">
        <is>
          <t>resource_supply</t>
        </is>
      </c>
      <c r="B42" s="18" t="inlineStr">
        <is>
          <t>资源补给</t>
        </is>
      </c>
      <c r="C42" s="18" t="inlineStr">
        <is>
          <t>生产类</t>
        </is>
      </c>
      <c r="D42" s="17" t="n">
        <v>7</v>
      </c>
      <c r="E42" s="24">
        <f>D42+1</f>
        <v/>
      </c>
      <c r="F42" s="17" t="n">
        <v>10</v>
      </c>
      <c r="G42" s="40">
        <f>'参数与公式'!$B$11</f>
        <v/>
      </c>
      <c r="H42" s="18" t="inlineStr">
        <is>
          <t>standard_10</t>
        </is>
      </c>
      <c r="I42" s="38" t="n">
        <v>4000</v>
      </c>
      <c r="J42" s="38" t="n">
        <v>3000</v>
      </c>
      <c r="K42" s="38" t="n">
        <v>1</v>
      </c>
      <c r="L42" s="38" t="n">
        <v>0</v>
      </c>
      <c r="M42" s="38" t="n">
        <v>70</v>
      </c>
      <c r="N42" s="38" t="n"/>
      <c r="O42" s="38" t="n"/>
      <c r="P42" s="38" t="n"/>
      <c r="Q42" s="38" t="n"/>
      <c r="R42" s="42">
        <f>IF(N42&lt;&gt;"",N42,IF(I42=0,0,ROUND(I42*M42,0)))</f>
        <v/>
      </c>
      <c r="S42" s="42">
        <f>IF(O42&lt;&gt;"",O42,IF(J42=0,0,ROUND(J42*M42,0)))</f>
        <v/>
      </c>
      <c r="T42" s="42">
        <f>IF(P42&lt;&gt;"",P42,IF(K42=0,0,ROUND(K42*M42,0)))</f>
        <v/>
      </c>
      <c r="U42" s="42">
        <f>IF(Q42&lt;&gt;"",Q42,IF(L42=0,0,ROUND(L42*M42,0)))</f>
        <v/>
      </c>
      <c r="V42" s="18" t="inlineStr">
        <is>
          <t>data/guild_rules.yaml; max_level/category: guilds/constants.py; formula: guilds/services/technology.py</t>
        </is>
      </c>
    </row>
    <row r="43" ht="27" customHeight="1">
      <c r="A43" s="17" t="inlineStr">
        <is>
          <t>resource_supply</t>
        </is>
      </c>
      <c r="B43" s="18" t="inlineStr">
        <is>
          <t>资源补给</t>
        </is>
      </c>
      <c r="C43" s="18" t="inlineStr">
        <is>
          <t>生产类</t>
        </is>
      </c>
      <c r="D43" s="17" t="n">
        <v>8</v>
      </c>
      <c r="E43" s="24">
        <f>D43+1</f>
        <v/>
      </c>
      <c r="F43" s="17" t="n">
        <v>10</v>
      </c>
      <c r="G43" s="40">
        <f>'参数与公式'!$B$11</f>
        <v/>
      </c>
      <c r="H43" s="18" t="inlineStr">
        <is>
          <t>standard_10</t>
        </is>
      </c>
      <c r="I43" s="38" t="n">
        <v>4000</v>
      </c>
      <c r="J43" s="38" t="n">
        <v>3000</v>
      </c>
      <c r="K43" s="38" t="n">
        <v>1</v>
      </c>
      <c r="L43" s="38" t="n">
        <v>0</v>
      </c>
      <c r="M43" s="38" t="n">
        <v>150</v>
      </c>
      <c r="N43" s="38" t="n"/>
      <c r="O43" s="38" t="n"/>
      <c r="P43" s="38" t="n"/>
      <c r="Q43" s="38" t="n"/>
      <c r="R43" s="42">
        <f>IF(N43&lt;&gt;"",N43,IF(I43=0,0,ROUND(I43*M43,0)))</f>
        <v/>
      </c>
      <c r="S43" s="42">
        <f>IF(O43&lt;&gt;"",O43,IF(J43=0,0,ROUND(J43*M43,0)))</f>
        <v/>
      </c>
      <c r="T43" s="42">
        <f>IF(P43&lt;&gt;"",P43,IF(K43=0,0,ROUND(K43*M43,0)))</f>
        <v/>
      </c>
      <c r="U43" s="42">
        <f>IF(Q43&lt;&gt;"",Q43,IF(L43=0,0,ROUND(L43*M43,0)))</f>
        <v/>
      </c>
      <c r="V43" s="18" t="inlineStr">
        <is>
          <t>data/guild_rules.yaml; max_level/category: guilds/constants.py; formula: guilds/services/technology.py</t>
        </is>
      </c>
    </row>
    <row r="44" ht="27" customHeight="1">
      <c r="A44" s="17" t="inlineStr">
        <is>
          <t>resource_supply</t>
        </is>
      </c>
      <c r="B44" s="18" t="inlineStr">
        <is>
          <t>资源补给</t>
        </is>
      </c>
      <c r="C44" s="18" t="inlineStr">
        <is>
          <t>生产类</t>
        </is>
      </c>
      <c r="D44" s="17" t="n">
        <v>9</v>
      </c>
      <c r="E44" s="24">
        <f>D44+1</f>
        <v/>
      </c>
      <c r="F44" s="17" t="n">
        <v>10</v>
      </c>
      <c r="G44" s="40">
        <f>'参数与公式'!$B$11</f>
        <v/>
      </c>
      <c r="H44" s="18" t="inlineStr">
        <is>
          <t>standard_10</t>
        </is>
      </c>
      <c r="I44" s="38" t="n">
        <v>4000</v>
      </c>
      <c r="J44" s="38" t="n">
        <v>3000</v>
      </c>
      <c r="K44" s="38" t="n">
        <v>1</v>
      </c>
      <c r="L44" s="38" t="n">
        <v>0</v>
      </c>
      <c r="M44" s="38" t="n">
        <v>350</v>
      </c>
      <c r="N44" s="38" t="n"/>
      <c r="O44" s="38" t="n"/>
      <c r="P44" s="38" t="n"/>
      <c r="Q44" s="38" t="n"/>
      <c r="R44" s="42">
        <f>IF(N44&lt;&gt;"",N44,IF(I44=0,0,ROUND(I44*M44,0)))</f>
        <v/>
      </c>
      <c r="S44" s="42">
        <f>IF(O44&lt;&gt;"",O44,IF(J44=0,0,ROUND(J44*M44,0)))</f>
        <v/>
      </c>
      <c r="T44" s="42">
        <f>IF(P44&lt;&gt;"",P44,IF(K44=0,0,ROUND(K44*M44,0)))</f>
        <v/>
      </c>
      <c r="U44" s="42">
        <f>IF(Q44&lt;&gt;"",Q44,IF(L44=0,0,ROUND(L44*M44,0)))</f>
        <v/>
      </c>
      <c r="V44" s="18" t="inlineStr">
        <is>
          <t>data/guild_rules.yaml; max_level/category: guilds/constants.py; formula: guilds/services/technology.py</t>
        </is>
      </c>
    </row>
    <row r="45" ht="27" customHeight="1">
      <c r="A45" s="17" t="inlineStr">
        <is>
          <t>mysticism</t>
        </is>
      </c>
      <c r="B45" s="18" t="inlineStr">
        <is>
          <t>神秘学</t>
        </is>
      </c>
      <c r="C45" s="18" t="inlineStr">
        <is>
          <t>生产类</t>
        </is>
      </c>
      <c r="D45" s="17" t="n">
        <v>0</v>
      </c>
      <c r="E45" s="24">
        <f>D45+1</f>
        <v/>
      </c>
      <c r="F45" s="17" t="n">
        <v>3</v>
      </c>
      <c r="G45" s="40">
        <f>'参数与公式'!$B$11</f>
        <v/>
      </c>
      <c r="H45" s="18" t="inlineStr">
        <is>
          <t>—</t>
        </is>
      </c>
      <c r="I45" s="38" t="n">
        <v>0</v>
      </c>
      <c r="J45" s="38" t="n">
        <v>0</v>
      </c>
      <c r="K45" s="38" t="n">
        <v>0</v>
      </c>
      <c r="L45" s="38" t="n">
        <v>200</v>
      </c>
      <c r="M45" s="38" t="n">
        <v>1</v>
      </c>
      <c r="N45" s="38" t="n"/>
      <c r="O45" s="38" t="n"/>
      <c r="P45" s="38" t="n"/>
      <c r="Q45" s="38" t="n"/>
      <c r="R45" s="42">
        <f>IF(N45&lt;&gt;"",N45,IF(I45=0,0,ROUND(I45*M45,0)))</f>
        <v/>
      </c>
      <c r="S45" s="42">
        <f>IF(O45&lt;&gt;"",O45,IF(J45=0,0,ROUND(J45*M45,0)))</f>
        <v/>
      </c>
      <c r="T45" s="42">
        <f>IF(P45&lt;&gt;"",P45,IF(K45=0,0,ROUND(K45*M45,0)))</f>
        <v/>
      </c>
      <c r="U45" s="42">
        <f>IF(Q45&lt;&gt;"",Q45,IF(L45=0,0,ROUND(L45*M45,0)))</f>
        <v/>
      </c>
      <c r="V45" s="18" t="inlineStr">
        <is>
          <t>data/guild_rules.yaml; max_level/category: guilds/constants.py; formula: guilds/services/technology.py</t>
        </is>
      </c>
    </row>
    <row r="46" ht="27" customHeight="1">
      <c r="A46" s="17" t="inlineStr">
        <is>
          <t>mysticism</t>
        </is>
      </c>
      <c r="B46" s="18" t="inlineStr">
        <is>
          <t>神秘学</t>
        </is>
      </c>
      <c r="C46" s="18" t="inlineStr">
        <is>
          <t>生产类</t>
        </is>
      </c>
      <c r="D46" s="17" t="n">
        <v>1</v>
      </c>
      <c r="E46" s="24">
        <f>D46+1</f>
        <v/>
      </c>
      <c r="F46" s="17" t="n">
        <v>3</v>
      </c>
      <c r="G46" s="40">
        <f>'参数与公式'!$B$11</f>
        <v/>
      </c>
      <c r="H46" s="18" t="inlineStr">
        <is>
          <t>—</t>
        </is>
      </c>
      <c r="I46" s="38" t="n">
        <v>0</v>
      </c>
      <c r="J46" s="38" t="n">
        <v>0</v>
      </c>
      <c r="K46" s="38" t="n">
        <v>0</v>
      </c>
      <c r="L46" s="38" t="n">
        <v>200</v>
      </c>
      <c r="M46" s="38" t="n">
        <v>1</v>
      </c>
      <c r="N46" s="38" t="n"/>
      <c r="O46" s="38" t="n"/>
      <c r="P46" s="38" t="n">
        <v>150</v>
      </c>
      <c r="Q46" s="38" t="n">
        <v>300</v>
      </c>
      <c r="R46" s="42">
        <f>IF(N46&lt;&gt;"",N46,IF(I46=0,0,ROUND(I46*M46,0)))</f>
        <v/>
      </c>
      <c r="S46" s="42">
        <f>IF(O46&lt;&gt;"",O46,IF(J46=0,0,ROUND(J46*M46,0)))</f>
        <v/>
      </c>
      <c r="T46" s="42">
        <f>IF(P46&lt;&gt;"",P46,IF(K46=0,0,ROUND(K46*M46,0)))</f>
        <v/>
      </c>
      <c r="U46" s="42">
        <f>IF(Q46&lt;&gt;"",Q46,IF(L46=0,0,ROUND(L46*M46,0)))</f>
        <v/>
      </c>
      <c r="V46" s="18" t="inlineStr">
        <is>
          <t>data/guild_rules.yaml; max_level/category: guilds/constants.py; formula: guilds/services/technology.py</t>
        </is>
      </c>
    </row>
    <row r="47" ht="27" customHeight="1">
      <c r="A47" s="17" t="inlineStr">
        <is>
          <t>mysticism</t>
        </is>
      </c>
      <c r="B47" s="18" t="inlineStr">
        <is>
          <t>神秘学</t>
        </is>
      </c>
      <c r="C47" s="18" t="inlineStr">
        <is>
          <t>生产类</t>
        </is>
      </c>
      <c r="D47" s="17" t="n">
        <v>2</v>
      </c>
      <c r="E47" s="24">
        <f>D47+1</f>
        <v/>
      </c>
      <c r="F47" s="17" t="n">
        <v>3</v>
      </c>
      <c r="G47" s="40">
        <f>'参数与公式'!$B$11</f>
        <v/>
      </c>
      <c r="H47" s="18" t="inlineStr">
        <is>
          <t>—</t>
        </is>
      </c>
      <c r="I47" s="38" t="n">
        <v>0</v>
      </c>
      <c r="J47" s="38" t="n">
        <v>0</v>
      </c>
      <c r="K47" s="38" t="n">
        <v>0</v>
      </c>
      <c r="L47" s="38" t="n">
        <v>200</v>
      </c>
      <c r="M47" s="38" t="n">
        <v>1</v>
      </c>
      <c r="N47" s="38" t="n"/>
      <c r="O47" s="38" t="n"/>
      <c r="P47" s="38" t="n">
        <v>200</v>
      </c>
      <c r="Q47" s="38" t="n">
        <v>300</v>
      </c>
      <c r="R47" s="42">
        <f>IF(N47&lt;&gt;"",N47,IF(I47=0,0,ROUND(I47*M47,0)))</f>
        <v/>
      </c>
      <c r="S47" s="42">
        <f>IF(O47&lt;&gt;"",O47,IF(J47=0,0,ROUND(J47*M47,0)))</f>
        <v/>
      </c>
      <c r="T47" s="42">
        <f>IF(P47&lt;&gt;"",P47,IF(K47=0,0,ROUND(K47*M47,0)))</f>
        <v/>
      </c>
      <c r="U47" s="42">
        <f>IF(Q47&lt;&gt;"",Q47,IF(L47=0,0,ROUND(L47*M47,0)))</f>
        <v/>
      </c>
      <c r="V47" s="18" t="inlineStr">
        <is>
          <t>data/guild_rules.yaml; max_level/category: guilds/constants.py; formula: guilds/services/technology.py</t>
        </is>
      </c>
    </row>
    <row r="48" ht="27" customHeight="1">
      <c r="A48" s="17" t="inlineStr">
        <is>
          <t>troop_tactics</t>
        </is>
      </c>
      <c r="B48" s="18" t="inlineStr">
        <is>
          <t>强兵战术</t>
        </is>
      </c>
      <c r="C48" s="18" t="inlineStr">
        <is>
          <t>战斗类</t>
        </is>
      </c>
      <c r="D48" s="17" t="n">
        <v>0</v>
      </c>
      <c r="E48" s="24">
        <f>D48+1</f>
        <v/>
      </c>
      <c r="F48" s="17" t="n">
        <v>10</v>
      </c>
      <c r="G48" s="40">
        <f>'参数与公式'!$B$11</f>
        <v/>
      </c>
      <c r="H48" s="18" t="inlineStr">
        <is>
          <t>standard_10</t>
        </is>
      </c>
      <c r="I48" s="38" t="n">
        <v>8000</v>
      </c>
      <c r="J48" s="38" t="n">
        <v>3000</v>
      </c>
      <c r="K48" s="38" t="n">
        <v>2</v>
      </c>
      <c r="L48" s="38" t="n">
        <v>0</v>
      </c>
      <c r="M48" s="38" t="n">
        <v>1</v>
      </c>
      <c r="N48" s="38" t="n"/>
      <c r="O48" s="38" t="n"/>
      <c r="P48" s="38" t="n"/>
      <c r="Q48" s="38" t="n"/>
      <c r="R48" s="42">
        <f>IF(N48&lt;&gt;"",N48,IF(I48=0,0,ROUND(I48*M48,0)))</f>
        <v/>
      </c>
      <c r="S48" s="42">
        <f>IF(O48&lt;&gt;"",O48,IF(J48=0,0,ROUND(J48*M48,0)))</f>
        <v/>
      </c>
      <c r="T48" s="42">
        <f>IF(P48&lt;&gt;"",P48,IF(K48=0,0,ROUND(K48*M48,0)))</f>
        <v/>
      </c>
      <c r="U48" s="42">
        <f>IF(Q48&lt;&gt;"",Q48,IF(L48=0,0,ROUND(L48*M48,0)))</f>
        <v/>
      </c>
      <c r="V48" s="18" t="inlineStr">
        <is>
          <t>data/guild_rules.yaml; max_level/category: guilds/constants.py; formula: guilds/services/technology.py</t>
        </is>
      </c>
    </row>
    <row r="49" ht="27" customHeight="1">
      <c r="A49" s="17" t="inlineStr">
        <is>
          <t>troop_tactics</t>
        </is>
      </c>
      <c r="B49" s="18" t="inlineStr">
        <is>
          <t>强兵战术</t>
        </is>
      </c>
      <c r="C49" s="18" t="inlineStr">
        <is>
          <t>战斗类</t>
        </is>
      </c>
      <c r="D49" s="17" t="n">
        <v>1</v>
      </c>
      <c r="E49" s="24">
        <f>D49+1</f>
        <v/>
      </c>
      <c r="F49" s="17" t="n">
        <v>10</v>
      </c>
      <c r="G49" s="40">
        <f>'参数与公式'!$B$11</f>
        <v/>
      </c>
      <c r="H49" s="18" t="inlineStr">
        <is>
          <t>standard_10</t>
        </is>
      </c>
      <c r="I49" s="38" t="n">
        <v>8000</v>
      </c>
      <c r="J49" s="38" t="n">
        <v>3000</v>
      </c>
      <c r="K49" s="38" t="n">
        <v>2</v>
      </c>
      <c r="L49" s="38" t="n">
        <v>0</v>
      </c>
      <c r="M49" s="38" t="n">
        <v>2</v>
      </c>
      <c r="N49" s="38" t="n"/>
      <c r="O49" s="38" t="n"/>
      <c r="P49" s="38" t="n"/>
      <c r="Q49" s="38" t="n"/>
      <c r="R49" s="42">
        <f>IF(N49&lt;&gt;"",N49,IF(I49=0,0,ROUND(I49*M49,0)))</f>
        <v/>
      </c>
      <c r="S49" s="42">
        <f>IF(O49&lt;&gt;"",O49,IF(J49=0,0,ROUND(J49*M49,0)))</f>
        <v/>
      </c>
      <c r="T49" s="42">
        <f>IF(P49&lt;&gt;"",P49,IF(K49=0,0,ROUND(K49*M49,0)))</f>
        <v/>
      </c>
      <c r="U49" s="42">
        <f>IF(Q49&lt;&gt;"",Q49,IF(L49=0,0,ROUND(L49*M49,0)))</f>
        <v/>
      </c>
      <c r="V49" s="18" t="inlineStr">
        <is>
          <t>data/guild_rules.yaml; max_level/category: guilds/constants.py; formula: guilds/services/technology.py</t>
        </is>
      </c>
    </row>
    <row r="50" ht="27" customHeight="1">
      <c r="A50" s="17" t="inlineStr">
        <is>
          <t>troop_tactics</t>
        </is>
      </c>
      <c r="B50" s="18" t="inlineStr">
        <is>
          <t>强兵战术</t>
        </is>
      </c>
      <c r="C50" s="18" t="inlineStr">
        <is>
          <t>战斗类</t>
        </is>
      </c>
      <c r="D50" s="17" t="n">
        <v>2</v>
      </c>
      <c r="E50" s="24">
        <f>D50+1</f>
        <v/>
      </c>
      <c r="F50" s="17" t="n">
        <v>10</v>
      </c>
      <c r="G50" s="40">
        <f>'参数与公式'!$B$11</f>
        <v/>
      </c>
      <c r="H50" s="18" t="inlineStr">
        <is>
          <t>standard_10</t>
        </is>
      </c>
      <c r="I50" s="38" t="n">
        <v>8000</v>
      </c>
      <c r="J50" s="38" t="n">
        <v>3000</v>
      </c>
      <c r="K50" s="38" t="n">
        <v>2</v>
      </c>
      <c r="L50" s="38" t="n">
        <v>0</v>
      </c>
      <c r="M50" s="38" t="n">
        <v>4</v>
      </c>
      <c r="N50" s="38" t="n"/>
      <c r="O50" s="38" t="n"/>
      <c r="P50" s="38" t="n"/>
      <c r="Q50" s="38" t="n"/>
      <c r="R50" s="42">
        <f>IF(N50&lt;&gt;"",N50,IF(I50=0,0,ROUND(I50*M50,0)))</f>
        <v/>
      </c>
      <c r="S50" s="42">
        <f>IF(O50&lt;&gt;"",O50,IF(J50=0,0,ROUND(J50*M50,0)))</f>
        <v/>
      </c>
      <c r="T50" s="42">
        <f>IF(P50&lt;&gt;"",P50,IF(K50=0,0,ROUND(K50*M50,0)))</f>
        <v/>
      </c>
      <c r="U50" s="42">
        <f>IF(Q50&lt;&gt;"",Q50,IF(L50=0,0,ROUND(L50*M50,0)))</f>
        <v/>
      </c>
      <c r="V50" s="18" t="inlineStr">
        <is>
          <t>data/guild_rules.yaml; max_level/category: guilds/constants.py; formula: guilds/services/technology.py</t>
        </is>
      </c>
    </row>
    <row r="51" ht="27" customHeight="1">
      <c r="A51" s="17" t="inlineStr">
        <is>
          <t>troop_tactics</t>
        </is>
      </c>
      <c r="B51" s="18" t="inlineStr">
        <is>
          <t>强兵战术</t>
        </is>
      </c>
      <c r="C51" s="18" t="inlineStr">
        <is>
          <t>战斗类</t>
        </is>
      </c>
      <c r="D51" s="17" t="n">
        <v>3</v>
      </c>
      <c r="E51" s="24">
        <f>D51+1</f>
        <v/>
      </c>
      <c r="F51" s="17" t="n">
        <v>10</v>
      </c>
      <c r="G51" s="40">
        <f>'参数与公式'!$B$11</f>
        <v/>
      </c>
      <c r="H51" s="18" t="inlineStr">
        <is>
          <t>standard_10</t>
        </is>
      </c>
      <c r="I51" s="38" t="n">
        <v>8000</v>
      </c>
      <c r="J51" s="38" t="n">
        <v>3000</v>
      </c>
      <c r="K51" s="38" t="n">
        <v>2</v>
      </c>
      <c r="L51" s="38" t="n">
        <v>0</v>
      </c>
      <c r="M51" s="38" t="n">
        <v>7</v>
      </c>
      <c r="N51" s="38" t="n"/>
      <c r="O51" s="38" t="n"/>
      <c r="P51" s="38" t="n"/>
      <c r="Q51" s="38" t="n"/>
      <c r="R51" s="42">
        <f>IF(N51&lt;&gt;"",N51,IF(I51=0,0,ROUND(I51*M51,0)))</f>
        <v/>
      </c>
      <c r="S51" s="42">
        <f>IF(O51&lt;&gt;"",O51,IF(J51=0,0,ROUND(J51*M51,0)))</f>
        <v/>
      </c>
      <c r="T51" s="42">
        <f>IF(P51&lt;&gt;"",P51,IF(K51=0,0,ROUND(K51*M51,0)))</f>
        <v/>
      </c>
      <c r="U51" s="42">
        <f>IF(Q51&lt;&gt;"",Q51,IF(L51=0,0,ROUND(L51*M51,0)))</f>
        <v/>
      </c>
      <c r="V51" s="18" t="inlineStr">
        <is>
          <t>data/guild_rules.yaml; max_level/category: guilds/constants.py; formula: guilds/services/technology.py</t>
        </is>
      </c>
    </row>
    <row r="52" ht="27" customHeight="1">
      <c r="A52" s="17" t="inlineStr">
        <is>
          <t>troop_tactics</t>
        </is>
      </c>
      <c r="B52" s="18" t="inlineStr">
        <is>
          <t>强兵战术</t>
        </is>
      </c>
      <c r="C52" s="18" t="inlineStr">
        <is>
          <t>战斗类</t>
        </is>
      </c>
      <c r="D52" s="17" t="n">
        <v>4</v>
      </c>
      <c r="E52" s="24">
        <f>D52+1</f>
        <v/>
      </c>
      <c r="F52" s="17" t="n">
        <v>10</v>
      </c>
      <c r="G52" s="40">
        <f>'参数与公式'!$B$11</f>
        <v/>
      </c>
      <c r="H52" s="18" t="inlineStr">
        <is>
          <t>standard_10</t>
        </is>
      </c>
      <c r="I52" s="38" t="n">
        <v>8000</v>
      </c>
      <c r="J52" s="38" t="n">
        <v>3000</v>
      </c>
      <c r="K52" s="38" t="n">
        <v>2</v>
      </c>
      <c r="L52" s="38" t="n">
        <v>0</v>
      </c>
      <c r="M52" s="38" t="n">
        <v>12</v>
      </c>
      <c r="N52" s="38" t="n"/>
      <c r="O52" s="38" t="n"/>
      <c r="P52" s="38" t="n"/>
      <c r="Q52" s="38" t="n"/>
      <c r="R52" s="42">
        <f>IF(N52&lt;&gt;"",N52,IF(I52=0,0,ROUND(I52*M52,0)))</f>
        <v/>
      </c>
      <c r="S52" s="42">
        <f>IF(O52&lt;&gt;"",O52,IF(J52=0,0,ROUND(J52*M52,0)))</f>
        <v/>
      </c>
      <c r="T52" s="42">
        <f>IF(P52&lt;&gt;"",P52,IF(K52=0,0,ROUND(K52*M52,0)))</f>
        <v/>
      </c>
      <c r="U52" s="42">
        <f>IF(Q52&lt;&gt;"",Q52,IF(L52=0,0,ROUND(L52*M52,0)))</f>
        <v/>
      </c>
      <c r="V52" s="18" t="inlineStr">
        <is>
          <t>data/guild_rules.yaml; max_level/category: guilds/constants.py; formula: guilds/services/technology.py</t>
        </is>
      </c>
    </row>
    <row r="53" ht="27" customHeight="1">
      <c r="A53" s="17" t="inlineStr">
        <is>
          <t>troop_tactics</t>
        </is>
      </c>
      <c r="B53" s="18" t="inlineStr">
        <is>
          <t>强兵战术</t>
        </is>
      </c>
      <c r="C53" s="18" t="inlineStr">
        <is>
          <t>战斗类</t>
        </is>
      </c>
      <c r="D53" s="17" t="n">
        <v>5</v>
      </c>
      <c r="E53" s="24">
        <f>D53+1</f>
        <v/>
      </c>
      <c r="F53" s="17" t="n">
        <v>10</v>
      </c>
      <c r="G53" s="40">
        <f>'参数与公式'!$B$11</f>
        <v/>
      </c>
      <c r="H53" s="18" t="inlineStr">
        <is>
          <t>standard_10</t>
        </is>
      </c>
      <c r="I53" s="38" t="n">
        <v>8000</v>
      </c>
      <c r="J53" s="38" t="n">
        <v>3000</v>
      </c>
      <c r="K53" s="38" t="n">
        <v>2</v>
      </c>
      <c r="L53" s="38" t="n">
        <v>0</v>
      </c>
      <c r="M53" s="38" t="n">
        <v>20</v>
      </c>
      <c r="N53" s="38" t="n"/>
      <c r="O53" s="38" t="n"/>
      <c r="P53" s="38" t="n"/>
      <c r="Q53" s="38" t="n"/>
      <c r="R53" s="42">
        <f>IF(N53&lt;&gt;"",N53,IF(I53=0,0,ROUND(I53*M53,0)))</f>
        <v/>
      </c>
      <c r="S53" s="42">
        <f>IF(O53&lt;&gt;"",O53,IF(J53=0,0,ROUND(J53*M53,0)))</f>
        <v/>
      </c>
      <c r="T53" s="42">
        <f>IF(P53&lt;&gt;"",P53,IF(K53=0,0,ROUND(K53*M53,0)))</f>
        <v/>
      </c>
      <c r="U53" s="42">
        <f>IF(Q53&lt;&gt;"",Q53,IF(L53=0,0,ROUND(L53*M53,0)))</f>
        <v/>
      </c>
      <c r="V53" s="18" t="inlineStr">
        <is>
          <t>data/guild_rules.yaml; max_level/category: guilds/constants.py; formula: guilds/services/technology.py</t>
        </is>
      </c>
    </row>
    <row r="54" ht="27" customHeight="1">
      <c r="A54" s="17" t="inlineStr">
        <is>
          <t>troop_tactics</t>
        </is>
      </c>
      <c r="B54" s="18" t="inlineStr">
        <is>
          <t>强兵战术</t>
        </is>
      </c>
      <c r="C54" s="18" t="inlineStr">
        <is>
          <t>战斗类</t>
        </is>
      </c>
      <c r="D54" s="17" t="n">
        <v>6</v>
      </c>
      <c r="E54" s="24">
        <f>D54+1</f>
        <v/>
      </c>
      <c r="F54" s="17" t="n">
        <v>10</v>
      </c>
      <c r="G54" s="40">
        <f>'参数与公式'!$B$11</f>
        <v/>
      </c>
      <c r="H54" s="18" t="inlineStr">
        <is>
          <t>standard_10</t>
        </is>
      </c>
      <c r="I54" s="38" t="n">
        <v>8000</v>
      </c>
      <c r="J54" s="38" t="n">
        <v>3000</v>
      </c>
      <c r="K54" s="38" t="n">
        <v>2</v>
      </c>
      <c r="L54" s="38" t="n">
        <v>0</v>
      </c>
      <c r="M54" s="38" t="n">
        <v>35</v>
      </c>
      <c r="N54" s="38" t="n"/>
      <c r="O54" s="38" t="n"/>
      <c r="P54" s="38" t="n"/>
      <c r="Q54" s="38" t="n"/>
      <c r="R54" s="42">
        <f>IF(N54&lt;&gt;"",N54,IF(I54=0,0,ROUND(I54*M54,0)))</f>
        <v/>
      </c>
      <c r="S54" s="42">
        <f>IF(O54&lt;&gt;"",O54,IF(J54=0,0,ROUND(J54*M54,0)))</f>
        <v/>
      </c>
      <c r="T54" s="42">
        <f>IF(P54&lt;&gt;"",P54,IF(K54=0,0,ROUND(K54*M54,0)))</f>
        <v/>
      </c>
      <c r="U54" s="42">
        <f>IF(Q54&lt;&gt;"",Q54,IF(L54=0,0,ROUND(L54*M54,0)))</f>
        <v/>
      </c>
      <c r="V54" s="18" t="inlineStr">
        <is>
          <t>data/guild_rules.yaml; max_level/category: guilds/constants.py; formula: guilds/services/technology.py</t>
        </is>
      </c>
    </row>
    <row r="55" ht="27" customHeight="1">
      <c r="A55" s="17" t="inlineStr">
        <is>
          <t>troop_tactics</t>
        </is>
      </c>
      <c r="B55" s="18" t="inlineStr">
        <is>
          <t>强兵战术</t>
        </is>
      </c>
      <c r="C55" s="18" t="inlineStr">
        <is>
          <t>战斗类</t>
        </is>
      </c>
      <c r="D55" s="17" t="n">
        <v>7</v>
      </c>
      <c r="E55" s="24">
        <f>D55+1</f>
        <v/>
      </c>
      <c r="F55" s="17" t="n">
        <v>10</v>
      </c>
      <c r="G55" s="40">
        <f>'参数与公式'!$B$11</f>
        <v/>
      </c>
      <c r="H55" s="18" t="inlineStr">
        <is>
          <t>standard_10</t>
        </is>
      </c>
      <c r="I55" s="38" t="n">
        <v>8000</v>
      </c>
      <c r="J55" s="38" t="n">
        <v>3000</v>
      </c>
      <c r="K55" s="38" t="n">
        <v>2</v>
      </c>
      <c r="L55" s="38" t="n">
        <v>0</v>
      </c>
      <c r="M55" s="38" t="n">
        <v>70</v>
      </c>
      <c r="N55" s="38" t="n"/>
      <c r="O55" s="38" t="n"/>
      <c r="P55" s="38" t="n"/>
      <c r="Q55" s="38" t="n"/>
      <c r="R55" s="42">
        <f>IF(N55&lt;&gt;"",N55,IF(I55=0,0,ROUND(I55*M55,0)))</f>
        <v/>
      </c>
      <c r="S55" s="42">
        <f>IF(O55&lt;&gt;"",O55,IF(J55=0,0,ROUND(J55*M55,0)))</f>
        <v/>
      </c>
      <c r="T55" s="42">
        <f>IF(P55&lt;&gt;"",P55,IF(K55=0,0,ROUND(K55*M55,0)))</f>
        <v/>
      </c>
      <c r="U55" s="42">
        <f>IF(Q55&lt;&gt;"",Q55,IF(L55=0,0,ROUND(L55*M55,0)))</f>
        <v/>
      </c>
      <c r="V55" s="18" t="inlineStr">
        <is>
          <t>data/guild_rules.yaml; max_level/category: guilds/constants.py; formula: guilds/services/technology.py</t>
        </is>
      </c>
    </row>
    <row r="56" ht="27" customHeight="1">
      <c r="A56" s="17" t="inlineStr">
        <is>
          <t>troop_tactics</t>
        </is>
      </c>
      <c r="B56" s="18" t="inlineStr">
        <is>
          <t>强兵战术</t>
        </is>
      </c>
      <c r="C56" s="18" t="inlineStr">
        <is>
          <t>战斗类</t>
        </is>
      </c>
      <c r="D56" s="17" t="n">
        <v>8</v>
      </c>
      <c r="E56" s="24">
        <f>D56+1</f>
        <v/>
      </c>
      <c r="F56" s="17" t="n">
        <v>10</v>
      </c>
      <c r="G56" s="40">
        <f>'参数与公式'!$B$11</f>
        <v/>
      </c>
      <c r="H56" s="18" t="inlineStr">
        <is>
          <t>standard_10</t>
        </is>
      </c>
      <c r="I56" s="38" t="n">
        <v>8000</v>
      </c>
      <c r="J56" s="38" t="n">
        <v>3000</v>
      </c>
      <c r="K56" s="38" t="n">
        <v>2</v>
      </c>
      <c r="L56" s="38" t="n">
        <v>0</v>
      </c>
      <c r="M56" s="38" t="n">
        <v>150</v>
      </c>
      <c r="N56" s="38" t="n"/>
      <c r="O56" s="38" t="n"/>
      <c r="P56" s="38" t="n"/>
      <c r="Q56" s="38" t="n"/>
      <c r="R56" s="42">
        <f>IF(N56&lt;&gt;"",N56,IF(I56=0,0,ROUND(I56*M56,0)))</f>
        <v/>
      </c>
      <c r="S56" s="42">
        <f>IF(O56&lt;&gt;"",O56,IF(J56=0,0,ROUND(J56*M56,0)))</f>
        <v/>
      </c>
      <c r="T56" s="42">
        <f>IF(P56&lt;&gt;"",P56,IF(K56=0,0,ROUND(K56*M56,0)))</f>
        <v/>
      </c>
      <c r="U56" s="42">
        <f>IF(Q56&lt;&gt;"",Q56,IF(L56=0,0,ROUND(L56*M56,0)))</f>
        <v/>
      </c>
      <c r="V56" s="18" t="inlineStr">
        <is>
          <t>data/guild_rules.yaml; max_level/category: guilds/constants.py; formula: guilds/services/technology.py</t>
        </is>
      </c>
    </row>
    <row r="57" ht="27" customHeight="1">
      <c r="A57" s="17" t="inlineStr">
        <is>
          <t>troop_tactics</t>
        </is>
      </c>
      <c r="B57" s="18" t="inlineStr">
        <is>
          <t>强兵战术</t>
        </is>
      </c>
      <c r="C57" s="18" t="inlineStr">
        <is>
          <t>战斗类</t>
        </is>
      </c>
      <c r="D57" s="17" t="n">
        <v>9</v>
      </c>
      <c r="E57" s="24">
        <f>D57+1</f>
        <v/>
      </c>
      <c r="F57" s="17" t="n">
        <v>10</v>
      </c>
      <c r="G57" s="40">
        <f>'参数与公式'!$B$11</f>
        <v/>
      </c>
      <c r="H57" s="18" t="inlineStr">
        <is>
          <t>standard_10</t>
        </is>
      </c>
      <c r="I57" s="38" t="n">
        <v>8000</v>
      </c>
      <c r="J57" s="38" t="n">
        <v>3000</v>
      </c>
      <c r="K57" s="38" t="n">
        <v>2</v>
      </c>
      <c r="L57" s="38" t="n">
        <v>0</v>
      </c>
      <c r="M57" s="38" t="n">
        <v>350</v>
      </c>
      <c r="N57" s="38" t="n"/>
      <c r="O57" s="38" t="n"/>
      <c r="P57" s="38" t="n"/>
      <c r="Q57" s="38" t="n"/>
      <c r="R57" s="42">
        <f>IF(N57&lt;&gt;"",N57,IF(I57=0,0,ROUND(I57*M57,0)))</f>
        <v/>
      </c>
      <c r="S57" s="42">
        <f>IF(O57&lt;&gt;"",O57,IF(J57=0,0,ROUND(J57*M57,0)))</f>
        <v/>
      </c>
      <c r="T57" s="42">
        <f>IF(P57&lt;&gt;"",P57,IF(K57=0,0,ROUND(K57*M57,0)))</f>
        <v/>
      </c>
      <c r="U57" s="42">
        <f>IF(Q57&lt;&gt;"",Q57,IF(L57=0,0,ROUND(L57*M57,0)))</f>
        <v/>
      </c>
      <c r="V57" s="18" t="inlineStr">
        <is>
          <t>data/guild_rules.yaml; max_level/category: guilds/constants.py; formula: guilds/services/technology.py</t>
        </is>
      </c>
    </row>
    <row r="58" ht="27" customHeight="1">
      <c r="A58" s="17" t="inlineStr">
        <is>
          <t>resource_boost</t>
        </is>
      </c>
      <c r="B58" s="18" t="inlineStr">
        <is>
          <t>资源增产</t>
        </is>
      </c>
      <c r="C58" s="18" t="inlineStr">
        <is>
          <t>福利类</t>
        </is>
      </c>
      <c r="D58" s="17" t="n">
        <v>0</v>
      </c>
      <c r="E58" s="24">
        <f>D58+1</f>
        <v/>
      </c>
      <c r="F58" s="17" t="n">
        <v>5</v>
      </c>
      <c r="G58" s="40">
        <f>'参数与公式'!$B$11</f>
        <v/>
      </c>
      <c r="H58" s="18" t="inlineStr">
        <is>
          <t>welfare_5</t>
        </is>
      </c>
      <c r="I58" s="38" t="n">
        <v>10000</v>
      </c>
      <c r="J58" s="38" t="n">
        <v>5000</v>
      </c>
      <c r="K58" s="38" t="n">
        <v>3</v>
      </c>
      <c r="L58" s="38" t="n">
        <v>0</v>
      </c>
      <c r="M58" s="38" t="n">
        <v>1</v>
      </c>
      <c r="N58" s="38" t="n"/>
      <c r="O58" s="38" t="n"/>
      <c r="P58" s="38" t="n"/>
      <c r="Q58" s="38" t="n"/>
      <c r="R58" s="42">
        <f>IF(N58&lt;&gt;"",N58,IF(I58=0,0,ROUND(I58*M58,0)))</f>
        <v/>
      </c>
      <c r="S58" s="42">
        <f>IF(O58&lt;&gt;"",O58,IF(J58=0,0,ROUND(J58*M58,0)))</f>
        <v/>
      </c>
      <c r="T58" s="42">
        <f>IF(P58&lt;&gt;"",P58,IF(K58=0,0,ROUND(K58*M58,0)))</f>
        <v/>
      </c>
      <c r="U58" s="42">
        <f>IF(Q58&lt;&gt;"",Q58,IF(L58=0,0,ROUND(L58*M58,0)))</f>
        <v/>
      </c>
      <c r="V58" s="18" t="inlineStr">
        <is>
          <t>data/guild_rules.yaml; max_level/category: guilds/constants.py; formula: guilds/services/technology.py</t>
        </is>
      </c>
    </row>
    <row r="59" ht="27" customHeight="1">
      <c r="A59" s="17" t="inlineStr">
        <is>
          <t>resource_boost</t>
        </is>
      </c>
      <c r="B59" s="18" t="inlineStr">
        <is>
          <t>资源增产</t>
        </is>
      </c>
      <c r="C59" s="18" t="inlineStr">
        <is>
          <t>福利类</t>
        </is>
      </c>
      <c r="D59" s="17" t="n">
        <v>1</v>
      </c>
      <c r="E59" s="24">
        <f>D59+1</f>
        <v/>
      </c>
      <c r="F59" s="17" t="n">
        <v>5</v>
      </c>
      <c r="G59" s="40">
        <f>'参数与公式'!$B$11</f>
        <v/>
      </c>
      <c r="H59" s="18" t="inlineStr">
        <is>
          <t>welfare_5</t>
        </is>
      </c>
      <c r="I59" s="38" t="n">
        <v>10000</v>
      </c>
      <c r="J59" s="38" t="n">
        <v>5000</v>
      </c>
      <c r="K59" s="38" t="n">
        <v>3</v>
      </c>
      <c r="L59" s="38" t="n">
        <v>0</v>
      </c>
      <c r="M59" s="38" t="n">
        <v>3</v>
      </c>
      <c r="N59" s="38" t="n"/>
      <c r="O59" s="38" t="n"/>
      <c r="P59" s="38" t="n"/>
      <c r="Q59" s="38" t="n"/>
      <c r="R59" s="42">
        <f>IF(N59&lt;&gt;"",N59,IF(I59=0,0,ROUND(I59*M59,0)))</f>
        <v/>
      </c>
      <c r="S59" s="42">
        <f>IF(O59&lt;&gt;"",O59,IF(J59=0,0,ROUND(J59*M59,0)))</f>
        <v/>
      </c>
      <c r="T59" s="42">
        <f>IF(P59&lt;&gt;"",P59,IF(K59=0,0,ROUND(K59*M59,0)))</f>
        <v/>
      </c>
      <c r="U59" s="42">
        <f>IF(Q59&lt;&gt;"",Q59,IF(L59=0,0,ROUND(L59*M59,0)))</f>
        <v/>
      </c>
      <c r="V59" s="18" t="inlineStr">
        <is>
          <t>data/guild_rules.yaml; max_level/category: guilds/constants.py; formula: guilds/services/technology.py</t>
        </is>
      </c>
    </row>
    <row r="60" ht="27" customHeight="1">
      <c r="A60" s="17" t="inlineStr">
        <is>
          <t>resource_boost</t>
        </is>
      </c>
      <c r="B60" s="18" t="inlineStr">
        <is>
          <t>资源增产</t>
        </is>
      </c>
      <c r="C60" s="18" t="inlineStr">
        <is>
          <t>福利类</t>
        </is>
      </c>
      <c r="D60" s="17" t="n">
        <v>2</v>
      </c>
      <c r="E60" s="24">
        <f>D60+1</f>
        <v/>
      </c>
      <c r="F60" s="17" t="n">
        <v>5</v>
      </c>
      <c r="G60" s="40">
        <f>'参数与公式'!$B$11</f>
        <v/>
      </c>
      <c r="H60" s="18" t="inlineStr">
        <is>
          <t>welfare_5</t>
        </is>
      </c>
      <c r="I60" s="38" t="n">
        <v>10000</v>
      </c>
      <c r="J60" s="38" t="n">
        <v>5000</v>
      </c>
      <c r="K60" s="38" t="n">
        <v>3</v>
      </c>
      <c r="L60" s="38" t="n">
        <v>0</v>
      </c>
      <c r="M60" s="38" t="n">
        <v>8</v>
      </c>
      <c r="N60" s="38" t="n"/>
      <c r="O60" s="38" t="n"/>
      <c r="P60" s="38" t="n"/>
      <c r="Q60" s="38" t="n"/>
      <c r="R60" s="42">
        <f>IF(N60&lt;&gt;"",N60,IF(I60=0,0,ROUND(I60*M60,0)))</f>
        <v/>
      </c>
      <c r="S60" s="42">
        <f>IF(O60&lt;&gt;"",O60,IF(J60=0,0,ROUND(J60*M60,0)))</f>
        <v/>
      </c>
      <c r="T60" s="42">
        <f>IF(P60&lt;&gt;"",P60,IF(K60=0,0,ROUND(K60*M60,0)))</f>
        <v/>
      </c>
      <c r="U60" s="42">
        <f>IF(Q60&lt;&gt;"",Q60,IF(L60=0,0,ROUND(L60*M60,0)))</f>
        <v/>
      </c>
      <c r="V60" s="18" t="inlineStr">
        <is>
          <t>data/guild_rules.yaml; max_level/category: guilds/constants.py; formula: guilds/services/technology.py</t>
        </is>
      </c>
    </row>
    <row r="61" ht="27" customHeight="1">
      <c r="A61" s="17" t="inlineStr">
        <is>
          <t>resource_boost</t>
        </is>
      </c>
      <c r="B61" s="18" t="inlineStr">
        <is>
          <t>资源增产</t>
        </is>
      </c>
      <c r="C61" s="18" t="inlineStr">
        <is>
          <t>福利类</t>
        </is>
      </c>
      <c r="D61" s="17" t="n">
        <v>3</v>
      </c>
      <c r="E61" s="24">
        <f>D61+1</f>
        <v/>
      </c>
      <c r="F61" s="17" t="n">
        <v>5</v>
      </c>
      <c r="G61" s="40">
        <f>'参数与公式'!$B$11</f>
        <v/>
      </c>
      <c r="H61" s="18" t="inlineStr">
        <is>
          <t>welfare_5</t>
        </is>
      </c>
      <c r="I61" s="38" t="n">
        <v>10000</v>
      </c>
      <c r="J61" s="38" t="n">
        <v>5000</v>
      </c>
      <c r="K61" s="38" t="n">
        <v>3</v>
      </c>
      <c r="L61" s="38" t="n">
        <v>0</v>
      </c>
      <c r="M61" s="38" t="n">
        <v>20</v>
      </c>
      <c r="N61" s="38" t="n"/>
      <c r="O61" s="38" t="n"/>
      <c r="P61" s="38" t="n"/>
      <c r="Q61" s="38" t="n"/>
      <c r="R61" s="42">
        <f>IF(N61&lt;&gt;"",N61,IF(I61=0,0,ROUND(I61*M61,0)))</f>
        <v/>
      </c>
      <c r="S61" s="42">
        <f>IF(O61&lt;&gt;"",O61,IF(J61=0,0,ROUND(J61*M61,0)))</f>
        <v/>
      </c>
      <c r="T61" s="42">
        <f>IF(P61&lt;&gt;"",P61,IF(K61=0,0,ROUND(K61*M61,0)))</f>
        <v/>
      </c>
      <c r="U61" s="42">
        <f>IF(Q61&lt;&gt;"",Q61,IF(L61=0,0,ROUND(L61*M61,0)))</f>
        <v/>
      </c>
      <c r="V61" s="18" t="inlineStr">
        <is>
          <t>data/guild_rules.yaml; max_level/category: guilds/constants.py; formula: guilds/services/technology.py</t>
        </is>
      </c>
    </row>
    <row r="62" ht="27" customHeight="1">
      <c r="A62" s="17" t="inlineStr">
        <is>
          <t>resource_boost</t>
        </is>
      </c>
      <c r="B62" s="18" t="inlineStr">
        <is>
          <t>资源增产</t>
        </is>
      </c>
      <c r="C62" s="18" t="inlineStr">
        <is>
          <t>福利类</t>
        </is>
      </c>
      <c r="D62" s="17" t="n">
        <v>4</v>
      </c>
      <c r="E62" s="24">
        <f>D62+1</f>
        <v/>
      </c>
      <c r="F62" s="17" t="n">
        <v>5</v>
      </c>
      <c r="G62" s="40">
        <f>'参数与公式'!$B$11</f>
        <v/>
      </c>
      <c r="H62" s="18" t="inlineStr">
        <is>
          <t>welfare_5</t>
        </is>
      </c>
      <c r="I62" s="38" t="n">
        <v>10000</v>
      </c>
      <c r="J62" s="38" t="n">
        <v>5000</v>
      </c>
      <c r="K62" s="38" t="n">
        <v>3</v>
      </c>
      <c r="L62" s="38" t="n">
        <v>0</v>
      </c>
      <c r="M62" s="38" t="n">
        <v>60</v>
      </c>
      <c r="N62" s="38" t="n"/>
      <c r="O62" s="38" t="n"/>
      <c r="P62" s="38" t="n"/>
      <c r="Q62" s="38" t="n"/>
      <c r="R62" s="42">
        <f>IF(N62&lt;&gt;"",N62,IF(I62=0,0,ROUND(I62*M62,0)))</f>
        <v/>
      </c>
      <c r="S62" s="42">
        <f>IF(O62&lt;&gt;"",O62,IF(J62=0,0,ROUND(J62*M62,0)))</f>
        <v/>
      </c>
      <c r="T62" s="42">
        <f>IF(P62&lt;&gt;"",P62,IF(K62=0,0,ROUND(K62*M62,0)))</f>
        <v/>
      </c>
      <c r="U62" s="42">
        <f>IF(Q62&lt;&gt;"",Q62,IF(L62=0,0,ROUND(L62*M62,0)))</f>
        <v/>
      </c>
      <c r="V62" s="18" t="inlineStr">
        <is>
          <t>data/guild_rules.yaml; max_level/category: guilds/constants.py; formula: guilds/services/technology.py</t>
        </is>
      </c>
    </row>
    <row r="63" ht="27" customHeight="1">
      <c r="A63" s="17" t="inlineStr">
        <is>
          <t>march_speed</t>
        </is>
      </c>
      <c r="B63" s="18" t="inlineStr">
        <is>
          <t>行军加速</t>
        </is>
      </c>
      <c r="C63" s="18" t="inlineStr">
        <is>
          <t>福利类</t>
        </is>
      </c>
      <c r="D63" s="17" t="n">
        <v>0</v>
      </c>
      <c r="E63" s="24">
        <f>D63+1</f>
        <v/>
      </c>
      <c r="F63" s="17" t="n">
        <v>5</v>
      </c>
      <c r="G63" s="40">
        <f>'参数与公式'!$B$11</f>
        <v/>
      </c>
      <c r="H63" s="18" t="inlineStr">
        <is>
          <t>welfare_5</t>
        </is>
      </c>
      <c r="I63" s="38" t="n">
        <v>10000</v>
      </c>
      <c r="J63" s="38" t="n">
        <v>5000</v>
      </c>
      <c r="K63" s="38" t="n">
        <v>3</v>
      </c>
      <c r="L63" s="38" t="n">
        <v>0</v>
      </c>
      <c r="M63" s="38" t="n">
        <v>1</v>
      </c>
      <c r="N63" s="38" t="n"/>
      <c r="O63" s="38" t="n"/>
      <c r="P63" s="38" t="n"/>
      <c r="Q63" s="38" t="n"/>
      <c r="R63" s="42">
        <f>IF(N63&lt;&gt;"",N63,IF(I63=0,0,ROUND(I63*M63,0)))</f>
        <v/>
      </c>
      <c r="S63" s="42">
        <f>IF(O63&lt;&gt;"",O63,IF(J63=0,0,ROUND(J63*M63,0)))</f>
        <v/>
      </c>
      <c r="T63" s="42">
        <f>IF(P63&lt;&gt;"",P63,IF(K63=0,0,ROUND(K63*M63,0)))</f>
        <v/>
      </c>
      <c r="U63" s="42">
        <f>IF(Q63&lt;&gt;"",Q63,IF(L63=0,0,ROUND(L63*M63,0)))</f>
        <v/>
      </c>
      <c r="V63" s="18" t="inlineStr">
        <is>
          <t>data/guild_rules.yaml; max_level/category: guilds/constants.py; formula: guilds/services/technology.py</t>
        </is>
      </c>
    </row>
    <row r="64" ht="27" customHeight="1">
      <c r="A64" s="17" t="inlineStr">
        <is>
          <t>march_speed</t>
        </is>
      </c>
      <c r="B64" s="18" t="inlineStr">
        <is>
          <t>行军加速</t>
        </is>
      </c>
      <c r="C64" s="18" t="inlineStr">
        <is>
          <t>福利类</t>
        </is>
      </c>
      <c r="D64" s="17" t="n">
        <v>1</v>
      </c>
      <c r="E64" s="24">
        <f>D64+1</f>
        <v/>
      </c>
      <c r="F64" s="17" t="n">
        <v>5</v>
      </c>
      <c r="G64" s="40">
        <f>'参数与公式'!$B$11</f>
        <v/>
      </c>
      <c r="H64" s="18" t="inlineStr">
        <is>
          <t>welfare_5</t>
        </is>
      </c>
      <c r="I64" s="38" t="n">
        <v>10000</v>
      </c>
      <c r="J64" s="38" t="n">
        <v>5000</v>
      </c>
      <c r="K64" s="38" t="n">
        <v>3</v>
      </c>
      <c r="L64" s="38" t="n">
        <v>0</v>
      </c>
      <c r="M64" s="38" t="n">
        <v>3</v>
      </c>
      <c r="N64" s="38" t="n"/>
      <c r="O64" s="38" t="n"/>
      <c r="P64" s="38" t="n"/>
      <c r="Q64" s="38" t="n"/>
      <c r="R64" s="42">
        <f>IF(N64&lt;&gt;"",N64,IF(I64=0,0,ROUND(I64*M64,0)))</f>
        <v/>
      </c>
      <c r="S64" s="42">
        <f>IF(O64&lt;&gt;"",O64,IF(J64=0,0,ROUND(J64*M64,0)))</f>
        <v/>
      </c>
      <c r="T64" s="42">
        <f>IF(P64&lt;&gt;"",P64,IF(K64=0,0,ROUND(K64*M64,0)))</f>
        <v/>
      </c>
      <c r="U64" s="42">
        <f>IF(Q64&lt;&gt;"",Q64,IF(L64=0,0,ROUND(L64*M64,0)))</f>
        <v/>
      </c>
      <c r="V64" s="18" t="inlineStr">
        <is>
          <t>data/guild_rules.yaml; max_level/category: guilds/constants.py; formula: guilds/services/technology.py</t>
        </is>
      </c>
    </row>
    <row r="65" ht="27" customHeight="1">
      <c r="A65" s="17" t="inlineStr">
        <is>
          <t>march_speed</t>
        </is>
      </c>
      <c r="B65" s="18" t="inlineStr">
        <is>
          <t>行军加速</t>
        </is>
      </c>
      <c r="C65" s="18" t="inlineStr">
        <is>
          <t>福利类</t>
        </is>
      </c>
      <c r="D65" s="17" t="n">
        <v>2</v>
      </c>
      <c r="E65" s="24">
        <f>D65+1</f>
        <v/>
      </c>
      <c r="F65" s="17" t="n">
        <v>5</v>
      </c>
      <c r="G65" s="40">
        <f>'参数与公式'!$B$11</f>
        <v/>
      </c>
      <c r="H65" s="18" t="inlineStr">
        <is>
          <t>welfare_5</t>
        </is>
      </c>
      <c r="I65" s="38" t="n">
        <v>10000</v>
      </c>
      <c r="J65" s="38" t="n">
        <v>5000</v>
      </c>
      <c r="K65" s="38" t="n">
        <v>3</v>
      </c>
      <c r="L65" s="38" t="n">
        <v>0</v>
      </c>
      <c r="M65" s="38" t="n">
        <v>8</v>
      </c>
      <c r="N65" s="38" t="n"/>
      <c r="O65" s="38" t="n"/>
      <c r="P65" s="38" t="n"/>
      <c r="Q65" s="38" t="n"/>
      <c r="R65" s="42">
        <f>IF(N65&lt;&gt;"",N65,IF(I65=0,0,ROUND(I65*M65,0)))</f>
        <v/>
      </c>
      <c r="S65" s="42">
        <f>IF(O65&lt;&gt;"",O65,IF(J65=0,0,ROUND(J65*M65,0)))</f>
        <v/>
      </c>
      <c r="T65" s="42">
        <f>IF(P65&lt;&gt;"",P65,IF(K65=0,0,ROUND(K65*M65,0)))</f>
        <v/>
      </c>
      <c r="U65" s="42">
        <f>IF(Q65&lt;&gt;"",Q65,IF(L65=0,0,ROUND(L65*M65,0)))</f>
        <v/>
      </c>
      <c r="V65" s="18" t="inlineStr">
        <is>
          <t>data/guild_rules.yaml; max_level/category: guilds/constants.py; formula: guilds/services/technology.py</t>
        </is>
      </c>
    </row>
    <row r="66" ht="27" customHeight="1">
      <c r="A66" s="17" t="inlineStr">
        <is>
          <t>march_speed</t>
        </is>
      </c>
      <c r="B66" s="18" t="inlineStr">
        <is>
          <t>行军加速</t>
        </is>
      </c>
      <c r="C66" s="18" t="inlineStr">
        <is>
          <t>福利类</t>
        </is>
      </c>
      <c r="D66" s="17" t="n">
        <v>3</v>
      </c>
      <c r="E66" s="24">
        <f>D66+1</f>
        <v/>
      </c>
      <c r="F66" s="17" t="n">
        <v>5</v>
      </c>
      <c r="G66" s="40">
        <f>'参数与公式'!$B$11</f>
        <v/>
      </c>
      <c r="H66" s="18" t="inlineStr">
        <is>
          <t>welfare_5</t>
        </is>
      </c>
      <c r="I66" s="38" t="n">
        <v>10000</v>
      </c>
      <c r="J66" s="38" t="n">
        <v>5000</v>
      </c>
      <c r="K66" s="38" t="n">
        <v>3</v>
      </c>
      <c r="L66" s="38" t="n">
        <v>0</v>
      </c>
      <c r="M66" s="38" t="n">
        <v>20</v>
      </c>
      <c r="N66" s="38" t="n"/>
      <c r="O66" s="38" t="n"/>
      <c r="P66" s="38" t="n"/>
      <c r="Q66" s="38" t="n"/>
      <c r="R66" s="42">
        <f>IF(N66&lt;&gt;"",N66,IF(I66=0,0,ROUND(I66*M66,0)))</f>
        <v/>
      </c>
      <c r="S66" s="42">
        <f>IF(O66&lt;&gt;"",O66,IF(J66=0,0,ROUND(J66*M66,0)))</f>
        <v/>
      </c>
      <c r="T66" s="42">
        <f>IF(P66&lt;&gt;"",P66,IF(K66=0,0,ROUND(K66*M66,0)))</f>
        <v/>
      </c>
      <c r="U66" s="42">
        <f>IF(Q66&lt;&gt;"",Q66,IF(L66=0,0,ROUND(L66*M66,0)))</f>
        <v/>
      </c>
      <c r="V66" s="18" t="inlineStr">
        <is>
          <t>data/guild_rules.yaml; max_level/category: guilds/constants.py; formula: guilds/services/technology.py</t>
        </is>
      </c>
    </row>
    <row r="67" ht="27" customHeight="1">
      <c r="A67" s="17" t="inlineStr">
        <is>
          <t>march_speed</t>
        </is>
      </c>
      <c r="B67" s="18" t="inlineStr">
        <is>
          <t>行军加速</t>
        </is>
      </c>
      <c r="C67" s="18" t="inlineStr">
        <is>
          <t>福利类</t>
        </is>
      </c>
      <c r="D67" s="17" t="n">
        <v>4</v>
      </c>
      <c r="E67" s="24">
        <f>D67+1</f>
        <v/>
      </c>
      <c r="F67" s="17" t="n">
        <v>5</v>
      </c>
      <c r="G67" s="40">
        <f>'参数与公式'!$B$11</f>
        <v/>
      </c>
      <c r="H67" s="18" t="inlineStr">
        <is>
          <t>welfare_5</t>
        </is>
      </c>
      <c r="I67" s="38" t="n">
        <v>10000</v>
      </c>
      <c r="J67" s="38" t="n">
        <v>5000</v>
      </c>
      <c r="K67" s="38" t="n">
        <v>3</v>
      </c>
      <c r="L67" s="38" t="n">
        <v>0</v>
      </c>
      <c r="M67" s="38" t="n">
        <v>60</v>
      </c>
      <c r="N67" s="38" t="n"/>
      <c r="O67" s="38" t="n"/>
      <c r="P67" s="38" t="n"/>
      <c r="Q67" s="38" t="n"/>
      <c r="R67" s="42">
        <f>IF(N67&lt;&gt;"",N67,IF(I67=0,0,ROUND(I67*M67,0)))</f>
        <v/>
      </c>
      <c r="S67" s="42">
        <f>IF(O67&lt;&gt;"",O67,IF(J67=0,0,ROUND(J67*M67,0)))</f>
        <v/>
      </c>
      <c r="T67" s="42">
        <f>IF(P67&lt;&gt;"",P67,IF(K67=0,0,ROUND(K67*M67,0)))</f>
        <v/>
      </c>
      <c r="U67" s="42">
        <f>IF(Q67&lt;&gt;"",Q67,IF(L67=0,0,ROUND(L67*M67,0)))</f>
        <v/>
      </c>
      <c r="V67" s="18" t="inlineStr">
        <is>
          <t>data/guild_rules.yaml; max_level/category: guilds/constants.py; formula: guilds/services/technology.py</t>
        </is>
      </c>
    </row>
    <row r="68" ht="27" customHeight="1">
      <c r="A68" s="17" t="inlineStr">
        <is>
          <t>guild_lineup_capacity</t>
        </is>
      </c>
      <c r="B68" s="18" t="inlineStr">
        <is>
          <t>出战位扩容</t>
        </is>
      </c>
      <c r="C68" s="18" t="inlineStr">
        <is>
          <t>战斗类</t>
        </is>
      </c>
      <c r="D68" s="17" t="n">
        <v>0</v>
      </c>
      <c r="E68" s="24">
        <f>D68+1</f>
        <v/>
      </c>
      <c r="F68" s="17" t="n">
        <v>20</v>
      </c>
      <c r="G68" s="40">
        <f>'参数与公式'!$B$11</f>
        <v/>
      </c>
      <c r="H68" s="18" t="inlineStr">
        <is>
          <t>capacity_20</t>
        </is>
      </c>
      <c r="I68" s="38" t="n">
        <v>0</v>
      </c>
      <c r="J68" s="38" t="n">
        <v>0</v>
      </c>
      <c r="K68" s="38" t="n">
        <v>0</v>
      </c>
      <c r="L68" s="38" t="n">
        <v>5</v>
      </c>
      <c r="M68" s="38" t="n">
        <v>1</v>
      </c>
      <c r="N68" s="38" t="n"/>
      <c r="O68" s="38" t="n"/>
      <c r="P68" s="38" t="n"/>
      <c r="Q68" s="38" t="n"/>
      <c r="R68" s="42">
        <f>IF(N68&lt;&gt;"",N68,IF(I68=0,0,ROUND(I68*M68,0)))</f>
        <v/>
      </c>
      <c r="S68" s="42">
        <f>IF(O68&lt;&gt;"",O68,IF(J68=0,0,ROUND(J68*M68,0)))</f>
        <v/>
      </c>
      <c r="T68" s="42">
        <f>IF(P68&lt;&gt;"",P68,IF(K68=0,0,ROUND(K68*M68,0)))</f>
        <v/>
      </c>
      <c r="U68" s="42">
        <f>IF(Q68&lt;&gt;"",Q68,IF(L68=0,0,ROUND(L68*M68,0)))</f>
        <v/>
      </c>
      <c r="V68" s="18" t="inlineStr">
        <is>
          <t>data/guild_rules.yaml; max_level/category: guilds/constants.py; formula: guilds/services/technology.py</t>
        </is>
      </c>
    </row>
    <row r="69" ht="27" customHeight="1">
      <c r="A69" s="17" t="inlineStr">
        <is>
          <t>guild_lineup_capacity</t>
        </is>
      </c>
      <c r="B69" s="18" t="inlineStr">
        <is>
          <t>出战位扩容</t>
        </is>
      </c>
      <c r="C69" s="18" t="inlineStr">
        <is>
          <t>战斗类</t>
        </is>
      </c>
      <c r="D69" s="17" t="n">
        <v>1</v>
      </c>
      <c r="E69" s="24">
        <f>D69+1</f>
        <v/>
      </c>
      <c r="F69" s="17" t="n">
        <v>20</v>
      </c>
      <c r="G69" s="40">
        <f>'参数与公式'!$B$11</f>
        <v/>
      </c>
      <c r="H69" s="18" t="inlineStr">
        <is>
          <t>capacity_20</t>
        </is>
      </c>
      <c r="I69" s="38" t="n">
        <v>0</v>
      </c>
      <c r="J69" s="38" t="n">
        <v>0</v>
      </c>
      <c r="K69" s="38" t="n">
        <v>0</v>
      </c>
      <c r="L69" s="38" t="n">
        <v>5</v>
      </c>
      <c r="M69" s="38" t="n">
        <v>2</v>
      </c>
      <c r="N69" s="38" t="n"/>
      <c r="O69" s="38" t="n"/>
      <c r="P69" s="38" t="n"/>
      <c r="Q69" s="38" t="n"/>
      <c r="R69" s="42">
        <f>IF(N69&lt;&gt;"",N69,IF(I69=0,0,ROUND(I69*M69,0)))</f>
        <v/>
      </c>
      <c r="S69" s="42">
        <f>IF(O69&lt;&gt;"",O69,IF(J69=0,0,ROUND(J69*M69,0)))</f>
        <v/>
      </c>
      <c r="T69" s="42">
        <f>IF(P69&lt;&gt;"",P69,IF(K69=0,0,ROUND(K69*M69,0)))</f>
        <v/>
      </c>
      <c r="U69" s="42">
        <f>IF(Q69&lt;&gt;"",Q69,IF(L69=0,0,ROUND(L69*M69,0)))</f>
        <v/>
      </c>
      <c r="V69" s="18" t="inlineStr">
        <is>
          <t>data/guild_rules.yaml; max_level/category: guilds/constants.py; formula: guilds/services/technology.py</t>
        </is>
      </c>
    </row>
    <row r="70" ht="27" customHeight="1">
      <c r="A70" s="17" t="inlineStr">
        <is>
          <t>guild_lineup_capacity</t>
        </is>
      </c>
      <c r="B70" s="18" t="inlineStr">
        <is>
          <t>出战位扩容</t>
        </is>
      </c>
      <c r="C70" s="18" t="inlineStr">
        <is>
          <t>战斗类</t>
        </is>
      </c>
      <c r="D70" s="17" t="n">
        <v>2</v>
      </c>
      <c r="E70" s="24">
        <f>D70+1</f>
        <v/>
      </c>
      <c r="F70" s="17" t="n">
        <v>20</v>
      </c>
      <c r="G70" s="40">
        <f>'参数与公式'!$B$11</f>
        <v/>
      </c>
      <c r="H70" s="18" t="inlineStr">
        <is>
          <t>capacity_20</t>
        </is>
      </c>
      <c r="I70" s="38" t="n">
        <v>0</v>
      </c>
      <c r="J70" s="38" t="n">
        <v>0</v>
      </c>
      <c r="K70" s="38" t="n">
        <v>0</v>
      </c>
      <c r="L70" s="38" t="n">
        <v>5</v>
      </c>
      <c r="M70" s="38" t="n">
        <v>3</v>
      </c>
      <c r="N70" s="38" t="n"/>
      <c r="O70" s="38" t="n"/>
      <c r="P70" s="38" t="n"/>
      <c r="Q70" s="38" t="n"/>
      <c r="R70" s="42">
        <f>IF(N70&lt;&gt;"",N70,IF(I70=0,0,ROUND(I70*M70,0)))</f>
        <v/>
      </c>
      <c r="S70" s="42">
        <f>IF(O70&lt;&gt;"",O70,IF(J70=0,0,ROUND(J70*M70,0)))</f>
        <v/>
      </c>
      <c r="T70" s="42">
        <f>IF(P70&lt;&gt;"",P70,IF(K70=0,0,ROUND(K70*M70,0)))</f>
        <v/>
      </c>
      <c r="U70" s="42">
        <f>IF(Q70&lt;&gt;"",Q70,IF(L70=0,0,ROUND(L70*M70,0)))</f>
        <v/>
      </c>
      <c r="V70" s="18" t="inlineStr">
        <is>
          <t>data/guild_rules.yaml; max_level/category: guilds/constants.py; formula: guilds/services/technology.py</t>
        </is>
      </c>
    </row>
    <row r="71" ht="27" customHeight="1">
      <c r="A71" s="17" t="inlineStr">
        <is>
          <t>guild_lineup_capacity</t>
        </is>
      </c>
      <c r="B71" s="18" t="inlineStr">
        <is>
          <t>出战位扩容</t>
        </is>
      </c>
      <c r="C71" s="18" t="inlineStr">
        <is>
          <t>战斗类</t>
        </is>
      </c>
      <c r="D71" s="17" t="n">
        <v>3</v>
      </c>
      <c r="E71" s="24">
        <f>D71+1</f>
        <v/>
      </c>
      <c r="F71" s="17" t="n">
        <v>20</v>
      </c>
      <c r="G71" s="40">
        <f>'参数与公式'!$B$11</f>
        <v/>
      </c>
      <c r="H71" s="18" t="inlineStr">
        <is>
          <t>capacity_20</t>
        </is>
      </c>
      <c r="I71" s="38" t="n">
        <v>0</v>
      </c>
      <c r="J71" s="38" t="n">
        <v>0</v>
      </c>
      <c r="K71" s="38" t="n">
        <v>0</v>
      </c>
      <c r="L71" s="38" t="n">
        <v>5</v>
      </c>
      <c r="M71" s="38" t="n">
        <v>4</v>
      </c>
      <c r="N71" s="38" t="n"/>
      <c r="O71" s="38" t="n"/>
      <c r="P71" s="38" t="n"/>
      <c r="Q71" s="38" t="n"/>
      <c r="R71" s="42">
        <f>IF(N71&lt;&gt;"",N71,IF(I71=0,0,ROUND(I71*M71,0)))</f>
        <v/>
      </c>
      <c r="S71" s="42">
        <f>IF(O71&lt;&gt;"",O71,IF(J71=0,0,ROUND(J71*M71,0)))</f>
        <v/>
      </c>
      <c r="T71" s="42">
        <f>IF(P71&lt;&gt;"",P71,IF(K71=0,0,ROUND(K71*M71,0)))</f>
        <v/>
      </c>
      <c r="U71" s="42">
        <f>IF(Q71&lt;&gt;"",Q71,IF(L71=0,0,ROUND(L71*M71,0)))</f>
        <v/>
      </c>
      <c r="V71" s="18" t="inlineStr">
        <is>
          <t>data/guild_rules.yaml; max_level/category: guilds/constants.py; formula: guilds/services/technology.py</t>
        </is>
      </c>
    </row>
    <row r="72" ht="27" customHeight="1">
      <c r="A72" s="17" t="inlineStr">
        <is>
          <t>guild_lineup_capacity</t>
        </is>
      </c>
      <c r="B72" s="18" t="inlineStr">
        <is>
          <t>出战位扩容</t>
        </is>
      </c>
      <c r="C72" s="18" t="inlineStr">
        <is>
          <t>战斗类</t>
        </is>
      </c>
      <c r="D72" s="17" t="n">
        <v>4</v>
      </c>
      <c r="E72" s="24">
        <f>D72+1</f>
        <v/>
      </c>
      <c r="F72" s="17" t="n">
        <v>20</v>
      </c>
      <c r="G72" s="40">
        <f>'参数与公式'!$B$11</f>
        <v/>
      </c>
      <c r="H72" s="18" t="inlineStr">
        <is>
          <t>capacity_20</t>
        </is>
      </c>
      <c r="I72" s="38" t="n">
        <v>0</v>
      </c>
      <c r="J72" s="38" t="n">
        <v>0</v>
      </c>
      <c r="K72" s="38" t="n">
        <v>0</v>
      </c>
      <c r="L72" s="38" t="n">
        <v>5</v>
      </c>
      <c r="M72" s="38" t="n">
        <v>5</v>
      </c>
      <c r="N72" s="38" t="n"/>
      <c r="O72" s="38" t="n"/>
      <c r="P72" s="38" t="n"/>
      <c r="Q72" s="38" t="n"/>
      <c r="R72" s="42">
        <f>IF(N72&lt;&gt;"",N72,IF(I72=0,0,ROUND(I72*M72,0)))</f>
        <v/>
      </c>
      <c r="S72" s="42">
        <f>IF(O72&lt;&gt;"",O72,IF(J72=0,0,ROUND(J72*M72,0)))</f>
        <v/>
      </c>
      <c r="T72" s="42">
        <f>IF(P72&lt;&gt;"",P72,IF(K72=0,0,ROUND(K72*M72,0)))</f>
        <v/>
      </c>
      <c r="U72" s="42">
        <f>IF(Q72&lt;&gt;"",Q72,IF(L72=0,0,ROUND(L72*M72,0)))</f>
        <v/>
      </c>
      <c r="V72" s="18" t="inlineStr">
        <is>
          <t>data/guild_rules.yaml; max_level/category: guilds/constants.py; formula: guilds/services/technology.py</t>
        </is>
      </c>
    </row>
    <row r="73" ht="27" customHeight="1">
      <c r="A73" s="17" t="inlineStr">
        <is>
          <t>guild_lineup_capacity</t>
        </is>
      </c>
      <c r="B73" s="18" t="inlineStr">
        <is>
          <t>出战位扩容</t>
        </is>
      </c>
      <c r="C73" s="18" t="inlineStr">
        <is>
          <t>战斗类</t>
        </is>
      </c>
      <c r="D73" s="17" t="n">
        <v>5</v>
      </c>
      <c r="E73" s="24">
        <f>D73+1</f>
        <v/>
      </c>
      <c r="F73" s="17" t="n">
        <v>20</v>
      </c>
      <c r="G73" s="40">
        <f>'参数与公式'!$B$11</f>
        <v/>
      </c>
      <c r="H73" s="18" t="inlineStr">
        <is>
          <t>capacity_20</t>
        </is>
      </c>
      <c r="I73" s="38" t="n">
        <v>0</v>
      </c>
      <c r="J73" s="38" t="n">
        <v>0</v>
      </c>
      <c r="K73" s="38" t="n">
        <v>0</v>
      </c>
      <c r="L73" s="38" t="n">
        <v>5</v>
      </c>
      <c r="M73" s="38" t="n">
        <v>6</v>
      </c>
      <c r="N73" s="38" t="n"/>
      <c r="O73" s="38" t="n"/>
      <c r="P73" s="38" t="n"/>
      <c r="Q73" s="38" t="n"/>
      <c r="R73" s="42">
        <f>IF(N73&lt;&gt;"",N73,IF(I73=0,0,ROUND(I73*M73,0)))</f>
        <v/>
      </c>
      <c r="S73" s="42">
        <f>IF(O73&lt;&gt;"",O73,IF(J73=0,0,ROUND(J73*M73,0)))</f>
        <v/>
      </c>
      <c r="T73" s="42">
        <f>IF(P73&lt;&gt;"",P73,IF(K73=0,0,ROUND(K73*M73,0)))</f>
        <v/>
      </c>
      <c r="U73" s="42">
        <f>IF(Q73&lt;&gt;"",Q73,IF(L73=0,0,ROUND(L73*M73,0)))</f>
        <v/>
      </c>
      <c r="V73" s="18" t="inlineStr">
        <is>
          <t>data/guild_rules.yaml; max_level/category: guilds/constants.py; formula: guilds/services/technology.py</t>
        </is>
      </c>
    </row>
    <row r="74" ht="27" customHeight="1">
      <c r="A74" s="17" t="inlineStr">
        <is>
          <t>guild_lineup_capacity</t>
        </is>
      </c>
      <c r="B74" s="18" t="inlineStr">
        <is>
          <t>出战位扩容</t>
        </is>
      </c>
      <c r="C74" s="18" t="inlineStr">
        <is>
          <t>战斗类</t>
        </is>
      </c>
      <c r="D74" s="17" t="n">
        <v>6</v>
      </c>
      <c r="E74" s="24">
        <f>D74+1</f>
        <v/>
      </c>
      <c r="F74" s="17" t="n">
        <v>20</v>
      </c>
      <c r="G74" s="40">
        <f>'参数与公式'!$B$11</f>
        <v/>
      </c>
      <c r="H74" s="18" t="inlineStr">
        <is>
          <t>capacity_20</t>
        </is>
      </c>
      <c r="I74" s="38" t="n">
        <v>0</v>
      </c>
      <c r="J74" s="38" t="n">
        <v>0</v>
      </c>
      <c r="K74" s="38" t="n">
        <v>0</v>
      </c>
      <c r="L74" s="38" t="n">
        <v>5</v>
      </c>
      <c r="M74" s="38" t="n">
        <v>7</v>
      </c>
      <c r="N74" s="38" t="n"/>
      <c r="O74" s="38" t="n"/>
      <c r="P74" s="38" t="n"/>
      <c r="Q74" s="38" t="n"/>
      <c r="R74" s="42">
        <f>IF(N74&lt;&gt;"",N74,IF(I74=0,0,ROUND(I74*M74,0)))</f>
        <v/>
      </c>
      <c r="S74" s="42">
        <f>IF(O74&lt;&gt;"",O74,IF(J74=0,0,ROUND(J74*M74,0)))</f>
        <v/>
      </c>
      <c r="T74" s="42">
        <f>IF(P74&lt;&gt;"",P74,IF(K74=0,0,ROUND(K74*M74,0)))</f>
        <v/>
      </c>
      <c r="U74" s="42">
        <f>IF(Q74&lt;&gt;"",Q74,IF(L74=0,0,ROUND(L74*M74,0)))</f>
        <v/>
      </c>
      <c r="V74" s="18" t="inlineStr">
        <is>
          <t>data/guild_rules.yaml; max_level/category: guilds/constants.py; formula: guilds/services/technology.py</t>
        </is>
      </c>
    </row>
    <row r="75" ht="27" customHeight="1">
      <c r="A75" s="17" t="inlineStr">
        <is>
          <t>guild_lineup_capacity</t>
        </is>
      </c>
      <c r="B75" s="18" t="inlineStr">
        <is>
          <t>出战位扩容</t>
        </is>
      </c>
      <c r="C75" s="18" t="inlineStr">
        <is>
          <t>战斗类</t>
        </is>
      </c>
      <c r="D75" s="17" t="n">
        <v>7</v>
      </c>
      <c r="E75" s="24">
        <f>D75+1</f>
        <v/>
      </c>
      <c r="F75" s="17" t="n">
        <v>20</v>
      </c>
      <c r="G75" s="40">
        <f>'参数与公式'!$B$11</f>
        <v/>
      </c>
      <c r="H75" s="18" t="inlineStr">
        <is>
          <t>capacity_20</t>
        </is>
      </c>
      <c r="I75" s="38" t="n">
        <v>0</v>
      </c>
      <c r="J75" s="38" t="n">
        <v>0</v>
      </c>
      <c r="K75" s="38" t="n">
        <v>0</v>
      </c>
      <c r="L75" s="38" t="n">
        <v>5</v>
      </c>
      <c r="M75" s="38" t="n">
        <v>8</v>
      </c>
      <c r="N75" s="38" t="n"/>
      <c r="O75" s="38" t="n"/>
      <c r="P75" s="38" t="n"/>
      <c r="Q75" s="38" t="n"/>
      <c r="R75" s="42">
        <f>IF(N75&lt;&gt;"",N75,IF(I75=0,0,ROUND(I75*M75,0)))</f>
        <v/>
      </c>
      <c r="S75" s="42">
        <f>IF(O75&lt;&gt;"",O75,IF(J75=0,0,ROUND(J75*M75,0)))</f>
        <v/>
      </c>
      <c r="T75" s="42">
        <f>IF(P75&lt;&gt;"",P75,IF(K75=0,0,ROUND(K75*M75,0)))</f>
        <v/>
      </c>
      <c r="U75" s="42">
        <f>IF(Q75&lt;&gt;"",Q75,IF(L75=0,0,ROUND(L75*M75,0)))</f>
        <v/>
      </c>
      <c r="V75" s="18" t="inlineStr">
        <is>
          <t>data/guild_rules.yaml; max_level/category: guilds/constants.py; formula: guilds/services/technology.py</t>
        </is>
      </c>
    </row>
    <row r="76" ht="27" customHeight="1">
      <c r="A76" s="17" t="inlineStr">
        <is>
          <t>guild_lineup_capacity</t>
        </is>
      </c>
      <c r="B76" s="18" t="inlineStr">
        <is>
          <t>出战位扩容</t>
        </is>
      </c>
      <c r="C76" s="18" t="inlineStr">
        <is>
          <t>战斗类</t>
        </is>
      </c>
      <c r="D76" s="17" t="n">
        <v>8</v>
      </c>
      <c r="E76" s="24">
        <f>D76+1</f>
        <v/>
      </c>
      <c r="F76" s="17" t="n">
        <v>20</v>
      </c>
      <c r="G76" s="40">
        <f>'参数与公式'!$B$11</f>
        <v/>
      </c>
      <c r="H76" s="18" t="inlineStr">
        <is>
          <t>capacity_20</t>
        </is>
      </c>
      <c r="I76" s="38" t="n">
        <v>0</v>
      </c>
      <c r="J76" s="38" t="n">
        <v>0</v>
      </c>
      <c r="K76" s="38" t="n">
        <v>0</v>
      </c>
      <c r="L76" s="38" t="n">
        <v>5</v>
      </c>
      <c r="M76" s="38" t="n">
        <v>9</v>
      </c>
      <c r="N76" s="38" t="n"/>
      <c r="O76" s="38" t="n"/>
      <c r="P76" s="38" t="n"/>
      <c r="Q76" s="38" t="n"/>
      <c r="R76" s="42">
        <f>IF(N76&lt;&gt;"",N76,IF(I76=0,0,ROUND(I76*M76,0)))</f>
        <v/>
      </c>
      <c r="S76" s="42">
        <f>IF(O76&lt;&gt;"",O76,IF(J76=0,0,ROUND(J76*M76,0)))</f>
        <v/>
      </c>
      <c r="T76" s="42">
        <f>IF(P76&lt;&gt;"",P76,IF(K76=0,0,ROUND(K76*M76,0)))</f>
        <v/>
      </c>
      <c r="U76" s="42">
        <f>IF(Q76&lt;&gt;"",Q76,IF(L76=0,0,ROUND(L76*M76,0)))</f>
        <v/>
      </c>
      <c r="V76" s="18" t="inlineStr">
        <is>
          <t>data/guild_rules.yaml; max_level/category: guilds/constants.py; formula: guilds/services/technology.py</t>
        </is>
      </c>
    </row>
    <row r="77" ht="27" customHeight="1">
      <c r="A77" s="17" t="inlineStr">
        <is>
          <t>guild_lineup_capacity</t>
        </is>
      </c>
      <c r="B77" s="18" t="inlineStr">
        <is>
          <t>出战位扩容</t>
        </is>
      </c>
      <c r="C77" s="18" t="inlineStr">
        <is>
          <t>战斗类</t>
        </is>
      </c>
      <c r="D77" s="17" t="n">
        <v>9</v>
      </c>
      <c r="E77" s="24">
        <f>D77+1</f>
        <v/>
      </c>
      <c r="F77" s="17" t="n">
        <v>20</v>
      </c>
      <c r="G77" s="40">
        <f>'参数与公式'!$B$11</f>
        <v/>
      </c>
      <c r="H77" s="18" t="inlineStr">
        <is>
          <t>capacity_20</t>
        </is>
      </c>
      <c r="I77" s="38" t="n">
        <v>0</v>
      </c>
      <c r="J77" s="38" t="n">
        <v>0</v>
      </c>
      <c r="K77" s="38" t="n">
        <v>0</v>
      </c>
      <c r="L77" s="38" t="n">
        <v>5</v>
      </c>
      <c r="M77" s="38" t="n">
        <v>10</v>
      </c>
      <c r="N77" s="38" t="n"/>
      <c r="O77" s="38" t="n"/>
      <c r="P77" s="38" t="n"/>
      <c r="Q77" s="38" t="n"/>
      <c r="R77" s="42">
        <f>IF(N77&lt;&gt;"",N77,IF(I77=0,0,ROUND(I77*M77,0)))</f>
        <v/>
      </c>
      <c r="S77" s="42">
        <f>IF(O77&lt;&gt;"",O77,IF(J77=0,0,ROUND(J77*M77,0)))</f>
        <v/>
      </c>
      <c r="T77" s="42">
        <f>IF(P77&lt;&gt;"",P77,IF(K77=0,0,ROUND(K77*M77,0)))</f>
        <v/>
      </c>
      <c r="U77" s="42">
        <f>IF(Q77&lt;&gt;"",Q77,IF(L77=0,0,ROUND(L77*M77,0)))</f>
        <v/>
      </c>
      <c r="V77" s="18" t="inlineStr">
        <is>
          <t>data/guild_rules.yaml; max_level/category: guilds/constants.py; formula: guilds/services/technology.py</t>
        </is>
      </c>
    </row>
    <row r="78" ht="27" customHeight="1">
      <c r="A78" s="17" t="inlineStr">
        <is>
          <t>guild_lineup_capacity</t>
        </is>
      </c>
      <c r="B78" s="18" t="inlineStr">
        <is>
          <t>出战位扩容</t>
        </is>
      </c>
      <c r="C78" s="18" t="inlineStr">
        <is>
          <t>战斗类</t>
        </is>
      </c>
      <c r="D78" s="17" t="n">
        <v>10</v>
      </c>
      <c r="E78" s="24">
        <f>D78+1</f>
        <v/>
      </c>
      <c r="F78" s="17" t="n">
        <v>20</v>
      </c>
      <c r="G78" s="40">
        <f>'参数与公式'!$B$11</f>
        <v/>
      </c>
      <c r="H78" s="18" t="inlineStr">
        <is>
          <t>capacity_20</t>
        </is>
      </c>
      <c r="I78" s="38" t="n">
        <v>0</v>
      </c>
      <c r="J78" s="38" t="n">
        <v>0</v>
      </c>
      <c r="K78" s="38" t="n">
        <v>0</v>
      </c>
      <c r="L78" s="38" t="n">
        <v>5</v>
      </c>
      <c r="M78" s="38" t="n">
        <v>11</v>
      </c>
      <c r="N78" s="38" t="n"/>
      <c r="O78" s="38" t="n"/>
      <c r="P78" s="38" t="n"/>
      <c r="Q78" s="38" t="n"/>
      <c r="R78" s="42">
        <f>IF(N78&lt;&gt;"",N78,IF(I78=0,0,ROUND(I78*M78,0)))</f>
        <v/>
      </c>
      <c r="S78" s="42">
        <f>IF(O78&lt;&gt;"",O78,IF(J78=0,0,ROUND(J78*M78,0)))</f>
        <v/>
      </c>
      <c r="T78" s="42">
        <f>IF(P78&lt;&gt;"",P78,IF(K78=0,0,ROUND(K78*M78,0)))</f>
        <v/>
      </c>
      <c r="U78" s="42">
        <f>IF(Q78&lt;&gt;"",Q78,IF(L78=0,0,ROUND(L78*M78,0)))</f>
        <v/>
      </c>
      <c r="V78" s="18" t="inlineStr">
        <is>
          <t>data/guild_rules.yaml; max_level/category: guilds/constants.py; formula: guilds/services/technology.py</t>
        </is>
      </c>
    </row>
    <row r="79" ht="27" customHeight="1">
      <c r="A79" s="17" t="inlineStr">
        <is>
          <t>guild_lineup_capacity</t>
        </is>
      </c>
      <c r="B79" s="18" t="inlineStr">
        <is>
          <t>出战位扩容</t>
        </is>
      </c>
      <c r="C79" s="18" t="inlineStr">
        <is>
          <t>战斗类</t>
        </is>
      </c>
      <c r="D79" s="17" t="n">
        <v>11</v>
      </c>
      <c r="E79" s="24">
        <f>D79+1</f>
        <v/>
      </c>
      <c r="F79" s="17" t="n">
        <v>20</v>
      </c>
      <c r="G79" s="40">
        <f>'参数与公式'!$B$11</f>
        <v/>
      </c>
      <c r="H79" s="18" t="inlineStr">
        <is>
          <t>capacity_20</t>
        </is>
      </c>
      <c r="I79" s="38" t="n">
        <v>0</v>
      </c>
      <c r="J79" s="38" t="n">
        <v>0</v>
      </c>
      <c r="K79" s="38" t="n">
        <v>0</v>
      </c>
      <c r="L79" s="38" t="n">
        <v>5</v>
      </c>
      <c r="M79" s="38" t="n">
        <v>12</v>
      </c>
      <c r="N79" s="38" t="n"/>
      <c r="O79" s="38" t="n"/>
      <c r="P79" s="38" t="n"/>
      <c r="Q79" s="38" t="n"/>
      <c r="R79" s="42">
        <f>IF(N79&lt;&gt;"",N79,IF(I79=0,0,ROUND(I79*M79,0)))</f>
        <v/>
      </c>
      <c r="S79" s="42">
        <f>IF(O79&lt;&gt;"",O79,IF(J79=0,0,ROUND(J79*M79,0)))</f>
        <v/>
      </c>
      <c r="T79" s="42">
        <f>IF(P79&lt;&gt;"",P79,IF(K79=0,0,ROUND(K79*M79,0)))</f>
        <v/>
      </c>
      <c r="U79" s="42">
        <f>IF(Q79&lt;&gt;"",Q79,IF(L79=0,0,ROUND(L79*M79,0)))</f>
        <v/>
      </c>
      <c r="V79" s="18" t="inlineStr">
        <is>
          <t>data/guild_rules.yaml; max_level/category: guilds/constants.py; formula: guilds/services/technology.py</t>
        </is>
      </c>
    </row>
    <row r="80" ht="27" customHeight="1">
      <c r="A80" s="17" t="inlineStr">
        <is>
          <t>guild_lineup_capacity</t>
        </is>
      </c>
      <c r="B80" s="18" t="inlineStr">
        <is>
          <t>出战位扩容</t>
        </is>
      </c>
      <c r="C80" s="18" t="inlineStr">
        <is>
          <t>战斗类</t>
        </is>
      </c>
      <c r="D80" s="17" t="n">
        <v>12</v>
      </c>
      <c r="E80" s="24">
        <f>D80+1</f>
        <v/>
      </c>
      <c r="F80" s="17" t="n">
        <v>20</v>
      </c>
      <c r="G80" s="40">
        <f>'参数与公式'!$B$11</f>
        <v/>
      </c>
      <c r="H80" s="18" t="inlineStr">
        <is>
          <t>capacity_20</t>
        </is>
      </c>
      <c r="I80" s="38" t="n">
        <v>0</v>
      </c>
      <c r="J80" s="38" t="n">
        <v>0</v>
      </c>
      <c r="K80" s="38" t="n">
        <v>0</v>
      </c>
      <c r="L80" s="38" t="n">
        <v>5</v>
      </c>
      <c r="M80" s="38" t="n">
        <v>13</v>
      </c>
      <c r="N80" s="38" t="n"/>
      <c r="O80" s="38" t="n"/>
      <c r="P80" s="38" t="n"/>
      <c r="Q80" s="38" t="n"/>
      <c r="R80" s="42">
        <f>IF(N80&lt;&gt;"",N80,IF(I80=0,0,ROUND(I80*M80,0)))</f>
        <v/>
      </c>
      <c r="S80" s="42">
        <f>IF(O80&lt;&gt;"",O80,IF(J80=0,0,ROUND(J80*M80,0)))</f>
        <v/>
      </c>
      <c r="T80" s="42">
        <f>IF(P80&lt;&gt;"",P80,IF(K80=0,0,ROUND(K80*M80,0)))</f>
        <v/>
      </c>
      <c r="U80" s="42">
        <f>IF(Q80&lt;&gt;"",Q80,IF(L80=0,0,ROUND(L80*M80,0)))</f>
        <v/>
      </c>
      <c r="V80" s="18" t="inlineStr">
        <is>
          <t>data/guild_rules.yaml; max_level/category: guilds/constants.py; formula: guilds/services/technology.py</t>
        </is>
      </c>
    </row>
    <row r="81" ht="27" customHeight="1">
      <c r="A81" s="17" t="inlineStr">
        <is>
          <t>guild_lineup_capacity</t>
        </is>
      </c>
      <c r="B81" s="18" t="inlineStr">
        <is>
          <t>出战位扩容</t>
        </is>
      </c>
      <c r="C81" s="18" t="inlineStr">
        <is>
          <t>战斗类</t>
        </is>
      </c>
      <c r="D81" s="17" t="n">
        <v>13</v>
      </c>
      <c r="E81" s="24">
        <f>D81+1</f>
        <v/>
      </c>
      <c r="F81" s="17" t="n">
        <v>20</v>
      </c>
      <c r="G81" s="40">
        <f>'参数与公式'!$B$11</f>
        <v/>
      </c>
      <c r="H81" s="18" t="inlineStr">
        <is>
          <t>capacity_20</t>
        </is>
      </c>
      <c r="I81" s="38" t="n">
        <v>0</v>
      </c>
      <c r="J81" s="38" t="n">
        <v>0</v>
      </c>
      <c r="K81" s="38" t="n">
        <v>0</v>
      </c>
      <c r="L81" s="38" t="n">
        <v>5</v>
      </c>
      <c r="M81" s="38" t="n">
        <v>14</v>
      </c>
      <c r="N81" s="38" t="n"/>
      <c r="O81" s="38" t="n"/>
      <c r="P81" s="38" t="n"/>
      <c r="Q81" s="38" t="n"/>
      <c r="R81" s="42">
        <f>IF(N81&lt;&gt;"",N81,IF(I81=0,0,ROUND(I81*M81,0)))</f>
        <v/>
      </c>
      <c r="S81" s="42">
        <f>IF(O81&lt;&gt;"",O81,IF(J81=0,0,ROUND(J81*M81,0)))</f>
        <v/>
      </c>
      <c r="T81" s="42">
        <f>IF(P81&lt;&gt;"",P81,IF(K81=0,0,ROUND(K81*M81,0)))</f>
        <v/>
      </c>
      <c r="U81" s="42">
        <f>IF(Q81&lt;&gt;"",Q81,IF(L81=0,0,ROUND(L81*M81,0)))</f>
        <v/>
      </c>
      <c r="V81" s="18" t="inlineStr">
        <is>
          <t>data/guild_rules.yaml; max_level/category: guilds/constants.py; formula: guilds/services/technology.py</t>
        </is>
      </c>
    </row>
    <row r="82" ht="27" customHeight="1">
      <c r="A82" s="17" t="inlineStr">
        <is>
          <t>guild_lineup_capacity</t>
        </is>
      </c>
      <c r="B82" s="18" t="inlineStr">
        <is>
          <t>出战位扩容</t>
        </is>
      </c>
      <c r="C82" s="18" t="inlineStr">
        <is>
          <t>战斗类</t>
        </is>
      </c>
      <c r="D82" s="17" t="n">
        <v>14</v>
      </c>
      <c r="E82" s="24">
        <f>D82+1</f>
        <v/>
      </c>
      <c r="F82" s="17" t="n">
        <v>20</v>
      </c>
      <c r="G82" s="40">
        <f>'参数与公式'!$B$11</f>
        <v/>
      </c>
      <c r="H82" s="18" t="inlineStr">
        <is>
          <t>capacity_20</t>
        </is>
      </c>
      <c r="I82" s="38" t="n">
        <v>0</v>
      </c>
      <c r="J82" s="38" t="n">
        <v>0</v>
      </c>
      <c r="K82" s="38" t="n">
        <v>0</v>
      </c>
      <c r="L82" s="38" t="n">
        <v>5</v>
      </c>
      <c r="M82" s="38" t="n">
        <v>15</v>
      </c>
      <c r="N82" s="38" t="n"/>
      <c r="O82" s="38" t="n"/>
      <c r="P82" s="38" t="n"/>
      <c r="Q82" s="38" t="n"/>
      <c r="R82" s="42">
        <f>IF(N82&lt;&gt;"",N82,IF(I82=0,0,ROUND(I82*M82,0)))</f>
        <v/>
      </c>
      <c r="S82" s="42">
        <f>IF(O82&lt;&gt;"",O82,IF(J82=0,0,ROUND(J82*M82,0)))</f>
        <v/>
      </c>
      <c r="T82" s="42">
        <f>IF(P82&lt;&gt;"",P82,IF(K82=0,0,ROUND(K82*M82,0)))</f>
        <v/>
      </c>
      <c r="U82" s="42">
        <f>IF(Q82&lt;&gt;"",Q82,IF(L82=0,0,ROUND(L82*M82,0)))</f>
        <v/>
      </c>
      <c r="V82" s="18" t="inlineStr">
        <is>
          <t>data/guild_rules.yaml; max_level/category: guilds/constants.py; formula: guilds/services/technology.py</t>
        </is>
      </c>
    </row>
    <row r="83" ht="27" customHeight="1">
      <c r="A83" s="17" t="inlineStr">
        <is>
          <t>guild_lineup_capacity</t>
        </is>
      </c>
      <c r="B83" s="18" t="inlineStr">
        <is>
          <t>出战位扩容</t>
        </is>
      </c>
      <c r="C83" s="18" t="inlineStr">
        <is>
          <t>战斗类</t>
        </is>
      </c>
      <c r="D83" s="17" t="n">
        <v>15</v>
      </c>
      <c r="E83" s="24">
        <f>D83+1</f>
        <v/>
      </c>
      <c r="F83" s="17" t="n">
        <v>20</v>
      </c>
      <c r="G83" s="40">
        <f>'参数与公式'!$B$11</f>
        <v/>
      </c>
      <c r="H83" s="18" t="inlineStr">
        <is>
          <t>capacity_20</t>
        </is>
      </c>
      <c r="I83" s="38" t="n">
        <v>0</v>
      </c>
      <c r="J83" s="38" t="n">
        <v>0</v>
      </c>
      <c r="K83" s="38" t="n">
        <v>0</v>
      </c>
      <c r="L83" s="38" t="n">
        <v>5</v>
      </c>
      <c r="M83" s="38" t="n">
        <v>16</v>
      </c>
      <c r="N83" s="38" t="n"/>
      <c r="O83" s="38" t="n"/>
      <c r="P83" s="38" t="n"/>
      <c r="Q83" s="38" t="n"/>
      <c r="R83" s="42">
        <f>IF(N83&lt;&gt;"",N83,IF(I83=0,0,ROUND(I83*M83,0)))</f>
        <v/>
      </c>
      <c r="S83" s="42">
        <f>IF(O83&lt;&gt;"",O83,IF(J83=0,0,ROUND(J83*M83,0)))</f>
        <v/>
      </c>
      <c r="T83" s="42">
        <f>IF(P83&lt;&gt;"",P83,IF(K83=0,0,ROUND(K83*M83,0)))</f>
        <v/>
      </c>
      <c r="U83" s="42">
        <f>IF(Q83&lt;&gt;"",Q83,IF(L83=0,0,ROUND(L83*M83,0)))</f>
        <v/>
      </c>
      <c r="V83" s="18" t="inlineStr">
        <is>
          <t>data/guild_rules.yaml; max_level/category: guilds/constants.py; formula: guilds/services/technology.py</t>
        </is>
      </c>
    </row>
    <row r="84" ht="27" customHeight="1">
      <c r="A84" s="17" t="inlineStr">
        <is>
          <t>guild_lineup_capacity</t>
        </is>
      </c>
      <c r="B84" s="18" t="inlineStr">
        <is>
          <t>出战位扩容</t>
        </is>
      </c>
      <c r="C84" s="18" t="inlineStr">
        <is>
          <t>战斗类</t>
        </is>
      </c>
      <c r="D84" s="17" t="n">
        <v>16</v>
      </c>
      <c r="E84" s="24">
        <f>D84+1</f>
        <v/>
      </c>
      <c r="F84" s="17" t="n">
        <v>20</v>
      </c>
      <c r="G84" s="40">
        <f>'参数与公式'!$B$11</f>
        <v/>
      </c>
      <c r="H84" s="18" t="inlineStr">
        <is>
          <t>capacity_20</t>
        </is>
      </c>
      <c r="I84" s="38" t="n">
        <v>0</v>
      </c>
      <c r="J84" s="38" t="n">
        <v>0</v>
      </c>
      <c r="K84" s="38" t="n">
        <v>0</v>
      </c>
      <c r="L84" s="38" t="n">
        <v>5</v>
      </c>
      <c r="M84" s="38" t="n">
        <v>17</v>
      </c>
      <c r="N84" s="38" t="n"/>
      <c r="O84" s="38" t="n"/>
      <c r="P84" s="38" t="n"/>
      <c r="Q84" s="38" t="n"/>
      <c r="R84" s="42">
        <f>IF(N84&lt;&gt;"",N84,IF(I84=0,0,ROUND(I84*M84,0)))</f>
        <v/>
      </c>
      <c r="S84" s="42">
        <f>IF(O84&lt;&gt;"",O84,IF(J84=0,0,ROUND(J84*M84,0)))</f>
        <v/>
      </c>
      <c r="T84" s="42">
        <f>IF(P84&lt;&gt;"",P84,IF(K84=0,0,ROUND(K84*M84,0)))</f>
        <v/>
      </c>
      <c r="U84" s="42">
        <f>IF(Q84&lt;&gt;"",Q84,IF(L84=0,0,ROUND(L84*M84,0)))</f>
        <v/>
      </c>
      <c r="V84" s="18" t="inlineStr">
        <is>
          <t>data/guild_rules.yaml; max_level/category: guilds/constants.py; formula: guilds/services/technology.py</t>
        </is>
      </c>
    </row>
    <row r="85" ht="27" customHeight="1">
      <c r="A85" s="17" t="inlineStr">
        <is>
          <t>guild_lineup_capacity</t>
        </is>
      </c>
      <c r="B85" s="18" t="inlineStr">
        <is>
          <t>出战位扩容</t>
        </is>
      </c>
      <c r="C85" s="18" t="inlineStr">
        <is>
          <t>战斗类</t>
        </is>
      </c>
      <c r="D85" s="17" t="n">
        <v>17</v>
      </c>
      <c r="E85" s="24">
        <f>D85+1</f>
        <v/>
      </c>
      <c r="F85" s="17" t="n">
        <v>20</v>
      </c>
      <c r="G85" s="40">
        <f>'参数与公式'!$B$11</f>
        <v/>
      </c>
      <c r="H85" s="18" t="inlineStr">
        <is>
          <t>capacity_20</t>
        </is>
      </c>
      <c r="I85" s="38" t="n">
        <v>0</v>
      </c>
      <c r="J85" s="38" t="n">
        <v>0</v>
      </c>
      <c r="K85" s="38" t="n">
        <v>0</v>
      </c>
      <c r="L85" s="38" t="n">
        <v>5</v>
      </c>
      <c r="M85" s="38" t="n">
        <v>18</v>
      </c>
      <c r="N85" s="38" t="n"/>
      <c r="O85" s="38" t="n"/>
      <c r="P85" s="38" t="n"/>
      <c r="Q85" s="38" t="n"/>
      <c r="R85" s="42">
        <f>IF(N85&lt;&gt;"",N85,IF(I85=0,0,ROUND(I85*M85,0)))</f>
        <v/>
      </c>
      <c r="S85" s="42">
        <f>IF(O85&lt;&gt;"",O85,IF(J85=0,0,ROUND(J85*M85,0)))</f>
        <v/>
      </c>
      <c r="T85" s="42">
        <f>IF(P85&lt;&gt;"",P85,IF(K85=0,0,ROUND(K85*M85,0)))</f>
        <v/>
      </c>
      <c r="U85" s="42">
        <f>IF(Q85&lt;&gt;"",Q85,IF(L85=0,0,ROUND(L85*M85,0)))</f>
        <v/>
      </c>
      <c r="V85" s="18" t="inlineStr">
        <is>
          <t>data/guild_rules.yaml; max_level/category: guilds/constants.py; formula: guilds/services/technology.py</t>
        </is>
      </c>
    </row>
    <row r="86" ht="27" customHeight="1">
      <c r="A86" s="17" t="inlineStr">
        <is>
          <t>guild_lineup_capacity</t>
        </is>
      </c>
      <c r="B86" s="18" t="inlineStr">
        <is>
          <t>出战位扩容</t>
        </is>
      </c>
      <c r="C86" s="18" t="inlineStr">
        <is>
          <t>战斗类</t>
        </is>
      </c>
      <c r="D86" s="17" t="n">
        <v>18</v>
      </c>
      <c r="E86" s="24">
        <f>D86+1</f>
        <v/>
      </c>
      <c r="F86" s="17" t="n">
        <v>20</v>
      </c>
      <c r="G86" s="40">
        <f>'参数与公式'!$B$11</f>
        <v/>
      </c>
      <c r="H86" s="18" t="inlineStr">
        <is>
          <t>capacity_20</t>
        </is>
      </c>
      <c r="I86" s="38" t="n">
        <v>0</v>
      </c>
      <c r="J86" s="38" t="n">
        <v>0</v>
      </c>
      <c r="K86" s="38" t="n">
        <v>0</v>
      </c>
      <c r="L86" s="38" t="n">
        <v>5</v>
      </c>
      <c r="M86" s="38" t="n">
        <v>19</v>
      </c>
      <c r="N86" s="38" t="n"/>
      <c r="O86" s="38" t="n"/>
      <c r="P86" s="38" t="n"/>
      <c r="Q86" s="38" t="n"/>
      <c r="R86" s="42">
        <f>IF(N86&lt;&gt;"",N86,IF(I86=0,0,ROUND(I86*M86,0)))</f>
        <v/>
      </c>
      <c r="S86" s="42">
        <f>IF(O86&lt;&gt;"",O86,IF(J86=0,0,ROUND(J86*M86,0)))</f>
        <v/>
      </c>
      <c r="T86" s="42">
        <f>IF(P86&lt;&gt;"",P86,IF(K86=0,0,ROUND(K86*M86,0)))</f>
        <v/>
      </c>
      <c r="U86" s="42">
        <f>IF(Q86&lt;&gt;"",Q86,IF(L86=0,0,ROUND(L86*M86,0)))</f>
        <v/>
      </c>
      <c r="V86" s="18" t="inlineStr">
        <is>
          <t>data/guild_rules.yaml; max_level/category: guilds/constants.py; formula: guilds/services/technology.py</t>
        </is>
      </c>
    </row>
    <row r="87" ht="27" customHeight="1">
      <c r="A87" s="17" t="inlineStr">
        <is>
          <t>guild_lineup_capacity</t>
        </is>
      </c>
      <c r="B87" s="18" t="inlineStr">
        <is>
          <t>出战位扩容</t>
        </is>
      </c>
      <c r="C87" s="18" t="inlineStr">
        <is>
          <t>战斗类</t>
        </is>
      </c>
      <c r="D87" s="17" t="n">
        <v>19</v>
      </c>
      <c r="E87" s="24">
        <f>D87+1</f>
        <v/>
      </c>
      <c r="F87" s="17" t="n">
        <v>20</v>
      </c>
      <c r="G87" s="40">
        <f>'参数与公式'!$B$11</f>
        <v/>
      </c>
      <c r="H87" s="18" t="inlineStr">
        <is>
          <t>capacity_20</t>
        </is>
      </c>
      <c r="I87" s="38" t="n">
        <v>0</v>
      </c>
      <c r="J87" s="38" t="n">
        <v>0</v>
      </c>
      <c r="K87" s="38" t="n">
        <v>0</v>
      </c>
      <c r="L87" s="38" t="n">
        <v>5</v>
      </c>
      <c r="M87" s="38" t="n">
        <v>20</v>
      </c>
      <c r="N87" s="38" t="n"/>
      <c r="O87" s="38" t="n"/>
      <c r="P87" s="38" t="n"/>
      <c r="Q87" s="38" t="n"/>
      <c r="R87" s="42">
        <f>IF(N87&lt;&gt;"",N87,IF(I87=0,0,ROUND(I87*M87,0)))</f>
        <v/>
      </c>
      <c r="S87" s="42">
        <f>IF(O87&lt;&gt;"",O87,IF(J87=0,0,ROUND(J87*M87,0)))</f>
        <v/>
      </c>
      <c r="T87" s="42">
        <f>IF(P87&lt;&gt;"",P87,IF(K87=0,0,ROUND(K87*M87,0)))</f>
        <v/>
      </c>
      <c r="U87" s="42">
        <f>IF(Q87&lt;&gt;"",Q87,IF(L87=0,0,ROUND(L87*M87,0)))</f>
        <v/>
      </c>
      <c r="V87" s="18" t="inlineStr">
        <is>
          <t>data/guild_rules.yaml; max_level/category: guilds/constants.py; formula: guilds/services/technology.py</t>
        </is>
      </c>
    </row>
    <row r="88" ht="27" customHeight="1">
      <c r="A88" s="17" t="inlineStr">
        <is>
          <t>guild_dispatch_capacity</t>
        </is>
      </c>
      <c r="B88" s="18" t="inlineStr">
        <is>
          <t>出征位扩容</t>
        </is>
      </c>
      <c r="C88" s="18" t="inlineStr">
        <is>
          <t>战斗类</t>
        </is>
      </c>
      <c r="D88" s="17" t="n">
        <v>0</v>
      </c>
      <c r="E88" s="24">
        <f>D88+1</f>
        <v/>
      </c>
      <c r="F88" s="17" t="n">
        <v>20</v>
      </c>
      <c r="G88" s="40">
        <f>'参数与公式'!$B$11</f>
        <v/>
      </c>
      <c r="H88" s="18" t="inlineStr">
        <is>
          <t>capacity_20</t>
        </is>
      </c>
      <c r="I88" s="38" t="n">
        <v>0</v>
      </c>
      <c r="J88" s="38" t="n">
        <v>0</v>
      </c>
      <c r="K88" s="38" t="n">
        <v>0</v>
      </c>
      <c r="L88" s="38" t="n">
        <v>5</v>
      </c>
      <c r="M88" s="38" t="n">
        <v>1</v>
      </c>
      <c r="N88" s="38" t="n"/>
      <c r="O88" s="38" t="n"/>
      <c r="P88" s="38" t="n"/>
      <c r="Q88" s="38" t="n"/>
      <c r="R88" s="42">
        <f>IF(N88&lt;&gt;"",N88,IF(I88=0,0,ROUND(I88*M88,0)))</f>
        <v/>
      </c>
      <c r="S88" s="42">
        <f>IF(O88&lt;&gt;"",O88,IF(J88=0,0,ROUND(J88*M88,0)))</f>
        <v/>
      </c>
      <c r="T88" s="42">
        <f>IF(P88&lt;&gt;"",P88,IF(K88=0,0,ROUND(K88*M88,0)))</f>
        <v/>
      </c>
      <c r="U88" s="42">
        <f>IF(Q88&lt;&gt;"",Q88,IF(L88=0,0,ROUND(L88*M88,0)))</f>
        <v/>
      </c>
      <c r="V88" s="18" t="inlineStr">
        <is>
          <t>data/guild_rules.yaml; max_level/category: guilds/constants.py; formula: guilds/services/technology.py</t>
        </is>
      </c>
    </row>
    <row r="89" ht="27" customHeight="1">
      <c r="A89" s="17" t="inlineStr">
        <is>
          <t>guild_dispatch_capacity</t>
        </is>
      </c>
      <c r="B89" s="18" t="inlineStr">
        <is>
          <t>出征位扩容</t>
        </is>
      </c>
      <c r="C89" s="18" t="inlineStr">
        <is>
          <t>战斗类</t>
        </is>
      </c>
      <c r="D89" s="17" t="n">
        <v>1</v>
      </c>
      <c r="E89" s="24">
        <f>D89+1</f>
        <v/>
      </c>
      <c r="F89" s="17" t="n">
        <v>20</v>
      </c>
      <c r="G89" s="40">
        <f>'参数与公式'!$B$11</f>
        <v/>
      </c>
      <c r="H89" s="18" t="inlineStr">
        <is>
          <t>capacity_20</t>
        </is>
      </c>
      <c r="I89" s="38" t="n">
        <v>0</v>
      </c>
      <c r="J89" s="38" t="n">
        <v>0</v>
      </c>
      <c r="K89" s="38" t="n">
        <v>0</v>
      </c>
      <c r="L89" s="38" t="n">
        <v>5</v>
      </c>
      <c r="M89" s="38" t="n">
        <v>2</v>
      </c>
      <c r="N89" s="38" t="n"/>
      <c r="O89" s="38" t="n"/>
      <c r="P89" s="38" t="n"/>
      <c r="Q89" s="38" t="n"/>
      <c r="R89" s="42">
        <f>IF(N89&lt;&gt;"",N89,IF(I89=0,0,ROUND(I89*M89,0)))</f>
        <v/>
      </c>
      <c r="S89" s="42">
        <f>IF(O89&lt;&gt;"",O89,IF(J89=0,0,ROUND(J89*M89,0)))</f>
        <v/>
      </c>
      <c r="T89" s="42">
        <f>IF(P89&lt;&gt;"",P89,IF(K89=0,0,ROUND(K89*M89,0)))</f>
        <v/>
      </c>
      <c r="U89" s="42">
        <f>IF(Q89&lt;&gt;"",Q89,IF(L89=0,0,ROUND(L89*M89,0)))</f>
        <v/>
      </c>
      <c r="V89" s="18" t="inlineStr">
        <is>
          <t>data/guild_rules.yaml; max_level/category: guilds/constants.py; formula: guilds/services/technology.py</t>
        </is>
      </c>
    </row>
    <row r="90" ht="27" customHeight="1">
      <c r="A90" s="17" t="inlineStr">
        <is>
          <t>guild_dispatch_capacity</t>
        </is>
      </c>
      <c r="B90" s="18" t="inlineStr">
        <is>
          <t>出征位扩容</t>
        </is>
      </c>
      <c r="C90" s="18" t="inlineStr">
        <is>
          <t>战斗类</t>
        </is>
      </c>
      <c r="D90" s="17" t="n">
        <v>2</v>
      </c>
      <c r="E90" s="24">
        <f>D90+1</f>
        <v/>
      </c>
      <c r="F90" s="17" t="n">
        <v>20</v>
      </c>
      <c r="G90" s="40">
        <f>'参数与公式'!$B$11</f>
        <v/>
      </c>
      <c r="H90" s="18" t="inlineStr">
        <is>
          <t>capacity_20</t>
        </is>
      </c>
      <c r="I90" s="38" t="n">
        <v>0</v>
      </c>
      <c r="J90" s="38" t="n">
        <v>0</v>
      </c>
      <c r="K90" s="38" t="n">
        <v>0</v>
      </c>
      <c r="L90" s="38" t="n">
        <v>5</v>
      </c>
      <c r="M90" s="38" t="n">
        <v>3</v>
      </c>
      <c r="N90" s="38" t="n"/>
      <c r="O90" s="38" t="n"/>
      <c r="P90" s="38" t="n"/>
      <c r="Q90" s="38" t="n"/>
      <c r="R90" s="42">
        <f>IF(N90&lt;&gt;"",N90,IF(I90=0,0,ROUND(I90*M90,0)))</f>
        <v/>
      </c>
      <c r="S90" s="42">
        <f>IF(O90&lt;&gt;"",O90,IF(J90=0,0,ROUND(J90*M90,0)))</f>
        <v/>
      </c>
      <c r="T90" s="42">
        <f>IF(P90&lt;&gt;"",P90,IF(K90=0,0,ROUND(K90*M90,0)))</f>
        <v/>
      </c>
      <c r="U90" s="42">
        <f>IF(Q90&lt;&gt;"",Q90,IF(L90=0,0,ROUND(L90*M90,0)))</f>
        <v/>
      </c>
      <c r="V90" s="18" t="inlineStr">
        <is>
          <t>data/guild_rules.yaml; max_level/category: guilds/constants.py; formula: guilds/services/technology.py</t>
        </is>
      </c>
    </row>
    <row r="91" ht="27" customHeight="1">
      <c r="A91" s="17" t="inlineStr">
        <is>
          <t>guild_dispatch_capacity</t>
        </is>
      </c>
      <c r="B91" s="18" t="inlineStr">
        <is>
          <t>出征位扩容</t>
        </is>
      </c>
      <c r="C91" s="18" t="inlineStr">
        <is>
          <t>战斗类</t>
        </is>
      </c>
      <c r="D91" s="17" t="n">
        <v>3</v>
      </c>
      <c r="E91" s="24">
        <f>D91+1</f>
        <v/>
      </c>
      <c r="F91" s="17" t="n">
        <v>20</v>
      </c>
      <c r="G91" s="40">
        <f>'参数与公式'!$B$11</f>
        <v/>
      </c>
      <c r="H91" s="18" t="inlineStr">
        <is>
          <t>capacity_20</t>
        </is>
      </c>
      <c r="I91" s="38" t="n">
        <v>0</v>
      </c>
      <c r="J91" s="38" t="n">
        <v>0</v>
      </c>
      <c r="K91" s="38" t="n">
        <v>0</v>
      </c>
      <c r="L91" s="38" t="n">
        <v>5</v>
      </c>
      <c r="M91" s="38" t="n">
        <v>4</v>
      </c>
      <c r="N91" s="38" t="n"/>
      <c r="O91" s="38" t="n"/>
      <c r="P91" s="38" t="n"/>
      <c r="Q91" s="38" t="n"/>
      <c r="R91" s="42">
        <f>IF(N91&lt;&gt;"",N91,IF(I91=0,0,ROUND(I91*M91,0)))</f>
        <v/>
      </c>
      <c r="S91" s="42">
        <f>IF(O91&lt;&gt;"",O91,IF(J91=0,0,ROUND(J91*M91,0)))</f>
        <v/>
      </c>
      <c r="T91" s="42">
        <f>IF(P91&lt;&gt;"",P91,IF(K91=0,0,ROUND(K91*M91,0)))</f>
        <v/>
      </c>
      <c r="U91" s="42">
        <f>IF(Q91&lt;&gt;"",Q91,IF(L91=0,0,ROUND(L91*M91,0)))</f>
        <v/>
      </c>
      <c r="V91" s="18" t="inlineStr">
        <is>
          <t>data/guild_rules.yaml; max_level/category: guilds/constants.py; formula: guilds/services/technology.py</t>
        </is>
      </c>
    </row>
    <row r="92" ht="27" customHeight="1">
      <c r="A92" s="17" t="inlineStr">
        <is>
          <t>guild_dispatch_capacity</t>
        </is>
      </c>
      <c r="B92" s="18" t="inlineStr">
        <is>
          <t>出征位扩容</t>
        </is>
      </c>
      <c r="C92" s="18" t="inlineStr">
        <is>
          <t>战斗类</t>
        </is>
      </c>
      <c r="D92" s="17" t="n">
        <v>4</v>
      </c>
      <c r="E92" s="24">
        <f>D92+1</f>
        <v/>
      </c>
      <c r="F92" s="17" t="n">
        <v>20</v>
      </c>
      <c r="G92" s="40">
        <f>'参数与公式'!$B$11</f>
        <v/>
      </c>
      <c r="H92" s="18" t="inlineStr">
        <is>
          <t>capacity_20</t>
        </is>
      </c>
      <c r="I92" s="38" t="n">
        <v>0</v>
      </c>
      <c r="J92" s="38" t="n">
        <v>0</v>
      </c>
      <c r="K92" s="38" t="n">
        <v>0</v>
      </c>
      <c r="L92" s="38" t="n">
        <v>5</v>
      </c>
      <c r="M92" s="38" t="n">
        <v>5</v>
      </c>
      <c r="N92" s="38" t="n"/>
      <c r="O92" s="38" t="n"/>
      <c r="P92" s="38" t="n"/>
      <c r="Q92" s="38" t="n"/>
      <c r="R92" s="42">
        <f>IF(N92&lt;&gt;"",N92,IF(I92=0,0,ROUND(I92*M92,0)))</f>
        <v/>
      </c>
      <c r="S92" s="42">
        <f>IF(O92&lt;&gt;"",O92,IF(J92=0,0,ROUND(J92*M92,0)))</f>
        <v/>
      </c>
      <c r="T92" s="42">
        <f>IF(P92&lt;&gt;"",P92,IF(K92=0,0,ROUND(K92*M92,0)))</f>
        <v/>
      </c>
      <c r="U92" s="42">
        <f>IF(Q92&lt;&gt;"",Q92,IF(L92=0,0,ROUND(L92*M92,0)))</f>
        <v/>
      </c>
      <c r="V92" s="18" t="inlineStr">
        <is>
          <t>data/guild_rules.yaml; max_level/category: guilds/constants.py; formula: guilds/services/technology.py</t>
        </is>
      </c>
    </row>
    <row r="93" ht="27" customHeight="1">
      <c r="A93" s="17" t="inlineStr">
        <is>
          <t>guild_dispatch_capacity</t>
        </is>
      </c>
      <c r="B93" s="18" t="inlineStr">
        <is>
          <t>出征位扩容</t>
        </is>
      </c>
      <c r="C93" s="18" t="inlineStr">
        <is>
          <t>战斗类</t>
        </is>
      </c>
      <c r="D93" s="17" t="n">
        <v>5</v>
      </c>
      <c r="E93" s="24">
        <f>D93+1</f>
        <v/>
      </c>
      <c r="F93" s="17" t="n">
        <v>20</v>
      </c>
      <c r="G93" s="40">
        <f>'参数与公式'!$B$11</f>
        <v/>
      </c>
      <c r="H93" s="18" t="inlineStr">
        <is>
          <t>capacity_20</t>
        </is>
      </c>
      <c r="I93" s="38" t="n">
        <v>0</v>
      </c>
      <c r="J93" s="38" t="n">
        <v>0</v>
      </c>
      <c r="K93" s="38" t="n">
        <v>0</v>
      </c>
      <c r="L93" s="38" t="n">
        <v>5</v>
      </c>
      <c r="M93" s="38" t="n">
        <v>6</v>
      </c>
      <c r="N93" s="38" t="n"/>
      <c r="O93" s="38" t="n"/>
      <c r="P93" s="38" t="n"/>
      <c r="Q93" s="38" t="n"/>
      <c r="R93" s="42">
        <f>IF(N93&lt;&gt;"",N93,IF(I93=0,0,ROUND(I93*M93,0)))</f>
        <v/>
      </c>
      <c r="S93" s="42">
        <f>IF(O93&lt;&gt;"",O93,IF(J93=0,0,ROUND(J93*M93,0)))</f>
        <v/>
      </c>
      <c r="T93" s="42">
        <f>IF(P93&lt;&gt;"",P93,IF(K93=0,0,ROUND(K93*M93,0)))</f>
        <v/>
      </c>
      <c r="U93" s="42">
        <f>IF(Q93&lt;&gt;"",Q93,IF(L93=0,0,ROUND(L93*M93,0)))</f>
        <v/>
      </c>
      <c r="V93" s="18" t="inlineStr">
        <is>
          <t>data/guild_rules.yaml; max_level/category: guilds/constants.py; formula: guilds/services/technology.py</t>
        </is>
      </c>
    </row>
    <row r="94" ht="27" customHeight="1">
      <c r="A94" s="17" t="inlineStr">
        <is>
          <t>guild_dispatch_capacity</t>
        </is>
      </c>
      <c r="B94" s="18" t="inlineStr">
        <is>
          <t>出征位扩容</t>
        </is>
      </c>
      <c r="C94" s="18" t="inlineStr">
        <is>
          <t>战斗类</t>
        </is>
      </c>
      <c r="D94" s="17" t="n">
        <v>6</v>
      </c>
      <c r="E94" s="24">
        <f>D94+1</f>
        <v/>
      </c>
      <c r="F94" s="17" t="n">
        <v>20</v>
      </c>
      <c r="G94" s="40">
        <f>'参数与公式'!$B$11</f>
        <v/>
      </c>
      <c r="H94" s="18" t="inlineStr">
        <is>
          <t>capacity_20</t>
        </is>
      </c>
      <c r="I94" s="38" t="n">
        <v>0</v>
      </c>
      <c r="J94" s="38" t="n">
        <v>0</v>
      </c>
      <c r="K94" s="38" t="n">
        <v>0</v>
      </c>
      <c r="L94" s="38" t="n">
        <v>5</v>
      </c>
      <c r="M94" s="38" t="n">
        <v>7</v>
      </c>
      <c r="N94" s="38" t="n"/>
      <c r="O94" s="38" t="n"/>
      <c r="P94" s="38" t="n"/>
      <c r="Q94" s="38" t="n"/>
      <c r="R94" s="42">
        <f>IF(N94&lt;&gt;"",N94,IF(I94=0,0,ROUND(I94*M94,0)))</f>
        <v/>
      </c>
      <c r="S94" s="42">
        <f>IF(O94&lt;&gt;"",O94,IF(J94=0,0,ROUND(J94*M94,0)))</f>
        <v/>
      </c>
      <c r="T94" s="42">
        <f>IF(P94&lt;&gt;"",P94,IF(K94=0,0,ROUND(K94*M94,0)))</f>
        <v/>
      </c>
      <c r="U94" s="42">
        <f>IF(Q94&lt;&gt;"",Q94,IF(L94=0,0,ROUND(L94*M94,0)))</f>
        <v/>
      </c>
      <c r="V94" s="18" t="inlineStr">
        <is>
          <t>data/guild_rules.yaml; max_level/category: guilds/constants.py; formula: guilds/services/technology.py</t>
        </is>
      </c>
    </row>
    <row r="95" ht="27" customHeight="1">
      <c r="A95" s="17" t="inlineStr">
        <is>
          <t>guild_dispatch_capacity</t>
        </is>
      </c>
      <c r="B95" s="18" t="inlineStr">
        <is>
          <t>出征位扩容</t>
        </is>
      </c>
      <c r="C95" s="18" t="inlineStr">
        <is>
          <t>战斗类</t>
        </is>
      </c>
      <c r="D95" s="17" t="n">
        <v>7</v>
      </c>
      <c r="E95" s="24">
        <f>D95+1</f>
        <v/>
      </c>
      <c r="F95" s="17" t="n">
        <v>20</v>
      </c>
      <c r="G95" s="40">
        <f>'参数与公式'!$B$11</f>
        <v/>
      </c>
      <c r="H95" s="18" t="inlineStr">
        <is>
          <t>capacity_20</t>
        </is>
      </c>
      <c r="I95" s="38" t="n">
        <v>0</v>
      </c>
      <c r="J95" s="38" t="n">
        <v>0</v>
      </c>
      <c r="K95" s="38" t="n">
        <v>0</v>
      </c>
      <c r="L95" s="38" t="n">
        <v>5</v>
      </c>
      <c r="M95" s="38" t="n">
        <v>8</v>
      </c>
      <c r="N95" s="38" t="n"/>
      <c r="O95" s="38" t="n"/>
      <c r="P95" s="38" t="n"/>
      <c r="Q95" s="38" t="n"/>
      <c r="R95" s="42">
        <f>IF(N95&lt;&gt;"",N95,IF(I95=0,0,ROUND(I95*M95,0)))</f>
        <v/>
      </c>
      <c r="S95" s="42">
        <f>IF(O95&lt;&gt;"",O95,IF(J95=0,0,ROUND(J95*M95,0)))</f>
        <v/>
      </c>
      <c r="T95" s="42">
        <f>IF(P95&lt;&gt;"",P95,IF(K95=0,0,ROUND(K95*M95,0)))</f>
        <v/>
      </c>
      <c r="U95" s="42">
        <f>IF(Q95&lt;&gt;"",Q95,IF(L95=0,0,ROUND(L95*M95,0)))</f>
        <v/>
      </c>
      <c r="V95" s="18" t="inlineStr">
        <is>
          <t>data/guild_rules.yaml; max_level/category: guilds/constants.py; formula: guilds/services/technology.py</t>
        </is>
      </c>
    </row>
    <row r="96" ht="27" customHeight="1">
      <c r="A96" s="17" t="inlineStr">
        <is>
          <t>guild_dispatch_capacity</t>
        </is>
      </c>
      <c r="B96" s="18" t="inlineStr">
        <is>
          <t>出征位扩容</t>
        </is>
      </c>
      <c r="C96" s="18" t="inlineStr">
        <is>
          <t>战斗类</t>
        </is>
      </c>
      <c r="D96" s="17" t="n">
        <v>8</v>
      </c>
      <c r="E96" s="24">
        <f>D96+1</f>
        <v/>
      </c>
      <c r="F96" s="17" t="n">
        <v>20</v>
      </c>
      <c r="G96" s="40">
        <f>'参数与公式'!$B$11</f>
        <v/>
      </c>
      <c r="H96" s="18" t="inlineStr">
        <is>
          <t>capacity_20</t>
        </is>
      </c>
      <c r="I96" s="38" t="n">
        <v>0</v>
      </c>
      <c r="J96" s="38" t="n">
        <v>0</v>
      </c>
      <c r="K96" s="38" t="n">
        <v>0</v>
      </c>
      <c r="L96" s="38" t="n">
        <v>5</v>
      </c>
      <c r="M96" s="38" t="n">
        <v>9</v>
      </c>
      <c r="N96" s="38" t="n"/>
      <c r="O96" s="38" t="n"/>
      <c r="P96" s="38" t="n"/>
      <c r="Q96" s="38" t="n"/>
      <c r="R96" s="42">
        <f>IF(N96&lt;&gt;"",N96,IF(I96=0,0,ROUND(I96*M96,0)))</f>
        <v/>
      </c>
      <c r="S96" s="42">
        <f>IF(O96&lt;&gt;"",O96,IF(J96=0,0,ROUND(J96*M96,0)))</f>
        <v/>
      </c>
      <c r="T96" s="42">
        <f>IF(P96&lt;&gt;"",P96,IF(K96=0,0,ROUND(K96*M96,0)))</f>
        <v/>
      </c>
      <c r="U96" s="42">
        <f>IF(Q96&lt;&gt;"",Q96,IF(L96=0,0,ROUND(L96*M96,0)))</f>
        <v/>
      </c>
      <c r="V96" s="18" t="inlineStr">
        <is>
          <t>data/guild_rules.yaml; max_level/category: guilds/constants.py; formula: guilds/services/technology.py</t>
        </is>
      </c>
    </row>
    <row r="97" ht="27" customHeight="1">
      <c r="A97" s="17" t="inlineStr">
        <is>
          <t>guild_dispatch_capacity</t>
        </is>
      </c>
      <c r="B97" s="18" t="inlineStr">
        <is>
          <t>出征位扩容</t>
        </is>
      </c>
      <c r="C97" s="18" t="inlineStr">
        <is>
          <t>战斗类</t>
        </is>
      </c>
      <c r="D97" s="17" t="n">
        <v>9</v>
      </c>
      <c r="E97" s="24">
        <f>D97+1</f>
        <v/>
      </c>
      <c r="F97" s="17" t="n">
        <v>20</v>
      </c>
      <c r="G97" s="40">
        <f>'参数与公式'!$B$11</f>
        <v/>
      </c>
      <c r="H97" s="18" t="inlineStr">
        <is>
          <t>capacity_20</t>
        </is>
      </c>
      <c r="I97" s="38" t="n">
        <v>0</v>
      </c>
      <c r="J97" s="38" t="n">
        <v>0</v>
      </c>
      <c r="K97" s="38" t="n">
        <v>0</v>
      </c>
      <c r="L97" s="38" t="n">
        <v>5</v>
      </c>
      <c r="M97" s="38" t="n">
        <v>10</v>
      </c>
      <c r="N97" s="38" t="n"/>
      <c r="O97" s="38" t="n"/>
      <c r="P97" s="38" t="n"/>
      <c r="Q97" s="38" t="n"/>
      <c r="R97" s="42">
        <f>IF(N97&lt;&gt;"",N97,IF(I97=0,0,ROUND(I97*M97,0)))</f>
        <v/>
      </c>
      <c r="S97" s="42">
        <f>IF(O97&lt;&gt;"",O97,IF(J97=0,0,ROUND(J97*M97,0)))</f>
        <v/>
      </c>
      <c r="T97" s="42">
        <f>IF(P97&lt;&gt;"",P97,IF(K97=0,0,ROUND(K97*M97,0)))</f>
        <v/>
      </c>
      <c r="U97" s="42">
        <f>IF(Q97&lt;&gt;"",Q97,IF(L97=0,0,ROUND(L97*M97,0)))</f>
        <v/>
      </c>
      <c r="V97" s="18" t="inlineStr">
        <is>
          <t>data/guild_rules.yaml; max_level/category: guilds/constants.py; formula: guilds/services/technology.py</t>
        </is>
      </c>
    </row>
    <row r="98" ht="27" customHeight="1">
      <c r="A98" s="17" t="inlineStr">
        <is>
          <t>guild_dispatch_capacity</t>
        </is>
      </c>
      <c r="B98" s="18" t="inlineStr">
        <is>
          <t>出征位扩容</t>
        </is>
      </c>
      <c r="C98" s="18" t="inlineStr">
        <is>
          <t>战斗类</t>
        </is>
      </c>
      <c r="D98" s="17" t="n">
        <v>10</v>
      </c>
      <c r="E98" s="24">
        <f>D98+1</f>
        <v/>
      </c>
      <c r="F98" s="17" t="n">
        <v>20</v>
      </c>
      <c r="G98" s="40">
        <f>'参数与公式'!$B$11</f>
        <v/>
      </c>
      <c r="H98" s="18" t="inlineStr">
        <is>
          <t>capacity_20</t>
        </is>
      </c>
      <c r="I98" s="38" t="n">
        <v>0</v>
      </c>
      <c r="J98" s="38" t="n">
        <v>0</v>
      </c>
      <c r="K98" s="38" t="n">
        <v>0</v>
      </c>
      <c r="L98" s="38" t="n">
        <v>5</v>
      </c>
      <c r="M98" s="38" t="n">
        <v>11</v>
      </c>
      <c r="N98" s="38" t="n"/>
      <c r="O98" s="38" t="n"/>
      <c r="P98" s="38" t="n"/>
      <c r="Q98" s="38" t="n"/>
      <c r="R98" s="42">
        <f>IF(N98&lt;&gt;"",N98,IF(I98=0,0,ROUND(I98*M98,0)))</f>
        <v/>
      </c>
      <c r="S98" s="42">
        <f>IF(O98&lt;&gt;"",O98,IF(J98=0,0,ROUND(J98*M98,0)))</f>
        <v/>
      </c>
      <c r="T98" s="42">
        <f>IF(P98&lt;&gt;"",P98,IF(K98=0,0,ROUND(K98*M98,0)))</f>
        <v/>
      </c>
      <c r="U98" s="42">
        <f>IF(Q98&lt;&gt;"",Q98,IF(L98=0,0,ROUND(L98*M98,0)))</f>
        <v/>
      </c>
      <c r="V98" s="18" t="inlineStr">
        <is>
          <t>data/guild_rules.yaml; max_level/category: guilds/constants.py; formula: guilds/services/technology.py</t>
        </is>
      </c>
    </row>
    <row r="99" ht="27" customHeight="1">
      <c r="A99" s="17" t="inlineStr">
        <is>
          <t>guild_dispatch_capacity</t>
        </is>
      </c>
      <c r="B99" s="18" t="inlineStr">
        <is>
          <t>出征位扩容</t>
        </is>
      </c>
      <c r="C99" s="18" t="inlineStr">
        <is>
          <t>战斗类</t>
        </is>
      </c>
      <c r="D99" s="17" t="n">
        <v>11</v>
      </c>
      <c r="E99" s="24">
        <f>D99+1</f>
        <v/>
      </c>
      <c r="F99" s="17" t="n">
        <v>20</v>
      </c>
      <c r="G99" s="40">
        <f>'参数与公式'!$B$11</f>
        <v/>
      </c>
      <c r="H99" s="18" t="inlineStr">
        <is>
          <t>capacity_20</t>
        </is>
      </c>
      <c r="I99" s="38" t="n">
        <v>0</v>
      </c>
      <c r="J99" s="38" t="n">
        <v>0</v>
      </c>
      <c r="K99" s="38" t="n">
        <v>0</v>
      </c>
      <c r="L99" s="38" t="n">
        <v>5</v>
      </c>
      <c r="M99" s="38" t="n">
        <v>12</v>
      </c>
      <c r="N99" s="38" t="n"/>
      <c r="O99" s="38" t="n"/>
      <c r="P99" s="38" t="n"/>
      <c r="Q99" s="38" t="n"/>
      <c r="R99" s="42">
        <f>IF(N99&lt;&gt;"",N99,IF(I99=0,0,ROUND(I99*M99,0)))</f>
        <v/>
      </c>
      <c r="S99" s="42">
        <f>IF(O99&lt;&gt;"",O99,IF(J99=0,0,ROUND(J99*M99,0)))</f>
        <v/>
      </c>
      <c r="T99" s="42">
        <f>IF(P99&lt;&gt;"",P99,IF(K99=0,0,ROUND(K99*M99,0)))</f>
        <v/>
      </c>
      <c r="U99" s="42">
        <f>IF(Q99&lt;&gt;"",Q99,IF(L99=0,0,ROUND(L99*M99,0)))</f>
        <v/>
      </c>
      <c r="V99" s="18" t="inlineStr">
        <is>
          <t>data/guild_rules.yaml; max_level/category: guilds/constants.py; formula: guilds/services/technology.py</t>
        </is>
      </c>
    </row>
    <row r="100" ht="27" customHeight="1">
      <c r="A100" s="17" t="inlineStr">
        <is>
          <t>guild_dispatch_capacity</t>
        </is>
      </c>
      <c r="B100" s="18" t="inlineStr">
        <is>
          <t>出征位扩容</t>
        </is>
      </c>
      <c r="C100" s="18" t="inlineStr">
        <is>
          <t>战斗类</t>
        </is>
      </c>
      <c r="D100" s="17" t="n">
        <v>12</v>
      </c>
      <c r="E100" s="24">
        <f>D100+1</f>
        <v/>
      </c>
      <c r="F100" s="17" t="n">
        <v>20</v>
      </c>
      <c r="G100" s="40">
        <f>'参数与公式'!$B$11</f>
        <v/>
      </c>
      <c r="H100" s="18" t="inlineStr">
        <is>
          <t>capacity_20</t>
        </is>
      </c>
      <c r="I100" s="38" t="n">
        <v>0</v>
      </c>
      <c r="J100" s="38" t="n">
        <v>0</v>
      </c>
      <c r="K100" s="38" t="n">
        <v>0</v>
      </c>
      <c r="L100" s="38" t="n">
        <v>5</v>
      </c>
      <c r="M100" s="38" t="n">
        <v>13</v>
      </c>
      <c r="N100" s="38" t="n"/>
      <c r="O100" s="38" t="n"/>
      <c r="P100" s="38" t="n"/>
      <c r="Q100" s="38" t="n"/>
      <c r="R100" s="42">
        <f>IF(N100&lt;&gt;"",N100,IF(I100=0,0,ROUND(I100*M100,0)))</f>
        <v/>
      </c>
      <c r="S100" s="42">
        <f>IF(O100&lt;&gt;"",O100,IF(J100=0,0,ROUND(J100*M100,0)))</f>
        <v/>
      </c>
      <c r="T100" s="42">
        <f>IF(P100&lt;&gt;"",P100,IF(K100=0,0,ROUND(K100*M100,0)))</f>
        <v/>
      </c>
      <c r="U100" s="42">
        <f>IF(Q100&lt;&gt;"",Q100,IF(L100=0,0,ROUND(L100*M100,0)))</f>
        <v/>
      </c>
      <c r="V100" s="18" t="inlineStr">
        <is>
          <t>data/guild_rules.yaml; max_level/category: guilds/constants.py; formula: guilds/services/technology.py</t>
        </is>
      </c>
    </row>
    <row r="101" ht="27" customHeight="1">
      <c r="A101" s="17" t="inlineStr">
        <is>
          <t>guild_dispatch_capacity</t>
        </is>
      </c>
      <c r="B101" s="18" t="inlineStr">
        <is>
          <t>出征位扩容</t>
        </is>
      </c>
      <c r="C101" s="18" t="inlineStr">
        <is>
          <t>战斗类</t>
        </is>
      </c>
      <c r="D101" s="17" t="n">
        <v>13</v>
      </c>
      <c r="E101" s="24">
        <f>D101+1</f>
        <v/>
      </c>
      <c r="F101" s="17" t="n">
        <v>20</v>
      </c>
      <c r="G101" s="40">
        <f>'参数与公式'!$B$11</f>
        <v/>
      </c>
      <c r="H101" s="18" t="inlineStr">
        <is>
          <t>capacity_20</t>
        </is>
      </c>
      <c r="I101" s="38" t="n">
        <v>0</v>
      </c>
      <c r="J101" s="38" t="n">
        <v>0</v>
      </c>
      <c r="K101" s="38" t="n">
        <v>0</v>
      </c>
      <c r="L101" s="38" t="n">
        <v>5</v>
      </c>
      <c r="M101" s="38" t="n">
        <v>14</v>
      </c>
      <c r="N101" s="38" t="n"/>
      <c r="O101" s="38" t="n"/>
      <c r="P101" s="38" t="n"/>
      <c r="Q101" s="38" t="n"/>
      <c r="R101" s="42">
        <f>IF(N101&lt;&gt;"",N101,IF(I101=0,0,ROUND(I101*M101,0)))</f>
        <v/>
      </c>
      <c r="S101" s="42">
        <f>IF(O101&lt;&gt;"",O101,IF(J101=0,0,ROUND(J101*M101,0)))</f>
        <v/>
      </c>
      <c r="T101" s="42">
        <f>IF(P101&lt;&gt;"",P101,IF(K101=0,0,ROUND(K101*M101,0)))</f>
        <v/>
      </c>
      <c r="U101" s="42">
        <f>IF(Q101&lt;&gt;"",Q101,IF(L101=0,0,ROUND(L101*M101,0)))</f>
        <v/>
      </c>
      <c r="V101" s="18" t="inlineStr">
        <is>
          <t>data/guild_rules.yaml; max_level/category: guilds/constants.py; formula: guilds/services/technology.py</t>
        </is>
      </c>
    </row>
    <row r="102" ht="27" customHeight="1">
      <c r="A102" s="17" t="inlineStr">
        <is>
          <t>guild_dispatch_capacity</t>
        </is>
      </c>
      <c r="B102" s="18" t="inlineStr">
        <is>
          <t>出征位扩容</t>
        </is>
      </c>
      <c r="C102" s="18" t="inlineStr">
        <is>
          <t>战斗类</t>
        </is>
      </c>
      <c r="D102" s="17" t="n">
        <v>14</v>
      </c>
      <c r="E102" s="24">
        <f>D102+1</f>
        <v/>
      </c>
      <c r="F102" s="17" t="n">
        <v>20</v>
      </c>
      <c r="G102" s="40">
        <f>'参数与公式'!$B$11</f>
        <v/>
      </c>
      <c r="H102" s="18" t="inlineStr">
        <is>
          <t>capacity_20</t>
        </is>
      </c>
      <c r="I102" s="38" t="n">
        <v>0</v>
      </c>
      <c r="J102" s="38" t="n">
        <v>0</v>
      </c>
      <c r="K102" s="38" t="n">
        <v>0</v>
      </c>
      <c r="L102" s="38" t="n">
        <v>5</v>
      </c>
      <c r="M102" s="38" t="n">
        <v>15</v>
      </c>
      <c r="N102" s="38" t="n"/>
      <c r="O102" s="38" t="n"/>
      <c r="P102" s="38" t="n"/>
      <c r="Q102" s="38" t="n"/>
      <c r="R102" s="42">
        <f>IF(N102&lt;&gt;"",N102,IF(I102=0,0,ROUND(I102*M102,0)))</f>
        <v/>
      </c>
      <c r="S102" s="42">
        <f>IF(O102&lt;&gt;"",O102,IF(J102=0,0,ROUND(J102*M102,0)))</f>
        <v/>
      </c>
      <c r="T102" s="42">
        <f>IF(P102&lt;&gt;"",P102,IF(K102=0,0,ROUND(K102*M102,0)))</f>
        <v/>
      </c>
      <c r="U102" s="42">
        <f>IF(Q102&lt;&gt;"",Q102,IF(L102=0,0,ROUND(L102*M102,0)))</f>
        <v/>
      </c>
      <c r="V102" s="18" t="inlineStr">
        <is>
          <t>data/guild_rules.yaml; max_level/category: guilds/constants.py; formula: guilds/services/technology.py</t>
        </is>
      </c>
    </row>
    <row r="103" ht="27" customHeight="1">
      <c r="A103" s="17" t="inlineStr">
        <is>
          <t>guild_dispatch_capacity</t>
        </is>
      </c>
      <c r="B103" s="18" t="inlineStr">
        <is>
          <t>出征位扩容</t>
        </is>
      </c>
      <c r="C103" s="18" t="inlineStr">
        <is>
          <t>战斗类</t>
        </is>
      </c>
      <c r="D103" s="17" t="n">
        <v>15</v>
      </c>
      <c r="E103" s="24">
        <f>D103+1</f>
        <v/>
      </c>
      <c r="F103" s="17" t="n">
        <v>20</v>
      </c>
      <c r="G103" s="40">
        <f>'参数与公式'!$B$11</f>
        <v/>
      </c>
      <c r="H103" s="18" t="inlineStr">
        <is>
          <t>capacity_20</t>
        </is>
      </c>
      <c r="I103" s="38" t="n">
        <v>0</v>
      </c>
      <c r="J103" s="38" t="n">
        <v>0</v>
      </c>
      <c r="K103" s="38" t="n">
        <v>0</v>
      </c>
      <c r="L103" s="38" t="n">
        <v>5</v>
      </c>
      <c r="M103" s="38" t="n">
        <v>16</v>
      </c>
      <c r="N103" s="38" t="n"/>
      <c r="O103" s="38" t="n"/>
      <c r="P103" s="38" t="n"/>
      <c r="Q103" s="38" t="n"/>
      <c r="R103" s="42">
        <f>IF(N103&lt;&gt;"",N103,IF(I103=0,0,ROUND(I103*M103,0)))</f>
        <v/>
      </c>
      <c r="S103" s="42">
        <f>IF(O103&lt;&gt;"",O103,IF(J103=0,0,ROUND(J103*M103,0)))</f>
        <v/>
      </c>
      <c r="T103" s="42">
        <f>IF(P103&lt;&gt;"",P103,IF(K103=0,0,ROUND(K103*M103,0)))</f>
        <v/>
      </c>
      <c r="U103" s="42">
        <f>IF(Q103&lt;&gt;"",Q103,IF(L103=0,0,ROUND(L103*M103,0)))</f>
        <v/>
      </c>
      <c r="V103" s="18" t="inlineStr">
        <is>
          <t>data/guild_rules.yaml; max_level/category: guilds/constants.py; formula: guilds/services/technology.py</t>
        </is>
      </c>
    </row>
    <row r="104" ht="27" customHeight="1">
      <c r="A104" s="17" t="inlineStr">
        <is>
          <t>guild_dispatch_capacity</t>
        </is>
      </c>
      <c r="B104" s="18" t="inlineStr">
        <is>
          <t>出征位扩容</t>
        </is>
      </c>
      <c r="C104" s="18" t="inlineStr">
        <is>
          <t>战斗类</t>
        </is>
      </c>
      <c r="D104" s="17" t="n">
        <v>16</v>
      </c>
      <c r="E104" s="24">
        <f>D104+1</f>
        <v/>
      </c>
      <c r="F104" s="17" t="n">
        <v>20</v>
      </c>
      <c r="G104" s="40">
        <f>'参数与公式'!$B$11</f>
        <v/>
      </c>
      <c r="H104" s="18" t="inlineStr">
        <is>
          <t>capacity_20</t>
        </is>
      </c>
      <c r="I104" s="38" t="n">
        <v>0</v>
      </c>
      <c r="J104" s="38" t="n">
        <v>0</v>
      </c>
      <c r="K104" s="38" t="n">
        <v>0</v>
      </c>
      <c r="L104" s="38" t="n">
        <v>5</v>
      </c>
      <c r="M104" s="38" t="n">
        <v>17</v>
      </c>
      <c r="N104" s="38" t="n"/>
      <c r="O104" s="38" t="n"/>
      <c r="P104" s="38" t="n"/>
      <c r="Q104" s="38" t="n"/>
      <c r="R104" s="42">
        <f>IF(N104&lt;&gt;"",N104,IF(I104=0,0,ROUND(I104*M104,0)))</f>
        <v/>
      </c>
      <c r="S104" s="42">
        <f>IF(O104&lt;&gt;"",O104,IF(J104=0,0,ROUND(J104*M104,0)))</f>
        <v/>
      </c>
      <c r="T104" s="42">
        <f>IF(P104&lt;&gt;"",P104,IF(K104=0,0,ROUND(K104*M104,0)))</f>
        <v/>
      </c>
      <c r="U104" s="42">
        <f>IF(Q104&lt;&gt;"",Q104,IF(L104=0,0,ROUND(L104*M104,0)))</f>
        <v/>
      </c>
      <c r="V104" s="18" t="inlineStr">
        <is>
          <t>data/guild_rules.yaml; max_level/category: guilds/constants.py; formula: guilds/services/technology.py</t>
        </is>
      </c>
    </row>
    <row r="105" ht="27" customHeight="1">
      <c r="A105" s="17" t="inlineStr">
        <is>
          <t>guild_dispatch_capacity</t>
        </is>
      </c>
      <c r="B105" s="18" t="inlineStr">
        <is>
          <t>出征位扩容</t>
        </is>
      </c>
      <c r="C105" s="18" t="inlineStr">
        <is>
          <t>战斗类</t>
        </is>
      </c>
      <c r="D105" s="17" t="n">
        <v>17</v>
      </c>
      <c r="E105" s="24">
        <f>D105+1</f>
        <v/>
      </c>
      <c r="F105" s="17" t="n">
        <v>20</v>
      </c>
      <c r="G105" s="40">
        <f>'参数与公式'!$B$11</f>
        <v/>
      </c>
      <c r="H105" s="18" t="inlineStr">
        <is>
          <t>capacity_20</t>
        </is>
      </c>
      <c r="I105" s="38" t="n">
        <v>0</v>
      </c>
      <c r="J105" s="38" t="n">
        <v>0</v>
      </c>
      <c r="K105" s="38" t="n">
        <v>0</v>
      </c>
      <c r="L105" s="38" t="n">
        <v>5</v>
      </c>
      <c r="M105" s="38" t="n">
        <v>18</v>
      </c>
      <c r="N105" s="38" t="n"/>
      <c r="O105" s="38" t="n"/>
      <c r="P105" s="38" t="n"/>
      <c r="Q105" s="38" t="n"/>
      <c r="R105" s="42">
        <f>IF(N105&lt;&gt;"",N105,IF(I105=0,0,ROUND(I105*M105,0)))</f>
        <v/>
      </c>
      <c r="S105" s="42">
        <f>IF(O105&lt;&gt;"",O105,IF(J105=0,0,ROUND(J105*M105,0)))</f>
        <v/>
      </c>
      <c r="T105" s="42">
        <f>IF(P105&lt;&gt;"",P105,IF(K105=0,0,ROUND(K105*M105,0)))</f>
        <v/>
      </c>
      <c r="U105" s="42">
        <f>IF(Q105&lt;&gt;"",Q105,IF(L105=0,0,ROUND(L105*M105,0)))</f>
        <v/>
      </c>
      <c r="V105" s="18" t="inlineStr">
        <is>
          <t>data/guild_rules.yaml; max_level/category: guilds/constants.py; formula: guilds/services/technology.py</t>
        </is>
      </c>
    </row>
    <row r="106" ht="27" customHeight="1">
      <c r="A106" s="17" t="inlineStr">
        <is>
          <t>guild_dispatch_capacity</t>
        </is>
      </c>
      <c r="B106" s="18" t="inlineStr">
        <is>
          <t>出征位扩容</t>
        </is>
      </c>
      <c r="C106" s="18" t="inlineStr">
        <is>
          <t>战斗类</t>
        </is>
      </c>
      <c r="D106" s="17" t="n">
        <v>18</v>
      </c>
      <c r="E106" s="24">
        <f>D106+1</f>
        <v/>
      </c>
      <c r="F106" s="17" t="n">
        <v>20</v>
      </c>
      <c r="G106" s="40">
        <f>'参数与公式'!$B$11</f>
        <v/>
      </c>
      <c r="H106" s="18" t="inlineStr">
        <is>
          <t>capacity_20</t>
        </is>
      </c>
      <c r="I106" s="38" t="n">
        <v>0</v>
      </c>
      <c r="J106" s="38" t="n">
        <v>0</v>
      </c>
      <c r="K106" s="38" t="n">
        <v>0</v>
      </c>
      <c r="L106" s="38" t="n">
        <v>5</v>
      </c>
      <c r="M106" s="38" t="n">
        <v>19</v>
      </c>
      <c r="N106" s="38" t="n"/>
      <c r="O106" s="38" t="n"/>
      <c r="P106" s="38" t="n"/>
      <c r="Q106" s="38" t="n"/>
      <c r="R106" s="42">
        <f>IF(N106&lt;&gt;"",N106,IF(I106=0,0,ROUND(I106*M106,0)))</f>
        <v/>
      </c>
      <c r="S106" s="42">
        <f>IF(O106&lt;&gt;"",O106,IF(J106=0,0,ROUND(J106*M106,0)))</f>
        <v/>
      </c>
      <c r="T106" s="42">
        <f>IF(P106&lt;&gt;"",P106,IF(K106=0,0,ROUND(K106*M106,0)))</f>
        <v/>
      </c>
      <c r="U106" s="42">
        <f>IF(Q106&lt;&gt;"",Q106,IF(L106=0,0,ROUND(L106*M106,0)))</f>
        <v/>
      </c>
      <c r="V106" s="18" t="inlineStr">
        <is>
          <t>data/guild_rules.yaml; max_level/category: guilds/constants.py; formula: guilds/services/technology.py</t>
        </is>
      </c>
    </row>
    <row r="107" ht="27" customHeight="1">
      <c r="A107" s="17" t="inlineStr">
        <is>
          <t>guild_dispatch_capacity</t>
        </is>
      </c>
      <c r="B107" s="18" t="inlineStr">
        <is>
          <t>出征位扩容</t>
        </is>
      </c>
      <c r="C107" s="18" t="inlineStr">
        <is>
          <t>战斗类</t>
        </is>
      </c>
      <c r="D107" s="17" t="n">
        <v>19</v>
      </c>
      <c r="E107" s="24">
        <f>D107+1</f>
        <v/>
      </c>
      <c r="F107" s="17" t="n">
        <v>20</v>
      </c>
      <c r="G107" s="40">
        <f>'参数与公式'!$B$11</f>
        <v/>
      </c>
      <c r="H107" s="18" t="inlineStr">
        <is>
          <t>capacity_20</t>
        </is>
      </c>
      <c r="I107" s="38" t="n">
        <v>0</v>
      </c>
      <c r="J107" s="38" t="n">
        <v>0</v>
      </c>
      <c r="K107" s="38" t="n">
        <v>0</v>
      </c>
      <c r="L107" s="38" t="n">
        <v>5</v>
      </c>
      <c r="M107" s="38" t="n">
        <v>20</v>
      </c>
      <c r="N107" s="38" t="n"/>
      <c r="O107" s="38" t="n"/>
      <c r="P107" s="38" t="n"/>
      <c r="Q107" s="38" t="n"/>
      <c r="R107" s="42">
        <f>IF(N107&lt;&gt;"",N107,IF(I107=0,0,ROUND(I107*M107,0)))</f>
        <v/>
      </c>
      <c r="S107" s="42">
        <f>IF(O107&lt;&gt;"",O107,IF(J107=0,0,ROUND(J107*M107,0)))</f>
        <v/>
      </c>
      <c r="T107" s="42">
        <f>IF(P107&lt;&gt;"",P107,IF(K107=0,0,ROUND(K107*M107,0)))</f>
        <v/>
      </c>
      <c r="U107" s="42">
        <f>IF(Q107&lt;&gt;"",Q107,IF(L107=0,0,ROUND(L107*M107,0)))</f>
        <v/>
      </c>
      <c r="V107" s="18" t="inlineStr">
        <is>
          <t>data/guild_rules.yaml; max_level/category: guilds/constants.py; formula: guilds/services/technology.py</t>
        </is>
      </c>
    </row>
  </sheetData>
  <autoFilter ref="A4:V107"/>
  <mergeCells count="2">
    <mergeCell ref="A2:V2"/>
    <mergeCell ref="A1:V1"/>
  </mergeCells>
  <conditionalFormatting sqref="R5:U107">
    <cfRule type="colorScale" priority="1">
      <colorScale>
        <cfvo type="min"/>
        <cfvo type="percentile" val="50"/>
        <cfvo type="max"/>
        <color rgb="00E2F0D9"/>
        <color rgb="00FFF2CC"/>
        <color rgb="00F4B084"/>
      </colorScale>
    </cfRule>
  </conditionalFormatting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4" customWidth="1" min="2" max="2"/>
    <col width="42" customWidth="1" min="3" max="3"/>
    <col width="70" customWidth="1" min="4" max="4"/>
    <col width="14" customWidth="1" min="5" max="5"/>
  </cols>
  <sheetData>
    <row r="1" ht="26" customHeight="1">
      <c r="A1" s="1" t="inlineStr">
        <is>
          <t>来源清单｜代码与配置依据</t>
        </is>
      </c>
      <c r="B1" s="29" t="n"/>
      <c r="C1" s="29" t="n"/>
      <c r="D1" s="29" t="n"/>
      <c r="E1" s="30" t="n"/>
    </row>
    <row r="2" ht="34" customHeight="1">
      <c r="A2" s="2" t="inlineStr">
        <is>
          <t>当前配置来自仓库代码/配置；预算型建议参数来自用户目标与功能定位，横向依据放在末尾。</t>
        </is>
      </c>
      <c r="B2" s="29" t="n"/>
      <c r="C2" s="29" t="n"/>
      <c r="D2" s="29" t="n"/>
      <c r="E2" s="30" t="n"/>
    </row>
    <row r="4" ht="34" customHeight="1">
      <c r="A4" s="5" t="inlineStr">
        <is>
          <t>来源文件</t>
        </is>
      </c>
      <c r="B4" s="5" t="inlineStr">
        <is>
          <t>关键字段/函数</t>
        </is>
      </c>
      <c r="C4" s="5" t="inlineStr">
        <is>
          <t>本表使用内容</t>
        </is>
      </c>
      <c r="D4" s="5" t="inlineStr">
        <is>
          <t>当前含义</t>
        </is>
      </c>
      <c r="E4" s="5" t="inlineStr">
        <is>
          <t>核对日期</t>
        </is>
      </c>
    </row>
    <row r="5" ht="42" customHeight="1">
      <c r="A5" s="4" t="inlineStr">
        <is>
          <t>data/building_templates.yaml</t>
        </is>
      </c>
      <c r="B5" s="4" t="inlineStr">
        <is>
          <t>buildings[].base_upgrade_time / time_growth / base_cost / cost_growth / *budget / *curve</t>
        </is>
      </c>
      <c r="C5" s="4" t="inlineStr">
        <is>
          <t>建筑基础时间、逐级增长系数、基础成本、成本增长系数、总预算字段</t>
        </is>
      </c>
      <c r="D5" s="4" t="inlineStr">
        <is>
          <t>21个庄园建筑的配置输入</t>
        </is>
      </c>
      <c r="E5" s="4" t="inlineStr">
        <is>
          <t>2026-08-14</t>
        </is>
      </c>
    </row>
    <row r="6" ht="42" customHeight="1">
      <c r="A6" s="4" t="inlineStr">
        <is>
          <t>gameplay/constants.py</t>
        </is>
      </c>
      <c r="B6" s="4" t="inlineStr">
        <is>
          <t>BUILDING_MAX_LEVELS / MAX_CONCURRENT_*</t>
        </is>
      </c>
      <c r="C6" s="4" t="inlineStr">
        <is>
          <t>建筑最高等级、建筑/个人技术并发上限</t>
        </is>
      </c>
      <c r="D6" s="4" t="inlineStr">
        <is>
          <t>建筑上限不放在YAML中，而是在代码常量中维护</t>
        </is>
      </c>
      <c r="E6" s="4" t="inlineStr">
        <is>
          <t>2026-08-14</t>
        </is>
      </c>
    </row>
    <row r="7" ht="42" customHeight="1">
      <c r="A7" s="4" t="inlineStr">
        <is>
          <t>gameplay/models/manor.py</t>
        </is>
      </c>
      <c r="B7" s="4" t="inlineStr">
        <is>
          <t>Building.next_level_cost / next_level_duration / _allocate_upgrade_budget</t>
        </is>
      </c>
      <c r="C7" s="4" t="inlineStr">
        <is>
          <t>建筑逐级公式</t>
        </is>
      </c>
      <c r="D7" s="4" t="inlineStr">
        <is>
          <t>预算模式按总额归一化；当前等级为1时，升级到2级使用第0个预算权重</t>
        </is>
      </c>
      <c r="E7" s="4" t="inlineStr">
        <is>
          <t>2026-08-14</t>
        </is>
      </c>
    </row>
    <row r="8" ht="42" customHeight="1">
      <c r="A8" s="4" t="inlineStr">
        <is>
          <t>gameplay/services/manor/core.py</t>
        </is>
      </c>
      <c r="B8" s="4" t="inlineStr">
        <is>
          <t>quote_building_upgrade</t>
        </is>
      </c>
      <c r="C8" s="4" t="inlineStr">
        <is>
          <t>祠堂缩时、建筑学成本减免、全局时间倍率生效顺序</t>
        </is>
      </c>
      <c r="D8" s="4" t="inlineStr">
        <is>
          <t>实际入口按锁内quote重算后扣除资源</t>
        </is>
      </c>
      <c r="E8" s="4" t="inlineStr">
        <is>
          <t>2026-08-14</t>
        </is>
      </c>
    </row>
    <row r="9" ht="42" customHeight="1">
      <c r="A9" s="4" t="inlineStr">
        <is>
          <t>gameplay/models/progression.py</t>
        </is>
      </c>
      <c r="B9" s="4" t="inlineStr">
        <is>
          <t>PlayerTechnology.upgrade_duration</t>
        </is>
      </c>
      <c r="C9" s="4" t="inlineStr">
        <is>
          <t>个人技术预算时长与旧公式兼容入口</t>
        </is>
      </c>
      <c r="D9" s="4" t="inlineStr">
        <is>
          <t>统一按 upgrade_time_budget + time_curve 调用预算分配；缺失字段也只使用新公式安全默认值</t>
        </is>
      </c>
      <c r="E9" s="4" t="inlineStr">
        <is>
          <t>2026-08-14</t>
        </is>
      </c>
    </row>
    <row r="10" ht="42" customHeight="1">
      <c r="A10" s="4" t="inlineStr">
        <is>
          <t>gameplay/services/technology_rules.py</t>
        </is>
      </c>
      <c r="B10" s="4" t="inlineStr">
        <is>
          <t>allocate_upgrade_budget / calculate_upgrade_duration / calculate_upgrade_cost</t>
        </is>
      </c>
      <c r="C10" s="4" t="inlineStr">
        <is>
          <t>个人技术预算分配、时长与银两逐级公式</t>
        </is>
      </c>
      <c r="D10" s="4" t="inlineStr">
        <is>
          <t>总预算决定累计值；曲线决定逐级倾斜；最后一级补齐整数误差；不调用旧指数公式</t>
        </is>
      </c>
      <c r="E10" s="4" t="inlineStr">
        <is>
          <t>2026-08-14</t>
        </is>
      </c>
    </row>
    <row r="11" ht="42" customHeight="1">
      <c r="A11" s="4" t="inlineStr">
        <is>
          <t>data/technology_templates.yaml</t>
        </is>
      </c>
      <c r="B11" s="4" t="inlineStr">
        <is>
          <t>max_level / upgrade_*_budget / *_curve / upgrade_profiles.martial</t>
        </is>
      </c>
      <c r="C11" s="4" t="inlineStr">
        <is>
          <t>42个个人技术的等级与目标预算；侦查术200级</t>
        </is>
      </c>
      <c r="D11" s="4" t="inlineStr">
        <is>
          <t>42个个人技术全部使用新预算公式；侦查术200级；武艺类使用 martial profile</t>
        </is>
      </c>
      <c r="E11" s="4" t="inlineStr">
        <is>
          <t>2026-08-14</t>
        </is>
      </c>
    </row>
    <row r="12" ht="42" customHeight="1">
      <c r="A12" s="4" t="inlineStr">
        <is>
          <t>config/settings/base.py + .env</t>
        </is>
      </c>
      <c r="B12" s="4" t="inlineStr">
        <is>
          <t>GAME_TIME_MULTIPLIER</t>
        </is>
      </c>
      <c r="C12" s="4" t="inlineStr">
        <is>
          <t>全局时间倍率</t>
        </is>
      </c>
      <c r="D12" s="4" t="inlineStr">
        <is>
          <t>当前.env为1；环境变量可以改变真实倒计时</t>
        </is>
      </c>
      <c r="E12" s="4" t="inlineStr">
        <is>
          <t>2026-08-14</t>
        </is>
      </c>
    </row>
    <row r="13" ht="42" customHeight="1">
      <c r="A13" s="4" t="inlineStr">
        <is>
          <t>data/guild_rules.yaml</t>
        </is>
      </c>
      <c r="B13" s="4" t="inlineStr">
        <is>
          <t>technology.upgrade_costs / curves / overrides</t>
        </is>
      </c>
      <c r="C13" s="4" t="inlineStr">
        <is>
          <t>帮会科技的逐级成本</t>
        </is>
      </c>
      <c r="D13" s="4" t="inlineStr">
        <is>
          <t>离散倍率曲线，神秘学2/3级有覆盖成本</t>
        </is>
      </c>
      <c r="E13" s="4" t="inlineStr">
        <is>
          <t>2026-08-14</t>
        </is>
      </c>
    </row>
    <row r="14" ht="42" customHeight="1">
      <c r="A14" s="4" t="inlineStr">
        <is>
          <t>guilds/constants.py</t>
        </is>
      </c>
      <c r="B14" s="4" t="inlineStr">
        <is>
          <t>GUILD_TECHNOLOGY_CONFIGS</t>
        </is>
      </c>
      <c r="C14" s="4" t="inlineStr">
        <is>
          <t>帮会科技分类和最高等级</t>
        </is>
      </c>
      <c r="D14" s="4" t="inlineStr">
        <is>
          <t>当前10个帮会科技</t>
        </is>
      </c>
      <c r="E14" s="4" t="inlineStr">
        <is>
          <t>2026-08-14</t>
        </is>
      </c>
    </row>
    <row r="15" ht="42" customHeight="1">
      <c r="A15" s="4" t="inlineStr">
        <is>
          <t>guilds/services/technology.py</t>
        </is>
      </c>
      <c r="B15" s="4" t="inlineStr">
        <is>
          <t>calculate_tech_upgrade_cost / upgrade_technology</t>
        </is>
      </c>
      <c r="C15" s="4" t="inlineStr">
        <is>
          <t>帮会科技成本和时长语义</t>
        </is>
      </c>
      <c r="D15" s="4" t="inlineStr">
        <is>
          <t>帮会科技不进入倒计时队列，资源扣除后即时完成</t>
        </is>
      </c>
      <c r="E15" s="4" t="inlineStr">
        <is>
          <t>2026-08-14</t>
        </is>
      </c>
    </row>
    <row r="16">
      <c r="A16" s="33" t="inlineStr">
        <is>
          <t>用户目标与建筑功能定义</t>
        </is>
      </c>
      <c r="B16" s="33" t="inlineStr">
        <is>
          <t>本轮目标：农田/粮仓/资源生产/仓储/人员/特殊/城防建筑的累计时长与银两区间</t>
        </is>
      </c>
      <c r="C16" s="33" t="inlineStr">
        <is>
          <t>建议参数、目标验收容差、粮银比例同步策略</t>
        </is>
      </c>
      <c r="D16" s="33" t="inlineStr">
        <is>
          <t>按用户提出区间，并根据功能影响、等级上限与同类建筑档位调整</t>
        </is>
      </c>
      <c r="E16" s="33" t="inlineStr">
        <is>
          <t>2026-08-14</t>
        </is>
      </c>
    </row>
    <row r="17">
      <c r="A17" s="33" t="inlineStr">
        <is>
          <t>横向案例：Clash of Clans</t>
        </is>
      </c>
      <c r="B17" s="33" t="inlineStr">
        <is>
          <t>逐级升级时间/成本调整表</t>
        </is>
      </c>
      <c r="C17" s="33" t="inlineStr">
        <is>
          <t>支持按等级逐级审计成本与时间，不用末级/首级固定倍数做唯一目标</t>
        </is>
      </c>
      <c r="D17" s="33" t="inlineStr">
        <is>
          <t>官方更新按等级列出时间与成本</t>
        </is>
      </c>
      <c r="E17" s="33" t="inlineStr">
        <is>
          <t>https://supercell.com/en/games/clashofclans/blog/news/cost-and-time-reductions-december-2023/</t>
        </is>
      </c>
    </row>
    <row r="18">
      <c r="A18" s="33" t="inlineStr">
        <is>
          <t>横向案例：Travian</t>
        </is>
      </c>
      <c r="B18" s="33" t="inlineStr">
        <is>
          <t>Buildings and Resource Fields Statistics</t>
        </is>
      </c>
      <c r="C18" s="33" t="inlineStr">
        <is>
          <t>支持区间总计与速度档位分离</t>
        </is>
      </c>
      <c r="D18" s="33" t="inlineStr">
        <is>
          <t>官方工具可选择等级区间并显示总成本/时间</t>
        </is>
      </c>
      <c r="E18" s="33" t="inlineStr">
        <is>
          <t>https://support.travian.com/en/articles/33-buildings-and-resource-fields-statistics</t>
        </is>
      </c>
    </row>
    <row r="19">
      <c r="A19" s="33" t="inlineStr">
        <is>
          <t>横向案例：Kingshot</t>
        </is>
      </c>
      <c r="B19" s="33" t="inlineStr">
        <is>
          <t>Per-level upgrade cost and timer reference</t>
        </is>
      </c>
      <c r="C19" s="33" t="inlineStr">
        <is>
          <t>支持逐级成本/计时明细</t>
        </is>
      </c>
      <c r="D19" s="33" t="inlineStr">
        <is>
          <t>升级计算器逐级展示前置、成本与时间</t>
        </is>
      </c>
      <c r="E19" s="33" t="inlineStr">
        <is>
          <t>https://www.kingshot.wiki/tools/building-upgrade-calculator</t>
        </is>
      </c>
    </row>
    <row r="20">
      <c r="A20" s="33" t="inlineStr">
        <is>
          <t>reports/upgrade_duration_cost_plan.xlsx</t>
        </is>
      </c>
      <c r="B20" t="inlineStr">
        <is>
          <t>建筑当前逐级统计</t>
        </is>
      </c>
      <c r="C20" t="inlineStr">
        <is>
          <t>每次建筑升级时间、银两、粮食与累计值</t>
        </is>
      </c>
      <c r="D20" t="inlineStr">
        <is>
          <t>引用建筑建议逐级，保持与运行时代码同口径</t>
        </is>
      </c>
      <c r="E20" t="inlineStr">
        <is>
          <t>2026-08-14</t>
        </is>
      </c>
    </row>
    <row r="21">
      <c r="A21" s="33" t="inlineStr">
        <is>
          <t>reports/upgrade_duration_cost_plan.xlsx</t>
        </is>
      </c>
      <c r="B21" t="inlineStr">
        <is>
          <t>科技当前逐级统计</t>
        </is>
      </c>
      <c r="C21" t="inlineStr">
        <is>
          <t>个人技术与帮会科技每级时间、银两、粮食、金条、红宝石及累计值</t>
        </is>
      </c>
      <c r="D21" t="inlineStr">
        <is>
          <t>个人技术引用预算曲线；帮会科技即时完成，引用现有逐级明细</t>
        </is>
      </c>
      <c r="E21" t="inlineStr">
        <is>
          <t>2026-08-14</t>
        </is>
      </c>
    </row>
    <row r="22" ht="38" customHeight="1">
      <c r="A22" s="33" t="inlineStr">
        <is>
          <t>gameplay/services/technology_catalog.py</t>
        </is>
      </c>
      <c r="B22" s="69" t="inlineStr">
        <is>
          <t>_apply_upgrade_profiles</t>
        </is>
      </c>
      <c r="C22" s="69" t="inlineStr">
        <is>
          <t>将 martial 分类升级预算默认值展开到具体技术</t>
        </is>
      </c>
      <c r="D22" s="69" t="inlineStr">
        <is>
          <t>技术自身字段优先于分类 profile，避免重复硬编码</t>
        </is>
      </c>
      <c r="E22" s="69" t="inlineStr">
        <is>
          <t>2026-08-14</t>
        </is>
      </c>
    </row>
    <row r="23" ht="38" customHeight="1">
      <c r="A23" s="33" t="inlineStr">
        <is>
          <t>gameplay/services/technology_helpers.py</t>
        </is>
      </c>
      <c r="B23" s="69" t="inlineStr">
        <is>
          <t>build_technology_display_entry</t>
        </is>
      </c>
      <c r="C23" s="69" t="inlineStr">
        <is>
          <t>科技界面升级时长展示</t>
        </is>
      </c>
      <c r="D23" s="69" t="inlineStr">
        <is>
          <t>与运行时模型共用新预算时长规则；不再保留旧指数分支</t>
        </is>
      </c>
      <c r="E23" s="69" t="inlineStr">
        <is>
          <t>2026-08-14</t>
        </is>
      </c>
    </row>
  </sheetData>
  <autoFilter ref="A4:E23"/>
  <mergeCells count="2">
    <mergeCell ref="A2:E2"/>
    <mergeCell ref="A1:E1"/>
  </mergeCells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8" customWidth="1" min="14" max="14"/>
  </cols>
  <sheetData>
    <row r="1" ht="26" customHeight="1">
      <c r="A1" s="1" t="inlineStr">
        <is>
          <t>优化测算｜用户目标 + 前期可支付性验收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30" t="n"/>
    </row>
    <row r="2" ht="44" customHeight="1">
      <c r="A2" s="31" t="inlineStr">
        <is>
          <t>按用户目标的5%时间容差、5%银两容差（银两最低容差10万）验收；同时列出首级成本与最大相邻增长率，避免只看满级总额。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30" t="n"/>
    </row>
    <row r="4" ht="34" customHeight="1">
      <c r="A4" s="5" t="inlineStr">
        <is>
          <t>类型</t>
        </is>
      </c>
      <c r="B4" s="5" t="inlineStr">
        <is>
          <t>对象Key</t>
        </is>
      </c>
      <c r="C4" s="5" t="inlineStr">
        <is>
          <t>对象</t>
        </is>
      </c>
      <c r="D4" s="5" t="inlineStr">
        <is>
          <t>用户目标时间(天)</t>
        </is>
      </c>
      <c r="E4" s="5" t="inlineStr">
        <is>
          <t>建议时间(天)</t>
        </is>
      </c>
      <c r="F4" s="5" t="inlineStr">
        <is>
          <t>时间偏差(天)</t>
        </is>
      </c>
      <c r="G4" s="5" t="inlineStr">
        <is>
          <t>用户目标银两</t>
        </is>
      </c>
      <c r="H4" s="5" t="inlineStr">
        <is>
          <t>建议银两</t>
        </is>
      </c>
      <c r="I4" s="5" t="inlineStr">
        <is>
          <t>银两偏差</t>
        </is>
      </c>
      <c r="J4" s="5" t="inlineStr">
        <is>
          <t>验收</t>
        </is>
      </c>
      <c r="K4" s="5" t="inlineStr">
        <is>
          <t>建议首级银两</t>
        </is>
      </c>
      <c r="L4" s="5" t="inlineStr">
        <is>
          <t>最大相邻银两增长</t>
        </is>
      </c>
      <c r="M4" s="5" t="inlineStr">
        <is>
          <t>建议首级时长(h)</t>
        </is>
      </c>
      <c r="N4" s="5" t="inlineStr">
        <is>
          <t>最大相邻时长增长</t>
        </is>
      </c>
    </row>
    <row r="5" ht="24" customHeight="1">
      <c r="A5" s="33" t="inlineStr">
        <is>
          <t>建筑</t>
        </is>
      </c>
      <c r="B5" s="33" t="inlineStr">
        <is>
          <t>farm</t>
        </is>
      </c>
      <c r="C5" s="34">
        <f>INDEX('建筑建议总览'!$B$5:$B$25,MATCH($B5,'建筑建议总览'!$A$5:$A$25,0))</f>
        <v/>
      </c>
      <c r="D5" s="35">
        <f>IF(INDEX('建筑建议总览'!$K$5:$K$25,MATCH($B5,'建筑建议总览'!$A$5:$A$25,0))="","",INDEX('建筑建议总览'!$K$5:$K$25,MATCH($B5,'建筑建议总览'!$A$5:$A$25,0)))</f>
        <v/>
      </c>
      <c r="E5" s="35">
        <f>INDEX('建筑建议总览'!$L$5:$L$25,MATCH($B5,'建筑建议总览'!$A$5:$A$25,0))</f>
        <v/>
      </c>
      <c r="F5" s="35">
        <f>IF(D5="","",E5-D5)</f>
        <v/>
      </c>
      <c r="G5" s="36">
        <f>IF(INDEX('建筑建议总览'!$U$5:$U$25,MATCH($B5,'建筑建议总览'!$A$5:$A$25,0))="","",INDEX('建筑建议总览'!$U$5:$U$25,MATCH($B5,'建筑建议总览'!$A$5:$A$25,0)))</f>
        <v/>
      </c>
      <c r="H5" s="36">
        <f>INDEX('建筑建议总览'!$V$5:$V$25,MATCH($B5,'建筑建议总览'!$A$5:$A$25,0))</f>
        <v/>
      </c>
      <c r="I5" s="36">
        <f>IF(G5="","",H5-G5)</f>
        <v/>
      </c>
      <c r="J5" s="34">
        <f>IF(AND(OR(D5="",ABS(F5)&lt;=MAX(1,D5*0.05)),OR(G5="",ABS(I5)&lt;=MAX(100000,G5*0.05))),"达标","需复核")</f>
        <v/>
      </c>
      <c r="K5" s="34">
        <f>IFERROR(INDEX('建筑建议逐级'!$X$5:$X$328,MATCH($B5,'建筑建议逐级'!$A$5:$A$328,0)),"")</f>
        <v/>
      </c>
      <c r="L5" s="50">
        <f>IFERROR(MAXIFS('建筑建议逐级'!$AD$5:$AD$328,'建筑建议逐级'!$A$5:$A$328,$B5),"")</f>
        <v/>
      </c>
      <c r="M5" s="35">
        <f>IFERROR(INDEX('建筑建议逐级'!$N$5:$N$328,MATCH($B5,'建筑建议逐级'!$A$5:$A$328,0)),"")</f>
        <v/>
      </c>
      <c r="N5" s="50">
        <f>IFERROR(MAXIFS('建筑建议逐级'!$AC$5:$AC$328,'建筑建议逐级'!$A$5:$A$328,$B5),"")</f>
        <v/>
      </c>
    </row>
    <row r="6" ht="24" customHeight="1">
      <c r="A6" s="33" t="inlineStr">
        <is>
          <t>建筑</t>
        </is>
      </c>
      <c r="B6" s="33" t="inlineStr">
        <is>
          <t>tax_office</t>
        </is>
      </c>
      <c r="C6" s="34">
        <f>INDEX('建筑建议总览'!$B$5:$B$25,MATCH($B6,'建筑建议总览'!$A$5:$A$25,0))</f>
        <v/>
      </c>
      <c r="D6" s="35">
        <f>IF(INDEX('建筑建议总览'!$K$5:$K$25,MATCH($B6,'建筑建议总览'!$A$5:$A$25,0))="","",INDEX('建筑建议总览'!$K$5:$K$25,MATCH($B6,'建筑建议总览'!$A$5:$A$25,0)))</f>
        <v/>
      </c>
      <c r="E6" s="35">
        <f>INDEX('建筑建议总览'!$L$5:$L$25,MATCH($B6,'建筑建议总览'!$A$5:$A$25,0))</f>
        <v/>
      </c>
      <c r="F6" s="35">
        <f>IF(D6="","",E6-D6)</f>
        <v/>
      </c>
      <c r="G6" s="36">
        <f>IF(INDEX('建筑建议总览'!$U$5:$U$25,MATCH($B6,'建筑建议总览'!$A$5:$A$25,0))="","",INDEX('建筑建议总览'!$U$5:$U$25,MATCH($B6,'建筑建议总览'!$A$5:$A$25,0)))</f>
        <v/>
      </c>
      <c r="H6" s="36">
        <f>INDEX('建筑建议总览'!$V$5:$V$25,MATCH($B6,'建筑建议总览'!$A$5:$A$25,0))</f>
        <v/>
      </c>
      <c r="I6" s="36">
        <f>IF(G6="","",H6-G6)</f>
        <v/>
      </c>
      <c r="J6" s="34">
        <f>IF(AND(OR(D6="",ABS(F6)&lt;=MAX(1,D6*0.05)),OR(G6="",ABS(I6)&lt;=MAX(100000,G6*0.05))),"达标","需复核")</f>
        <v/>
      </c>
      <c r="K6" s="34">
        <f>IFERROR(INDEX('建筑建议逐级'!$X$5:$X$328,MATCH($B6,'建筑建议逐级'!$A$5:$A$328,0)),"")</f>
        <v/>
      </c>
      <c r="L6" s="50">
        <f>IFERROR(MAXIFS('建筑建议逐级'!$AD$5:$AD$328,'建筑建议逐级'!$A$5:$A$328,$B6),"")</f>
        <v/>
      </c>
      <c r="M6" s="35">
        <f>IFERROR(INDEX('建筑建议逐级'!$N$5:$N$328,MATCH($B6,'建筑建议逐级'!$A$5:$A$328,0)),"")</f>
        <v/>
      </c>
      <c r="N6" s="50">
        <f>IFERROR(MAXIFS('建筑建议逐级'!$AC$5:$AC$328,'建筑建议逐级'!$A$5:$A$328,$B6),"")</f>
        <v/>
      </c>
    </row>
    <row r="7" ht="24" customHeight="1">
      <c r="A7" s="33" t="inlineStr">
        <is>
          <t>建筑</t>
        </is>
      </c>
      <c r="B7" s="33" t="inlineStr">
        <is>
          <t>bathhouse</t>
        </is>
      </c>
      <c r="C7" s="34">
        <f>INDEX('建筑建议总览'!$B$5:$B$25,MATCH($B7,'建筑建议总览'!$A$5:$A$25,0))</f>
        <v/>
      </c>
      <c r="D7" s="35">
        <f>IF(INDEX('建筑建议总览'!$K$5:$K$25,MATCH($B7,'建筑建议总览'!$A$5:$A$25,0))="","",INDEX('建筑建议总览'!$K$5:$K$25,MATCH($B7,'建筑建议总览'!$A$5:$A$25,0)))</f>
        <v/>
      </c>
      <c r="E7" s="35">
        <f>INDEX('建筑建议总览'!$L$5:$L$25,MATCH($B7,'建筑建议总览'!$A$5:$A$25,0))</f>
        <v/>
      </c>
      <c r="F7" s="35">
        <f>IF(D7="","",E7-D7)</f>
        <v/>
      </c>
      <c r="G7" s="36">
        <f>IF(INDEX('建筑建议总览'!$U$5:$U$25,MATCH($B7,'建筑建议总览'!$A$5:$A$25,0))="","",INDEX('建筑建议总览'!$U$5:$U$25,MATCH($B7,'建筑建议总览'!$A$5:$A$25,0)))</f>
        <v/>
      </c>
      <c r="H7" s="36">
        <f>INDEX('建筑建议总览'!$V$5:$V$25,MATCH($B7,'建筑建议总览'!$A$5:$A$25,0))</f>
        <v/>
      </c>
      <c r="I7" s="36">
        <f>IF(G7="","",H7-G7)</f>
        <v/>
      </c>
      <c r="J7" s="34">
        <f>IF(AND(OR(D7="",ABS(F7)&lt;=MAX(1,D7*0.05)),OR(G7="",ABS(I7)&lt;=MAX(100000,G7*0.05))),"达标","需复核")</f>
        <v/>
      </c>
      <c r="K7" s="34">
        <f>IFERROR(INDEX('建筑建议逐级'!$X$5:$X$328,MATCH($B7,'建筑建议逐级'!$A$5:$A$328,0)),"")</f>
        <v/>
      </c>
      <c r="L7" s="50">
        <f>IFERROR(MAXIFS('建筑建议逐级'!$AD$5:$AD$328,'建筑建议逐级'!$A$5:$A$328,$B7),"")</f>
        <v/>
      </c>
      <c r="M7" s="35">
        <f>IFERROR(INDEX('建筑建议逐级'!$N$5:$N$328,MATCH($B7,'建筑建议逐级'!$A$5:$A$328,0)),"")</f>
        <v/>
      </c>
      <c r="N7" s="50">
        <f>IFERROR(MAXIFS('建筑建议逐级'!$AC$5:$AC$328,'建筑建议逐级'!$A$5:$A$328,$B7),"")</f>
        <v/>
      </c>
    </row>
    <row r="8" ht="24" customHeight="1">
      <c r="A8" s="33" t="inlineStr">
        <is>
          <t>建筑</t>
        </is>
      </c>
      <c r="B8" s="33" t="inlineStr">
        <is>
          <t>latrine</t>
        </is>
      </c>
      <c r="C8" s="34">
        <f>INDEX('建筑建议总览'!$B$5:$B$25,MATCH($B8,'建筑建议总览'!$A$5:$A$25,0))</f>
        <v/>
      </c>
      <c r="D8" s="35">
        <f>IF(INDEX('建筑建议总览'!$K$5:$K$25,MATCH($B8,'建筑建议总览'!$A$5:$A$25,0))="","",INDEX('建筑建议总览'!$K$5:$K$25,MATCH($B8,'建筑建议总览'!$A$5:$A$25,0)))</f>
        <v/>
      </c>
      <c r="E8" s="35">
        <f>INDEX('建筑建议总览'!$L$5:$L$25,MATCH($B8,'建筑建议总览'!$A$5:$A$25,0))</f>
        <v/>
      </c>
      <c r="F8" s="35">
        <f>IF(D8="","",E8-D8)</f>
        <v/>
      </c>
      <c r="G8" s="36">
        <f>IF(INDEX('建筑建议总览'!$U$5:$U$25,MATCH($B8,'建筑建议总览'!$A$5:$A$25,0))="","",INDEX('建筑建议总览'!$U$5:$U$25,MATCH($B8,'建筑建议总览'!$A$5:$A$25,0)))</f>
        <v/>
      </c>
      <c r="H8" s="36">
        <f>INDEX('建筑建议总览'!$V$5:$V$25,MATCH($B8,'建筑建议总览'!$A$5:$A$25,0))</f>
        <v/>
      </c>
      <c r="I8" s="36">
        <f>IF(G8="","",H8-G8)</f>
        <v/>
      </c>
      <c r="J8" s="34">
        <f>IF(AND(OR(D8="",ABS(F8)&lt;=MAX(1,D8*0.05)),OR(G8="",ABS(I8)&lt;=MAX(100000,G8*0.05))),"达标","需复核")</f>
        <v/>
      </c>
      <c r="K8" s="34">
        <f>IFERROR(INDEX('建筑建议逐级'!$X$5:$X$328,MATCH($B8,'建筑建议逐级'!$A$5:$A$328,0)),"")</f>
        <v/>
      </c>
      <c r="L8" s="50">
        <f>IFERROR(MAXIFS('建筑建议逐级'!$AD$5:$AD$328,'建筑建议逐级'!$A$5:$A$328,$B8),"")</f>
        <v/>
      </c>
      <c r="M8" s="35">
        <f>IFERROR(INDEX('建筑建议逐级'!$N$5:$N$328,MATCH($B8,'建筑建议逐级'!$A$5:$A$328,0)),"")</f>
        <v/>
      </c>
      <c r="N8" s="50">
        <f>IFERROR(MAXIFS('建筑建议逐级'!$AC$5:$AC$328,'建筑建议逐级'!$A$5:$A$328,$B8),"")</f>
        <v/>
      </c>
    </row>
    <row r="9" ht="24" customHeight="1">
      <c r="A9" s="33" t="inlineStr">
        <is>
          <t>建筑</t>
        </is>
      </c>
      <c r="B9" s="33" t="inlineStr">
        <is>
          <t>granary</t>
        </is>
      </c>
      <c r="C9" s="34">
        <f>INDEX('建筑建议总览'!$B$5:$B$25,MATCH($B9,'建筑建议总览'!$A$5:$A$25,0))</f>
        <v/>
      </c>
      <c r="D9" s="35">
        <f>IF(INDEX('建筑建议总览'!$K$5:$K$25,MATCH($B9,'建筑建议总览'!$A$5:$A$25,0))="","",INDEX('建筑建议总览'!$K$5:$K$25,MATCH($B9,'建筑建议总览'!$A$5:$A$25,0)))</f>
        <v/>
      </c>
      <c r="E9" s="35">
        <f>INDEX('建筑建议总览'!$L$5:$L$25,MATCH($B9,'建筑建议总览'!$A$5:$A$25,0))</f>
        <v/>
      </c>
      <c r="F9" s="35">
        <f>IF(D9="","",E9-D9)</f>
        <v/>
      </c>
      <c r="G9" s="36">
        <f>IF(INDEX('建筑建议总览'!$U$5:$U$25,MATCH($B9,'建筑建议总览'!$A$5:$A$25,0))="","",INDEX('建筑建议总览'!$U$5:$U$25,MATCH($B9,'建筑建议总览'!$A$5:$A$25,0)))</f>
        <v/>
      </c>
      <c r="H9" s="36">
        <f>INDEX('建筑建议总览'!$V$5:$V$25,MATCH($B9,'建筑建议总览'!$A$5:$A$25,0))</f>
        <v/>
      </c>
      <c r="I9" s="36">
        <f>IF(G9="","",H9-G9)</f>
        <v/>
      </c>
      <c r="J9" s="34">
        <f>IF(AND(OR(D9="",ABS(F9)&lt;=MAX(1,D9*0.05)),OR(G9="",ABS(I9)&lt;=MAX(100000,G9*0.05))),"达标","需复核")</f>
        <v/>
      </c>
      <c r="K9" s="34">
        <f>IFERROR(INDEX('建筑建议逐级'!$X$5:$X$328,MATCH($B9,'建筑建议逐级'!$A$5:$A$328,0)),"")</f>
        <v/>
      </c>
      <c r="L9" s="50">
        <f>IFERROR(MAXIFS('建筑建议逐级'!$AD$5:$AD$328,'建筑建议逐级'!$A$5:$A$328,$B9),"")</f>
        <v/>
      </c>
      <c r="M9" s="35">
        <f>IFERROR(INDEX('建筑建议逐级'!$N$5:$N$328,MATCH($B9,'建筑建议逐级'!$A$5:$A$328,0)),"")</f>
        <v/>
      </c>
      <c r="N9" s="50">
        <f>IFERROR(MAXIFS('建筑建议逐级'!$AC$5:$AC$328,'建筑建议逐级'!$A$5:$A$328,$B9),"")</f>
        <v/>
      </c>
    </row>
    <row r="10" ht="24" customHeight="1">
      <c r="A10" s="33" t="inlineStr">
        <is>
          <t>建筑</t>
        </is>
      </c>
      <c r="B10" s="33" t="inlineStr">
        <is>
          <t>silver_vault</t>
        </is>
      </c>
      <c r="C10" s="34">
        <f>INDEX('建筑建议总览'!$B$5:$B$25,MATCH($B10,'建筑建议总览'!$A$5:$A$25,0))</f>
        <v/>
      </c>
      <c r="D10" s="35">
        <f>IF(INDEX('建筑建议总览'!$K$5:$K$25,MATCH($B10,'建筑建议总览'!$A$5:$A$25,0))="","",INDEX('建筑建议总览'!$K$5:$K$25,MATCH($B10,'建筑建议总览'!$A$5:$A$25,0)))</f>
        <v/>
      </c>
      <c r="E10" s="35">
        <f>INDEX('建筑建议总览'!$L$5:$L$25,MATCH($B10,'建筑建议总览'!$A$5:$A$25,0))</f>
        <v/>
      </c>
      <c r="F10" s="35">
        <f>IF(D10="","",E10-D10)</f>
        <v/>
      </c>
      <c r="G10" s="36">
        <f>IF(INDEX('建筑建议总览'!$U$5:$U$25,MATCH($B10,'建筑建议总览'!$A$5:$A$25,0))="","",INDEX('建筑建议总览'!$U$5:$U$25,MATCH($B10,'建筑建议总览'!$A$5:$A$25,0)))</f>
        <v/>
      </c>
      <c r="H10" s="36">
        <f>INDEX('建筑建议总览'!$V$5:$V$25,MATCH($B10,'建筑建议总览'!$A$5:$A$25,0))</f>
        <v/>
      </c>
      <c r="I10" s="36">
        <f>IF(G10="","",H10-G10)</f>
        <v/>
      </c>
      <c r="J10" s="34">
        <f>IF(AND(OR(D10="",ABS(F10)&lt;=MAX(1,D10*0.05)),OR(G10="",ABS(I10)&lt;=MAX(100000,G10*0.05))),"达标","需复核")</f>
        <v/>
      </c>
      <c r="K10" s="34">
        <f>IFERROR(INDEX('建筑建议逐级'!$X$5:$X$328,MATCH($B10,'建筑建议逐级'!$A$5:$A$328,0)),"")</f>
        <v/>
      </c>
      <c r="L10" s="50">
        <f>IFERROR(MAXIFS('建筑建议逐级'!$AD$5:$AD$328,'建筑建议逐级'!$A$5:$A$328,$B10),"")</f>
        <v/>
      </c>
      <c r="M10" s="35">
        <f>IFERROR(INDEX('建筑建议逐级'!$N$5:$N$328,MATCH($B10,'建筑建议逐级'!$A$5:$A$328,0)),"")</f>
        <v/>
      </c>
      <c r="N10" s="50">
        <f>IFERROR(MAXIFS('建筑建议逐级'!$AC$5:$AC$328,'建筑建议逐级'!$A$5:$A$328,$B10),"")</f>
        <v/>
      </c>
    </row>
    <row r="11" ht="24" customHeight="1">
      <c r="A11" s="33" t="inlineStr">
        <is>
          <t>建筑</t>
        </is>
      </c>
      <c r="B11" s="33" t="inlineStr">
        <is>
          <t>treasury</t>
        </is>
      </c>
      <c r="C11" s="34">
        <f>INDEX('建筑建议总览'!$B$5:$B$25,MATCH($B11,'建筑建议总览'!$A$5:$A$25,0))</f>
        <v/>
      </c>
      <c r="D11" s="35">
        <f>IF(INDEX('建筑建议总览'!$K$5:$K$25,MATCH($B11,'建筑建议总览'!$A$5:$A$25,0))="","",INDEX('建筑建议总览'!$K$5:$K$25,MATCH($B11,'建筑建议总览'!$A$5:$A$25,0)))</f>
        <v/>
      </c>
      <c r="E11" s="35">
        <f>INDEX('建筑建议总览'!$L$5:$L$25,MATCH($B11,'建筑建议总览'!$A$5:$A$25,0))</f>
        <v/>
      </c>
      <c r="F11" s="35">
        <f>IF(D11="","",E11-D11)</f>
        <v/>
      </c>
      <c r="G11" s="36">
        <f>IF(INDEX('建筑建议总览'!$U$5:$U$25,MATCH($B11,'建筑建议总览'!$A$5:$A$25,0))="","",INDEX('建筑建议总览'!$U$5:$U$25,MATCH($B11,'建筑建议总览'!$A$5:$A$25,0)))</f>
        <v/>
      </c>
      <c r="H11" s="36">
        <f>INDEX('建筑建议总览'!$V$5:$V$25,MATCH($B11,'建筑建议总览'!$A$5:$A$25,0))</f>
        <v/>
      </c>
      <c r="I11" s="36">
        <f>IF(G11="","",H11-G11)</f>
        <v/>
      </c>
      <c r="J11" s="34">
        <f>IF(AND(OR(D11="",ABS(F11)&lt;=MAX(1,D11*0.05)),OR(G11="",ABS(I11)&lt;=MAX(100000,G11*0.05))),"达标","需复核")</f>
        <v/>
      </c>
      <c r="K11" s="34">
        <f>IFERROR(INDEX('建筑建议逐级'!$X$5:$X$328,MATCH($B11,'建筑建议逐级'!$A$5:$A$328,0)),"")</f>
        <v/>
      </c>
      <c r="L11" s="50">
        <f>IFERROR(MAXIFS('建筑建议逐级'!$AD$5:$AD$328,'建筑建议逐级'!$A$5:$A$328,$B11),"")</f>
        <v/>
      </c>
      <c r="M11" s="35">
        <f>IFERROR(INDEX('建筑建议逐级'!$N$5:$N$328,MATCH($B11,'建筑建议逐级'!$A$5:$A$328,0)),"")</f>
        <v/>
      </c>
      <c r="N11" s="50">
        <f>IFERROR(MAXIFS('建筑建议逐级'!$AC$5:$AC$328,'建筑建议逐级'!$A$5:$A$328,$B11),"")</f>
        <v/>
      </c>
    </row>
    <row r="12" ht="24" customHeight="1">
      <c r="A12" s="33" t="inlineStr">
        <is>
          <t>建筑</t>
        </is>
      </c>
      <c r="B12" s="33" t="inlineStr">
        <is>
          <t>ranch</t>
        </is>
      </c>
      <c r="C12" s="34">
        <f>INDEX('建筑建议总览'!$B$5:$B$25,MATCH($B12,'建筑建议总览'!$A$5:$A$25,0))</f>
        <v/>
      </c>
      <c r="D12" s="35">
        <f>IF(INDEX('建筑建议总览'!$K$5:$K$25,MATCH($B12,'建筑建议总览'!$A$5:$A$25,0))="","",INDEX('建筑建议总览'!$K$5:$K$25,MATCH($B12,'建筑建议总览'!$A$5:$A$25,0)))</f>
        <v/>
      </c>
      <c r="E12" s="35">
        <f>INDEX('建筑建议总览'!$L$5:$L$25,MATCH($B12,'建筑建议总览'!$A$5:$A$25,0))</f>
        <v/>
      </c>
      <c r="F12" s="35">
        <f>IF(D12="","",E12-D12)</f>
        <v/>
      </c>
      <c r="G12" s="36">
        <f>IF(INDEX('建筑建议总览'!$U$5:$U$25,MATCH($B12,'建筑建议总览'!$A$5:$A$25,0))="","",INDEX('建筑建议总览'!$U$5:$U$25,MATCH($B12,'建筑建议总览'!$A$5:$A$25,0)))</f>
        <v/>
      </c>
      <c r="H12" s="36">
        <f>INDEX('建筑建议总览'!$V$5:$V$25,MATCH($B12,'建筑建议总览'!$A$5:$A$25,0))</f>
        <v/>
      </c>
      <c r="I12" s="36">
        <f>IF(G12="","",H12-G12)</f>
        <v/>
      </c>
      <c r="J12" s="34">
        <f>IF(AND(OR(D12="",ABS(F12)&lt;=MAX(1,D12*0.05)),OR(G12="",ABS(I12)&lt;=MAX(100000,G12*0.05))),"达标","需复核")</f>
        <v/>
      </c>
      <c r="K12" s="34">
        <f>IFERROR(INDEX('建筑建议逐级'!$X$5:$X$328,MATCH($B12,'建筑建议逐级'!$A$5:$A$328,0)),"")</f>
        <v/>
      </c>
      <c r="L12" s="50">
        <f>IFERROR(MAXIFS('建筑建议逐级'!$AD$5:$AD$328,'建筑建议逐级'!$A$5:$A$328,$B12),"")</f>
        <v/>
      </c>
      <c r="M12" s="35">
        <f>IFERROR(INDEX('建筑建议逐级'!$N$5:$N$328,MATCH($B12,'建筑建议逐级'!$A$5:$A$328,0)),"")</f>
        <v/>
      </c>
      <c r="N12" s="50">
        <f>IFERROR(MAXIFS('建筑建议逐级'!$AC$5:$AC$328,'建筑建议逐级'!$A$5:$A$328,$B12),"")</f>
        <v/>
      </c>
    </row>
    <row r="13" ht="24" customHeight="1">
      <c r="A13" s="33" t="inlineStr">
        <is>
          <t>建筑</t>
        </is>
      </c>
      <c r="B13" s="33" t="inlineStr">
        <is>
          <t>smithy</t>
        </is>
      </c>
      <c r="C13" s="34">
        <f>INDEX('建筑建议总览'!$B$5:$B$25,MATCH($B13,'建筑建议总览'!$A$5:$A$25,0))</f>
        <v/>
      </c>
      <c r="D13" s="35">
        <f>IF(INDEX('建筑建议总览'!$K$5:$K$25,MATCH($B13,'建筑建议总览'!$A$5:$A$25,0))="","",INDEX('建筑建议总览'!$K$5:$K$25,MATCH($B13,'建筑建议总览'!$A$5:$A$25,0)))</f>
        <v/>
      </c>
      <c r="E13" s="35">
        <f>INDEX('建筑建议总览'!$L$5:$L$25,MATCH($B13,'建筑建议总览'!$A$5:$A$25,0))</f>
        <v/>
      </c>
      <c r="F13" s="35">
        <f>IF(D13="","",E13-D13)</f>
        <v/>
      </c>
      <c r="G13" s="36">
        <f>IF(INDEX('建筑建议总览'!$U$5:$U$25,MATCH($B13,'建筑建议总览'!$A$5:$A$25,0))="","",INDEX('建筑建议总览'!$U$5:$U$25,MATCH($B13,'建筑建议总览'!$A$5:$A$25,0)))</f>
        <v/>
      </c>
      <c r="H13" s="36">
        <f>INDEX('建筑建议总览'!$V$5:$V$25,MATCH($B13,'建筑建议总览'!$A$5:$A$25,0))</f>
        <v/>
      </c>
      <c r="I13" s="36">
        <f>IF(G13="","",H13-G13)</f>
        <v/>
      </c>
      <c r="J13" s="34">
        <f>IF(AND(OR(D13="",ABS(F13)&lt;=MAX(1,D13*0.05)),OR(G13="",ABS(I13)&lt;=MAX(100000,G13*0.05))),"达标","需复核")</f>
        <v/>
      </c>
      <c r="K13" s="34">
        <f>IFERROR(INDEX('建筑建议逐级'!$X$5:$X$328,MATCH($B13,'建筑建议逐级'!$A$5:$A$328,0)),"")</f>
        <v/>
      </c>
      <c r="L13" s="50">
        <f>IFERROR(MAXIFS('建筑建议逐级'!$AD$5:$AD$328,'建筑建议逐级'!$A$5:$A$328,$B13),"")</f>
        <v/>
      </c>
      <c r="M13" s="35">
        <f>IFERROR(INDEX('建筑建议逐级'!$N$5:$N$328,MATCH($B13,'建筑建议逐级'!$A$5:$A$328,0)),"")</f>
        <v/>
      </c>
      <c r="N13" s="50">
        <f>IFERROR(MAXIFS('建筑建议逐级'!$AC$5:$AC$328,'建筑建议逐级'!$A$5:$A$328,$B13),"")</f>
        <v/>
      </c>
    </row>
    <row r="14" ht="24" customHeight="1">
      <c r="A14" s="33" t="inlineStr">
        <is>
          <t>建筑</t>
        </is>
      </c>
      <c r="B14" s="33" t="inlineStr">
        <is>
          <t>stable</t>
        </is>
      </c>
      <c r="C14" s="34">
        <f>INDEX('建筑建议总览'!$B$5:$B$25,MATCH($B14,'建筑建议总览'!$A$5:$A$25,0))</f>
        <v/>
      </c>
      <c r="D14" s="35">
        <f>IF(INDEX('建筑建议总览'!$K$5:$K$25,MATCH($B14,'建筑建议总览'!$A$5:$A$25,0))="","",INDEX('建筑建议总览'!$K$5:$K$25,MATCH($B14,'建筑建议总览'!$A$5:$A$25,0)))</f>
        <v/>
      </c>
      <c r="E14" s="35">
        <f>INDEX('建筑建议总览'!$L$5:$L$25,MATCH($B14,'建筑建议总览'!$A$5:$A$25,0))</f>
        <v/>
      </c>
      <c r="F14" s="35">
        <f>IF(D14="","",E14-D14)</f>
        <v/>
      </c>
      <c r="G14" s="36">
        <f>IF(INDEX('建筑建议总览'!$U$5:$U$25,MATCH($B14,'建筑建议总览'!$A$5:$A$25,0))="","",INDEX('建筑建议总览'!$U$5:$U$25,MATCH($B14,'建筑建议总览'!$A$5:$A$25,0)))</f>
        <v/>
      </c>
      <c r="H14" s="36">
        <f>INDEX('建筑建议总览'!$V$5:$V$25,MATCH($B14,'建筑建议总览'!$A$5:$A$25,0))</f>
        <v/>
      </c>
      <c r="I14" s="36">
        <f>IF(G14="","",H14-G14)</f>
        <v/>
      </c>
      <c r="J14" s="34">
        <f>IF(AND(OR(D14="",ABS(F14)&lt;=MAX(1,D14*0.05)),OR(G14="",ABS(I14)&lt;=MAX(100000,G14*0.05))),"达标","需复核")</f>
        <v/>
      </c>
      <c r="K14" s="34">
        <f>IFERROR(INDEX('建筑建议逐级'!$X$5:$X$328,MATCH($B14,'建筑建议逐级'!$A$5:$A$328,0)),"")</f>
        <v/>
      </c>
      <c r="L14" s="50">
        <f>IFERROR(MAXIFS('建筑建议逐级'!$AD$5:$AD$328,'建筑建议逐级'!$A$5:$A$328,$B14),"")</f>
        <v/>
      </c>
      <c r="M14" s="35">
        <f>IFERROR(INDEX('建筑建议逐级'!$N$5:$N$328,MATCH($B14,'建筑建议逐级'!$A$5:$A$328,0)),"")</f>
        <v/>
      </c>
      <c r="N14" s="50">
        <f>IFERROR(MAXIFS('建筑建议逐级'!$AC$5:$AC$328,'建筑建议逐级'!$A$5:$A$328,$B14),"")</f>
        <v/>
      </c>
    </row>
    <row r="15" ht="24" customHeight="1">
      <c r="A15" s="33" t="inlineStr">
        <is>
          <t>建筑</t>
        </is>
      </c>
      <c r="B15" s="33" t="inlineStr">
        <is>
          <t>forge</t>
        </is>
      </c>
      <c r="C15" s="34">
        <f>INDEX('建筑建议总览'!$B$5:$B$25,MATCH($B15,'建筑建议总览'!$A$5:$A$25,0))</f>
        <v/>
      </c>
      <c r="D15" s="35">
        <f>IF(INDEX('建筑建议总览'!$K$5:$K$25,MATCH($B15,'建筑建议总览'!$A$5:$A$25,0))="","",INDEX('建筑建议总览'!$K$5:$K$25,MATCH($B15,'建筑建议总览'!$A$5:$A$25,0)))</f>
        <v/>
      </c>
      <c r="E15" s="35">
        <f>INDEX('建筑建议总览'!$L$5:$L$25,MATCH($B15,'建筑建议总览'!$A$5:$A$25,0))</f>
        <v/>
      </c>
      <c r="F15" s="35">
        <f>IF(D15="","",E15-D15)</f>
        <v/>
      </c>
      <c r="G15" s="36">
        <f>IF(INDEX('建筑建议总览'!$U$5:$U$25,MATCH($B15,'建筑建议总览'!$A$5:$A$25,0))="","",INDEX('建筑建议总览'!$U$5:$U$25,MATCH($B15,'建筑建议总览'!$A$5:$A$25,0)))</f>
        <v/>
      </c>
      <c r="H15" s="36">
        <f>INDEX('建筑建议总览'!$V$5:$V$25,MATCH($B15,'建筑建议总览'!$A$5:$A$25,0))</f>
        <v/>
      </c>
      <c r="I15" s="36">
        <f>IF(G15="","",H15-G15)</f>
        <v/>
      </c>
      <c r="J15" s="34">
        <f>IF(AND(OR(D15="",ABS(F15)&lt;=MAX(1,D15*0.05)),OR(G15="",ABS(I15)&lt;=MAX(100000,G15*0.05))),"达标","需复核")</f>
        <v/>
      </c>
      <c r="K15" s="34">
        <f>IFERROR(INDEX('建筑建议逐级'!$X$5:$X$328,MATCH($B15,'建筑建议逐级'!$A$5:$A$328,0)),"")</f>
        <v/>
      </c>
      <c r="L15" s="50">
        <f>IFERROR(MAXIFS('建筑建议逐级'!$AD$5:$AD$328,'建筑建议逐级'!$A$5:$A$328,$B15),"")</f>
        <v/>
      </c>
      <c r="M15" s="35">
        <f>IFERROR(INDEX('建筑建议逐级'!$N$5:$N$328,MATCH($B15,'建筑建议逐级'!$A$5:$A$328,0)),"")</f>
        <v/>
      </c>
      <c r="N15" s="50">
        <f>IFERROR(MAXIFS('建筑建议逐级'!$AC$5:$AC$328,'建筑建议逐级'!$A$5:$A$328,$B15),"")</f>
        <v/>
      </c>
    </row>
    <row r="16" ht="24" customHeight="1">
      <c r="A16" s="33" t="inlineStr">
        <is>
          <t>建筑</t>
        </is>
      </c>
      <c r="B16" s="33" t="inlineStr">
        <is>
          <t>juxianzhuang</t>
        </is>
      </c>
      <c r="C16" s="34">
        <f>INDEX('建筑建议总览'!$B$5:$B$25,MATCH($B16,'建筑建议总览'!$A$5:$A$25,0))</f>
        <v/>
      </c>
      <c r="D16" s="35">
        <f>IF(INDEX('建筑建议总览'!$K$5:$K$25,MATCH($B16,'建筑建议总览'!$A$5:$A$25,0))="","",INDEX('建筑建议总览'!$K$5:$K$25,MATCH($B16,'建筑建议总览'!$A$5:$A$25,0)))</f>
        <v/>
      </c>
      <c r="E16" s="35">
        <f>INDEX('建筑建议总览'!$L$5:$L$25,MATCH($B16,'建筑建议总览'!$A$5:$A$25,0))</f>
        <v/>
      </c>
      <c r="F16" s="35">
        <f>IF(D16="","",E16-D16)</f>
        <v/>
      </c>
      <c r="G16" s="36">
        <f>IF(INDEX('建筑建议总览'!$U$5:$U$25,MATCH($B16,'建筑建议总览'!$A$5:$A$25,0))="","",INDEX('建筑建议总览'!$U$5:$U$25,MATCH($B16,'建筑建议总览'!$A$5:$A$25,0)))</f>
        <v/>
      </c>
      <c r="H16" s="36">
        <f>INDEX('建筑建议总览'!$V$5:$V$25,MATCH($B16,'建筑建议总览'!$A$5:$A$25,0))</f>
        <v/>
      </c>
      <c r="I16" s="36">
        <f>IF(G16="","",H16-G16)</f>
        <v/>
      </c>
      <c r="J16" s="34">
        <f>IF(AND(OR(D16="",ABS(F16)&lt;=MAX(1,D16*0.05)),OR(G16="",ABS(I16)&lt;=MAX(100000,G16*0.05))),"达标","需复核")</f>
        <v/>
      </c>
      <c r="K16" s="34">
        <f>IFERROR(INDEX('建筑建议逐级'!$X$5:$X$328,MATCH($B16,'建筑建议逐级'!$A$5:$A$328,0)),"")</f>
        <v/>
      </c>
      <c r="L16" s="50">
        <f>IFERROR(MAXIFS('建筑建议逐级'!$AD$5:$AD$328,'建筑建议逐级'!$A$5:$A$328,$B16),"")</f>
        <v/>
      </c>
      <c r="M16" s="35">
        <f>IFERROR(INDEX('建筑建议逐级'!$N$5:$N$328,MATCH($B16,'建筑建议逐级'!$A$5:$A$328,0)),"")</f>
        <v/>
      </c>
      <c r="N16" s="50">
        <f>IFERROR(MAXIFS('建筑建议逐级'!$AC$5:$AC$328,'建筑建议逐级'!$A$5:$A$328,$B16),"")</f>
        <v/>
      </c>
    </row>
    <row r="17" ht="24" customHeight="1">
      <c r="A17" s="33" t="inlineStr">
        <is>
          <t>建筑</t>
        </is>
      </c>
      <c r="B17" s="33" t="inlineStr">
        <is>
          <t>jiadingfang</t>
        </is>
      </c>
      <c r="C17" s="34">
        <f>INDEX('建筑建议总览'!$B$5:$B$25,MATCH($B17,'建筑建议总览'!$A$5:$A$25,0))</f>
        <v/>
      </c>
      <c r="D17" s="35">
        <f>IF(INDEX('建筑建议总览'!$K$5:$K$25,MATCH($B17,'建筑建议总览'!$A$5:$A$25,0))="","",INDEX('建筑建议总览'!$K$5:$K$25,MATCH($B17,'建筑建议总览'!$A$5:$A$25,0)))</f>
        <v/>
      </c>
      <c r="E17" s="35">
        <f>INDEX('建筑建议总览'!$L$5:$L$25,MATCH($B17,'建筑建议总览'!$A$5:$A$25,0))</f>
        <v/>
      </c>
      <c r="F17" s="35">
        <f>IF(D17="","",E17-D17)</f>
        <v/>
      </c>
      <c r="G17" s="36">
        <f>IF(INDEX('建筑建议总览'!$U$5:$U$25,MATCH($B17,'建筑建议总览'!$A$5:$A$25,0))="","",INDEX('建筑建议总览'!$U$5:$U$25,MATCH($B17,'建筑建议总览'!$A$5:$A$25,0)))</f>
        <v/>
      </c>
      <c r="H17" s="36">
        <f>INDEX('建筑建议总览'!$V$5:$V$25,MATCH($B17,'建筑建议总览'!$A$5:$A$25,0))</f>
        <v/>
      </c>
      <c r="I17" s="36">
        <f>IF(G17="","",H17-G17)</f>
        <v/>
      </c>
      <c r="J17" s="34">
        <f>IF(AND(OR(D17="",ABS(F17)&lt;=MAX(1,D17*0.05)),OR(G17="",ABS(I17)&lt;=MAX(100000,G17*0.05))),"达标","需复核")</f>
        <v/>
      </c>
      <c r="K17" s="34">
        <f>IFERROR(INDEX('建筑建议逐级'!$X$5:$X$328,MATCH($B17,'建筑建议逐级'!$A$5:$A$328,0)),"")</f>
        <v/>
      </c>
      <c r="L17" s="50">
        <f>IFERROR(MAXIFS('建筑建议逐级'!$AD$5:$AD$328,'建筑建议逐级'!$A$5:$A$328,$B17),"")</f>
        <v/>
      </c>
      <c r="M17" s="35">
        <f>IFERROR(INDEX('建筑建议逐级'!$N$5:$N$328,MATCH($B17,'建筑建议逐级'!$A$5:$A$328,0)),"")</f>
        <v/>
      </c>
      <c r="N17" s="50">
        <f>IFERROR(MAXIFS('建筑建议逐级'!$AC$5:$AC$328,'建筑建议逐级'!$A$5:$A$328,$B17),"")</f>
        <v/>
      </c>
    </row>
    <row r="18" ht="24" customHeight="1">
      <c r="A18" s="33" t="inlineStr">
        <is>
          <t>建筑</t>
        </is>
      </c>
      <c r="B18" s="33" t="inlineStr">
        <is>
          <t>lianggongchang</t>
        </is>
      </c>
      <c r="C18" s="34">
        <f>INDEX('建筑建议总览'!$B$5:$B$25,MATCH($B18,'建筑建议总览'!$A$5:$A$25,0))</f>
        <v/>
      </c>
      <c r="D18" s="35">
        <f>IF(INDEX('建筑建议总览'!$K$5:$K$25,MATCH($B18,'建筑建议总览'!$A$5:$A$25,0))="","",INDEX('建筑建议总览'!$K$5:$K$25,MATCH($B18,'建筑建议总览'!$A$5:$A$25,0)))</f>
        <v/>
      </c>
      <c r="E18" s="35">
        <f>INDEX('建筑建议总览'!$L$5:$L$25,MATCH($B18,'建筑建议总览'!$A$5:$A$25,0))</f>
        <v/>
      </c>
      <c r="F18" s="35">
        <f>IF(D18="","",E18-D18)</f>
        <v/>
      </c>
      <c r="G18" s="36">
        <f>IF(INDEX('建筑建议总览'!$U$5:$U$25,MATCH($B18,'建筑建议总览'!$A$5:$A$25,0))="","",INDEX('建筑建议总览'!$U$5:$U$25,MATCH($B18,'建筑建议总览'!$A$5:$A$25,0)))</f>
        <v/>
      </c>
      <c r="H18" s="36">
        <f>INDEX('建筑建议总览'!$V$5:$V$25,MATCH($B18,'建筑建议总览'!$A$5:$A$25,0))</f>
        <v/>
      </c>
      <c r="I18" s="36">
        <f>IF(G18="","",H18-G18)</f>
        <v/>
      </c>
      <c r="J18" s="34">
        <f>IF(AND(OR(D18="",ABS(F18)&lt;=MAX(1,D18*0.05)),OR(G18="",ABS(I18)&lt;=MAX(100000,G18*0.05))),"达标","需复核")</f>
        <v/>
      </c>
      <c r="K18" s="34">
        <f>IFERROR(INDEX('建筑建议逐级'!$X$5:$X$328,MATCH($B18,'建筑建议逐级'!$A$5:$A$328,0)),"")</f>
        <v/>
      </c>
      <c r="L18" s="50">
        <f>IFERROR(MAXIFS('建筑建议逐级'!$AD$5:$AD$328,'建筑建议逐级'!$A$5:$A$328,$B18),"")</f>
        <v/>
      </c>
      <c r="M18" s="35">
        <f>IFERROR(INDEX('建筑建议逐级'!$N$5:$N$328,MATCH($B18,'建筑建议逐级'!$A$5:$A$328,0)),"")</f>
        <v/>
      </c>
      <c r="N18" s="50">
        <f>IFERROR(MAXIFS('建筑建议逐级'!$AC$5:$AC$328,'建筑建议逐级'!$A$5:$A$328,$B18),"")</f>
        <v/>
      </c>
    </row>
    <row r="19" ht="24" customHeight="1">
      <c r="A19" s="33" t="inlineStr">
        <is>
          <t>建筑</t>
        </is>
      </c>
      <c r="B19" s="33" t="inlineStr">
        <is>
          <t>tavern</t>
        </is>
      </c>
      <c r="C19" s="34">
        <f>INDEX('建筑建议总览'!$B$5:$B$25,MATCH($B19,'建筑建议总览'!$A$5:$A$25,0))</f>
        <v/>
      </c>
      <c r="D19" s="35">
        <f>IF(INDEX('建筑建议总览'!$K$5:$K$25,MATCH($B19,'建筑建议总览'!$A$5:$A$25,0))="","",INDEX('建筑建议总览'!$K$5:$K$25,MATCH($B19,'建筑建议总览'!$A$5:$A$25,0)))</f>
        <v/>
      </c>
      <c r="E19" s="35">
        <f>INDEX('建筑建议总览'!$L$5:$L$25,MATCH($B19,'建筑建议总览'!$A$5:$A$25,0))</f>
        <v/>
      </c>
      <c r="F19" s="35">
        <f>IF(D19="","",E19-D19)</f>
        <v/>
      </c>
      <c r="G19" s="36">
        <f>IF(INDEX('建筑建议总览'!$U$5:$U$25,MATCH($B19,'建筑建议总览'!$A$5:$A$25,0))="","",INDEX('建筑建议总览'!$U$5:$U$25,MATCH($B19,'建筑建议总览'!$A$5:$A$25,0)))</f>
        <v/>
      </c>
      <c r="H19" s="36">
        <f>INDEX('建筑建议总览'!$V$5:$V$25,MATCH($B19,'建筑建议总览'!$A$5:$A$25,0))</f>
        <v/>
      </c>
      <c r="I19" s="36">
        <f>IF(G19="","",H19-G19)</f>
        <v/>
      </c>
      <c r="J19" s="34">
        <f>IF(AND(OR(D19="",ABS(F19)&lt;=MAX(1,D19*0.05)),OR(G19="",ABS(I19)&lt;=MAX(100000,G19*0.05))),"达标","需复核")</f>
        <v/>
      </c>
      <c r="K19" s="34">
        <f>IFERROR(INDEX('建筑建议逐级'!$X$5:$X$328,MATCH($B19,'建筑建议逐级'!$A$5:$A$328,0)),"")</f>
        <v/>
      </c>
      <c r="L19" s="50">
        <f>IFERROR(MAXIFS('建筑建议逐级'!$AD$5:$AD$328,'建筑建议逐级'!$A$5:$A$328,$B19),"")</f>
        <v/>
      </c>
      <c r="M19" s="35">
        <f>IFERROR(INDEX('建筑建议逐级'!$N$5:$N$328,MATCH($B19,'建筑建议逐级'!$A$5:$A$328,0)),"")</f>
        <v/>
      </c>
      <c r="N19" s="50">
        <f>IFERROR(MAXIFS('建筑建议逐级'!$AC$5:$AC$328,'建筑建议逐级'!$A$5:$A$328,$B19),"")</f>
        <v/>
      </c>
    </row>
    <row r="20" ht="24" customHeight="1">
      <c r="A20" s="33" t="inlineStr">
        <is>
          <t>建筑</t>
        </is>
      </c>
      <c r="B20" s="33" t="inlineStr">
        <is>
          <t>citang</t>
        </is>
      </c>
      <c r="C20" s="34">
        <f>INDEX('建筑建议总览'!$B$5:$B$25,MATCH($B20,'建筑建议总览'!$A$5:$A$25,0))</f>
        <v/>
      </c>
      <c r="D20" s="35">
        <f>IF(INDEX('建筑建议总览'!$K$5:$K$25,MATCH($B20,'建筑建议总览'!$A$5:$A$25,0))="","",INDEX('建筑建议总览'!$K$5:$K$25,MATCH($B20,'建筑建议总览'!$A$5:$A$25,0)))</f>
        <v/>
      </c>
      <c r="E20" s="35">
        <f>INDEX('建筑建议总览'!$L$5:$L$25,MATCH($B20,'建筑建议总览'!$A$5:$A$25,0))</f>
        <v/>
      </c>
      <c r="F20" s="35">
        <f>IF(D20="","",E20-D20)</f>
        <v/>
      </c>
      <c r="G20" s="36">
        <f>IF(INDEX('建筑建议总览'!$U$5:$U$25,MATCH($B20,'建筑建议总览'!$A$5:$A$25,0))="","",INDEX('建筑建议总览'!$U$5:$U$25,MATCH($B20,'建筑建议总览'!$A$5:$A$25,0)))</f>
        <v/>
      </c>
      <c r="H20" s="36">
        <f>INDEX('建筑建议总览'!$V$5:$V$25,MATCH($B20,'建筑建议总览'!$A$5:$A$25,0))</f>
        <v/>
      </c>
      <c r="I20" s="36">
        <f>IF(G20="","",H20-G20)</f>
        <v/>
      </c>
      <c r="J20" s="34">
        <f>IF(AND(OR(D20="",ABS(F20)&lt;=MAX(1,D20*0.05)),OR(G20="",ABS(I20)&lt;=MAX(100000,G20*0.05))),"达标","需复核")</f>
        <v/>
      </c>
      <c r="K20" s="34">
        <f>IFERROR(INDEX('建筑建议逐级'!$X$5:$X$328,MATCH($B20,'建筑建议逐级'!$A$5:$A$328,0)),"")</f>
        <v/>
      </c>
      <c r="L20" s="50">
        <f>IFERROR(MAXIFS('建筑建议逐级'!$AD$5:$AD$328,'建筑建议逐级'!$A$5:$A$328,$B20),"")</f>
        <v/>
      </c>
      <c r="M20" s="35">
        <f>IFERROR(INDEX('建筑建议逐级'!$N$5:$N$328,MATCH($B20,'建筑建议逐级'!$A$5:$A$328,0)),"")</f>
        <v/>
      </c>
      <c r="N20" s="50">
        <f>IFERROR(MAXIFS('建筑建议逐级'!$AC$5:$AC$328,'建筑建议逐级'!$A$5:$A$328,$B20),"")</f>
        <v/>
      </c>
    </row>
    <row r="21" ht="24" customHeight="1">
      <c r="A21" s="33" t="inlineStr">
        <is>
          <t>建筑</t>
        </is>
      </c>
      <c r="B21" s="33" t="inlineStr">
        <is>
          <t>youxibaota</t>
        </is>
      </c>
      <c r="C21" s="34">
        <f>INDEX('建筑建议总览'!$B$5:$B$25,MATCH($B21,'建筑建议总览'!$A$5:$A$25,0))</f>
        <v/>
      </c>
      <c r="D21" s="35">
        <f>IF(INDEX('建筑建议总览'!$K$5:$K$25,MATCH($B21,'建筑建议总览'!$A$5:$A$25,0))="","",INDEX('建筑建议总览'!$K$5:$K$25,MATCH($B21,'建筑建议总览'!$A$5:$A$25,0)))</f>
        <v/>
      </c>
      <c r="E21" s="35">
        <f>INDEX('建筑建议总览'!$L$5:$L$25,MATCH($B21,'建筑建议总览'!$A$5:$A$25,0))</f>
        <v/>
      </c>
      <c r="F21" s="35">
        <f>IF(D21="","",E21-D21)</f>
        <v/>
      </c>
      <c r="G21" s="36">
        <f>IF(INDEX('建筑建议总览'!$U$5:$U$25,MATCH($B21,'建筑建议总览'!$A$5:$A$25,0))="","",INDEX('建筑建议总览'!$U$5:$U$25,MATCH($B21,'建筑建议总览'!$A$5:$A$25,0)))</f>
        <v/>
      </c>
      <c r="H21" s="36">
        <f>INDEX('建筑建议总览'!$V$5:$V$25,MATCH($B21,'建筑建议总览'!$A$5:$A$25,0))</f>
        <v/>
      </c>
      <c r="I21" s="36">
        <f>IF(G21="","",H21-G21)</f>
        <v/>
      </c>
      <c r="J21" s="34">
        <f>IF(AND(OR(D21="",ABS(F21)&lt;=MAX(1,D21*0.05)),OR(G21="",ABS(I21)&lt;=MAX(100000,G21*0.05))),"达标","需复核")</f>
        <v/>
      </c>
      <c r="K21" s="34">
        <f>IFERROR(INDEX('建筑建议逐级'!$X$5:$X$328,MATCH($B21,'建筑建议逐级'!$A$5:$A$328,0)),"")</f>
        <v/>
      </c>
      <c r="L21" s="50">
        <f>IFERROR(MAXIFS('建筑建议逐级'!$AD$5:$AD$328,'建筑建议逐级'!$A$5:$A$328,$B21),"")</f>
        <v/>
      </c>
      <c r="M21" s="35">
        <f>IFERROR(INDEX('建筑建议逐级'!$N$5:$N$328,MATCH($B21,'建筑建议逐级'!$A$5:$A$328,0)),"")</f>
        <v/>
      </c>
      <c r="N21" s="50">
        <f>IFERROR(MAXIFS('建筑建议逐级'!$AC$5:$AC$328,'建筑建议逐级'!$A$5:$A$328,$B21),"")</f>
        <v/>
      </c>
    </row>
    <row r="22" ht="24" customHeight="1">
      <c r="A22" s="33" t="inlineStr">
        <is>
          <t>建筑</t>
        </is>
      </c>
      <c r="B22" s="33" t="inlineStr">
        <is>
          <t>jail</t>
        </is>
      </c>
      <c r="C22" s="34">
        <f>INDEX('建筑建议总览'!$B$5:$B$25,MATCH($B22,'建筑建议总览'!$A$5:$A$25,0))</f>
        <v/>
      </c>
      <c r="D22" s="35">
        <f>IF(INDEX('建筑建议总览'!$K$5:$K$25,MATCH($B22,'建筑建议总览'!$A$5:$A$25,0))="","",INDEX('建筑建议总览'!$K$5:$K$25,MATCH($B22,'建筑建议总览'!$A$5:$A$25,0)))</f>
        <v/>
      </c>
      <c r="E22" s="35">
        <f>INDEX('建筑建议总览'!$L$5:$L$25,MATCH($B22,'建筑建议总览'!$A$5:$A$25,0))</f>
        <v/>
      </c>
      <c r="F22" s="35">
        <f>IF(D22="","",E22-D22)</f>
        <v/>
      </c>
      <c r="G22" s="36">
        <f>IF(INDEX('建筑建议总览'!$U$5:$U$25,MATCH($B22,'建筑建议总览'!$A$5:$A$25,0))="","",INDEX('建筑建议总览'!$U$5:$U$25,MATCH($B22,'建筑建议总览'!$A$5:$A$25,0)))</f>
        <v/>
      </c>
      <c r="H22" s="36">
        <f>INDEX('建筑建议总览'!$V$5:$V$25,MATCH($B22,'建筑建议总览'!$A$5:$A$25,0))</f>
        <v/>
      </c>
      <c r="I22" s="36">
        <f>IF(G22="","",H22-G22)</f>
        <v/>
      </c>
      <c r="J22" s="34">
        <f>IF(AND(OR(D22="",ABS(F22)&lt;=MAX(1,D22*0.05)),OR(G22="",ABS(I22)&lt;=MAX(100000,G22*0.05))),"达标","需复核")</f>
        <v/>
      </c>
      <c r="K22" s="34">
        <f>IFERROR(INDEX('建筑建议逐级'!$X$5:$X$328,MATCH($B22,'建筑建议逐级'!$A$5:$A$328,0)),"")</f>
        <v/>
      </c>
      <c r="L22" s="50">
        <f>IFERROR(MAXIFS('建筑建议逐级'!$AD$5:$AD$328,'建筑建议逐级'!$A$5:$A$328,$B22),"")</f>
        <v/>
      </c>
      <c r="M22" s="35">
        <f>IFERROR(INDEX('建筑建议逐级'!$N$5:$N$328,MATCH($B22,'建筑建议逐级'!$A$5:$A$328,0)),"")</f>
        <v/>
      </c>
      <c r="N22" s="50">
        <f>IFERROR(MAXIFS('建筑建议逐级'!$AC$5:$AC$328,'建筑建议逐级'!$A$5:$A$328,$B22),"")</f>
        <v/>
      </c>
    </row>
    <row r="23" ht="24" customHeight="1">
      <c r="A23" s="33" t="inlineStr">
        <is>
          <t>建筑</t>
        </is>
      </c>
      <c r="B23" s="33" t="inlineStr">
        <is>
          <t>oath_grove</t>
        </is>
      </c>
      <c r="C23" s="34">
        <f>INDEX('建筑建议总览'!$B$5:$B$25,MATCH($B23,'建筑建议总览'!$A$5:$A$25,0))</f>
        <v/>
      </c>
      <c r="D23" s="35">
        <f>IF(INDEX('建筑建议总览'!$K$5:$K$25,MATCH($B23,'建筑建议总览'!$A$5:$A$25,0))="","",INDEX('建筑建议总览'!$K$5:$K$25,MATCH($B23,'建筑建议总览'!$A$5:$A$25,0)))</f>
        <v/>
      </c>
      <c r="E23" s="35">
        <f>INDEX('建筑建议总览'!$L$5:$L$25,MATCH($B23,'建筑建议总览'!$A$5:$A$25,0))</f>
        <v/>
      </c>
      <c r="F23" s="35">
        <f>IF(D23="","",E23-D23)</f>
        <v/>
      </c>
      <c r="G23" s="36">
        <f>IF(INDEX('建筑建议总览'!$U$5:$U$25,MATCH($B23,'建筑建议总览'!$A$5:$A$25,0))="","",INDEX('建筑建议总览'!$U$5:$U$25,MATCH($B23,'建筑建议总览'!$A$5:$A$25,0)))</f>
        <v/>
      </c>
      <c r="H23" s="36">
        <f>INDEX('建筑建议总览'!$V$5:$V$25,MATCH($B23,'建筑建议总览'!$A$5:$A$25,0))</f>
        <v/>
      </c>
      <c r="I23" s="36">
        <f>IF(G23="","",H23-G23)</f>
        <v/>
      </c>
      <c r="J23" s="34">
        <f>IF(AND(OR(D23="",ABS(F23)&lt;=MAX(1,D23*0.05)),OR(G23="",ABS(I23)&lt;=MAX(100000,G23*0.05))),"达标","需复核")</f>
        <v/>
      </c>
      <c r="K23" s="34">
        <f>IFERROR(INDEX('建筑建议逐级'!$X$5:$X$328,MATCH($B23,'建筑建议逐级'!$A$5:$A$328,0)),"")</f>
        <v/>
      </c>
      <c r="L23" s="50">
        <f>IFERROR(MAXIFS('建筑建议逐级'!$AD$5:$AD$328,'建筑建议逐级'!$A$5:$A$328,$B23),"")</f>
        <v/>
      </c>
      <c r="M23" s="35">
        <f>IFERROR(INDEX('建筑建议逐级'!$N$5:$N$328,MATCH($B23,'建筑建议逐级'!$A$5:$A$328,0)),"")</f>
        <v/>
      </c>
      <c r="N23" s="50">
        <f>IFERROR(MAXIFS('建筑建议逐级'!$AC$5:$AC$328,'建筑建议逐级'!$A$5:$A$328,$B23),"")</f>
        <v/>
      </c>
    </row>
    <row r="24" ht="24" customHeight="1">
      <c r="A24" s="33" t="inlineStr">
        <is>
          <t>建筑</t>
        </is>
      </c>
      <c r="B24" s="33" t="inlineStr">
        <is>
          <t>wall</t>
        </is>
      </c>
      <c r="C24" s="34">
        <f>INDEX('建筑建议总览'!$B$5:$B$25,MATCH($B24,'建筑建议总览'!$A$5:$A$25,0))</f>
        <v/>
      </c>
      <c r="D24" s="35">
        <f>IF(INDEX('建筑建议总览'!$K$5:$K$25,MATCH($B24,'建筑建议总览'!$A$5:$A$25,0))="","",INDEX('建筑建议总览'!$K$5:$K$25,MATCH($B24,'建筑建议总览'!$A$5:$A$25,0)))</f>
        <v/>
      </c>
      <c r="E24" s="35">
        <f>INDEX('建筑建议总览'!$L$5:$L$25,MATCH($B24,'建筑建议总览'!$A$5:$A$25,0))</f>
        <v/>
      </c>
      <c r="F24" s="35">
        <f>IF(D24="","",E24-D24)</f>
        <v/>
      </c>
      <c r="G24" s="36">
        <f>IF(INDEX('建筑建议总览'!$U$5:$U$25,MATCH($B24,'建筑建议总览'!$A$5:$A$25,0))="","",INDEX('建筑建议总览'!$U$5:$U$25,MATCH($B24,'建筑建议总览'!$A$5:$A$25,0)))</f>
        <v/>
      </c>
      <c r="H24" s="36">
        <f>INDEX('建筑建议总览'!$V$5:$V$25,MATCH($B24,'建筑建议总览'!$A$5:$A$25,0))</f>
        <v/>
      </c>
      <c r="I24" s="36">
        <f>IF(G24="","",H24-G24)</f>
        <v/>
      </c>
      <c r="J24" s="34">
        <f>IF(AND(OR(D24="",ABS(F24)&lt;=MAX(1,D24*0.05)),OR(G24="",ABS(I24)&lt;=MAX(100000,G24*0.05))),"达标","需复核")</f>
        <v/>
      </c>
      <c r="K24" s="34">
        <f>IFERROR(INDEX('建筑建议逐级'!$X$5:$X$328,MATCH($B24,'建筑建议逐级'!$A$5:$A$328,0)),"")</f>
        <v/>
      </c>
      <c r="L24" s="50">
        <f>IFERROR(MAXIFS('建筑建议逐级'!$AD$5:$AD$328,'建筑建议逐级'!$A$5:$A$328,$B24),"")</f>
        <v/>
      </c>
      <c r="M24" s="35">
        <f>IFERROR(INDEX('建筑建议逐级'!$N$5:$N$328,MATCH($B24,'建筑建议逐级'!$A$5:$A$328,0)),"")</f>
        <v/>
      </c>
      <c r="N24" s="50">
        <f>IFERROR(MAXIFS('建筑建议逐级'!$AC$5:$AC$328,'建筑建议逐级'!$A$5:$A$328,$B24),"")</f>
        <v/>
      </c>
    </row>
    <row r="25" ht="24" customHeight="1">
      <c r="A25" s="33" t="inlineStr">
        <is>
          <t>建筑</t>
        </is>
      </c>
      <c r="B25" s="33" t="inlineStr">
        <is>
          <t>arrow_tower</t>
        </is>
      </c>
      <c r="C25" s="34">
        <f>INDEX('建筑建议总览'!$B$5:$B$25,MATCH($B25,'建筑建议总览'!$A$5:$A$25,0))</f>
        <v/>
      </c>
      <c r="D25" s="35">
        <f>IF(INDEX('建筑建议总览'!$K$5:$K$25,MATCH($B25,'建筑建议总览'!$A$5:$A$25,0))="","",INDEX('建筑建议总览'!$K$5:$K$25,MATCH($B25,'建筑建议总览'!$A$5:$A$25,0)))</f>
        <v/>
      </c>
      <c r="E25" s="35">
        <f>INDEX('建筑建议总览'!$L$5:$L$25,MATCH($B25,'建筑建议总览'!$A$5:$A$25,0))</f>
        <v/>
      </c>
      <c r="F25" s="35">
        <f>IF(D25="","",E25-D25)</f>
        <v/>
      </c>
      <c r="G25" s="36">
        <f>IF(INDEX('建筑建议总览'!$U$5:$U$25,MATCH($B25,'建筑建议总览'!$A$5:$A$25,0))="","",INDEX('建筑建议总览'!$U$5:$U$25,MATCH($B25,'建筑建议总览'!$A$5:$A$25,0)))</f>
        <v/>
      </c>
      <c r="H25" s="36">
        <f>INDEX('建筑建议总览'!$V$5:$V$25,MATCH($B25,'建筑建议总览'!$A$5:$A$25,0))</f>
        <v/>
      </c>
      <c r="I25" s="36">
        <f>IF(G25="","",H25-G25)</f>
        <v/>
      </c>
      <c r="J25" s="34">
        <f>IF(AND(OR(D25="",ABS(F25)&lt;=MAX(1,D25*0.05)),OR(G25="",ABS(I25)&lt;=MAX(100000,G25*0.05))),"达标","需复核")</f>
        <v/>
      </c>
      <c r="K25" s="34">
        <f>IFERROR(INDEX('建筑建议逐级'!$X$5:$X$328,MATCH($B25,'建筑建议逐级'!$A$5:$A$328,0)),"")</f>
        <v/>
      </c>
      <c r="L25" s="50">
        <f>IFERROR(MAXIFS('建筑建议逐级'!$AD$5:$AD$328,'建筑建议逐级'!$A$5:$A$328,$B25),"")</f>
        <v/>
      </c>
      <c r="M25" s="35">
        <f>IFERROR(INDEX('建筑建议逐级'!$N$5:$N$328,MATCH($B25,'建筑建议逐级'!$A$5:$A$328,0)),"")</f>
        <v/>
      </c>
      <c r="N25" s="50">
        <f>IFERROR(MAXIFS('建筑建议逐级'!$AC$5:$AC$328,'建筑建议逐级'!$A$5:$A$328,$B25),"")</f>
        <v/>
      </c>
    </row>
  </sheetData>
  <autoFilter ref="A4:N25"/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工程资料</dc:creator>
  <dc:title xmlns:dc="http://purl.org/dc/elements/1.1/">建筑与科技升级时长和消耗规划分析</dc:title>
  <dc:subject xmlns:dc="http://purl.org/dc/elements/1.1/">当前代码配置梳理、逐级成本/时长、优化建议</dc:subject>
  <dcterms:created xmlns:dcterms="http://purl.org/dc/terms/" xmlns:xsi="http://www.w3.org/2001/XMLSchema-instance" xsi:type="dcterms:W3CDTF">2026-08-14T11:29:35Z</dcterms:created>
  <dcterms:modified xmlns:dcterms="http://purl.org/dc/terms/" xmlns:xsi="http://www.w3.org/2001/XMLSchema-instance" xsi:type="dcterms:W3CDTF">2026-08-14T15:51:42Z</dcterms:modified>
</cp:coreProperties>
</file>